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46234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46234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46234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46234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46234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46234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t="n">
        <v>0</v>
      </c>
      <c r="V14" s="2" t="inlineStr">
        <is>
          <t>Knärot
Motaggsvamp
Tvåblad
Fläcknycklar</t>
        </is>
      </c>
      <c r="W14">
        <f>HYPERLINK("https://klasma.github.io/Logging_2181/artfynd/A 52782-2025 artfynd.xlsx", "A 52782-2025")</f>
        <v/>
      </c>
      <c r="X14">
        <f>HYPERLINK("https://klasma.github.io/Logging_2181/kartor/A 52782-2025 karta.png", "A 52782-2025")</f>
        <v/>
      </c>
      <c r="Y14">
        <f>HYPERLINK("https://klasma.github.io/Logging_2181/kartor_geotiff/A 52782-2025 georefererad karta.tif", "A 52782-2025")</f>
        <v/>
      </c>
      <c r="Z14">
        <f>HYPERLINK("https://klasma.github.io/Logging_2181/knärot/A 52782-2025 karta knärot.png", "A 52782-2025")</f>
        <v/>
      </c>
      <c r="AA14">
        <f>HYPERLINK("https://klasma.github.io/Logging_2181/klagomål/A 52782-2025 FSC-klagomål.docx", "A 52782-2025")</f>
        <v/>
      </c>
      <c r="AB14">
        <f>HYPERLINK("https://klasma.github.io/Logging_2181/klagomålsmail/A 52782-2025 FSC-klagomål mail.docx", "A 52782-2025")</f>
        <v/>
      </c>
      <c r="AC14">
        <f>HYPERLINK("https://klasma.github.io/Logging_2181/tillsyn/A 52782-2025 tillsynsbegäran.docx", "A 52782-2025")</f>
        <v/>
      </c>
      <c r="AD14">
        <f>HYPERLINK("https://klasma.github.io/Logging_2181/tillsynsmail/A 52782-2025 tillsynsbegäran mail.docx", "A 52782-2025")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46234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12192-2026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46086</v>
      </c>
      <c r="E16" s="1" t="n">
        <v>46234</v>
      </c>
      <c r="F16" t="inlineStr">
        <is>
          <t>GÄVLEBORGS LÄN</t>
        </is>
      </c>
      <c r="G16" t="inlineStr">
        <is>
          <t>SANDVIKEN</t>
        </is>
      </c>
      <c r="I16" t="n">
        <v>0.6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Knärot
Rynkskinn
Tretåig hackspett
Spillkråka</t>
        </is>
      </c>
      <c r="W16">
        <f>HYPERLINK("https://klasma.github.io/Logging_2181/artfynd/A 12192-2026 artfynd.xlsx", "A 12192-2026")</f>
        <v/>
      </c>
      <c r="X16">
        <f>HYPERLINK("https://klasma.github.io/Logging_2181/kartor/A 12192-2026 karta.png", "A 12192-2026")</f>
        <v/>
      </c>
      <c r="Y16">
        <f>HYPERLINK("https://klasma.github.io/Logging_2181/kartor_geotiff/A 12192-2026 georefererad karta.tif", "A 12192-2026")</f>
        <v/>
      </c>
      <c r="Z16">
        <f>HYPERLINK("https://klasma.github.io/Logging_2181/knärot/A 12192-2026 karta knärot.png", "A 12192-2026")</f>
        <v/>
      </c>
      <c r="AA16">
        <f>HYPERLINK("https://klasma.github.io/Logging_2181/klagomål/A 12192-2026 FSC-klagomål.docx", "A 12192-2026")</f>
        <v/>
      </c>
      <c r="AB16">
        <f>HYPERLINK("https://klasma.github.io/Logging_2181/klagomålsmail/A 12192-2026 FSC-klagomål mail.docx", "A 12192-2026")</f>
        <v/>
      </c>
      <c r="AC16">
        <f>HYPERLINK("https://klasma.github.io/Logging_2181/tillsyn/A 12192-2026 tillsynsbegäran.docx", "A 12192-2026")</f>
        <v/>
      </c>
      <c r="AD16">
        <f>HYPERLINK("https://klasma.github.io/Logging_2181/tillsynsmail/A 12192-2026 tillsynsbegäran mail.docx", "A 12192-2026")</f>
        <v/>
      </c>
      <c r="AE16">
        <f>HYPERLINK("https://klasma.github.io/Logging_2181/fåglar/A 12192-2026 prioriterade fågelarter.docx", "A 12192-2026")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46234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46234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46234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46234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46234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46234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46234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46234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46234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46234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46234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46234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46234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46234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46234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46234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46234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46234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46234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46234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46234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46234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46234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42869-2024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46234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6.9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Rödgul trumpetsvamp
Vanlig padda</t>
        </is>
      </c>
      <c r="W42">
        <f>HYPERLINK("https://klasma.github.io/Logging_2181/artfynd/A 42869-2024 artfynd.xlsx", "A 42869-2024")</f>
        <v/>
      </c>
      <c r="X42">
        <f>HYPERLINK("https://klasma.github.io/Logging_2181/kartor/A 42869-2024 karta.png", "A 42869-2024")</f>
        <v/>
      </c>
      <c r="Y42">
        <f>HYPERLINK("https://klasma.github.io/Logging_2181/kartor_geotiff/A 42869-2024 georefererad karta.tif", "A 42869-2024")</f>
        <v/>
      </c>
      <c r="AA42">
        <f>HYPERLINK("https://klasma.github.io/Logging_2181/klagomål/A 42869-2024 FSC-klagomål.docx", "A 42869-2024")</f>
        <v/>
      </c>
      <c r="AB42">
        <f>HYPERLINK("https://klasma.github.io/Logging_2181/klagomålsmail/A 42869-2024 FSC-klagomål mail.docx", "A 42869-2024")</f>
        <v/>
      </c>
      <c r="AC42">
        <f>HYPERLINK("https://klasma.github.io/Logging_2181/tillsyn/A 42869-2024 tillsynsbegäran.docx", "A 42869-2024")</f>
        <v/>
      </c>
      <c r="AD42">
        <f>HYPERLINK("https://klasma.github.io/Logging_2181/tillsynsmail/A 42869-2024 tillsynsbegäran mail.docx", "A 42869-2024")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46234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43716-2023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46234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HYPERLINK("https://klasma.github.io/Logging_2181/artfynd/A 43716-2023 artfynd.xlsx", "A 43716-2023")</f>
        <v/>
      </c>
      <c r="X44">
        <f>HYPERLINK("https://klasma.github.io/Logging_2181/kartor/A 43716-2023 karta.png", "A 43716-2023")</f>
        <v/>
      </c>
      <c r="Y44">
        <f>HYPERLINK("https://klasma.github.io/Logging_2181/kartor_geotiff/A 43716-2023 georefererad karta.tif", "A 43716-2023")</f>
        <v/>
      </c>
      <c r="Z44">
        <f>HYPERLINK("https://klasma.github.io/Logging_2181/knärot/A 43716-2023 karta knärot.png", "A 43716-2023")</f>
        <v/>
      </c>
      <c r="AA44">
        <f>HYPERLINK("https://klasma.github.io/Logging_2181/klagomål/A 43716-2023 FSC-klagomål.docx", "A 43716-2023")</f>
        <v/>
      </c>
      <c r="AB44">
        <f>HYPERLINK("https://klasma.github.io/Logging_2181/klagomålsmail/A 43716-2023 FSC-klagomål mail.docx", "A 43716-2023")</f>
        <v/>
      </c>
      <c r="AC44">
        <f>HYPERLINK("https://klasma.github.io/Logging_2181/tillsyn/A 43716-2023 tillsynsbegäran.docx", "A 43716-2023")</f>
        <v/>
      </c>
      <c r="AD44">
        <f>HYPERLINK("https://klasma.github.io/Logging_2181/tillsynsmail/A 43716-2023 tillsynsbegäran mail.docx", "A 43716-2023")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46234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46234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46234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46234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46234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46234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46234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46234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46234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46234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Vanlig padda</t>
        </is>
      </c>
      <c r="W54">
        <f>HYPERLINK("https://klasma.github.io/Logging_2181/artfynd/A 58845-2023 artfynd.xlsx", "A 58845-2023")</f>
        <v/>
      </c>
      <c r="X54">
        <f>HYPERLINK("https://klasma.github.io/Logging_2181/kartor/A 58845-2023 karta.png", "A 58845-2023")</f>
        <v/>
      </c>
      <c r="Y54">
        <f>HYPERLINK("https://klasma.github.io/Logging_2181/kartor_geotiff/A 58845-2023 georefererad karta.tif", "A 58845-2023")</f>
        <v/>
      </c>
      <c r="AA54">
        <f>HYPERLINK("https://klasma.github.io/Logging_2181/klagomål/A 58845-2023 FSC-klagomål.docx", "A 58845-2023")</f>
        <v/>
      </c>
      <c r="AB54">
        <f>HYPERLINK("https://klasma.github.io/Logging_2181/klagomålsmail/A 58845-2023 FSC-klagomål mail.docx", "A 58845-2023")</f>
        <v/>
      </c>
      <c r="AC54">
        <f>HYPERLINK("https://klasma.github.io/Logging_2181/tillsyn/A 58845-2023 tillsynsbegäran.docx", "A 58845-2023")</f>
        <v/>
      </c>
      <c r="AD54">
        <f>HYPERLINK("https://klasma.github.io/Logging_2181/tillsynsmail/A 58845-2023 tillsynsbegäran mail.docx", "A 58845-2023")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46234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Plattlummer</t>
        </is>
      </c>
      <c r="W55">
        <f>HYPERLINK("https://klasma.github.io/Logging_2181/artfynd/A 39872-2025 artfynd.xlsx", "A 39872-2025")</f>
        <v/>
      </c>
      <c r="X55">
        <f>HYPERLINK("https://klasma.github.io/Logging_2181/kartor/A 39872-2025 karta.png", "A 39872-2025")</f>
        <v/>
      </c>
      <c r="Y55">
        <f>HYPERLINK("https://klasma.github.io/Logging_2181/kartor_geotiff/A 39872-2025 georefererad karta.tif", "A 39872-2025")</f>
        <v/>
      </c>
      <c r="AA55">
        <f>HYPERLINK("https://klasma.github.io/Logging_2181/klagomål/A 39872-2025 FSC-klagomål.docx", "A 39872-2025")</f>
        <v/>
      </c>
      <c r="AB55">
        <f>HYPERLINK("https://klasma.github.io/Logging_2181/klagomålsmail/A 39872-2025 FSC-klagomål mail.docx", "A 39872-2025")</f>
        <v/>
      </c>
      <c r="AC55">
        <f>HYPERLINK("https://klasma.github.io/Logging_2181/tillsyn/A 39872-2025 tillsynsbegäran.docx", "A 39872-2025")</f>
        <v/>
      </c>
      <c r="AD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46234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Dropptaggsvamp</t>
        </is>
      </c>
      <c r="W56">
        <f>HYPERLINK("https://klasma.github.io/Logging_2181/artfynd/A 39873-2025 artfynd.xlsx", "A 39873-2025")</f>
        <v/>
      </c>
      <c r="X56">
        <f>HYPERLINK("https://klasma.github.io/Logging_2181/kartor/A 39873-2025 karta.png", "A 39873-2025")</f>
        <v/>
      </c>
      <c r="Y56">
        <f>HYPERLINK("https://klasma.github.io/Logging_2181/kartor_geotiff/A 39873-2025 georefererad karta.tif", "A 39873-2025")</f>
        <v/>
      </c>
      <c r="AA56">
        <f>HYPERLINK("https://klasma.github.io/Logging_2181/klagomål/A 39873-2025 FSC-klagomål.docx", "A 39873-2025")</f>
        <v/>
      </c>
      <c r="AB56">
        <f>HYPERLINK("https://klasma.github.io/Logging_2181/klagomålsmail/A 39873-2025 FSC-klagomål mail.docx", "A 39873-2025")</f>
        <v/>
      </c>
      <c r="AC56">
        <f>HYPERLINK("https://klasma.github.io/Logging_2181/tillsyn/A 39873-2025 tillsynsbegäran.docx", "A 39873-2025")</f>
        <v/>
      </c>
      <c r="AD56">
        <f>HYPERLINK("https://klasma.github.io/Logging_2181/tillsynsmail/A 39873-2025 tillsynsbegäran mail.docx", "A 39873-2025")</f>
        <v/>
      </c>
    </row>
    <row r="57" ht="15" customHeight="1">
      <c r="A57" t="inlineStr">
        <is>
          <t>A 48188-2025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46234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4.6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HYPERLINK("https://klasma.github.io/Logging_2181/artfynd/A 48188-2025 artfynd.xlsx", "A 48188-2025")</f>
        <v/>
      </c>
      <c r="X57">
        <f>HYPERLINK("https://klasma.github.io/Logging_2181/kartor/A 48188-2025 karta.png", "A 48188-2025")</f>
        <v/>
      </c>
      <c r="Y57">
        <f>HYPERLINK("https://klasma.github.io/Logging_2181/kartor_geotiff/A 48188-2025 georefererad karta.tif", "A 48188-2025")</f>
        <v/>
      </c>
      <c r="AA57">
        <f>HYPERLINK("https://klasma.github.io/Logging_2181/klagomål/A 48188-2025 FSC-klagomål.docx", "A 48188-2025")</f>
        <v/>
      </c>
      <c r="AB57">
        <f>HYPERLINK("https://klasma.github.io/Logging_2181/klagomålsmail/A 48188-2025 FSC-klagomål mail.docx", "A 48188-2025")</f>
        <v/>
      </c>
      <c r="AC57">
        <f>HYPERLINK("https://klasma.github.io/Logging_2181/tillsyn/A 48188-2025 tillsynsbegäran.docx", "A 48188-2025")</f>
        <v/>
      </c>
      <c r="AD57">
        <f>HYPERLINK("https://klasma.github.io/Logging_2181/tillsynsmail/A 48188-2025 tillsynsbegäran mail.docx", "A 48188-2025")</f>
        <v/>
      </c>
      <c r="AE57">
        <f>HYPERLINK("https://klasma.github.io/Logging_2181/fåglar/A 48188-2025 prioriterade fågelarter.docx", "A 48188-2025")</f>
        <v/>
      </c>
    </row>
    <row r="58" ht="15" customHeight="1">
      <c r="A58" t="inlineStr">
        <is>
          <t>A 25314-2025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46234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2.1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Garnlav</t>
        </is>
      </c>
      <c r="W58">
        <f>HYPERLINK("https://klasma.github.io/Logging_2181/artfynd/A 25314-2025 artfynd.xlsx", "A 25314-2025")</f>
        <v/>
      </c>
      <c r="X58">
        <f>HYPERLINK("https://klasma.github.io/Logging_2181/kartor/A 25314-2025 karta.png", "A 25314-2025")</f>
        <v/>
      </c>
      <c r="Y58">
        <f>HYPERLINK("https://klasma.github.io/Logging_2181/kartor_geotiff/A 25314-2025 georefererad karta.tif", "A 25314-2025")</f>
        <v/>
      </c>
      <c r="AA58">
        <f>HYPERLINK("https://klasma.github.io/Logging_2181/klagomål/A 25314-2025 FSC-klagomål.docx", "A 25314-2025")</f>
        <v/>
      </c>
      <c r="AB58">
        <f>HYPERLINK("https://klasma.github.io/Logging_2181/klagomålsmail/A 25314-2025 FSC-klagomål mail.docx", "A 25314-2025")</f>
        <v/>
      </c>
      <c r="AC58">
        <f>HYPERLINK("https://klasma.github.io/Logging_2181/tillsyn/A 25314-2025 tillsynsbegäran.docx", "A 25314-2025")</f>
        <v/>
      </c>
      <c r="AD58">
        <f>HYPERLINK("https://klasma.github.io/Logging_2181/tillsynsmail/A 25314-2025 tillsynsbegäran mail.docx", "A 25314-2025")</f>
        <v/>
      </c>
    </row>
    <row r="59" ht="15" customHeight="1">
      <c r="A59" t="inlineStr">
        <is>
          <t>A 25323-2025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46234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3</v>
      </c>
      <c r="V59" s="2" t="inlineStr">
        <is>
          <t>Plattlummer</t>
        </is>
      </c>
      <c r="W59">
        <f>HYPERLINK("https://klasma.github.io/Logging_2181/artfynd/A 25323-2025 artfynd.xlsx", "A 25323-2025")</f>
        <v/>
      </c>
      <c r="X59">
        <f>HYPERLINK("https://klasma.github.io/Logging_2181/kartor/A 25323-2025 karta.png", "A 25323-2025")</f>
        <v/>
      </c>
      <c r="Y59">
        <f>HYPERLINK("https://klasma.github.io/Logging_2181/kartor_geotiff/A 25323-2025 georefererad karta.tif", "A 25323-2025")</f>
        <v/>
      </c>
      <c r="AA59">
        <f>HYPERLINK("https://klasma.github.io/Logging_2181/klagomål/A 25323-2025 FSC-klagomål.docx", "A 25323-2025")</f>
        <v/>
      </c>
      <c r="AB59">
        <f>HYPERLINK("https://klasma.github.io/Logging_2181/klagomålsmail/A 25323-2025 FSC-klagomål mail.docx", "A 25323-2025")</f>
        <v/>
      </c>
      <c r="AC59">
        <f>HYPERLINK("https://klasma.github.io/Logging_2181/tillsyn/A 25323-2025 tillsynsbegäran.docx", "A 25323-2025")</f>
        <v/>
      </c>
      <c r="AD59">
        <f>HYPERLINK("https://klasma.github.io/Logging_2181/tillsynsmail/A 25323-2025 tillsynsbegäran mail.docx", "A 25323-2025")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46234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46234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3316-2023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44949</v>
      </c>
      <c r="E62" s="1" t="n">
        <v>46234</v>
      </c>
      <c r="F62" t="inlineStr">
        <is>
          <t>GÄVLEBORGS LÄN</t>
        </is>
      </c>
      <c r="G62" t="inlineStr">
        <is>
          <t>SANDVIKEN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HYPERLINK("https://klasma.github.io/Logging_2181/artfynd/A 3316-2023 artfynd.xlsx", "A 3316-2023")</f>
        <v/>
      </c>
      <c r="X62">
        <f>HYPERLINK("https://klasma.github.io/Logging_2181/kartor/A 3316-2023 karta.png", "A 3316-2023")</f>
        <v/>
      </c>
      <c r="Y62">
        <f>HYPERLINK("https://klasma.github.io/Logging_2181/kartor_geotiff/A 3316-2023 georefererad karta.tif", "A 3316-2023")</f>
        <v/>
      </c>
      <c r="AA62">
        <f>HYPERLINK("https://klasma.github.io/Logging_2181/klagomål/A 3316-2023 FSC-klagomål.docx", "A 3316-2023")</f>
        <v/>
      </c>
      <c r="AB62">
        <f>HYPERLINK("https://klasma.github.io/Logging_2181/klagomålsmail/A 3316-2023 FSC-klagomål mail.docx", "A 3316-2023")</f>
        <v/>
      </c>
      <c r="AC62">
        <f>HYPERLINK("https://klasma.github.io/Logging_2181/tillsyn/A 3316-2023 tillsynsbegäran.docx", "A 3316-2023")</f>
        <v/>
      </c>
      <c r="AD62">
        <f>HYPERLINK("https://klasma.github.io/Logging_2181/tillsynsmail/A 3316-2023 tillsynsbegäran mail.docx", "A 3316-2023")</f>
        <v/>
      </c>
      <c r="AE62">
        <f>HYPERLINK("https://klasma.github.io/Logging_2181/fåglar/A 3316-2023 prioriterade fågelarter.docx", "A 3316-2023")</f>
        <v/>
      </c>
    </row>
    <row r="63" ht="15" customHeight="1">
      <c r="A63" t="inlineStr">
        <is>
          <t>A 36417-2025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45868</v>
      </c>
      <c r="E63" s="1" t="n">
        <v>46234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HYPERLINK("https://klasma.github.io/Logging_2181/artfynd/A 36417-2025 artfynd.xlsx", "A 36417-2025")</f>
        <v/>
      </c>
      <c r="X63">
        <f>HYPERLINK("https://klasma.github.io/Logging_2181/kartor/A 36417-2025 karta.png", "A 36417-2025")</f>
        <v/>
      </c>
      <c r="Y63">
        <f>HYPERLINK("https://klasma.github.io/Logging_2181/kartor_geotiff/A 36417-2025 georefererad karta.tif", "A 36417-2025")</f>
        <v/>
      </c>
      <c r="Z63">
        <f>HYPERLINK("https://klasma.github.io/Logging_2181/knärot/A 36417-2025 karta knärot.png", "A 36417-2025")</f>
        <v/>
      </c>
      <c r="AA63">
        <f>HYPERLINK("https://klasma.github.io/Logging_2181/klagomål/A 36417-2025 FSC-klagomål.docx", "A 36417-2025")</f>
        <v/>
      </c>
      <c r="AB63">
        <f>HYPERLINK("https://klasma.github.io/Logging_2181/klagomålsmail/A 36417-2025 FSC-klagomål mail.docx", "A 36417-2025")</f>
        <v/>
      </c>
      <c r="AC63">
        <f>HYPERLINK("https://klasma.github.io/Logging_2181/tillsyn/A 36417-2025 tillsynsbegäran.docx", "A 36417-2025")</f>
        <v/>
      </c>
      <c r="AD63">
        <f>HYPERLINK("https://klasma.github.io/Logging_2181/tillsynsmail/A 36417-2025 tillsynsbegäran mail.docx", "A 36417-2025")</f>
        <v/>
      </c>
    </row>
    <row r="64" ht="15" customHeight="1">
      <c r="A64" t="inlineStr">
        <is>
          <t>A 38350-2025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46234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väst AB</t>
        </is>
      </c>
      <c r="I64" t="n">
        <v>25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Brandticka</t>
        </is>
      </c>
      <c r="W64">
        <f>HYPERLINK("https://klasma.github.io/Logging_2181/artfynd/A 38350-2025 artfynd.xlsx", "A 38350-2025")</f>
        <v/>
      </c>
      <c r="X64">
        <f>HYPERLINK("https://klasma.github.io/Logging_2181/kartor/A 38350-2025 karta.png", "A 38350-2025")</f>
        <v/>
      </c>
      <c r="Y64">
        <f>HYPERLINK("https://klasma.github.io/Logging_2181/kartor_geotiff/A 38350-2025 georefererad karta.tif", "A 38350-2025")</f>
        <v/>
      </c>
      <c r="AA64">
        <f>HYPERLINK("https://klasma.github.io/Logging_2181/klagomål/A 38350-2025 FSC-klagomål.docx", "A 38350-2025")</f>
        <v/>
      </c>
      <c r="AB64">
        <f>HYPERLINK("https://klasma.github.io/Logging_2181/klagomålsmail/A 38350-2025 FSC-klagomål mail.docx", "A 38350-2025")</f>
        <v/>
      </c>
      <c r="AC64">
        <f>HYPERLINK("https://klasma.github.io/Logging_2181/tillsyn/A 38350-2025 tillsynsbegäran.docx", "A 38350-2025")</f>
        <v/>
      </c>
      <c r="AD64">
        <f>HYPERLINK("https://klasma.github.io/Logging_2181/tillsynsmail/A 38350-2025 tillsynsbegäran mail.docx", "A 38350-2025")</f>
        <v/>
      </c>
    </row>
    <row r="65" ht="15" customHeight="1">
      <c r="A65" t="inlineStr">
        <is>
          <t>A 12419-2025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45730</v>
      </c>
      <c r="E65" s="1" t="n">
        <v>46234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öst AB</t>
        </is>
      </c>
      <c r="I65" t="n">
        <v>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Månlåsbräken</t>
        </is>
      </c>
      <c r="W65">
        <f>HYPERLINK("https://klasma.github.io/Logging_2181/artfynd/A 12419-2025 artfynd.xlsx", "A 12419-2025")</f>
        <v/>
      </c>
      <c r="X65">
        <f>HYPERLINK("https://klasma.github.io/Logging_2181/kartor/A 12419-2025 karta.png", "A 12419-2025")</f>
        <v/>
      </c>
      <c r="Y65">
        <f>HYPERLINK("https://klasma.github.io/Logging_2181/kartor_geotiff/A 12419-2025 georefererad karta.tif", "A 12419-2025")</f>
        <v/>
      </c>
      <c r="AA65">
        <f>HYPERLINK("https://klasma.github.io/Logging_2181/klagomål/A 12419-2025 FSC-klagomål.docx", "A 12419-2025")</f>
        <v/>
      </c>
      <c r="AB65">
        <f>HYPERLINK("https://klasma.github.io/Logging_2181/klagomålsmail/A 12419-2025 FSC-klagomål mail.docx", "A 12419-2025")</f>
        <v/>
      </c>
      <c r="AC65">
        <f>HYPERLINK("https://klasma.github.io/Logging_2181/tillsyn/A 12419-2025 tillsynsbegäran.docx", "A 12419-2025")</f>
        <v/>
      </c>
      <c r="AD65">
        <f>HYPERLINK("https://klasma.github.io/Logging_2181/tillsynsmail/A 12419-2025 tillsynsbegäran mail.docx", "A 12419-2025")</f>
        <v/>
      </c>
    </row>
    <row r="66" ht="15" customHeight="1">
      <c r="A66" t="inlineStr">
        <is>
          <t>A 15729-2022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44663</v>
      </c>
      <c r="E66" s="1" t="n">
        <v>46234</v>
      </c>
      <c r="F66" t="inlineStr">
        <is>
          <t>GÄVLEBORGS LÄN</t>
        </is>
      </c>
      <c r="G66" t="inlineStr">
        <is>
          <t>SANDVIKEN</t>
        </is>
      </c>
      <c r="I66" t="n">
        <v>2.1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HYPERLINK("https://klasma.github.io/Logging_2181/artfynd/A 15729-2022 artfynd.xlsx", "A 15729-2022")</f>
        <v/>
      </c>
      <c r="X66">
        <f>HYPERLINK("https://klasma.github.io/Logging_2181/kartor/A 15729-2022 karta.png", "A 15729-2022")</f>
        <v/>
      </c>
      <c r="Y66">
        <f>HYPERLINK("https://klasma.github.io/Logging_2181/kartor_geotiff/A 15729-2022 georefererad karta.tif", "A 15729-2022")</f>
        <v/>
      </c>
      <c r="Z66">
        <f>HYPERLINK("https://klasma.github.io/Logging_2181/knärot/A 15729-2022 karta knärot.png", "A 15729-2022")</f>
        <v/>
      </c>
      <c r="AA66">
        <f>HYPERLINK("https://klasma.github.io/Logging_2181/klagomål/A 15729-2022 FSC-klagomål.docx", "A 15729-2022")</f>
        <v/>
      </c>
      <c r="AB66">
        <f>HYPERLINK("https://klasma.github.io/Logging_2181/klagomålsmail/A 15729-2022 FSC-klagomål mail.docx", "A 15729-2022")</f>
        <v/>
      </c>
      <c r="AC66">
        <f>HYPERLINK("https://klasma.github.io/Logging_2181/tillsyn/A 15729-2022 tillsynsbegäran.docx", "A 15729-2022")</f>
        <v/>
      </c>
      <c r="AD66">
        <f>HYPERLINK("https://klasma.github.io/Logging_2181/tillsynsmail/A 15729-2022 tillsynsbegäran mail.docx", "A 15729-2022")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46234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Grönsiska</t>
        </is>
      </c>
      <c r="W67">
        <f>HYPERLINK("https://klasma.github.io/Logging_2181/artfynd/A 57934-2025 artfynd.xlsx", "A 57934-2025")</f>
        <v/>
      </c>
      <c r="X67">
        <f>HYPERLINK("https://klasma.github.io/Logging_2181/kartor/A 57934-2025 karta.png", "A 57934-2025")</f>
        <v/>
      </c>
      <c r="Y67">
        <f>HYPERLINK("https://klasma.github.io/Logging_2181/kartor_geotiff/A 57934-2025 georefererad karta.tif", "A 57934-2025")</f>
        <v/>
      </c>
      <c r="AA67">
        <f>HYPERLINK("https://klasma.github.io/Logging_2181/klagomål/A 57934-2025 FSC-klagomål.docx", "A 57934-2025")</f>
        <v/>
      </c>
      <c r="AB67">
        <f>HYPERLINK("https://klasma.github.io/Logging_2181/klagomålsmail/A 57934-2025 FSC-klagomål mail.docx", "A 57934-2025")</f>
        <v/>
      </c>
      <c r="AC67">
        <f>HYPERLINK("https://klasma.github.io/Logging_2181/tillsyn/A 57934-2025 tillsynsbegäran.docx", "A 57934-2025")</f>
        <v/>
      </c>
      <c r="AD67">
        <f>HYPERLINK("https://klasma.github.io/Logging_2181/tillsynsmail/A 57934-2025 tillsynsbegäran mail.docx", "A 57934-2025")</f>
        <v/>
      </c>
    </row>
    <row r="68" ht="15" customHeight="1">
      <c r="A68" t="inlineStr">
        <is>
          <t>A 45427-2023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45194</v>
      </c>
      <c r="E68" s="1" t="n">
        <v>46234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HYPERLINK("https://klasma.github.io/Logging_2181/artfynd/A 45427-2023 artfynd.xlsx", "A 45427-2023")</f>
        <v/>
      </c>
      <c r="X68">
        <f>HYPERLINK("https://klasma.github.io/Logging_2181/kartor/A 45427-2023 karta.png", "A 45427-2023")</f>
        <v/>
      </c>
      <c r="Y68">
        <f>HYPERLINK("https://klasma.github.io/Logging_2181/kartor_geotiff/A 45427-2023 georefererad karta.tif", "A 45427-2023")</f>
        <v/>
      </c>
      <c r="AA68">
        <f>HYPERLINK("https://klasma.github.io/Logging_2181/klagomål/A 45427-2023 FSC-klagomål.docx", "A 45427-2023")</f>
        <v/>
      </c>
      <c r="AB68">
        <f>HYPERLINK("https://klasma.github.io/Logging_2181/klagomålsmail/A 45427-2023 FSC-klagomål mail.docx", "A 45427-2023")</f>
        <v/>
      </c>
      <c r="AC68">
        <f>HYPERLINK("https://klasma.github.io/Logging_2181/tillsyn/A 45427-2023 tillsynsbegäran.docx", "A 45427-2023")</f>
        <v/>
      </c>
      <c r="AD68">
        <f>HYPERLINK("https://klasma.github.io/Logging_2181/tillsynsmail/A 45427-2023 tillsynsbegäran mail.docx", "A 45427-2023")</f>
        <v/>
      </c>
    </row>
    <row r="69" ht="15" customHeight="1">
      <c r="A69" t="inlineStr">
        <is>
          <t>A 448-2026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46021</v>
      </c>
      <c r="E69" s="1" t="n">
        <v>46234</v>
      </c>
      <c r="F69" t="inlineStr">
        <is>
          <t>GÄVLEBORGS LÄN</t>
        </is>
      </c>
      <c r="G69" t="inlineStr">
        <is>
          <t>SANDVIKEN</t>
        </is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Dvärghäxört</t>
        </is>
      </c>
      <c r="W69">
        <f>HYPERLINK("https://klasma.github.io/Logging_2181/artfynd/A 448-2026 artfynd.xlsx", "A 448-2026")</f>
        <v/>
      </c>
      <c r="X69">
        <f>HYPERLINK("https://klasma.github.io/Logging_2181/kartor/A 448-2026 karta.png", "A 448-2026")</f>
        <v/>
      </c>
      <c r="Y69">
        <f>HYPERLINK("https://klasma.github.io/Logging_2181/kartor_geotiff/A 448-2026 georefererad karta.tif", "A 448-2026")</f>
        <v/>
      </c>
      <c r="AA69">
        <f>HYPERLINK("https://klasma.github.io/Logging_2181/klagomål/A 448-2026 FSC-klagomål.docx", "A 448-2026")</f>
        <v/>
      </c>
      <c r="AB69">
        <f>HYPERLINK("https://klasma.github.io/Logging_2181/klagomålsmail/A 448-2026 FSC-klagomål mail.docx", "A 448-2026")</f>
        <v/>
      </c>
      <c r="AC69">
        <f>HYPERLINK("https://klasma.github.io/Logging_2181/tillsyn/A 448-2026 tillsynsbegäran.docx", "A 448-2026")</f>
        <v/>
      </c>
      <c r="AD69">
        <f>HYPERLINK("https://klasma.github.io/Logging_2181/tillsynsmail/A 448-2026 tillsynsbegäran mail.docx", "A 448-2026")</f>
        <v/>
      </c>
    </row>
    <row r="70" ht="15" customHeight="1">
      <c r="A70" t="inlineStr">
        <is>
          <t>A 1083-2026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46030</v>
      </c>
      <c r="E70" s="1" t="n">
        <v>46234</v>
      </c>
      <c r="F70" t="inlineStr">
        <is>
          <t>GÄVLEBORGS LÄN</t>
        </is>
      </c>
      <c r="G70" t="inlineStr">
        <is>
          <t>SANDVIKEN</t>
        </is>
      </c>
      <c r="I70" t="n">
        <v>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Vanlig padda</t>
        </is>
      </c>
      <c r="W70">
        <f>HYPERLINK("https://klasma.github.io/Logging_2181/artfynd/A 1083-2026 artfynd.xlsx", "A 1083-2026")</f>
        <v/>
      </c>
      <c r="X70">
        <f>HYPERLINK("https://klasma.github.io/Logging_2181/kartor/A 1083-2026 karta.png", "A 1083-2026")</f>
        <v/>
      </c>
      <c r="Y70">
        <f>HYPERLINK("https://klasma.github.io/Logging_2181/kartor_geotiff/A 1083-2026 georefererad karta.tif", "A 1083-2026")</f>
        <v/>
      </c>
      <c r="AA70">
        <f>HYPERLINK("https://klasma.github.io/Logging_2181/klagomål/A 1083-2026 FSC-klagomål.docx", "A 1083-2026")</f>
        <v/>
      </c>
      <c r="AB70">
        <f>HYPERLINK("https://klasma.github.io/Logging_2181/klagomålsmail/A 1083-2026 FSC-klagomål mail.docx", "A 1083-2026")</f>
        <v/>
      </c>
      <c r="AC70">
        <f>HYPERLINK("https://klasma.github.io/Logging_2181/tillsyn/A 1083-2026 tillsynsbegäran.docx", "A 1083-2026")</f>
        <v/>
      </c>
      <c r="AD70">
        <f>HYPERLINK("https://klasma.github.io/Logging_2181/tillsynsmail/A 1083-2026 tillsynsbegäran mail.docx", "A 1083-2026")</f>
        <v/>
      </c>
    </row>
    <row r="71" ht="15" customHeight="1">
      <c r="A71" t="inlineStr">
        <is>
          <t>A 25479-2023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46234</v>
      </c>
      <c r="F71" t="inlineStr">
        <is>
          <t>GÄVLEBORGS LÄN</t>
        </is>
      </c>
      <c r="G71" t="inlineStr">
        <is>
          <t>SANDVIKEN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Grönpyrola</t>
        </is>
      </c>
      <c r="W71">
        <f>HYPERLINK("https://klasma.github.io/Logging_2181/artfynd/A 25479-2023 artfynd.xlsx", "A 25479-2023")</f>
        <v/>
      </c>
      <c r="X71">
        <f>HYPERLINK("https://klasma.github.io/Logging_2181/kartor/A 25479-2023 karta.png", "A 25479-2023")</f>
        <v/>
      </c>
      <c r="Y71">
        <f>HYPERLINK("https://klasma.github.io/Logging_2181/kartor_geotiff/A 25479-2023 georefererad karta.tif", "A 25479-2023")</f>
        <v/>
      </c>
      <c r="AA71">
        <f>HYPERLINK("https://klasma.github.io/Logging_2181/klagomål/A 25479-2023 FSC-klagomål.docx", "A 25479-2023")</f>
        <v/>
      </c>
      <c r="AB71">
        <f>HYPERLINK("https://klasma.github.io/Logging_2181/klagomålsmail/A 25479-2023 FSC-klagomål mail.docx", "A 25479-2023")</f>
        <v/>
      </c>
      <c r="AC71">
        <f>HYPERLINK("https://klasma.github.io/Logging_2181/tillsyn/A 25479-2023 tillsynsbegäran.docx", "A 25479-2023")</f>
        <v/>
      </c>
      <c r="AD71">
        <f>HYPERLINK("https://klasma.github.io/Logging_2181/tillsynsmail/A 25479-2023 tillsynsbegäran mail.docx", "A 25479-2023")</f>
        <v/>
      </c>
    </row>
    <row r="72" ht="15" customHeight="1">
      <c r="A72" t="inlineStr">
        <is>
          <t>A 7393-2026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46234</v>
      </c>
      <c r="F72" t="inlineStr">
        <is>
          <t>GÄVLEBORGS LÄN</t>
        </is>
      </c>
      <c r="G72" t="inlineStr">
        <is>
          <t>SANDVIKEN</t>
        </is>
      </c>
      <c r="I72" t="n">
        <v>6.7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Brunklöver</t>
        </is>
      </c>
      <c r="W72">
        <f>HYPERLINK("https://klasma.github.io/Logging_2181/artfynd/A 7393-2026 artfynd.xlsx", "A 7393-2026")</f>
        <v/>
      </c>
      <c r="X72">
        <f>HYPERLINK("https://klasma.github.io/Logging_2181/kartor/A 7393-2026 karta.png", "A 7393-2026")</f>
        <v/>
      </c>
      <c r="Y72">
        <f>HYPERLINK("https://klasma.github.io/Logging_2181/kartor_geotiff/A 7393-2026 georefererad karta.tif", "A 7393-2026")</f>
        <v/>
      </c>
      <c r="AA72">
        <f>HYPERLINK("https://klasma.github.io/Logging_2181/klagomål/A 7393-2026 FSC-klagomål.docx", "A 7393-2026")</f>
        <v/>
      </c>
      <c r="AB72">
        <f>HYPERLINK("https://klasma.github.io/Logging_2181/klagomålsmail/A 7393-2026 FSC-klagomål mail.docx", "A 7393-2026")</f>
        <v/>
      </c>
      <c r="AC72">
        <f>HYPERLINK("https://klasma.github.io/Logging_2181/tillsyn/A 7393-2026 tillsynsbegäran.docx", "A 7393-2026")</f>
        <v/>
      </c>
      <c r="AD72">
        <f>HYPERLINK("https://klasma.github.io/Logging_2181/tillsynsmail/A 7393-2026 tillsynsbegäran mail.docx", "A 7393-2026")</f>
        <v/>
      </c>
    </row>
    <row r="73" ht="15" customHeight="1">
      <c r="A73" t="inlineStr">
        <is>
          <t>A 9267-2026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46234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Gullpudra</t>
        </is>
      </c>
      <c r="W73">
        <f>HYPERLINK("https://klasma.github.io/Logging_2181/artfynd/A 9267-2026 artfynd.xlsx", "A 9267-2026")</f>
        <v/>
      </c>
      <c r="X73">
        <f>HYPERLINK("https://klasma.github.io/Logging_2181/kartor/A 9267-2026 karta.png", "A 9267-2026")</f>
        <v/>
      </c>
      <c r="Y73">
        <f>HYPERLINK("https://klasma.github.io/Logging_2181/kartor_geotiff/A 9267-2026 georefererad karta.tif", "A 9267-2026")</f>
        <v/>
      </c>
      <c r="AA73">
        <f>HYPERLINK("https://klasma.github.io/Logging_2181/klagomål/A 9267-2026 FSC-klagomål.docx", "A 9267-2026")</f>
        <v/>
      </c>
      <c r="AB73">
        <f>HYPERLINK("https://klasma.github.io/Logging_2181/klagomålsmail/A 9267-2026 FSC-klagomål mail.docx", "A 9267-2026")</f>
        <v/>
      </c>
      <c r="AC73">
        <f>HYPERLINK("https://klasma.github.io/Logging_2181/tillsyn/A 9267-2026 tillsynsbegäran.docx", "A 9267-2026")</f>
        <v/>
      </c>
      <c r="AD73">
        <f>HYPERLINK("https://klasma.github.io/Logging_2181/tillsynsmail/A 9267-2026 tillsynsbegäran mail.docx", "A 9267-2026")</f>
        <v/>
      </c>
    </row>
    <row r="74" ht="15" customHeight="1">
      <c r="A74" t="inlineStr">
        <is>
          <t>A 11784-2026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46084</v>
      </c>
      <c r="E74" s="1" t="n">
        <v>46234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HYPERLINK("https://klasma.github.io/Logging_2181/artfynd/A 11784-2026 artfynd.xlsx", "A 11784-2026")</f>
        <v/>
      </c>
      <c r="X74">
        <f>HYPERLINK("https://klasma.github.io/Logging_2181/kartor/A 11784-2026 karta.png", "A 11784-2026")</f>
        <v/>
      </c>
      <c r="Y74">
        <f>HYPERLINK("https://klasma.github.io/Logging_2181/kartor_geotiff/A 11784-2026 georefererad karta.tif", "A 11784-2026")</f>
        <v/>
      </c>
      <c r="AA74">
        <f>HYPERLINK("https://klasma.github.io/Logging_2181/klagomål/A 11784-2026 FSC-klagomål.docx", "A 11784-2026")</f>
        <v/>
      </c>
      <c r="AB74">
        <f>HYPERLINK("https://klasma.github.io/Logging_2181/klagomålsmail/A 11784-2026 FSC-klagomål mail.docx", "A 11784-2026")</f>
        <v/>
      </c>
      <c r="AC74">
        <f>HYPERLINK("https://klasma.github.io/Logging_2181/tillsyn/A 11784-2026 tillsynsbegäran.docx", "A 11784-2026")</f>
        <v/>
      </c>
      <c r="AD74">
        <f>HYPERLINK("https://klasma.github.io/Logging_2181/tillsynsmail/A 11784-2026 tillsynsbegäran mail.docx", "A 11784-2026")</f>
        <v/>
      </c>
    </row>
    <row r="75" ht="15" customHeight="1">
      <c r="A75" t="inlineStr">
        <is>
          <t>A 23289-2024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46234</v>
      </c>
      <c r="F75" t="inlineStr">
        <is>
          <t>GÄVLEBORGS LÄN</t>
        </is>
      </c>
      <c r="G75" t="inlineStr">
        <is>
          <t>SANDVIKEN</t>
        </is>
      </c>
      <c r="H75" t="inlineStr">
        <is>
          <t>Kyrkan</t>
        </is>
      </c>
      <c r="I75" t="n">
        <v>3.8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Skogsödla</t>
        </is>
      </c>
      <c r="W75">
        <f>HYPERLINK("https://klasma.github.io/Logging_2181/artfynd/A 23289-2024 artfynd.xlsx", "A 23289-2024")</f>
        <v/>
      </c>
      <c r="X75">
        <f>HYPERLINK("https://klasma.github.io/Logging_2181/kartor/A 23289-2024 karta.png", "A 23289-2024")</f>
        <v/>
      </c>
      <c r="Y75">
        <f>HYPERLINK("https://klasma.github.io/Logging_2181/kartor_geotiff/A 23289-2024 georefererad karta.tif", "A 23289-2024")</f>
        <v/>
      </c>
      <c r="AA75">
        <f>HYPERLINK("https://klasma.github.io/Logging_2181/klagomål/A 23289-2024 FSC-klagomål.docx", "A 23289-2024")</f>
        <v/>
      </c>
      <c r="AB75">
        <f>HYPERLINK("https://klasma.github.io/Logging_2181/klagomålsmail/A 23289-2024 FSC-klagomål mail.docx", "A 23289-2024")</f>
        <v/>
      </c>
      <c r="AC75">
        <f>HYPERLINK("https://klasma.github.io/Logging_2181/tillsyn/A 23289-2024 tillsynsbegäran.docx", "A 23289-2024")</f>
        <v/>
      </c>
      <c r="AD75">
        <f>HYPERLINK("https://klasma.github.io/Logging_2181/tillsynsmail/A 23289-2024 tillsynsbegäran mail.docx", "A 23289-2024")</f>
        <v/>
      </c>
    </row>
    <row r="76" ht="15" customHeight="1">
      <c r="A76" t="inlineStr">
        <is>
          <t>A 13135-2026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46234</v>
      </c>
      <c r="F76" t="inlineStr">
        <is>
          <t>GÄVLEBORGS LÄN</t>
        </is>
      </c>
      <c r="G76" t="inlineStr">
        <is>
          <t>SANDVIKEN</t>
        </is>
      </c>
      <c r="I76" t="n">
        <v>2.4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HYPERLINK("https://klasma.github.io/Logging_2181/artfynd/A 13135-2026 artfynd.xlsx", "A 13135-2026")</f>
        <v/>
      </c>
      <c r="X76">
        <f>HYPERLINK("https://klasma.github.io/Logging_2181/kartor/A 13135-2026 karta.png", "A 13135-2026")</f>
        <v/>
      </c>
      <c r="Y76">
        <f>HYPERLINK("https://klasma.github.io/Logging_2181/kartor_geotiff/A 13135-2026 georefererad karta.tif", "A 13135-2026")</f>
        <v/>
      </c>
      <c r="AA76">
        <f>HYPERLINK("https://klasma.github.io/Logging_2181/klagomål/A 13135-2026 FSC-klagomål.docx", "A 13135-2026")</f>
        <v/>
      </c>
      <c r="AB76">
        <f>HYPERLINK("https://klasma.github.io/Logging_2181/klagomålsmail/A 13135-2026 FSC-klagomål mail.docx", "A 13135-2026")</f>
        <v/>
      </c>
      <c r="AC76">
        <f>HYPERLINK("https://klasma.github.io/Logging_2181/tillsyn/A 13135-2026 tillsynsbegäran.docx", "A 13135-2026")</f>
        <v/>
      </c>
      <c r="AD76">
        <f>HYPERLINK("https://klasma.github.io/Logging_2181/tillsynsmail/A 13135-2026 tillsynsbegäran mail.docx", "A 13135-2026")</f>
        <v/>
      </c>
    </row>
    <row r="77" ht="15" customHeight="1">
      <c r="A77" t="inlineStr">
        <is>
          <t>A 22275-2024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46234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Ekorrbär</t>
        </is>
      </c>
      <c r="W77">
        <f>HYPERLINK("https://klasma.github.io/Logging_2181/artfynd/A 22275-2024 artfynd.xlsx", "A 22275-2024")</f>
        <v/>
      </c>
      <c r="X77">
        <f>HYPERLINK("https://klasma.github.io/Logging_2181/kartor/A 22275-2024 karta.png", "A 22275-2024")</f>
        <v/>
      </c>
      <c r="Y77">
        <f>HYPERLINK("https://klasma.github.io/Logging_2181/kartor_geotiff/A 22275-2024 georefererad karta.tif", "A 22275-2024")</f>
        <v/>
      </c>
      <c r="AA77">
        <f>HYPERLINK("https://klasma.github.io/Logging_2181/klagomål/A 22275-2024 FSC-klagomål.docx", "A 22275-2024")</f>
        <v/>
      </c>
      <c r="AB77">
        <f>HYPERLINK("https://klasma.github.io/Logging_2181/klagomålsmail/A 22275-2024 FSC-klagomål mail.docx", "A 22275-2024")</f>
        <v/>
      </c>
      <c r="AC77">
        <f>HYPERLINK("https://klasma.github.io/Logging_2181/tillsyn/A 22275-2024 tillsynsbegäran.docx", "A 22275-2024")</f>
        <v/>
      </c>
      <c r="AD77">
        <f>HYPERLINK("https://klasma.github.io/Logging_2181/tillsynsmail/A 22275-2024 tillsynsbegäran mail.docx", "A 22275-2024")</f>
        <v/>
      </c>
    </row>
    <row r="78" ht="15" customHeight="1">
      <c r="A78" t="inlineStr">
        <is>
          <t>A 13645-2026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46234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HYPERLINK("https://klasma.github.io/Logging_2181/artfynd/A 13645-2026 artfynd.xlsx", "A 13645-2026")</f>
        <v/>
      </c>
      <c r="X78">
        <f>HYPERLINK("https://klasma.github.io/Logging_2181/kartor/A 13645-2026 karta.png", "A 13645-2026")</f>
        <v/>
      </c>
      <c r="Y78">
        <f>HYPERLINK("https://klasma.github.io/Logging_2181/kartor_geotiff/A 13645-2026 georefererad karta.tif", "A 13645-2026")</f>
        <v/>
      </c>
      <c r="AA78">
        <f>HYPERLINK("https://klasma.github.io/Logging_2181/klagomål/A 13645-2026 FSC-klagomål.docx", "A 13645-2026")</f>
        <v/>
      </c>
      <c r="AB78">
        <f>HYPERLINK("https://klasma.github.io/Logging_2181/klagomålsmail/A 13645-2026 FSC-klagomål mail.docx", "A 13645-2026")</f>
        <v/>
      </c>
      <c r="AC78">
        <f>HYPERLINK("https://klasma.github.io/Logging_2181/tillsyn/A 13645-2026 tillsynsbegäran.docx", "A 13645-2026")</f>
        <v/>
      </c>
      <c r="AD78">
        <f>HYPERLINK("https://klasma.github.io/Logging_2181/tillsynsmail/A 13645-2026 tillsynsbegäran mail.docx", "A 13645-2026")</f>
        <v/>
      </c>
      <c r="AE78">
        <f>HYPERLINK("https://klasma.github.io/Logging_2181/fåglar/A 13645-2026 prioriterade fågelarter.docx", "A 13645-2026")</f>
        <v/>
      </c>
    </row>
    <row r="79" ht="15" customHeight="1">
      <c r="A79" t="inlineStr">
        <is>
          <t>A 5015-2023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46234</v>
      </c>
      <c r="F79" t="inlineStr">
        <is>
          <t>GÄVLEBORGS LÄN</t>
        </is>
      </c>
      <c r="G79" t="inlineStr">
        <is>
          <t>SANDVIKEN</t>
        </is>
      </c>
      <c r="I79" t="n">
        <v>7.8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HYPERLINK("https://klasma.github.io/Logging_2181/artfynd/A 5015-2023 artfynd.xlsx", "A 5015-2023")</f>
        <v/>
      </c>
      <c r="X79">
        <f>HYPERLINK("https://klasma.github.io/Logging_2181/kartor/A 5015-2023 karta.png", "A 5015-2023")</f>
        <v/>
      </c>
      <c r="Y79">
        <f>HYPERLINK("https://klasma.github.io/Logging_2181/kartor_geotiff/A 5015-2023 georefererad karta.tif", "A 5015-2023")</f>
        <v/>
      </c>
      <c r="AA79">
        <f>HYPERLINK("https://klasma.github.io/Logging_2181/klagomål/A 5015-2023 FSC-klagomål.docx", "A 5015-2023")</f>
        <v/>
      </c>
      <c r="AB79">
        <f>HYPERLINK("https://klasma.github.io/Logging_2181/klagomålsmail/A 5015-2023 FSC-klagomål mail.docx", "A 5015-2023")</f>
        <v/>
      </c>
      <c r="AC79">
        <f>HYPERLINK("https://klasma.github.io/Logging_2181/tillsyn/A 5015-2023 tillsynsbegäran.docx", "A 5015-2023")</f>
        <v/>
      </c>
      <c r="AD79">
        <f>HYPERLINK("https://klasma.github.io/Logging_2181/tillsynsmail/A 5015-2023 tillsynsbegäran mail.docx", "A 5015-2023")</f>
        <v/>
      </c>
    </row>
    <row r="80" ht="15" customHeight="1">
      <c r="A80" t="inlineStr">
        <is>
          <t>A 14835-2026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46104</v>
      </c>
      <c r="E80" s="1" t="n">
        <v>46234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2.5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14835-2026 artfynd.xlsx", "A 14835-2026")</f>
        <v/>
      </c>
      <c r="X80">
        <f>HYPERLINK("https://klasma.github.io/Logging_2181/kartor/A 14835-2026 karta.png", "A 14835-2026")</f>
        <v/>
      </c>
      <c r="Y80">
        <f>HYPERLINK("https://klasma.github.io/Logging_2181/kartor_geotiff/A 14835-2026 georefererad karta.tif", "A 14835-2026")</f>
        <v/>
      </c>
      <c r="AA80">
        <f>HYPERLINK("https://klasma.github.io/Logging_2181/klagomål/A 14835-2026 FSC-klagomål.docx", "A 14835-2026")</f>
        <v/>
      </c>
      <c r="AB80">
        <f>HYPERLINK("https://klasma.github.io/Logging_2181/klagomålsmail/A 14835-2026 FSC-klagomål mail.docx", "A 14835-2026")</f>
        <v/>
      </c>
      <c r="AC80">
        <f>HYPERLINK("https://klasma.github.io/Logging_2181/tillsyn/A 14835-2026 tillsynsbegäran.docx", "A 14835-2026")</f>
        <v/>
      </c>
      <c r="AD80">
        <f>HYPERLINK("https://klasma.github.io/Logging_2181/tillsynsmail/A 14835-2026 tillsynsbegäran mail.docx", "A 14835-2026")</f>
        <v/>
      </c>
    </row>
    <row r="81" ht="15" customHeight="1">
      <c r="A81" t="inlineStr">
        <is>
          <t>A 15121-2026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46105</v>
      </c>
      <c r="E81" s="1" t="n">
        <v>46234</v>
      </c>
      <c r="F81" t="inlineStr">
        <is>
          <t>GÄVLEBORGS LÄN</t>
        </is>
      </c>
      <c r="G81" t="inlineStr">
        <is>
          <t>SANDVIKEN</t>
        </is>
      </c>
      <c r="I81" t="n">
        <v>2.7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Brandticka</t>
        </is>
      </c>
      <c r="W81">
        <f>HYPERLINK("https://klasma.github.io/Logging_2181/artfynd/A 15121-2026 artfynd.xlsx", "A 15121-2026")</f>
        <v/>
      </c>
      <c r="X81">
        <f>HYPERLINK("https://klasma.github.io/Logging_2181/kartor/A 15121-2026 karta.png", "A 15121-2026")</f>
        <v/>
      </c>
      <c r="Y81">
        <f>HYPERLINK("https://klasma.github.io/Logging_2181/kartor_geotiff/A 15121-2026 georefererad karta.tif", "A 15121-2026")</f>
        <v/>
      </c>
      <c r="AA81">
        <f>HYPERLINK("https://klasma.github.io/Logging_2181/klagomål/A 15121-2026 FSC-klagomål.docx", "A 15121-2026")</f>
        <v/>
      </c>
      <c r="AB81">
        <f>HYPERLINK("https://klasma.github.io/Logging_2181/klagomålsmail/A 15121-2026 FSC-klagomål mail.docx", "A 15121-2026")</f>
        <v/>
      </c>
      <c r="AC81">
        <f>HYPERLINK("https://klasma.github.io/Logging_2181/tillsyn/A 15121-2026 tillsynsbegäran.docx", "A 15121-2026")</f>
        <v/>
      </c>
      <c r="AD81">
        <f>HYPERLINK("https://klasma.github.io/Logging_2181/tillsynsmail/A 15121-2026 tillsynsbegäran mail.docx", "A 15121-2026")</f>
        <v/>
      </c>
    </row>
    <row r="82" ht="15" customHeight="1">
      <c r="A82" t="inlineStr">
        <is>
          <t>A 17062-2026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46234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5.7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Vårärt</t>
        </is>
      </c>
      <c r="W82">
        <f>HYPERLINK("https://klasma.github.io/Logging_2181/artfynd/A 17062-2026 artfynd.xlsx", "A 17062-2026")</f>
        <v/>
      </c>
      <c r="X82">
        <f>HYPERLINK("https://klasma.github.io/Logging_2181/kartor/A 17062-2026 karta.png", "A 17062-2026")</f>
        <v/>
      </c>
      <c r="Y82">
        <f>HYPERLINK("https://klasma.github.io/Logging_2181/kartor_geotiff/A 17062-2026 georefererad karta.tif", "A 17062-2026")</f>
        <v/>
      </c>
      <c r="AA82">
        <f>HYPERLINK("https://klasma.github.io/Logging_2181/klagomål/A 17062-2026 FSC-klagomål.docx", "A 17062-2026")</f>
        <v/>
      </c>
      <c r="AB82">
        <f>HYPERLINK("https://klasma.github.io/Logging_2181/klagomålsmail/A 17062-2026 FSC-klagomål mail.docx", "A 17062-2026")</f>
        <v/>
      </c>
      <c r="AC82">
        <f>HYPERLINK("https://klasma.github.io/Logging_2181/tillsyn/A 17062-2026 tillsynsbegäran.docx", "A 17062-2026")</f>
        <v/>
      </c>
      <c r="AD82">
        <f>HYPERLINK("https://klasma.github.io/Logging_2181/tillsynsmail/A 17062-2026 tillsynsbegäran mail.docx", "A 17062-2026")</f>
        <v/>
      </c>
    </row>
    <row r="83" ht="15" customHeight="1">
      <c r="A83" t="inlineStr">
        <is>
          <t>A 17364-2026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46234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Höstlåsbräken</t>
        </is>
      </c>
      <c r="W83">
        <f>HYPERLINK("https://klasma.github.io/Logging_2181/artfynd/A 17364-2026 artfynd.xlsx", "A 17364-2026")</f>
        <v/>
      </c>
      <c r="X83">
        <f>HYPERLINK("https://klasma.github.io/Logging_2181/kartor/A 17364-2026 karta.png", "A 17364-2026")</f>
        <v/>
      </c>
      <c r="Y83">
        <f>HYPERLINK("https://klasma.github.io/Logging_2181/kartor_geotiff/A 17364-2026 georefererad karta.tif", "A 17364-2026")</f>
        <v/>
      </c>
      <c r="AA83">
        <f>HYPERLINK("https://klasma.github.io/Logging_2181/klagomål/A 17364-2026 FSC-klagomål.docx", "A 17364-2026")</f>
        <v/>
      </c>
      <c r="AB83">
        <f>HYPERLINK("https://klasma.github.io/Logging_2181/klagomålsmail/A 17364-2026 FSC-klagomål mail.docx", "A 17364-2026")</f>
        <v/>
      </c>
      <c r="AC83">
        <f>HYPERLINK("https://klasma.github.io/Logging_2181/tillsyn/A 17364-2026 tillsynsbegäran.docx", "A 17364-2026")</f>
        <v/>
      </c>
      <c r="AD83">
        <f>HYPERLINK("https://klasma.github.io/Logging_2181/tillsynsmail/A 17364-2026 tillsynsbegäran mail.docx", "A 17364-2026")</f>
        <v/>
      </c>
    </row>
    <row r="84" ht="15" customHeight="1">
      <c r="A84" t="inlineStr">
        <is>
          <t>A 19272-2026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46133</v>
      </c>
      <c r="E84" s="1" t="n">
        <v>46234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9.4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HYPERLINK("https://klasma.github.io/Logging_2181/artfynd/A 19272-2026 artfynd.xlsx", "A 19272-2026")</f>
        <v/>
      </c>
      <c r="X84">
        <f>HYPERLINK("https://klasma.github.io/Logging_2181/kartor/A 19272-2026 karta.png", "A 19272-2026")</f>
        <v/>
      </c>
      <c r="Y84">
        <f>HYPERLINK("https://klasma.github.io/Logging_2181/kartor_geotiff/A 19272-2026 georefererad karta.tif", "A 19272-2026")</f>
        <v/>
      </c>
      <c r="AA84">
        <f>HYPERLINK("https://klasma.github.io/Logging_2181/klagomål/A 19272-2026 FSC-klagomål.docx", "A 19272-2026")</f>
        <v/>
      </c>
      <c r="AB84">
        <f>HYPERLINK("https://klasma.github.io/Logging_2181/klagomålsmail/A 19272-2026 FSC-klagomål mail.docx", "A 19272-2026")</f>
        <v/>
      </c>
      <c r="AC84">
        <f>HYPERLINK("https://klasma.github.io/Logging_2181/tillsyn/A 19272-2026 tillsynsbegäran.docx", "A 19272-2026")</f>
        <v/>
      </c>
      <c r="AD84">
        <f>HYPERLINK("https://klasma.github.io/Logging_2181/tillsynsmail/A 19272-2026 tillsynsbegäran mail.docx", "A 19272-2026")</f>
        <v/>
      </c>
    </row>
    <row r="85" ht="15" customHeight="1">
      <c r="A85" t="inlineStr">
        <is>
          <t>A 4324-2026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46234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11.2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HYPERLINK("https://klasma.github.io/Logging_2181/artfynd/A 4324-2026 artfynd.xlsx", "A 4324-2026")</f>
        <v/>
      </c>
      <c r="X85">
        <f>HYPERLINK("https://klasma.github.io/Logging_2181/kartor/A 4324-2026 karta.png", "A 4324-2026")</f>
        <v/>
      </c>
      <c r="Y85">
        <f>HYPERLINK("https://klasma.github.io/Logging_2181/kartor_geotiff/A 4324-2026 georefererad karta.tif", "A 4324-2026")</f>
        <v/>
      </c>
      <c r="AA85">
        <f>HYPERLINK("https://klasma.github.io/Logging_2181/klagomål/A 4324-2026 FSC-klagomål.docx", "A 4324-2026")</f>
        <v/>
      </c>
      <c r="AB85">
        <f>HYPERLINK("https://klasma.github.io/Logging_2181/klagomålsmail/A 4324-2026 FSC-klagomål mail.docx", "A 4324-2026")</f>
        <v/>
      </c>
      <c r="AC85">
        <f>HYPERLINK("https://klasma.github.io/Logging_2181/tillsyn/A 4324-2026 tillsynsbegäran.docx", "A 4324-2026")</f>
        <v/>
      </c>
      <c r="AD85">
        <f>HYPERLINK("https://klasma.github.io/Logging_2181/tillsynsmail/A 4324-2026 tillsynsbegäran mail.docx", "A 4324-2026")</f>
        <v/>
      </c>
      <c r="AE85">
        <f>HYPERLINK("https://klasma.github.io/Logging_2181/fåglar/A 4324-2026 prioriterade fågelarter.docx", "A 4324-2026")</f>
        <v/>
      </c>
    </row>
    <row r="86" ht="15" customHeight="1">
      <c r="A86" t="inlineStr">
        <is>
          <t>A 42115-2023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46234</v>
      </c>
      <c r="F86" t="inlineStr">
        <is>
          <t>GÄVLEBORGS LÄN</t>
        </is>
      </c>
      <c r="G86" t="inlineStr">
        <is>
          <t>SANDVIKEN</t>
        </is>
      </c>
      <c r="H86" t="inlineStr">
        <is>
          <t>Sveaskog</t>
        </is>
      </c>
      <c r="I86" t="n">
        <v>2.4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HYPERLINK("https://klasma.github.io/Logging_2181/artfynd/A 42115-2023 artfynd.xlsx", "A 42115-2023")</f>
        <v/>
      </c>
      <c r="X86">
        <f>HYPERLINK("https://klasma.github.io/Logging_2181/kartor/A 42115-2023 karta.png", "A 42115-2023")</f>
        <v/>
      </c>
      <c r="Y86">
        <f>HYPERLINK("https://klasma.github.io/Logging_2181/kartor_geotiff/A 42115-2023 georefererad karta.tif", "A 42115-2023")</f>
        <v/>
      </c>
      <c r="AA86">
        <f>HYPERLINK("https://klasma.github.io/Logging_2181/klagomål/A 42115-2023 FSC-klagomål.docx", "A 42115-2023")</f>
        <v/>
      </c>
      <c r="AB86">
        <f>HYPERLINK("https://klasma.github.io/Logging_2181/klagomålsmail/A 42115-2023 FSC-klagomål mail.docx", "A 42115-2023")</f>
        <v/>
      </c>
      <c r="AC86">
        <f>HYPERLINK("https://klasma.github.io/Logging_2181/tillsyn/A 42115-2023 tillsynsbegäran.docx", "A 42115-2023")</f>
        <v/>
      </c>
      <c r="AD86">
        <f>HYPERLINK("https://klasma.github.io/Logging_2181/tillsynsmail/A 42115-2023 tillsynsbegäran mail.docx", "A 42115-2023")</f>
        <v/>
      </c>
      <c r="AE86">
        <f>HYPERLINK("https://klasma.github.io/Logging_2181/fåglar/A 42115-2023 prioriterade fågelarter.docx", "A 42115-2023")</f>
        <v/>
      </c>
    </row>
    <row r="87" ht="15" customHeight="1">
      <c r="A87" t="inlineStr">
        <is>
          <t>A 6972-2026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46234</v>
      </c>
      <c r="F87" t="inlineStr">
        <is>
          <t>GÄVLEBORGS LÄN</t>
        </is>
      </c>
      <c r="G87" t="inlineStr">
        <is>
          <t>SANDVIKEN</t>
        </is>
      </c>
      <c r="H87" t="inlineStr">
        <is>
          <t>Naturvårdsverket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Svartvit flugsnappare</t>
        </is>
      </c>
      <c r="W87">
        <f>HYPERLINK("https://klasma.github.io/Logging_2181/artfynd/A 6972-2026 artfynd.xlsx", "A 6972-2026")</f>
        <v/>
      </c>
      <c r="X87">
        <f>HYPERLINK("https://klasma.github.io/Logging_2181/kartor/A 6972-2026 karta.png", "A 6972-2026")</f>
        <v/>
      </c>
      <c r="Y87">
        <f>HYPERLINK("https://klasma.github.io/Logging_2181/kartor_geotiff/A 6972-2026 georefererad karta.tif", "A 6972-2026")</f>
        <v/>
      </c>
      <c r="AA87">
        <f>HYPERLINK("https://klasma.github.io/Logging_2181/klagomål/A 6972-2026 FSC-klagomål.docx", "A 6972-2026")</f>
        <v/>
      </c>
      <c r="AB87">
        <f>HYPERLINK("https://klasma.github.io/Logging_2181/klagomålsmail/A 6972-2026 FSC-klagomål mail.docx", "A 6972-2026")</f>
        <v/>
      </c>
      <c r="AC87">
        <f>HYPERLINK("https://klasma.github.io/Logging_2181/tillsyn/A 6972-2026 tillsynsbegäran.docx", "A 6972-2026")</f>
        <v/>
      </c>
      <c r="AD87">
        <f>HYPERLINK("https://klasma.github.io/Logging_2181/tillsynsmail/A 6972-2026 tillsynsbegäran mail.docx", "A 6972-2026")</f>
        <v/>
      </c>
    </row>
    <row r="88" ht="15" customHeight="1">
      <c r="A88" t="inlineStr">
        <is>
          <t>A 41349-2025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46234</v>
      </c>
      <c r="F88" t="inlineStr">
        <is>
          <t>GÄVLEBORGS LÄN</t>
        </is>
      </c>
      <c r="G88" t="inlineStr">
        <is>
          <t>SANDVIKEN</t>
        </is>
      </c>
      <c r="I88" t="n">
        <v>3.7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HYPERLINK("https://klasma.github.io/Logging_2181/artfynd/A 41349-2025 artfynd.xlsx", "A 41349-2025")</f>
        <v/>
      </c>
      <c r="X88">
        <f>HYPERLINK("https://klasma.github.io/Logging_2181/kartor/A 41349-2025 karta.png", "A 41349-2025")</f>
        <v/>
      </c>
      <c r="Y88">
        <f>HYPERLINK("https://klasma.github.io/Logging_2181/kartor_geotiff/A 41349-2025 georefererad karta.tif", "A 41349-2025")</f>
        <v/>
      </c>
      <c r="AA88">
        <f>HYPERLINK("https://klasma.github.io/Logging_2181/klagomål/A 41349-2025 FSC-klagomål.docx", "A 41349-2025")</f>
        <v/>
      </c>
      <c r="AB88">
        <f>HYPERLINK("https://klasma.github.io/Logging_2181/klagomålsmail/A 41349-2025 FSC-klagomål mail.docx", "A 41349-2025")</f>
        <v/>
      </c>
      <c r="AC88">
        <f>HYPERLINK("https://klasma.github.io/Logging_2181/tillsyn/A 41349-2025 tillsynsbegäran.docx", "A 41349-2025")</f>
        <v/>
      </c>
      <c r="AD88">
        <f>HYPERLINK("https://klasma.github.io/Logging_2181/tillsynsmail/A 41349-2025 tillsynsbegäran mail.docx", "A 41349-2025")</f>
        <v/>
      </c>
    </row>
    <row r="89" ht="15" customHeight="1">
      <c r="A89" t="inlineStr">
        <is>
          <t>A 21532-2026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46148</v>
      </c>
      <c r="E89" s="1" t="n">
        <v>46234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21532-2026 artfynd.xlsx", "A 21532-2026")</f>
        <v/>
      </c>
      <c r="X89">
        <f>HYPERLINK("https://klasma.github.io/Logging_2181/kartor/A 21532-2026 karta.png", "A 21532-2026")</f>
        <v/>
      </c>
      <c r="Y89">
        <f>HYPERLINK("https://klasma.github.io/Logging_2181/kartor_geotiff/A 21532-2026 georefererad karta.tif", "A 21532-2026")</f>
        <v/>
      </c>
      <c r="AA89">
        <f>HYPERLINK("https://klasma.github.io/Logging_2181/klagomål/A 21532-2026 FSC-klagomål.docx", "A 21532-2026")</f>
        <v/>
      </c>
      <c r="AB89">
        <f>HYPERLINK("https://klasma.github.io/Logging_2181/klagomålsmail/A 21532-2026 FSC-klagomål mail.docx", "A 21532-2026")</f>
        <v/>
      </c>
      <c r="AC89">
        <f>HYPERLINK("https://klasma.github.io/Logging_2181/tillsyn/A 21532-2026 tillsynsbegäran.docx", "A 21532-2026")</f>
        <v/>
      </c>
      <c r="AD89">
        <f>HYPERLINK("https://klasma.github.io/Logging_2181/tillsynsmail/A 21532-2026 tillsynsbegäran mail.docx", "A 21532-2026")</f>
        <v/>
      </c>
    </row>
    <row r="90" ht="15" customHeight="1">
      <c r="A90" t="inlineStr">
        <is>
          <t>A 29111-2026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46201</v>
      </c>
      <c r="E90" s="1" t="n">
        <v>46234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4.1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Tallticka</t>
        </is>
      </c>
      <c r="W90">
        <f>HYPERLINK("https://klasma.github.io/Logging_2181/artfynd/A 29111-2026 artfynd.xlsx", "A 29111-2026")</f>
        <v/>
      </c>
      <c r="X90">
        <f>HYPERLINK("https://klasma.github.io/Logging_2181/kartor/A 29111-2026 karta.png", "A 29111-2026")</f>
        <v/>
      </c>
      <c r="Y90">
        <f>HYPERLINK("https://klasma.github.io/Logging_2181/kartor_geotiff/A 29111-2026 georefererad karta.tif", "A 29111-2026")</f>
        <v/>
      </c>
      <c r="AA90">
        <f>HYPERLINK("https://klasma.github.io/Logging_2181/klagomål/A 29111-2026 FSC-klagomål.docx", "A 29111-2026")</f>
        <v/>
      </c>
      <c r="AB90">
        <f>HYPERLINK("https://klasma.github.io/Logging_2181/klagomålsmail/A 29111-2026 FSC-klagomål mail.docx", "A 29111-2026")</f>
        <v/>
      </c>
      <c r="AC90">
        <f>HYPERLINK("https://klasma.github.io/Logging_2181/tillsyn/A 29111-2026 tillsynsbegäran.docx", "A 29111-2026")</f>
        <v/>
      </c>
      <c r="AD90">
        <f>HYPERLINK("https://klasma.github.io/Logging_2181/tillsynsmail/A 29111-2026 tillsynsbegäran mail.docx", "A 29111-2026")</f>
        <v/>
      </c>
    </row>
    <row r="91" ht="15" customHeight="1">
      <c r="A91" t="inlineStr">
        <is>
          <t>A 23225-2026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46234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Rödvingetrast</t>
        </is>
      </c>
      <c r="W91">
        <f>HYPERLINK("https://klasma.github.io/Logging_2181/artfynd/A 23225-2026 artfynd.xlsx", "A 23225-2026")</f>
        <v/>
      </c>
      <c r="X91">
        <f>HYPERLINK("https://klasma.github.io/Logging_2181/kartor/A 23225-2026 karta.png", "A 23225-2026")</f>
        <v/>
      </c>
      <c r="Y91">
        <f>HYPERLINK("https://klasma.github.io/Logging_2181/kartor_geotiff/A 23225-2026 georefererad karta.tif", "A 23225-2026")</f>
        <v/>
      </c>
      <c r="AA91">
        <f>HYPERLINK("https://klasma.github.io/Logging_2181/klagomål/A 23225-2026 FSC-klagomål.docx", "A 23225-2026")</f>
        <v/>
      </c>
      <c r="AB91">
        <f>HYPERLINK("https://klasma.github.io/Logging_2181/klagomålsmail/A 23225-2026 FSC-klagomål mail.docx", "A 23225-2026")</f>
        <v/>
      </c>
      <c r="AC91">
        <f>HYPERLINK("https://klasma.github.io/Logging_2181/tillsyn/A 23225-2026 tillsynsbegäran.docx", "A 23225-2026")</f>
        <v/>
      </c>
      <c r="AD91">
        <f>HYPERLINK("https://klasma.github.io/Logging_2181/tillsynsmail/A 23225-2026 tillsynsbegäran mail.docx", "A 23225-2026")</f>
        <v/>
      </c>
      <c r="AE91">
        <f>HYPERLINK("https://klasma.github.io/Logging_2181/fåglar/A 23225-2026 prioriterade fågelarter.docx", "A 23225-2026")</f>
        <v/>
      </c>
    </row>
    <row r="92" ht="15" customHeight="1">
      <c r="A92" t="inlineStr">
        <is>
          <t>A 4384-2023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44955</v>
      </c>
      <c r="E92" s="1" t="n">
        <v>46234</v>
      </c>
      <c r="F92" t="inlineStr">
        <is>
          <t>GÄVLEBORGS LÄN</t>
        </is>
      </c>
      <c r="G92" t="inlineStr">
        <is>
          <t>SANDVIKEN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Sångsvan</t>
        </is>
      </c>
      <c r="W92">
        <f>HYPERLINK("https://klasma.github.io/Logging_2181/artfynd/A 4384-2023 artfynd.xlsx", "A 4384-2023")</f>
        <v/>
      </c>
      <c r="X92">
        <f>HYPERLINK("https://klasma.github.io/Logging_2181/kartor/A 4384-2023 karta.png", "A 4384-2023")</f>
        <v/>
      </c>
      <c r="Y92">
        <f>HYPERLINK("https://klasma.github.io/Logging_2181/kartor_geotiff/A 4384-2023 georefererad karta.tif", "A 4384-2023")</f>
        <v/>
      </c>
      <c r="AA92">
        <f>HYPERLINK("https://klasma.github.io/Logging_2181/klagomål/A 4384-2023 FSC-klagomål.docx", "A 4384-2023")</f>
        <v/>
      </c>
      <c r="AB92">
        <f>HYPERLINK("https://klasma.github.io/Logging_2181/klagomålsmail/A 4384-2023 FSC-klagomål mail.docx", "A 4384-2023")</f>
        <v/>
      </c>
      <c r="AC92">
        <f>HYPERLINK("https://klasma.github.io/Logging_2181/tillsyn/A 4384-2023 tillsynsbegäran.docx", "A 4384-2023")</f>
        <v/>
      </c>
      <c r="AD92">
        <f>HYPERLINK("https://klasma.github.io/Logging_2181/tillsynsmail/A 4384-2023 tillsynsbegäran mail.docx", "A 4384-2023")</f>
        <v/>
      </c>
      <c r="AE92">
        <f>HYPERLINK("https://klasma.github.io/Logging_2181/fåglar/A 4384-2023 prioriterade fågelarter.docx", "A 4384-2023")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46234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46234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46234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46234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padda</t>
        </is>
      </c>
      <c r="W96">
        <f>HYPERLINK("https://klasma.github.io/Logging_2181/artfynd/A 31311-2026 artfynd.xlsx", "A 31311-2026")</f>
        <v/>
      </c>
      <c r="X96">
        <f>HYPERLINK("https://klasma.github.io/Logging_2181/kartor/A 31311-2026 karta.png", "A 31311-2026")</f>
        <v/>
      </c>
      <c r="Y96">
        <f>HYPERLINK("https://klasma.github.io/Logging_2181/kartor_geotiff/A 31311-2026 georefererad karta.tif", "A 31311-2026")</f>
        <v/>
      </c>
      <c r="AA96">
        <f>HYPERLINK("https://klasma.github.io/Logging_2181/klagomål/A 31311-2026 FSC-klagomål.docx", "A 31311-2026")</f>
        <v/>
      </c>
      <c r="AB96">
        <f>HYPERLINK("https://klasma.github.io/Logging_2181/klagomålsmail/A 31311-2026 FSC-klagomål mail.docx", "A 31311-2026")</f>
        <v/>
      </c>
      <c r="AC96">
        <f>HYPERLINK("https://klasma.github.io/Logging_2181/tillsyn/A 31311-2026 tillsynsbegäran.docx", "A 31311-2026")</f>
        <v/>
      </c>
      <c r="AD96">
        <f>HYPERLINK("https://klasma.github.io/Logging_2181/tillsynsmail/A 31311-2026 tillsynsbegäran mail.docx", "A 31311-2026")</f>
        <v/>
      </c>
    </row>
    <row r="97" ht="15" customHeight="1">
      <c r="A97" t="inlineStr">
        <is>
          <t>A 26212-2026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46234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HYPERLINK("https://klasma.github.io/Logging_2181/artfynd/A 26212-2026 artfynd.xlsx", "A 26212-2026")</f>
        <v/>
      </c>
      <c r="X97">
        <f>HYPERLINK("https://klasma.github.io/Logging_2181/kartor/A 26212-2026 karta.png", "A 26212-2026")</f>
        <v/>
      </c>
      <c r="Y97">
        <f>HYPERLINK("https://klasma.github.io/Logging_2181/kartor_geotiff/A 26212-2026 georefererad karta.tif", "A 26212-2026")</f>
        <v/>
      </c>
      <c r="Z97">
        <f>HYPERLINK("https://klasma.github.io/Logging_2181/knärot/A 26212-2026 karta knärot.png", "A 26212-2026")</f>
        <v/>
      </c>
      <c r="AA97">
        <f>HYPERLINK("https://klasma.github.io/Logging_2181/klagomål/A 26212-2026 FSC-klagomål.docx", "A 26212-2026")</f>
        <v/>
      </c>
      <c r="AB97">
        <f>HYPERLINK("https://klasma.github.io/Logging_2181/klagomålsmail/A 26212-2026 FSC-klagomål mail.docx", "A 26212-2026")</f>
        <v/>
      </c>
      <c r="AC97">
        <f>HYPERLINK("https://klasma.github.io/Logging_2181/tillsyn/A 26212-2026 tillsynsbegäran.docx", "A 26212-2026")</f>
        <v/>
      </c>
      <c r="AD97">
        <f>HYPERLINK("https://klasma.github.io/Logging_2181/tillsynsmail/A 26212-2026 tillsynsbegäran mail.docx", "A 26212-2026")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46234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S 242-2024</t>
        </is>
      </c>
      <c r="B99" t="inlineStr">
        <is>
          <t>samrådsanmälan</t>
        </is>
      </c>
      <c r="C99" t="inlineStr">
        <is>
          <t>Skogsgödsling</t>
        </is>
      </c>
      <c r="D99" s="1" t="n">
        <v>45319</v>
      </c>
      <c r="E99" s="1" t="n">
        <v>46234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51.8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Bivråk</t>
        </is>
      </c>
      <c r="W99">
        <f>HYPERLINK("https://klasma.github.io/Logging_2181/artfynd/S 242-2024 artfynd.xlsx", "S 242-2024")</f>
        <v/>
      </c>
      <c r="X99">
        <f>HYPERLINK("https://klasma.github.io/Logging_2181/kartor/S 242-2024 karta.png", "S 242-2024")</f>
        <v/>
      </c>
      <c r="Y99">
        <f>HYPERLINK("https://klasma.github.io/Logging_2181/kartor_geotiff/S 242-2024 georefererad karta.tif", "S 242-2024")</f>
        <v/>
      </c>
      <c r="AA99">
        <f>HYPERLINK("https://klasma.github.io/Logging_2181/klagomål/S 242-2024 FSC-klagomål.docx", "S 242-2024")</f>
        <v/>
      </c>
      <c r="AB99">
        <f>HYPERLINK("https://klasma.github.io/Logging_2181/klagomålsmail/S 242-2024 FSC-klagomål mail.docx", "S 242-2024")</f>
        <v/>
      </c>
      <c r="AC99">
        <f>HYPERLINK("https://klasma.github.io/Logging_2181/tillsyn/S 242-2024 tillsynsbegäran.docx", "S 242-2024")</f>
        <v/>
      </c>
      <c r="AD99">
        <f>HYPERLINK("https://klasma.github.io/Logging_2181/tillsynsmail/S 242-2024 tillsynsbegäran mail.docx", "S 242-2024")</f>
        <v/>
      </c>
      <c r="AE99">
        <f>HYPERLINK("https://klasma.github.io/Logging_2181/fåglar/S 242-2024 prioriterade fågelarter.docx", "S 242-2024")</f>
        <v/>
      </c>
    </row>
    <row r="100" ht="15" customHeight="1">
      <c r="A100" t="inlineStr">
        <is>
          <t>S 1687-2023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45064</v>
      </c>
      <c r="E100" s="1" t="n">
        <v>46234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HYPERLINK("https://klasma.github.io/Logging_2181/artfynd/S 1687-2023 artfynd.xlsx", "S 1687-2023")</f>
        <v/>
      </c>
      <c r="X100">
        <f>HYPERLINK("https://klasma.github.io/Logging_2181/kartor/S 1687-2023 karta.png", "S 1687-2023")</f>
        <v/>
      </c>
      <c r="Y100">
        <f>HYPERLINK("https://klasma.github.io/Logging_2181/kartor_geotiff/S 1687-2023 georefererad karta.tif", "S 1687-2023")</f>
        <v/>
      </c>
      <c r="AA100">
        <f>HYPERLINK("https://klasma.github.io/Logging_2181/klagomål/S 1687-2023 FSC-klagomål.docx", "S 1687-2023")</f>
        <v/>
      </c>
      <c r="AB100">
        <f>HYPERLINK("https://klasma.github.io/Logging_2181/klagomålsmail/S 1687-2023 FSC-klagomål mail.docx", "S 1687-2023")</f>
        <v/>
      </c>
      <c r="AC100">
        <f>HYPERLINK("https://klasma.github.io/Logging_2181/tillsyn/S 1687-2023 tillsynsbegäran.docx", "S 1687-2023")</f>
        <v/>
      </c>
      <c r="AD100">
        <f>HYPERLINK("https://klasma.github.io/Logging_2181/tillsynsmail/S 1687-2023 tillsynsbegäran mail.docx", "S 1687-2023")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46234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46234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46234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46234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46234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46234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46234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46234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46234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46234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46234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46234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46234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46234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46234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46234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46234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46234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46234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46234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46234</v>
      </c>
      <c r="F122" t="inlineStr">
        <is>
          <t>GÄVLEBORGS LÄN</t>
        </is>
      </c>
      <c r="G122" t="inlineStr">
        <is>
          <t>SANDVIKEN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46234</v>
      </c>
      <c r="F123" t="inlineStr">
        <is>
          <t>GÄVLEBORGS LÄN</t>
        </is>
      </c>
      <c r="G123" t="inlineStr">
        <is>
          <t>SANDVIKEN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46234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46234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46234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46234</v>
      </c>
      <c r="F127" t="inlineStr">
        <is>
          <t>GÄVLEBORGS LÄN</t>
        </is>
      </c>
      <c r="G127" t="inlineStr">
        <is>
          <t>SANDVIKEN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46234</v>
      </c>
      <c r="F128" t="inlineStr">
        <is>
          <t>GÄVLEBORGS LÄN</t>
        </is>
      </c>
      <c r="G128" t="inlineStr">
        <is>
          <t>SANDVIKEN</t>
        </is>
      </c>
      <c r="H128" t="inlineStr">
        <is>
          <t>Bergvik skog öst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46234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67180-2021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44523</v>
      </c>
      <c r="E130" s="1" t="n">
        <v>46234</v>
      </c>
      <c r="F130" t="inlineStr">
        <is>
          <t>GÄVLEBORGS LÄN</t>
        </is>
      </c>
      <c r="G130" t="inlineStr">
        <is>
          <t>SANDVIKEN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22654-2022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44714</v>
      </c>
      <c r="E131" s="1" t="n">
        <v>46234</v>
      </c>
      <c r="F131" t="inlineStr">
        <is>
          <t>GÄVLEBORGS LÄN</t>
        </is>
      </c>
      <c r="G131" t="inlineStr">
        <is>
          <t>SANDVIKEN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46234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6947-2022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44603</v>
      </c>
      <c r="E133" s="1" t="n">
        <v>46234</v>
      </c>
      <c r="F133" t="inlineStr">
        <is>
          <t>GÄVLEBORGS LÄN</t>
        </is>
      </c>
      <c r="G133" t="inlineStr">
        <is>
          <t>SANDVIKEN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46234</v>
      </c>
      <c r="F134" t="inlineStr">
        <is>
          <t>GÄVLEBORGS LÄN</t>
        </is>
      </c>
      <c r="G134" t="inlineStr">
        <is>
          <t>SANDVIKEN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46234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46234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45022</v>
      </c>
      <c r="E137" s="1" t="n">
        <v>46234</v>
      </c>
      <c r="F137" t="inlineStr">
        <is>
          <t>GÄVLEBORGS LÄN</t>
        </is>
      </c>
      <c r="G137" t="inlineStr">
        <is>
          <t>SANDVIKEN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46234</v>
      </c>
      <c r="F138" t="inlineStr">
        <is>
          <t>GÄVLEBORGS LÄN</t>
        </is>
      </c>
      <c r="G138" t="inlineStr">
        <is>
          <t>SANDVIKEN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46234</v>
      </c>
      <c r="F139" t="inlineStr">
        <is>
          <t>GÄVLEBORGS LÄN</t>
        </is>
      </c>
      <c r="G139" t="inlineStr">
        <is>
          <t>SANDVIKEN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64225-2021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46234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45672</v>
      </c>
      <c r="E141" s="1" t="n">
        <v>46234</v>
      </c>
      <c r="F141" t="inlineStr">
        <is>
          <t>GÄVLEBORGS LÄN</t>
        </is>
      </c>
      <c r="G141" t="inlineStr">
        <is>
          <t>SANDVIKEN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46234</v>
      </c>
      <c r="F142" t="inlineStr">
        <is>
          <t>GÄVLEBORGS LÄN</t>
        </is>
      </c>
      <c r="G142" t="inlineStr">
        <is>
          <t>SANDVIKEN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46234</v>
      </c>
      <c r="F143" t="inlineStr">
        <is>
          <t>GÄVLEBORGS LÄN</t>
        </is>
      </c>
      <c r="G143" t="inlineStr">
        <is>
          <t>SANDVIKEN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46234</v>
      </c>
      <c r="F144" t="inlineStr">
        <is>
          <t>GÄVLEBORGS LÄN</t>
        </is>
      </c>
      <c r="G144" t="inlineStr">
        <is>
          <t>SANDVIKEN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47770-2025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46234</v>
      </c>
      <c r="F145" t="inlineStr">
        <is>
          <t>GÄVLEBORGS LÄN</t>
        </is>
      </c>
      <c r="G145" t="inlineStr">
        <is>
          <t>SANDVIKEN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46234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väst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46234</v>
      </c>
      <c r="F147" t="inlineStr">
        <is>
          <t>GÄVLEBORGS LÄN</t>
        </is>
      </c>
      <c r="G147" t="inlineStr">
        <is>
          <t>SANDVIKEN</t>
        </is>
      </c>
      <c r="H147" t="inlineStr">
        <is>
          <t>Sveaskog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48268-2025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46234</v>
      </c>
      <c r="F148" t="inlineStr">
        <is>
          <t>GÄVLEBORGS LÄN</t>
        </is>
      </c>
      <c r="G148" t="inlineStr">
        <is>
          <t>SANDVIKEN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46234</v>
      </c>
      <c r="F149" t="inlineStr">
        <is>
          <t>GÄVLEBORGS LÄN</t>
        </is>
      </c>
      <c r="G149" t="inlineStr">
        <is>
          <t>SANDVIKEN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46234</v>
      </c>
      <c r="F150" t="inlineStr">
        <is>
          <t>GÄVLEBORGS LÄN</t>
        </is>
      </c>
      <c r="G150" t="inlineStr">
        <is>
          <t>SANDVIKEN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45933</v>
      </c>
      <c r="E151" s="1" t="n">
        <v>46234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11.9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21182-2025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45779</v>
      </c>
      <c r="E152" s="1" t="n">
        <v>46234</v>
      </c>
      <c r="F152" t="inlineStr">
        <is>
          <t>GÄVLEBORGS LÄN</t>
        </is>
      </c>
      <c r="G152" t="inlineStr">
        <is>
          <t>SANDVIKEN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44988</v>
      </c>
      <c r="E153" s="1" t="n">
        <v>46234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44988</v>
      </c>
      <c r="E154" s="1" t="n">
        <v>46234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45191</v>
      </c>
      <c r="E155" s="1" t="n">
        <v>46234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46234</v>
      </c>
      <c r="F156" t="inlineStr">
        <is>
          <t>GÄVLEBORGS LÄN</t>
        </is>
      </c>
      <c r="G156" t="inlineStr">
        <is>
          <t>SANDVIKEN</t>
        </is>
      </c>
      <c r="H156" t="inlineStr">
        <is>
          <t>Bergvik skog väst AB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46234</v>
      </c>
      <c r="F157" t="inlineStr">
        <is>
          <t>GÄVLEBORGS LÄN</t>
        </is>
      </c>
      <c r="G157" t="inlineStr">
        <is>
          <t>SANDVIKEN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44846</v>
      </c>
      <c r="E158" s="1" t="n">
        <v>46234</v>
      </c>
      <c r="F158" t="inlineStr">
        <is>
          <t>GÄVLEBORGS LÄN</t>
        </is>
      </c>
      <c r="G158" t="inlineStr">
        <is>
          <t>SANDVIKEN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46234</v>
      </c>
      <c r="F159" t="inlineStr">
        <is>
          <t>GÄVLEBORGS LÄN</t>
        </is>
      </c>
      <c r="G159" t="inlineStr">
        <is>
          <t>SANDVIKEN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46234</v>
      </c>
      <c r="F160" t="inlineStr">
        <is>
          <t>GÄVLEBORGS LÄN</t>
        </is>
      </c>
      <c r="G160" t="inlineStr">
        <is>
          <t>SANDVIKEN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46234</v>
      </c>
      <c r="F161" t="inlineStr">
        <is>
          <t>GÄVLEBORGS LÄN</t>
        </is>
      </c>
      <c r="G161" t="inlineStr">
        <is>
          <t>SANDVIKEN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46234</v>
      </c>
      <c r="F162" t="inlineStr">
        <is>
          <t>GÄVLEBORGS LÄN</t>
        </is>
      </c>
      <c r="G162" t="inlineStr">
        <is>
          <t>SANDVIKEN</t>
        </is>
      </c>
      <c r="H162" t="inlineStr">
        <is>
          <t>Sveaskog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46234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45205</v>
      </c>
      <c r="E164" s="1" t="n">
        <v>46234</v>
      </c>
      <c r="F164" t="inlineStr">
        <is>
          <t>GÄVLEBORGS LÄN</t>
        </is>
      </c>
      <c r="G164" t="inlineStr">
        <is>
          <t>SANDVIKEN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46234</v>
      </c>
      <c r="F165" t="inlineStr">
        <is>
          <t>GÄVLEBORGS LÄN</t>
        </is>
      </c>
      <c r="G165" t="inlineStr">
        <is>
          <t>SANDVIKEN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46234</v>
      </c>
      <c r="F166" t="inlineStr">
        <is>
          <t>GÄVLEBORGS LÄN</t>
        </is>
      </c>
      <c r="G166" t="inlineStr">
        <is>
          <t>SANDVIKEN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45555</v>
      </c>
      <c r="E167" s="1" t="n">
        <v>46234</v>
      </c>
      <c r="F167" t="inlineStr">
        <is>
          <t>GÄVLEBORGS LÄN</t>
        </is>
      </c>
      <c r="G167" t="inlineStr">
        <is>
          <t>SANDVIKEN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46234</v>
      </c>
      <c r="F168" t="inlineStr">
        <is>
          <t>GÄVLEBORGS LÄN</t>
        </is>
      </c>
      <c r="G168" t="inlineStr">
        <is>
          <t>SANDVIKEN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69521-2021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44531</v>
      </c>
      <c r="E169" s="1" t="n">
        <v>46234</v>
      </c>
      <c r="F169" t="inlineStr">
        <is>
          <t>GÄVLEBORGS LÄN</t>
        </is>
      </c>
      <c r="G169" t="inlineStr">
        <is>
          <t>SANDVIKEN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46234</v>
      </c>
      <c r="F170" t="inlineStr">
        <is>
          <t>GÄVLEBORGS LÄN</t>
        </is>
      </c>
      <c r="G170" t="inlineStr">
        <is>
          <t>SANDVIKEN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46234</v>
      </c>
      <c r="F171" t="inlineStr">
        <is>
          <t>GÄVLEBORGS LÄN</t>
        </is>
      </c>
      <c r="G171" t="inlineStr">
        <is>
          <t>SANDVIKEN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46234</v>
      </c>
      <c r="F172" t="inlineStr">
        <is>
          <t>GÄVLEBORGS LÄN</t>
        </is>
      </c>
      <c r="G172" t="inlineStr">
        <is>
          <t>SANDVIKEN</t>
        </is>
      </c>
      <c r="H172" t="inlineStr">
        <is>
          <t>Sveaskog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49217-2025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45938</v>
      </c>
      <c r="E173" s="1" t="n">
        <v>46234</v>
      </c>
      <c r="F173" t="inlineStr">
        <is>
          <t>GÄVLEBORGS LÄN</t>
        </is>
      </c>
      <c r="G173" t="inlineStr">
        <is>
          <t>SANDVIKEN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46234</v>
      </c>
      <c r="F174" t="inlineStr">
        <is>
          <t>GÄVLEBORGS LÄN</t>
        </is>
      </c>
      <c r="G174" t="inlineStr">
        <is>
          <t>SANDVIKEN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45178</v>
      </c>
      <c r="E175" s="1" t="n">
        <v>46234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väst AB</t>
        </is>
      </c>
      <c r="I175" t="n">
        <v>16.5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46234</v>
      </c>
      <c r="F176" t="inlineStr">
        <is>
          <t>GÄVLEBORGS LÄN</t>
        </is>
      </c>
      <c r="G176" t="inlineStr">
        <is>
          <t>SANDVIKEN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46234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49042-2025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46234</v>
      </c>
      <c r="F178" t="inlineStr">
        <is>
          <t>GÄVLEBORGS LÄN</t>
        </is>
      </c>
      <c r="G178" t="inlineStr">
        <is>
          <t>SANDVIKEN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49320-2025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46234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46234</v>
      </c>
      <c r="F180" t="inlineStr">
        <is>
          <t>GÄVLEBORGS LÄN</t>
        </is>
      </c>
      <c r="G180" t="inlineStr">
        <is>
          <t>SANDVIKEN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46234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16.6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50665-2025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46234</v>
      </c>
      <c r="F182" t="inlineStr">
        <is>
          <t>GÄVLEBORGS LÄN</t>
        </is>
      </c>
      <c r="G182" t="inlineStr">
        <is>
          <t>SANDVIKEN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46234</v>
      </c>
      <c r="F183" t="inlineStr">
        <is>
          <t>GÄVLEBORGS LÄN</t>
        </is>
      </c>
      <c r="G183" t="inlineStr">
        <is>
          <t>SANDVIKEN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46234</v>
      </c>
      <c r="F184" t="inlineStr">
        <is>
          <t>GÄVLEBORGS LÄN</t>
        </is>
      </c>
      <c r="G184" t="inlineStr">
        <is>
          <t>SANDVIKEN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46234</v>
      </c>
      <c r="F185" t="inlineStr">
        <is>
          <t>GÄVLEBORGS LÄN</t>
        </is>
      </c>
      <c r="G185" t="inlineStr">
        <is>
          <t>SANDVIKEN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46234</v>
      </c>
      <c r="F186" t="inlineStr">
        <is>
          <t>GÄVLEBORGS LÄN</t>
        </is>
      </c>
      <c r="G186" t="inlineStr">
        <is>
          <t>SANDVIKEN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45525</v>
      </c>
      <c r="E187" s="1" t="n">
        <v>46234</v>
      </c>
      <c r="F187" t="inlineStr">
        <is>
          <t>GÄVLEBORGS LÄN</t>
        </is>
      </c>
      <c r="G187" t="inlineStr">
        <is>
          <t>SANDVIKEN</t>
        </is>
      </c>
      <c r="H187" t="inlineStr">
        <is>
          <t>Bergvik skog öst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46234</v>
      </c>
      <c r="F188" t="inlineStr">
        <is>
          <t>GÄVLEBORGS LÄN</t>
        </is>
      </c>
      <c r="G188" t="inlineStr">
        <is>
          <t>SANDVIKEN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46234</v>
      </c>
      <c r="F189" t="inlineStr">
        <is>
          <t>GÄVLEBORGS LÄN</t>
        </is>
      </c>
      <c r="G189" t="inlineStr">
        <is>
          <t>SANDVIKEN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64587-2023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46234</v>
      </c>
      <c r="F190" t="inlineStr">
        <is>
          <t>GÄVLEBORGS LÄN</t>
        </is>
      </c>
      <c r="G190" t="inlineStr">
        <is>
          <t>SANDVIKEN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49704-2023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45212</v>
      </c>
      <c r="E191" s="1" t="n">
        <v>46234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50851-2025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45946</v>
      </c>
      <c r="E192" s="1" t="n">
        <v>46234</v>
      </c>
      <c r="F192" t="inlineStr">
        <is>
          <t>GÄVLEBORGS LÄN</t>
        </is>
      </c>
      <c r="G192" t="inlineStr">
        <is>
          <t>SANDVIKEN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46234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46234</v>
      </c>
      <c r="F194" t="inlineStr">
        <is>
          <t>GÄVLEBORGS LÄN</t>
        </is>
      </c>
      <c r="G194" t="inlineStr">
        <is>
          <t>SANDVIKEN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46234</v>
      </c>
      <c r="F195" t="inlineStr">
        <is>
          <t>GÄVLEBORGS LÄN</t>
        </is>
      </c>
      <c r="G195" t="inlineStr">
        <is>
          <t>SANDVIKEN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46234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45404</v>
      </c>
      <c r="E197" s="1" t="n">
        <v>46234</v>
      </c>
      <c r="F197" t="inlineStr">
        <is>
          <t>GÄVLEBORGS LÄN</t>
        </is>
      </c>
      <c r="G197" t="inlineStr">
        <is>
          <t>SANDVIKEN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46234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46234</v>
      </c>
      <c r="F199" t="inlineStr">
        <is>
          <t>GÄVLEBORGS LÄN</t>
        </is>
      </c>
      <c r="G199" t="inlineStr">
        <is>
          <t>SANDVIKEN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46234</v>
      </c>
      <c r="F200" t="inlineStr">
        <is>
          <t>GÄVLEBORGS LÄN</t>
        </is>
      </c>
      <c r="G200" t="inlineStr">
        <is>
          <t>SANDVIKEN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46234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50833-2025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46234</v>
      </c>
      <c r="F202" t="inlineStr">
        <is>
          <t>GÄVLEBORGS LÄN</t>
        </is>
      </c>
      <c r="G202" t="inlineStr">
        <is>
          <t>SANDVIKEN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45899</v>
      </c>
      <c r="E203" s="1" t="n">
        <v>46234</v>
      </c>
      <c r="F203" t="inlineStr">
        <is>
          <t>GÄVLEBORGS LÄN</t>
        </is>
      </c>
      <c r="G203" t="inlineStr">
        <is>
          <t>SANDVIKEN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46234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väst AB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46234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46234</v>
      </c>
      <c r="F206" t="inlineStr">
        <is>
          <t>GÄVLEBORGS LÄN</t>
        </is>
      </c>
      <c r="G206" t="inlineStr">
        <is>
          <t>SANDVIKEN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46234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46234</v>
      </c>
      <c r="F208" t="inlineStr">
        <is>
          <t>GÄVLEBORGS LÄN</t>
        </is>
      </c>
      <c r="G208" t="inlineStr">
        <is>
          <t>SANDVIKEN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46234</v>
      </c>
      <c r="F209" t="inlineStr">
        <is>
          <t>GÄVLEBORGS LÄN</t>
        </is>
      </c>
      <c r="G209" t="inlineStr">
        <is>
          <t>SANDVIKEN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46234</v>
      </c>
      <c r="F210" t="inlineStr">
        <is>
          <t>GÄVLEBORGS LÄN</t>
        </is>
      </c>
      <c r="G210" t="inlineStr">
        <is>
          <t>SANDVIKEN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64000-2023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45278</v>
      </c>
      <c r="E211" s="1" t="n">
        <v>46234</v>
      </c>
      <c r="F211" t="inlineStr">
        <is>
          <t>GÄVLEBORGS LÄN</t>
        </is>
      </c>
      <c r="G211" t="inlineStr">
        <is>
          <t>SANDVIKEN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46234</v>
      </c>
      <c r="F212" t="inlineStr">
        <is>
          <t>GÄVLEBORGS LÄN</t>
        </is>
      </c>
      <c r="G212" t="inlineStr">
        <is>
          <t>SANDVIKEN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45418</v>
      </c>
      <c r="E213" s="1" t="n">
        <v>46234</v>
      </c>
      <c r="F213" t="inlineStr">
        <is>
          <t>GÄVLEBORGS LÄN</t>
        </is>
      </c>
      <c r="G213" t="inlineStr">
        <is>
          <t>SANDVIKEN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46234</v>
      </c>
      <c r="F214" t="inlineStr">
        <is>
          <t>GÄVLEBORGS LÄN</t>
        </is>
      </c>
      <c r="G214" t="inlineStr">
        <is>
          <t>SANDVIKEN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46234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53322-2024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45614</v>
      </c>
      <c r="E216" s="1" t="n">
        <v>46234</v>
      </c>
      <c r="F216" t="inlineStr">
        <is>
          <t>GÄVLEBORGS LÄN</t>
        </is>
      </c>
      <c r="G216" t="inlineStr">
        <is>
          <t>SANDVIKEN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46234</v>
      </c>
      <c r="F217" t="inlineStr">
        <is>
          <t>GÄVLEBORGS LÄN</t>
        </is>
      </c>
      <c r="G217" t="inlineStr">
        <is>
          <t>SANDVIKEN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46234</v>
      </c>
      <c r="F218" t="inlineStr">
        <is>
          <t>GÄVLEBORGS LÄN</t>
        </is>
      </c>
      <c r="G218" t="inlineStr">
        <is>
          <t>SANDVIKEN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46234</v>
      </c>
      <c r="F219" t="inlineStr">
        <is>
          <t>GÄVLEBORGS LÄN</t>
        </is>
      </c>
      <c r="G219" t="inlineStr">
        <is>
          <t>SANDVIKEN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45126</v>
      </c>
      <c r="E220" s="1" t="n">
        <v>46234</v>
      </c>
      <c r="F220" t="inlineStr">
        <is>
          <t>GÄVLEBORGS LÄN</t>
        </is>
      </c>
      <c r="G220" t="inlineStr">
        <is>
          <t>SANDVIKEN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45800</v>
      </c>
      <c r="E221" s="1" t="n">
        <v>46234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46234</v>
      </c>
      <c r="F222" t="inlineStr">
        <is>
          <t>GÄVLEBORGS LÄN</t>
        </is>
      </c>
      <c r="G222" t="inlineStr">
        <is>
          <t>SANDVIKEN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46234</v>
      </c>
      <c r="F223" t="inlineStr">
        <is>
          <t>GÄVLEBORGS LÄN</t>
        </is>
      </c>
      <c r="G223" t="inlineStr">
        <is>
          <t>SANDVIKEN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46234</v>
      </c>
      <c r="F224" t="inlineStr">
        <is>
          <t>GÄVLEBORGS LÄN</t>
        </is>
      </c>
      <c r="G224" t="inlineStr">
        <is>
          <t>SANDVIKEN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46234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46234</v>
      </c>
      <c r="F226" t="inlineStr">
        <is>
          <t>GÄVLEBORGS LÄN</t>
        </is>
      </c>
      <c r="G226" t="inlineStr">
        <is>
          <t>SANDVIKEN</t>
        </is>
      </c>
      <c r="H226" t="inlineStr">
        <is>
          <t>Kommuner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45805</v>
      </c>
      <c r="E227" s="1" t="n">
        <v>46234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46234</v>
      </c>
      <c r="F228" t="inlineStr">
        <is>
          <t>GÄVLEBORGS LÄN</t>
        </is>
      </c>
      <c r="G228" t="inlineStr">
        <is>
          <t>SANDVIKEN</t>
        </is>
      </c>
      <c r="H228" t="inlineStr">
        <is>
          <t>Kyrkan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46234</v>
      </c>
      <c r="F229" t="inlineStr">
        <is>
          <t>GÄVLEBORGS LÄN</t>
        </is>
      </c>
      <c r="G229" t="inlineStr">
        <is>
          <t>SANDVIKEN</t>
        </is>
      </c>
      <c r="H229" t="inlineStr">
        <is>
          <t>Kyrkan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46234</v>
      </c>
      <c r="F230" t="inlineStr">
        <is>
          <t>GÄVLEBORGS LÄN</t>
        </is>
      </c>
      <c r="G230" t="inlineStr">
        <is>
          <t>SANDVIKEN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11810-2023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44994</v>
      </c>
      <c r="E231" s="1" t="n">
        <v>46234</v>
      </c>
      <c r="F231" t="inlineStr">
        <is>
          <t>GÄVLEBORGS LÄN</t>
        </is>
      </c>
      <c r="G231" t="inlineStr">
        <is>
          <t>SANDVIKEN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45701</v>
      </c>
      <c r="E232" s="1" t="n">
        <v>46234</v>
      </c>
      <c r="F232" t="inlineStr">
        <is>
          <t>GÄVLEBORGS LÄN</t>
        </is>
      </c>
      <c r="G232" t="inlineStr">
        <is>
          <t>SANDVIKEN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46234</v>
      </c>
      <c r="F233" t="inlineStr">
        <is>
          <t>GÄVLEBORGS LÄN</t>
        </is>
      </c>
      <c r="G233" t="inlineStr">
        <is>
          <t>SANDVIKEN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46234</v>
      </c>
      <c r="F234" t="inlineStr">
        <is>
          <t>GÄVLEBORGS LÄN</t>
        </is>
      </c>
      <c r="G234" t="inlineStr">
        <is>
          <t>SANDVIKEN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46234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56310-2021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44477</v>
      </c>
      <c r="E236" s="1" t="n">
        <v>46234</v>
      </c>
      <c r="F236" t="inlineStr">
        <is>
          <t>GÄVLEBORGS LÄN</t>
        </is>
      </c>
      <c r="G236" t="inlineStr">
        <is>
          <t>SANDVIKEN</t>
        </is>
      </c>
      <c r="H236" t="inlineStr">
        <is>
          <t>Bergvik skog väst AB</t>
        </is>
      </c>
      <c r="I236" t="n">
        <v>18.5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45810</v>
      </c>
      <c r="E237" s="1" t="n">
        <v>46234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46234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46234</v>
      </c>
      <c r="F239" t="inlineStr">
        <is>
          <t>GÄVLEBORGS LÄN</t>
        </is>
      </c>
      <c r="G239" t="inlineStr">
        <is>
          <t>SANDVIKEN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45638</v>
      </c>
      <c r="E240" s="1" t="n">
        <v>46234</v>
      </c>
      <c r="F240" t="inlineStr">
        <is>
          <t>GÄVLEBORGS LÄN</t>
        </is>
      </c>
      <c r="G240" t="inlineStr">
        <is>
          <t>SANDVIKEN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46234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46234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47396-2025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46234</v>
      </c>
      <c r="F243" t="inlineStr">
        <is>
          <t>GÄVLEBORGS LÄN</t>
        </is>
      </c>
      <c r="G243" t="inlineStr">
        <is>
          <t>SANDVIKEN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46234</v>
      </c>
      <c r="F244" t="inlineStr">
        <is>
          <t>GÄVLEBORGS LÄN</t>
        </is>
      </c>
      <c r="G244" t="inlineStr">
        <is>
          <t>SANDVIKEN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46234</v>
      </c>
      <c r="F245" t="inlineStr">
        <is>
          <t>GÄVLEBORGS LÄN</t>
        </is>
      </c>
      <c r="G245" t="inlineStr">
        <is>
          <t>SANDVIKEN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45169</v>
      </c>
      <c r="E246" s="1" t="n">
        <v>46234</v>
      </c>
      <c r="F246" t="inlineStr">
        <is>
          <t>GÄVLEBORGS LÄN</t>
        </is>
      </c>
      <c r="G246" t="inlineStr">
        <is>
          <t>SANDVIKEN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46234</v>
      </c>
      <c r="F247" t="inlineStr">
        <is>
          <t>GÄVLEBORGS LÄN</t>
        </is>
      </c>
      <c r="G247" t="inlineStr">
        <is>
          <t>SANDVIKEN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46234</v>
      </c>
      <c r="F248" t="inlineStr">
        <is>
          <t>GÄVLEBORGS LÄN</t>
        </is>
      </c>
      <c r="G248" t="inlineStr">
        <is>
          <t>SANDVIKEN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44744</v>
      </c>
      <c r="E249" s="1" t="n">
        <v>46234</v>
      </c>
      <c r="F249" t="inlineStr">
        <is>
          <t>GÄVLEBORGS LÄN</t>
        </is>
      </c>
      <c r="G249" t="inlineStr">
        <is>
          <t>SANDVIKEN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46234</v>
      </c>
      <c r="F250" t="inlineStr">
        <is>
          <t>GÄVLEBORGS LÄN</t>
        </is>
      </c>
      <c r="G250" t="inlineStr">
        <is>
          <t>SANDVIKEN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46234</v>
      </c>
      <c r="F251" t="inlineStr">
        <is>
          <t>GÄVLEBORGS LÄN</t>
        </is>
      </c>
      <c r="G251" t="inlineStr">
        <is>
          <t>SANDVIKEN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46234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  <c r="Z252">
        <f>HYPERLINK("https://klasma.github.io/Logging_2181/knärot/A 52786-2025 karta knärot.png", "A 52786-2025")</f>
        <v/>
      </c>
      <c r="AA252">
        <f>HYPERLINK("https://klasma.github.io/Logging_2181/klagomål/A 52786-2025 FSC-klagomål.docx", "A 52786-2025")</f>
        <v/>
      </c>
      <c r="AB252">
        <f>HYPERLINK("https://klasma.github.io/Logging_2181/klagomålsmail/A 52786-2025 FSC-klagomål mail.docx", "A 52786-2025")</f>
        <v/>
      </c>
      <c r="AC252">
        <f>HYPERLINK("https://klasma.github.io/Logging_2181/tillsyn/A 52786-2025 tillsynsbegäran.docx", "A 52786-2025")</f>
        <v/>
      </c>
      <c r="AD252">
        <f>HYPERLINK("https://klasma.github.io/Logging_2181/tillsynsmail/A 52786-2025 tillsynsbegäran mail.docx", "A 52786-2025")</f>
        <v/>
      </c>
    </row>
    <row r="253" ht="15" customHeight="1">
      <c r="A253" t="inlineStr">
        <is>
          <t>A 16683-2024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45408</v>
      </c>
      <c r="E253" s="1" t="n">
        <v>46234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väst AB</t>
        </is>
      </c>
      <c r="I253" t="n">
        <v>14.2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46234</v>
      </c>
      <c r="F254" t="inlineStr">
        <is>
          <t>GÄVLEBORGS LÄN</t>
        </is>
      </c>
      <c r="G254" t="inlineStr">
        <is>
          <t>SANDVIKEN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46234</v>
      </c>
      <c r="F255" t="inlineStr">
        <is>
          <t>GÄVLEBORGS LÄN</t>
        </is>
      </c>
      <c r="G255" t="inlineStr">
        <is>
          <t>SANDVIKEN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46234</v>
      </c>
      <c r="F256" t="inlineStr">
        <is>
          <t>GÄVLEBORGS LÄN</t>
        </is>
      </c>
      <c r="G256" t="inlineStr">
        <is>
          <t>SANDVIKEN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46234</v>
      </c>
      <c r="F257" t="inlineStr">
        <is>
          <t>GÄVLEBORGS LÄN</t>
        </is>
      </c>
      <c r="G257" t="inlineStr">
        <is>
          <t>SANDVIKEN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46234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30843-2025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45831</v>
      </c>
      <c r="E259" s="1" t="n">
        <v>46234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45649</v>
      </c>
      <c r="E260" s="1" t="n">
        <v>46234</v>
      </c>
      <c r="F260" t="inlineStr">
        <is>
          <t>GÄVLEBORGS LÄN</t>
        </is>
      </c>
      <c r="G260" t="inlineStr">
        <is>
          <t>SANDVIKEN</t>
        </is>
      </c>
      <c r="I260" t="n">
        <v>11.1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46234</v>
      </c>
      <c r="F261" t="inlineStr">
        <is>
          <t>GÄVLEBORGS LÄN</t>
        </is>
      </c>
      <c r="G261" t="inlineStr">
        <is>
          <t>SANDVIKEN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45730</v>
      </c>
      <c r="E262" s="1" t="n">
        <v>46234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46234</v>
      </c>
      <c r="F263" t="inlineStr">
        <is>
          <t>GÄVLEBORGS LÄN</t>
        </is>
      </c>
      <c r="G263" t="inlineStr">
        <is>
          <t>SANDVIKEN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46234</v>
      </c>
      <c r="F264" t="inlineStr">
        <is>
          <t>GÄVLEBORGS LÄN</t>
        </is>
      </c>
      <c r="G264" t="inlineStr">
        <is>
          <t>SANDVIKEN</t>
        </is>
      </c>
      <c r="H264" t="inlineStr">
        <is>
          <t>Bergvik skog öst AB</t>
        </is>
      </c>
      <c r="I264" t="n">
        <v>27.3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46234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45762</v>
      </c>
      <c r="E266" s="1" t="n">
        <v>46234</v>
      </c>
      <c r="F266" t="inlineStr">
        <is>
          <t>GÄVLEBORGS LÄN</t>
        </is>
      </c>
      <c r="G266" t="inlineStr">
        <is>
          <t>SANDVIKEN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45842</v>
      </c>
      <c r="E267" s="1" t="n">
        <v>46234</v>
      </c>
      <c r="F267" t="inlineStr">
        <is>
          <t>GÄVLEBORGS LÄN</t>
        </is>
      </c>
      <c r="G267" t="inlineStr">
        <is>
          <t>SANDVIKEN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45589</v>
      </c>
      <c r="E268" s="1" t="n">
        <v>46234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43121-2024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46234</v>
      </c>
      <c r="F269" t="inlineStr">
        <is>
          <t>GÄVLEBORGS LÄN</t>
        </is>
      </c>
      <c r="G269" t="inlineStr">
        <is>
          <t>SANDVIKEN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60798-2023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46234</v>
      </c>
      <c r="F270" t="inlineStr">
        <is>
          <t>GÄVLEBORGS LÄN</t>
        </is>
      </c>
      <c r="G270" t="inlineStr">
        <is>
          <t>SANDVIKEN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46234</v>
      </c>
      <c r="F271" t="inlineStr">
        <is>
          <t>GÄVLEBORGS LÄN</t>
        </is>
      </c>
      <c r="G271" t="inlineStr">
        <is>
          <t>SANDVIKEN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46234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45615</v>
      </c>
      <c r="E273" s="1" t="n">
        <v>46234</v>
      </c>
      <c r="F273" t="inlineStr">
        <is>
          <t>GÄVLEBORGS LÄN</t>
        </is>
      </c>
      <c r="G273" t="inlineStr">
        <is>
          <t>SANDVIKEN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53718-2024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45615</v>
      </c>
      <c r="E274" s="1" t="n">
        <v>46234</v>
      </c>
      <c r="F274" t="inlineStr">
        <is>
          <t>GÄVLEBORGS LÄN</t>
        </is>
      </c>
      <c r="G274" t="inlineStr">
        <is>
          <t>SANDVIKEN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45863</v>
      </c>
      <c r="E275" s="1" t="n">
        <v>46234</v>
      </c>
      <c r="F275" t="inlineStr">
        <is>
          <t>GÄVLEBORGS LÄN</t>
        </is>
      </c>
      <c r="G275" t="inlineStr">
        <is>
          <t>SANDVIKEN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46234</v>
      </c>
      <c r="F276" t="inlineStr">
        <is>
          <t>GÄVLEBORGS LÄN</t>
        </is>
      </c>
      <c r="G276" t="inlineStr">
        <is>
          <t>SANDVIKEN</t>
        </is>
      </c>
      <c r="H276" t="inlineStr">
        <is>
          <t>Sveaskog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36091-2025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46234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45867</v>
      </c>
      <c r="E278" s="1" t="n">
        <v>46234</v>
      </c>
      <c r="F278" t="inlineStr">
        <is>
          <t>GÄVLEBORGS LÄN</t>
        </is>
      </c>
      <c r="G278" t="inlineStr">
        <is>
          <t>SANDVIKEN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45968</v>
      </c>
      <c r="E279" s="1" t="n">
        <v>46234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44813</v>
      </c>
      <c r="E280" s="1" t="n">
        <v>46234</v>
      </c>
      <c r="F280" t="inlineStr">
        <is>
          <t>GÄVLEBORGS LÄN</t>
        </is>
      </c>
      <c r="G280" t="inlineStr">
        <is>
          <t>SANDVIKEN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46234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öst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44784</v>
      </c>
      <c r="E282" s="1" t="n">
        <v>46234</v>
      </c>
      <c r="F282" t="inlineStr">
        <is>
          <t>GÄVLEBORGS LÄN</t>
        </is>
      </c>
      <c r="G282" t="inlineStr">
        <is>
          <t>SANDVIKEN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36584-2025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45870</v>
      </c>
      <c r="E283" s="1" t="n">
        <v>46234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45873</v>
      </c>
      <c r="E284" s="1" t="n">
        <v>46234</v>
      </c>
      <c r="F284" t="inlineStr">
        <is>
          <t>GÄVLEBORGS LÄN</t>
        </is>
      </c>
      <c r="G284" t="inlineStr">
        <is>
          <t>SANDVIKEN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45873</v>
      </c>
      <c r="E285" s="1" t="n">
        <v>46234</v>
      </c>
      <c r="F285" t="inlineStr">
        <is>
          <t>GÄVLEBORGS LÄN</t>
        </is>
      </c>
      <c r="G285" t="inlineStr">
        <is>
          <t>SANDVIKEN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45873</v>
      </c>
      <c r="E286" s="1" t="n">
        <v>46234</v>
      </c>
      <c r="F286" t="inlineStr">
        <is>
          <t>GÄVLEBORGS LÄN</t>
        </is>
      </c>
      <c r="G286" t="inlineStr">
        <is>
          <t>SANDVIKEN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45873</v>
      </c>
      <c r="E287" s="1" t="n">
        <v>46234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45480</v>
      </c>
      <c r="E288" s="1" t="n">
        <v>46234</v>
      </c>
      <c r="F288" t="inlineStr">
        <is>
          <t>GÄVLEBORGS LÄN</t>
        </is>
      </c>
      <c r="G288" t="inlineStr">
        <is>
          <t>SANDVIKEN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46234</v>
      </c>
      <c r="F289" t="inlineStr">
        <is>
          <t>GÄVLEBORGS LÄN</t>
        </is>
      </c>
      <c r="G289" t="inlineStr">
        <is>
          <t>SANDVIKEN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45251</v>
      </c>
      <c r="E290" s="1" t="n">
        <v>46234</v>
      </c>
      <c r="F290" t="inlineStr">
        <is>
          <t>GÄVLEBORGS LÄN</t>
        </is>
      </c>
      <c r="G290" t="inlineStr">
        <is>
          <t>SANDVIKEN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35184-2022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44797</v>
      </c>
      <c r="E291" s="1" t="n">
        <v>46234</v>
      </c>
      <c r="F291" t="inlineStr">
        <is>
          <t>GÄVLEBORGS LÄN</t>
        </is>
      </c>
      <c r="G291" t="inlineStr">
        <is>
          <t>SANDVIKEN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46234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46234</v>
      </c>
      <c r="F293" t="inlineStr">
        <is>
          <t>GÄVLEBORGS LÄN</t>
        </is>
      </c>
      <c r="G293" t="inlineStr">
        <is>
          <t>SANDVIKEN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45883</v>
      </c>
      <c r="E294" s="1" t="n">
        <v>46234</v>
      </c>
      <c r="F294" t="inlineStr">
        <is>
          <t>GÄVLEBORGS LÄN</t>
        </is>
      </c>
      <c r="G294" t="inlineStr">
        <is>
          <t>SANDVIKEN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46234</v>
      </c>
      <c r="F295" t="inlineStr">
        <is>
          <t>GÄVLEBORGS LÄN</t>
        </is>
      </c>
      <c r="G295" t="inlineStr">
        <is>
          <t>SANDVIKEN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46234</v>
      </c>
      <c r="F296" t="inlineStr">
        <is>
          <t>GÄVLEBORGS LÄN</t>
        </is>
      </c>
      <c r="G296" t="inlineStr">
        <is>
          <t>SANDVIKEN</t>
        </is>
      </c>
      <c r="H296" t="inlineStr">
        <is>
          <t>Kyrkan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45240</v>
      </c>
      <c r="E297" s="1" t="n">
        <v>46234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36646-2022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44804</v>
      </c>
      <c r="E298" s="1" t="n">
        <v>46234</v>
      </c>
      <c r="F298" t="inlineStr">
        <is>
          <t>GÄVLEBORGS LÄN</t>
        </is>
      </c>
      <c r="G298" t="inlineStr">
        <is>
          <t>SANDVIKEN</t>
        </is>
      </c>
      <c r="I298" t="n">
        <v>9.199999999999999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64112-2023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46234</v>
      </c>
      <c r="F299" t="inlineStr">
        <is>
          <t>GÄVLEBORGS LÄN</t>
        </is>
      </c>
      <c r="G299" t="inlineStr">
        <is>
          <t>SANDVIKEN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45977</v>
      </c>
      <c r="E300" s="1" t="n">
        <v>46234</v>
      </c>
      <c r="F300" t="inlineStr">
        <is>
          <t>GÄVLEBORGS LÄN</t>
        </is>
      </c>
      <c r="G300" t="inlineStr">
        <is>
          <t>SANDVIKEN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46234</v>
      </c>
      <c r="F301" t="inlineStr">
        <is>
          <t>GÄVLEBORGS LÄN</t>
        </is>
      </c>
      <c r="G301" t="inlineStr">
        <is>
          <t>SANDVIKEN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46234</v>
      </c>
      <c r="F302" t="inlineStr">
        <is>
          <t>GÄVLEBORGS LÄN</t>
        </is>
      </c>
      <c r="G302" t="inlineStr">
        <is>
          <t>SANDVIKEN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45330</v>
      </c>
      <c r="E303" s="1" t="n">
        <v>46234</v>
      </c>
      <c r="F303" t="inlineStr">
        <is>
          <t>GÄVLEBORGS LÄN</t>
        </is>
      </c>
      <c r="G303" t="inlineStr">
        <is>
          <t>SANDVIKEN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46234</v>
      </c>
      <c r="F304" t="inlineStr">
        <is>
          <t>GÄVLEBORGS LÄN</t>
        </is>
      </c>
      <c r="G304" t="inlineStr">
        <is>
          <t>SANDVIKEN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58184-2025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45983</v>
      </c>
      <c r="E305" s="1" t="n">
        <v>46234</v>
      </c>
      <c r="F305" t="inlineStr">
        <is>
          <t>GÄVLEBORGS LÄN</t>
        </is>
      </c>
      <c r="G305" t="inlineStr">
        <is>
          <t>SANDVIKEN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45984</v>
      </c>
      <c r="E306" s="1" t="n">
        <v>46234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45984</v>
      </c>
      <c r="E307" s="1" t="n">
        <v>46234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58201-2025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45984</v>
      </c>
      <c r="E308" s="1" t="n">
        <v>46234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46234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46234</v>
      </c>
      <c r="F310" t="inlineStr">
        <is>
          <t>GÄVLEBORGS LÄN</t>
        </is>
      </c>
      <c r="G310" t="inlineStr">
        <is>
          <t>SANDVIKEN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46234</v>
      </c>
      <c r="F311" t="inlineStr">
        <is>
          <t>GÄVLEBORGS LÄN</t>
        </is>
      </c>
      <c r="G311" t="inlineStr">
        <is>
          <t>SANDVIKEN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58207-2025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46234</v>
      </c>
      <c r="F312" t="inlineStr">
        <is>
          <t>GÄVLEBORGS LÄN</t>
        </is>
      </c>
      <c r="G312" t="inlineStr">
        <is>
          <t>SANDVIKEN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45667</v>
      </c>
      <c r="E313" s="1" t="n">
        <v>46234</v>
      </c>
      <c r="F313" t="inlineStr">
        <is>
          <t>GÄVLEBORGS LÄN</t>
        </is>
      </c>
      <c r="G313" t="inlineStr">
        <is>
          <t>SANDVIKEN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46234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46234</v>
      </c>
      <c r="F315" t="inlineStr">
        <is>
          <t>GÄVLEBORGS LÄN</t>
        </is>
      </c>
      <c r="G315" t="inlineStr">
        <is>
          <t>SANDVIKEN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37367-2024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45540</v>
      </c>
      <c r="E316" s="1" t="n">
        <v>46234</v>
      </c>
      <c r="F316" t="inlineStr">
        <is>
          <t>GÄVLEBORGS LÄN</t>
        </is>
      </c>
      <c r="G316" t="inlineStr">
        <is>
          <t>SANDVIKEN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56150-2023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46234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46234</v>
      </c>
      <c r="F318" t="inlineStr">
        <is>
          <t>GÄVLEBORGS LÄN</t>
        </is>
      </c>
      <c r="G318" t="inlineStr">
        <is>
          <t>SANDVIKEN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46234</v>
      </c>
      <c r="F319" t="inlineStr">
        <is>
          <t>GÄVLEBORGS LÄN</t>
        </is>
      </c>
      <c r="G319" t="inlineStr">
        <is>
          <t>SANDVIKEN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46234</v>
      </c>
      <c r="F320" t="inlineStr">
        <is>
          <t>GÄVLEBORGS LÄN</t>
        </is>
      </c>
      <c r="G320" t="inlineStr">
        <is>
          <t>SANDVIKEN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46234</v>
      </c>
      <c r="F321" t="inlineStr">
        <is>
          <t>GÄVLEBORGS LÄN</t>
        </is>
      </c>
      <c r="G321" t="inlineStr">
        <is>
          <t>SANDVIKEN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46234</v>
      </c>
      <c r="F322" t="inlineStr">
        <is>
          <t>GÄVLEBORGS LÄN</t>
        </is>
      </c>
      <c r="G322" t="inlineStr">
        <is>
          <t>SANDVIKEN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46234</v>
      </c>
      <c r="F323" t="inlineStr">
        <is>
          <t>GÄVLEBORGS LÄN</t>
        </is>
      </c>
      <c r="G323" t="inlineStr">
        <is>
          <t>SANDVIKEN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46234</v>
      </c>
      <c r="F324" t="inlineStr">
        <is>
          <t>GÄVLEBORGS LÄN</t>
        </is>
      </c>
      <c r="G324" t="inlineStr">
        <is>
          <t>SANDVIKEN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46234</v>
      </c>
      <c r="F325" t="inlineStr">
        <is>
          <t>GÄVLEBORGS LÄN</t>
        </is>
      </c>
      <c r="G325" t="inlineStr">
        <is>
          <t>SANDVIKEN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45984</v>
      </c>
      <c r="E326" s="1" t="n">
        <v>46234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25828-2024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45467</v>
      </c>
      <c r="E327" s="1" t="n">
        <v>46234</v>
      </c>
      <c r="F327" t="inlineStr">
        <is>
          <t>GÄVLEBORGS LÄN</t>
        </is>
      </c>
      <c r="G327" t="inlineStr">
        <is>
          <t>SANDVIKEN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46234</v>
      </c>
      <c r="F328" t="inlineStr">
        <is>
          <t>GÄVLEBORGS LÄN</t>
        </is>
      </c>
      <c r="G328" t="inlineStr">
        <is>
          <t>SANDVIKEN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46234</v>
      </c>
      <c r="F329" t="inlineStr">
        <is>
          <t>GÄVLEBORGS LÄN</t>
        </is>
      </c>
      <c r="G329" t="inlineStr">
        <is>
          <t>SANDVIKEN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46234</v>
      </c>
      <c r="F330" t="inlineStr">
        <is>
          <t>GÄVLEBORGS LÄN</t>
        </is>
      </c>
      <c r="G330" t="inlineStr">
        <is>
          <t>SANDVIKEN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61694-2021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44501</v>
      </c>
      <c r="E331" s="1" t="n">
        <v>46234</v>
      </c>
      <c r="F331" t="inlineStr">
        <is>
          <t>GÄVLEBORGS LÄN</t>
        </is>
      </c>
      <c r="G331" t="inlineStr">
        <is>
          <t>SANDVIKEN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46234</v>
      </c>
      <c r="F332" t="inlineStr">
        <is>
          <t>GÄVLEBORGS LÄN</t>
        </is>
      </c>
      <c r="G332" t="inlineStr">
        <is>
          <t>SANDVIKEN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72997-2021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44549</v>
      </c>
      <c r="E333" s="1" t="n">
        <v>46234</v>
      </c>
      <c r="F333" t="inlineStr">
        <is>
          <t>GÄVLEBORGS LÄN</t>
        </is>
      </c>
      <c r="G333" t="inlineStr">
        <is>
          <t>SANDVIKEN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46234</v>
      </c>
      <c r="F334" t="inlineStr">
        <is>
          <t>GÄVLEBORGS LÄN</t>
        </is>
      </c>
      <c r="G334" t="inlineStr">
        <is>
          <t>SANDVIKEN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45161</v>
      </c>
      <c r="E335" s="1" t="n">
        <v>46234</v>
      </c>
      <c r="F335" t="inlineStr">
        <is>
          <t>GÄVLEBORGS LÄN</t>
        </is>
      </c>
      <c r="G335" t="inlineStr">
        <is>
          <t>SANDVIKEN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46234</v>
      </c>
      <c r="F336" t="inlineStr">
        <is>
          <t>GÄVLEBORGS LÄN</t>
        </is>
      </c>
      <c r="G336" t="inlineStr">
        <is>
          <t>SANDVIKEN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46234</v>
      </c>
      <c r="F337" t="inlineStr">
        <is>
          <t>GÄVLEBORGS LÄN</t>
        </is>
      </c>
      <c r="G337" t="inlineStr">
        <is>
          <t>SANDVIKEN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58200-2025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45984</v>
      </c>
      <c r="E338" s="1" t="n">
        <v>46234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13632-2024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45390</v>
      </c>
      <c r="E339" s="1" t="n">
        <v>46234</v>
      </c>
      <c r="F339" t="inlineStr">
        <is>
          <t>GÄVLEBORGS LÄN</t>
        </is>
      </c>
      <c r="G339" t="inlineStr">
        <is>
          <t>SANDVIKEN</t>
        </is>
      </c>
      <c r="H339" t="inlineStr">
        <is>
          <t>Kyrkan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45252</v>
      </c>
      <c r="E340" s="1" t="n">
        <v>46234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46234</v>
      </c>
      <c r="F341" t="inlineStr">
        <is>
          <t>GÄVLEBORGS LÄN</t>
        </is>
      </c>
      <c r="G341" t="inlineStr">
        <is>
          <t>SANDVIKEN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45660</v>
      </c>
      <c r="E342" s="1" t="n">
        <v>46234</v>
      </c>
      <c r="F342" t="inlineStr">
        <is>
          <t>GÄVLEBORGS LÄN</t>
        </is>
      </c>
      <c r="G342" t="inlineStr">
        <is>
          <t>SANDVIKEN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45670</v>
      </c>
      <c r="E343" s="1" t="n">
        <v>46234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46234</v>
      </c>
      <c r="F344" t="inlineStr">
        <is>
          <t>GÄVLEBORGS LÄN</t>
        </is>
      </c>
      <c r="G344" t="inlineStr">
        <is>
          <t>SANDVIKEN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46234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28523-2024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45478</v>
      </c>
      <c r="E346" s="1" t="n">
        <v>46234</v>
      </c>
      <c r="F346" t="inlineStr">
        <is>
          <t>GÄVLEBORGS LÄN</t>
        </is>
      </c>
      <c r="G346" t="inlineStr">
        <is>
          <t>SANDVIKEN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46234</v>
      </c>
      <c r="F347" t="inlineStr">
        <is>
          <t>GÄVLEBORGS LÄN</t>
        </is>
      </c>
      <c r="G347" t="inlineStr">
        <is>
          <t>SANDVIKEN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46021</v>
      </c>
      <c r="E348" s="1" t="n">
        <v>46234</v>
      </c>
      <c r="F348" t="inlineStr">
        <is>
          <t>GÄVLEBORGS LÄN</t>
        </is>
      </c>
      <c r="G348" t="inlineStr">
        <is>
          <t>SANDVIKEN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44586</v>
      </c>
      <c r="E349" s="1" t="n">
        <v>46234</v>
      </c>
      <c r="F349" t="inlineStr">
        <is>
          <t>GÄVLEBORGS LÄN</t>
        </is>
      </c>
      <c r="G349" t="inlineStr">
        <is>
          <t>SANDVIKEN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46234</v>
      </c>
      <c r="F350" t="inlineStr">
        <is>
          <t>GÄVLEBORGS LÄN</t>
        </is>
      </c>
      <c r="G350" t="inlineStr">
        <is>
          <t>SANDVIKEN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46234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46234</v>
      </c>
      <c r="F352" t="inlineStr">
        <is>
          <t>GÄVLEBORGS LÄN</t>
        </is>
      </c>
      <c r="G352" t="inlineStr">
        <is>
          <t>SANDVIKEN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46234</v>
      </c>
      <c r="F353" t="inlineStr">
        <is>
          <t>GÄVLEBORGS LÄN</t>
        </is>
      </c>
      <c r="G353" t="inlineStr">
        <is>
          <t>SANDVIKEN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46234</v>
      </c>
      <c r="F354" t="inlineStr">
        <is>
          <t>GÄVLEBORGS LÄN</t>
        </is>
      </c>
      <c r="G354" t="inlineStr">
        <is>
          <t>SANDVIKEN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46234</v>
      </c>
      <c r="F355" t="inlineStr">
        <is>
          <t>GÄVLEBORGS LÄN</t>
        </is>
      </c>
      <c r="G355" t="inlineStr">
        <is>
          <t>SANDVIKEN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46234</v>
      </c>
      <c r="F356" t="inlineStr">
        <is>
          <t>GÄVLEBORGS LÄN</t>
        </is>
      </c>
      <c r="G356" t="inlineStr">
        <is>
          <t>SANDVIKEN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46234</v>
      </c>
      <c r="F357" t="inlineStr">
        <is>
          <t>GÄVLEBORGS LÄN</t>
        </is>
      </c>
      <c r="G357" t="inlineStr">
        <is>
          <t>SANDVIKEN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46234</v>
      </c>
      <c r="F358" t="inlineStr">
        <is>
          <t>GÄVLEBORGS LÄN</t>
        </is>
      </c>
      <c r="G358" t="inlineStr">
        <is>
          <t>SANDVIKEN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46234</v>
      </c>
      <c r="F359" t="inlineStr">
        <is>
          <t>GÄVLEBORGS LÄN</t>
        </is>
      </c>
      <c r="G359" t="inlineStr">
        <is>
          <t>SANDVIKEN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46234</v>
      </c>
      <c r="F360" t="inlineStr">
        <is>
          <t>GÄVLEBORGS LÄN</t>
        </is>
      </c>
      <c r="G360" t="inlineStr">
        <is>
          <t>SANDVIKEN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45070</v>
      </c>
      <c r="E361" s="1" t="n">
        <v>46234</v>
      </c>
      <c r="F361" t="inlineStr">
        <is>
          <t>GÄVLEBORGS LÄN</t>
        </is>
      </c>
      <c r="G361" t="inlineStr">
        <is>
          <t>SANDVIKEN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46234</v>
      </c>
      <c r="F362" t="inlineStr">
        <is>
          <t>GÄVLEBORGS LÄN</t>
        </is>
      </c>
      <c r="G362" t="inlineStr">
        <is>
          <t>SANDVIKEN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45636</v>
      </c>
      <c r="E363" s="1" t="n">
        <v>46234</v>
      </c>
      <c r="F363" t="inlineStr">
        <is>
          <t>GÄVLEBORGS LÄN</t>
        </is>
      </c>
      <c r="G363" t="inlineStr">
        <is>
          <t>SANDVIKEN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46234</v>
      </c>
      <c r="F364" t="inlineStr">
        <is>
          <t>GÄVLEBORGS LÄN</t>
        </is>
      </c>
      <c r="G364" t="inlineStr">
        <is>
          <t>SANDVIKEN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45087</v>
      </c>
      <c r="E365" s="1" t="n">
        <v>46234</v>
      </c>
      <c r="F365" t="inlineStr">
        <is>
          <t>GÄVLEBORGS LÄN</t>
        </is>
      </c>
      <c r="G365" t="inlineStr">
        <is>
          <t>SANDVIKEN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46234</v>
      </c>
      <c r="F366" t="inlineStr">
        <is>
          <t>GÄVLEBORGS LÄN</t>
        </is>
      </c>
      <c r="G366" t="inlineStr">
        <is>
          <t>SANDVIKEN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46036</v>
      </c>
      <c r="E367" s="1" t="n">
        <v>46234</v>
      </c>
      <c r="F367" t="inlineStr">
        <is>
          <t>GÄVLEBORGS LÄN</t>
        </is>
      </c>
      <c r="G367" t="inlineStr">
        <is>
          <t>SANDVIKEN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32291-2024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45512</v>
      </c>
      <c r="E368" s="1" t="n">
        <v>46234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46234</v>
      </c>
      <c r="F369" t="inlineStr">
        <is>
          <t>GÄVLEBORGS LÄN</t>
        </is>
      </c>
      <c r="G369" t="inlineStr">
        <is>
          <t>SANDVIKEN</t>
        </is>
      </c>
      <c r="I369" t="n">
        <v>10.2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46234</v>
      </c>
      <c r="F370" t="inlineStr">
        <is>
          <t>GÄVLEBORGS LÄN</t>
        </is>
      </c>
      <c r="G370" t="inlineStr">
        <is>
          <t>SANDVIKEN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45460</v>
      </c>
      <c r="E371" s="1" t="n">
        <v>46234</v>
      </c>
      <c r="F371" t="inlineStr">
        <is>
          <t>GÄVLEBORGS LÄN</t>
        </is>
      </c>
      <c r="G371" t="inlineStr">
        <is>
          <t>SANDVIKEN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46234</v>
      </c>
      <c r="F372" t="inlineStr">
        <is>
          <t>GÄVLEBORGS LÄN</t>
        </is>
      </c>
      <c r="G372" t="inlineStr">
        <is>
          <t>SANDVIKEN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46234</v>
      </c>
      <c r="F373" t="inlineStr">
        <is>
          <t>GÄVLEBORGS LÄN</t>
        </is>
      </c>
      <c r="G373" t="inlineStr">
        <is>
          <t>SANDVIKEN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46043</v>
      </c>
      <c r="E374" s="1" t="n">
        <v>46234</v>
      </c>
      <c r="F374" t="inlineStr">
        <is>
          <t>GÄVLEBORGS LÄN</t>
        </is>
      </c>
      <c r="G374" t="inlineStr">
        <is>
          <t>SANDVIKEN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45153</v>
      </c>
      <c r="E375" s="1" t="n">
        <v>46234</v>
      </c>
      <c r="F375" t="inlineStr">
        <is>
          <t>GÄVLEBORGS LÄN</t>
        </is>
      </c>
      <c r="G375" t="inlineStr">
        <is>
          <t>SANDVIKEN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46234</v>
      </c>
      <c r="F376" t="inlineStr">
        <is>
          <t>GÄVLEBORGS LÄN</t>
        </is>
      </c>
      <c r="G376" t="inlineStr">
        <is>
          <t>SANDVIKEN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4115-2026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46234</v>
      </c>
      <c r="F377" t="inlineStr">
        <is>
          <t>GÄVLEBORGS LÄN</t>
        </is>
      </c>
      <c r="G377" t="inlineStr">
        <is>
          <t>SANDVIKEN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46234</v>
      </c>
      <c r="F378" t="inlineStr">
        <is>
          <t>GÄVLEBORGS LÄN</t>
        </is>
      </c>
      <c r="G378" t="inlineStr">
        <is>
          <t>SANDVIKEN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62047-2022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44918</v>
      </c>
      <c r="E379" s="1" t="n">
        <v>46234</v>
      </c>
      <c r="F379" t="inlineStr">
        <is>
          <t>GÄVLEBORGS LÄN</t>
        </is>
      </c>
      <c r="G379" t="inlineStr">
        <is>
          <t>SANDVIKEN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46234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46234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5181-2026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46234</v>
      </c>
      <c r="F382" t="inlineStr">
        <is>
          <t>GÄVLEBORGS LÄN</t>
        </is>
      </c>
      <c r="G382" t="inlineStr">
        <is>
          <t>SANDVIKEN</t>
        </is>
      </c>
      <c r="H382" t="inlineStr">
        <is>
          <t>Sveaskog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46234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45271</v>
      </c>
      <c r="E384" s="1" t="n">
        <v>46234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62056-2022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44918</v>
      </c>
      <c r="E385" s="1" t="n">
        <v>46234</v>
      </c>
      <c r="F385" t="inlineStr">
        <is>
          <t>GÄVLEBORGS LÄN</t>
        </is>
      </c>
      <c r="G385" t="inlineStr">
        <is>
          <t>SANDVIKEN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46234</v>
      </c>
      <c r="F386" t="inlineStr">
        <is>
          <t>GÄVLEBORGS LÄN</t>
        </is>
      </c>
      <c r="G386" t="inlineStr">
        <is>
          <t>SANDVIKEN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45245</v>
      </c>
      <c r="E387" s="1" t="n">
        <v>46234</v>
      </c>
      <c r="F387" t="inlineStr">
        <is>
          <t>GÄVLEBORGS LÄN</t>
        </is>
      </c>
      <c r="G387" t="inlineStr">
        <is>
          <t>SANDVIKEN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45404</v>
      </c>
      <c r="E388" s="1" t="n">
        <v>46234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46234</v>
      </c>
      <c r="F389" t="inlineStr">
        <is>
          <t>GÄVLEBORGS LÄN</t>
        </is>
      </c>
      <c r="G389" t="inlineStr">
        <is>
          <t>SANDVIKEN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46051</v>
      </c>
      <c r="E390" s="1" t="n">
        <v>46234</v>
      </c>
      <c r="F390" t="inlineStr">
        <is>
          <t>GÄVLEBORGS LÄN</t>
        </is>
      </c>
      <c r="G390" t="inlineStr">
        <is>
          <t>SANDVIKEN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46051</v>
      </c>
      <c r="E391" s="1" t="n">
        <v>46234</v>
      </c>
      <c r="F391" t="inlineStr">
        <is>
          <t>GÄVLEBORGS LÄN</t>
        </is>
      </c>
      <c r="G391" t="inlineStr">
        <is>
          <t>SANDVIKEN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46234</v>
      </c>
      <c r="F392" t="inlineStr">
        <is>
          <t>GÄVLEBORGS LÄN</t>
        </is>
      </c>
      <c r="G392" t="inlineStr">
        <is>
          <t>SANDVIKEN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46234</v>
      </c>
      <c r="F393" t="inlineStr">
        <is>
          <t>GÄVLEBORGS LÄN</t>
        </is>
      </c>
      <c r="G393" t="inlineStr">
        <is>
          <t>SANDVIKEN</t>
        </is>
      </c>
      <c r="H393" t="inlineStr">
        <is>
          <t>Kommuner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45666</v>
      </c>
      <c r="E394" s="1" t="n">
        <v>46234</v>
      </c>
      <c r="F394" t="inlineStr">
        <is>
          <t>GÄVLEBORGS LÄN</t>
        </is>
      </c>
      <c r="G394" t="inlineStr">
        <is>
          <t>SANDVIKEN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46234</v>
      </c>
      <c r="F395" t="inlineStr">
        <is>
          <t>GÄVLEBORGS LÄN</t>
        </is>
      </c>
      <c r="G395" t="inlineStr">
        <is>
          <t>SANDVIKEN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16980-2025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45755</v>
      </c>
      <c r="E396" s="1" t="n">
        <v>46234</v>
      </c>
      <c r="F396" t="inlineStr">
        <is>
          <t>GÄVLEBORGS LÄN</t>
        </is>
      </c>
      <c r="G396" t="inlineStr">
        <is>
          <t>SANDVIKEN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17498-2024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45415</v>
      </c>
      <c r="E397" s="1" t="n">
        <v>46234</v>
      </c>
      <c r="F397" t="inlineStr">
        <is>
          <t>GÄVLEBORGS LÄN</t>
        </is>
      </c>
      <c r="G397" t="inlineStr">
        <is>
          <t>SANDVIKEN</t>
        </is>
      </c>
      <c r="H397" t="inlineStr">
        <is>
          <t>Kommuner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44994</v>
      </c>
      <c r="E398" s="1" t="n">
        <v>46234</v>
      </c>
      <c r="F398" t="inlineStr">
        <is>
          <t>GÄVLEBORGS LÄN</t>
        </is>
      </c>
      <c r="G398" t="inlineStr">
        <is>
          <t>SANDVIKEN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44994</v>
      </c>
      <c r="E399" s="1" t="n">
        <v>46234</v>
      </c>
      <c r="F399" t="inlineStr">
        <is>
          <t>GÄVLEBORGS LÄN</t>
        </is>
      </c>
      <c r="G399" t="inlineStr">
        <is>
          <t>SANDVIKEN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46055</v>
      </c>
      <c r="E400" s="1" t="n">
        <v>46234</v>
      </c>
      <c r="F400" t="inlineStr">
        <is>
          <t>GÄVLEBORGS LÄN</t>
        </is>
      </c>
      <c r="G400" t="inlineStr">
        <is>
          <t>SANDVIKEN</t>
        </is>
      </c>
      <c r="H400" t="inlineStr">
        <is>
          <t>Kommuner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46234</v>
      </c>
      <c r="F401" t="inlineStr">
        <is>
          <t>GÄVLEBORGS LÄN</t>
        </is>
      </c>
      <c r="G401" t="inlineStr">
        <is>
          <t>SANDVIKEN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46056</v>
      </c>
      <c r="E402" s="1" t="n">
        <v>46234</v>
      </c>
      <c r="F402" t="inlineStr">
        <is>
          <t>GÄVLEBORGS LÄN</t>
        </is>
      </c>
      <c r="G402" t="inlineStr">
        <is>
          <t>SANDVIKEN</t>
        </is>
      </c>
      <c r="I402" t="n">
        <v>8.800000000000001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45414</v>
      </c>
      <c r="E403" s="1" t="n">
        <v>46234</v>
      </c>
      <c r="F403" t="inlineStr">
        <is>
          <t>GÄVLEBORGS LÄN</t>
        </is>
      </c>
      <c r="G403" t="inlineStr">
        <is>
          <t>SANDVIKEN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45649</v>
      </c>
      <c r="E404" s="1" t="n">
        <v>46234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45343</v>
      </c>
      <c r="E405" s="1" t="n">
        <v>46234</v>
      </c>
      <c r="F405" t="inlineStr">
        <is>
          <t>GÄVLEBORGS LÄN</t>
        </is>
      </c>
      <c r="G405" t="inlineStr">
        <is>
          <t>SANDVIKEN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46234</v>
      </c>
      <c r="F406" t="inlineStr">
        <is>
          <t>GÄVLEBORGS LÄN</t>
        </is>
      </c>
      <c r="G406" t="inlineStr">
        <is>
          <t>SANDVIKEN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46234</v>
      </c>
      <c r="F407" t="inlineStr">
        <is>
          <t>GÄVLEBORGS LÄN</t>
        </is>
      </c>
      <c r="G407" t="inlineStr">
        <is>
          <t>SANDVIKEN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46234</v>
      </c>
      <c r="F408" t="inlineStr">
        <is>
          <t>GÄVLEBORGS LÄN</t>
        </is>
      </c>
      <c r="G408" t="inlineStr">
        <is>
          <t>SANDVIKEN</t>
        </is>
      </c>
      <c r="H408" t="inlineStr">
        <is>
          <t>Kommuner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46234</v>
      </c>
      <c r="F409" t="inlineStr">
        <is>
          <t>GÄVLEBORGS LÄN</t>
        </is>
      </c>
      <c r="G409" t="inlineStr">
        <is>
          <t>SANDVIKEN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46234</v>
      </c>
      <c r="F410" t="inlineStr">
        <is>
          <t>GÄVLEBORGS LÄN</t>
        </is>
      </c>
      <c r="G410" t="inlineStr">
        <is>
          <t>SANDVIKEN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7350-2026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46234</v>
      </c>
      <c r="F411" t="inlineStr">
        <is>
          <t>GÄVLEBORGS LÄN</t>
        </is>
      </c>
      <c r="G411" t="inlineStr">
        <is>
          <t>SANDVIKEN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7352-2026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46058</v>
      </c>
      <c r="E412" s="1" t="n">
        <v>46234</v>
      </c>
      <c r="F412" t="inlineStr">
        <is>
          <t>GÄVLEBORGS LÄN</t>
        </is>
      </c>
      <c r="G412" t="inlineStr">
        <is>
          <t>SANDVIKEN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46234</v>
      </c>
      <c r="F413" t="inlineStr">
        <is>
          <t>GÄVLEBORGS LÄN</t>
        </is>
      </c>
      <c r="G413" t="inlineStr">
        <is>
          <t>SANDVIKEN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46234</v>
      </c>
      <c r="F414" t="inlineStr">
        <is>
          <t>GÄVLEBORGS LÄN</t>
        </is>
      </c>
      <c r="G414" t="inlineStr">
        <is>
          <t>SANDVIKEN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46234</v>
      </c>
      <c r="F415" t="inlineStr">
        <is>
          <t>GÄVLEBORGS LÄN</t>
        </is>
      </c>
      <c r="G415" t="inlineStr">
        <is>
          <t>SANDVIKEN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46234</v>
      </c>
      <c r="F416" t="inlineStr">
        <is>
          <t>GÄVLEBORGS LÄN</t>
        </is>
      </c>
      <c r="G416" t="inlineStr">
        <is>
          <t>SANDVIKEN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46234</v>
      </c>
      <c r="F417" t="inlineStr">
        <is>
          <t>GÄVLEBORGS LÄN</t>
        </is>
      </c>
      <c r="G417" t="inlineStr">
        <is>
          <t>SANDVIKEN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7910-2026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46234</v>
      </c>
      <c r="F418" t="inlineStr">
        <is>
          <t>GÄVLEBORGS LÄN</t>
        </is>
      </c>
      <c r="G418" t="inlineStr">
        <is>
          <t>SANDVIKEN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45730</v>
      </c>
      <c r="E419" s="1" t="n">
        <v>46234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46234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46234</v>
      </c>
      <c r="F421" t="inlineStr">
        <is>
          <t>GÄVLEBORGS LÄN</t>
        </is>
      </c>
      <c r="G421" t="inlineStr">
        <is>
          <t>SANDVIKEN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46234</v>
      </c>
      <c r="F422" t="inlineStr">
        <is>
          <t>GÄVLEBORGS LÄN</t>
        </is>
      </c>
      <c r="G422" t="inlineStr">
        <is>
          <t>SANDVIKEN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46234</v>
      </c>
      <c r="F423" t="inlineStr">
        <is>
          <t>GÄVLEBORGS LÄN</t>
        </is>
      </c>
      <c r="G423" t="inlineStr">
        <is>
          <t>SANDVIKEN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46234</v>
      </c>
      <c r="F424" t="inlineStr">
        <is>
          <t>GÄVLEBORGS LÄN</t>
        </is>
      </c>
      <c r="G424" t="inlineStr">
        <is>
          <t>SANDVIKEN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46234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väst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46234</v>
      </c>
      <c r="F426" t="inlineStr">
        <is>
          <t>GÄVLEBORGS LÄN</t>
        </is>
      </c>
      <c r="G426" t="inlineStr">
        <is>
          <t>SANDVIKEN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8612-2026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46234</v>
      </c>
      <c r="F427" t="inlineStr">
        <is>
          <t>GÄVLEBORGS LÄN</t>
        </is>
      </c>
      <c r="G427" t="inlineStr">
        <is>
          <t>SANDVIKEN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46234</v>
      </c>
      <c r="F428" t="inlineStr">
        <is>
          <t>GÄVLEBORGS LÄN</t>
        </is>
      </c>
      <c r="G428" t="inlineStr">
        <is>
          <t>SANDVIKEN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46234</v>
      </c>
      <c r="F429" t="inlineStr">
        <is>
          <t>GÄVLEBORGS LÄN</t>
        </is>
      </c>
      <c r="G429" t="inlineStr">
        <is>
          <t>SANDVIKEN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8574-2026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46234</v>
      </c>
      <c r="F430" t="inlineStr">
        <is>
          <t>GÄVLEBORGS LÄN</t>
        </is>
      </c>
      <c r="G430" t="inlineStr">
        <is>
          <t>SANDVIKEN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60891-2023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45261</v>
      </c>
      <c r="E431" s="1" t="n">
        <v>46234</v>
      </c>
      <c r="F431" t="inlineStr">
        <is>
          <t>GÄVLEBORGS LÄN</t>
        </is>
      </c>
      <c r="G431" t="inlineStr">
        <is>
          <t>SANDVIKEN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46234</v>
      </c>
      <c r="F432" t="inlineStr">
        <is>
          <t>GÄVLEBORGS LÄN</t>
        </is>
      </c>
      <c r="G432" t="inlineStr">
        <is>
          <t>SANDVIKEN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45293</v>
      </c>
      <c r="E433" s="1" t="n">
        <v>46234</v>
      </c>
      <c r="F433" t="inlineStr">
        <is>
          <t>GÄVLEBORGS LÄN</t>
        </is>
      </c>
      <c r="G433" t="inlineStr">
        <is>
          <t>SANDVIKEN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45293</v>
      </c>
      <c r="E434" s="1" t="n">
        <v>46234</v>
      </c>
      <c r="F434" t="inlineStr">
        <is>
          <t>GÄVLEBORGS LÄN</t>
        </is>
      </c>
      <c r="G434" t="inlineStr">
        <is>
          <t>SANDVIKEN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46234</v>
      </c>
      <c r="F435" t="inlineStr">
        <is>
          <t>GÄVLEBORGS LÄN</t>
        </is>
      </c>
      <c r="G435" t="inlineStr">
        <is>
          <t>SANDVIKEN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9142-2026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46069</v>
      </c>
      <c r="E436" s="1" t="n">
        <v>46234</v>
      </c>
      <c r="F436" t="inlineStr">
        <is>
          <t>GÄVLEBORGS LÄN</t>
        </is>
      </c>
      <c r="G436" t="inlineStr">
        <is>
          <t>SANDVIKEN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46234</v>
      </c>
      <c r="F437" t="inlineStr">
        <is>
          <t>GÄVLEBORGS LÄN</t>
        </is>
      </c>
      <c r="G437" t="inlineStr">
        <is>
          <t>SANDVIKEN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46234</v>
      </c>
      <c r="F438" t="inlineStr">
        <is>
          <t>GÄVLEBORGS LÄN</t>
        </is>
      </c>
      <c r="G438" t="inlineStr">
        <is>
          <t>SANDVIKEN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45327</v>
      </c>
      <c r="E439" s="1" t="n">
        <v>46234</v>
      </c>
      <c r="F439" t="inlineStr">
        <is>
          <t>GÄVLEBORGS LÄN</t>
        </is>
      </c>
      <c r="G439" t="inlineStr">
        <is>
          <t>SANDVIKEN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46234</v>
      </c>
      <c r="F440" t="inlineStr">
        <is>
          <t>GÄVLEBORGS LÄN</t>
        </is>
      </c>
      <c r="G440" t="inlineStr">
        <is>
          <t>SANDVIKEN</t>
        </is>
      </c>
      <c r="H440" t="inlineStr">
        <is>
          <t>Naturvårdsverket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46073</v>
      </c>
      <c r="E441" s="1" t="n">
        <v>46234</v>
      </c>
      <c r="F441" t="inlineStr">
        <is>
          <t>GÄVLEBORGS LÄN</t>
        </is>
      </c>
      <c r="G441" t="inlineStr">
        <is>
          <t>SANDVIKEN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46073</v>
      </c>
      <c r="E442" s="1" t="n">
        <v>46234</v>
      </c>
      <c r="F442" t="inlineStr">
        <is>
          <t>GÄVLEBORGS LÄN</t>
        </is>
      </c>
      <c r="G442" t="inlineStr">
        <is>
          <t>SANDVIKEN</t>
        </is>
      </c>
      <c r="H442" t="inlineStr">
        <is>
          <t>Kommuner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46234</v>
      </c>
      <c r="F443" t="inlineStr">
        <is>
          <t>GÄVLEBORGS LÄN</t>
        </is>
      </c>
      <c r="G443" t="inlineStr">
        <is>
          <t>SANDVIKEN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9653-2026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46072</v>
      </c>
      <c r="E444" s="1" t="n">
        <v>46234</v>
      </c>
      <c r="F444" t="inlineStr">
        <is>
          <t>GÄVLEBORGS LÄN</t>
        </is>
      </c>
      <c r="G444" t="inlineStr">
        <is>
          <t>SANDVIKEN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46234</v>
      </c>
      <c r="F445" t="inlineStr">
        <is>
          <t>GÄVLEBORGS LÄN</t>
        </is>
      </c>
      <c r="G445" t="inlineStr">
        <is>
          <t>SANDVIKEN</t>
        </is>
      </c>
      <c r="H445" t="inlineStr">
        <is>
          <t>Naturvårdsverket</t>
        </is>
      </c>
      <c r="I445" t="n">
        <v>19.5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46234</v>
      </c>
      <c r="F446" t="inlineStr">
        <is>
          <t>GÄVLEBORGS LÄN</t>
        </is>
      </c>
      <c r="G446" t="inlineStr">
        <is>
          <t>SANDVIKEN</t>
        </is>
      </c>
      <c r="H446" t="inlineStr">
        <is>
          <t>Kommuner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46074</v>
      </c>
      <c r="E447" s="1" t="n">
        <v>46234</v>
      </c>
      <c r="F447" t="inlineStr">
        <is>
          <t>GÄVLEBORGS LÄN</t>
        </is>
      </c>
      <c r="G447" t="inlineStr">
        <is>
          <t>SANDVIKEN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10346-2026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46234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46031</v>
      </c>
      <c r="E449" s="1" t="n">
        <v>46234</v>
      </c>
      <c r="F449" t="inlineStr">
        <is>
          <t>GÄVLEBORGS LÄN</t>
        </is>
      </c>
      <c r="G449" t="inlineStr">
        <is>
          <t>SANDVIKEN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45321</v>
      </c>
      <c r="E450" s="1" t="n">
        <v>46234</v>
      </c>
      <c r="F450" t="inlineStr">
        <is>
          <t>GÄVLEBORGS LÄN</t>
        </is>
      </c>
      <c r="G450" t="inlineStr">
        <is>
          <t>SANDVIKEN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46078</v>
      </c>
      <c r="E451" s="1" t="n">
        <v>46234</v>
      </c>
      <c r="F451" t="inlineStr">
        <is>
          <t>GÄVLEBORGS LÄN</t>
        </is>
      </c>
      <c r="G451" t="inlineStr">
        <is>
          <t>SANDVIKEN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46034</v>
      </c>
      <c r="E452" s="1" t="n">
        <v>46234</v>
      </c>
      <c r="F452" t="inlineStr">
        <is>
          <t>GÄVLEBORGS LÄN</t>
        </is>
      </c>
      <c r="G452" t="inlineStr">
        <is>
          <t>SANDVIKEN</t>
        </is>
      </c>
      <c r="I452" t="n">
        <v>9.300000000000001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46234</v>
      </c>
      <c r="F453" t="inlineStr">
        <is>
          <t>GÄVLEBORGS LÄN</t>
        </is>
      </c>
      <c r="G453" t="inlineStr">
        <is>
          <t>SANDVIKEN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45268</v>
      </c>
      <c r="E454" s="1" t="n">
        <v>46234</v>
      </c>
      <c r="F454" t="inlineStr">
        <is>
          <t>GÄVLEBORGS LÄN</t>
        </is>
      </c>
      <c r="G454" t="inlineStr">
        <is>
          <t>SANDVIKEN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46234</v>
      </c>
      <c r="F455" t="inlineStr">
        <is>
          <t>GÄVLEBORGS LÄN</t>
        </is>
      </c>
      <c r="G455" t="inlineStr">
        <is>
          <t>SANDVIKEN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46080</v>
      </c>
      <c r="E456" s="1" t="n">
        <v>46234</v>
      </c>
      <c r="F456" t="inlineStr">
        <is>
          <t>GÄVLEBORGS LÄN</t>
        </is>
      </c>
      <c r="G456" t="inlineStr">
        <is>
          <t>SANDVIKEN</t>
        </is>
      </c>
      <c r="I456" t="n">
        <v>14.5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46234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46084</v>
      </c>
      <c r="E458" s="1" t="n">
        <v>46234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46084</v>
      </c>
      <c r="E459" s="1" t="n">
        <v>46234</v>
      </c>
      <c r="F459" t="inlineStr">
        <is>
          <t>GÄVLEBORGS LÄN</t>
        </is>
      </c>
      <c r="G459" t="inlineStr">
        <is>
          <t>SANDVIKEN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46234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46234</v>
      </c>
      <c r="F461" t="inlineStr">
        <is>
          <t>GÄVLEBORGS LÄN</t>
        </is>
      </c>
      <c r="G461" t="inlineStr">
        <is>
          <t>SANDVIKEN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46234</v>
      </c>
      <c r="F462" t="inlineStr">
        <is>
          <t>GÄVLEBORGS LÄN</t>
        </is>
      </c>
      <c r="G462" t="inlineStr">
        <is>
          <t>SANDVIKEN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46086</v>
      </c>
      <c r="E463" s="1" t="n">
        <v>46234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46234</v>
      </c>
      <c r="F464" t="inlineStr">
        <is>
          <t>GÄVLEBORGS LÄN</t>
        </is>
      </c>
      <c r="G464" t="inlineStr">
        <is>
          <t>SANDVIKEN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46086</v>
      </c>
      <c r="E465" s="1" t="n">
        <v>46234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12132-2026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46086</v>
      </c>
      <c r="E466" s="1" t="n">
        <v>46234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46234</v>
      </c>
      <c r="F467" t="inlineStr">
        <is>
          <t>GÄVLEBORGS LÄN</t>
        </is>
      </c>
      <c r="G467" t="inlineStr">
        <is>
          <t>SANDVIKEN</t>
        </is>
      </c>
      <c r="H467" t="inlineStr">
        <is>
          <t>Naturvårdsverket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12146-2026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46086</v>
      </c>
      <c r="E468" s="1" t="n">
        <v>46234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36660-2023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45153</v>
      </c>
      <c r="E469" s="1" t="n">
        <v>46234</v>
      </c>
      <c r="F469" t="inlineStr">
        <is>
          <t>GÄVLEBORGS LÄN</t>
        </is>
      </c>
      <c r="G469" t="inlineStr">
        <is>
          <t>SANDVIKEN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11800-2026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46085</v>
      </c>
      <c r="E470" s="1" t="n">
        <v>46234</v>
      </c>
      <c r="F470" t="inlineStr">
        <is>
          <t>GÄVLEBORGS LÄN</t>
        </is>
      </c>
      <c r="G470" t="inlineStr">
        <is>
          <t>SANDVIKEN</t>
        </is>
      </c>
      <c r="H470" t="inlineStr">
        <is>
          <t>Naturvårdsverket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46085</v>
      </c>
      <c r="E471" s="1" t="n">
        <v>46234</v>
      </c>
      <c r="F471" t="inlineStr">
        <is>
          <t>GÄVLEBORGS LÄN</t>
        </is>
      </c>
      <c r="G471" t="inlineStr">
        <is>
          <t>SANDVIKEN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46086</v>
      </c>
      <c r="E472" s="1" t="n">
        <v>46234</v>
      </c>
      <c r="F472" t="inlineStr">
        <is>
          <t>GÄVLEBORGS LÄN</t>
        </is>
      </c>
      <c r="G472" t="inlineStr">
        <is>
          <t>SANDVIKEN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12091-2026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46086</v>
      </c>
      <c r="E473" s="1" t="n">
        <v>46234</v>
      </c>
      <c r="F473" t="inlineStr">
        <is>
          <t>GÄVLEBORGS LÄN</t>
        </is>
      </c>
      <c r="G473" t="inlineStr">
        <is>
          <t>SANDVIKEN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12099-2026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46234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12081-2026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46086</v>
      </c>
      <c r="E475" s="1" t="n">
        <v>46234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46086</v>
      </c>
      <c r="E476" s="1" t="n">
        <v>46234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12098-2026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46086</v>
      </c>
      <c r="E477" s="1" t="n">
        <v>46234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11898-2026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46085</v>
      </c>
      <c r="E478" s="1" t="n">
        <v>46234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12208-2026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46234</v>
      </c>
      <c r="F479" t="inlineStr">
        <is>
          <t>GÄVLEBORGS LÄN</t>
        </is>
      </c>
      <c r="G479" t="inlineStr">
        <is>
          <t>SANDVIKEN</t>
        </is>
      </c>
      <c r="I479" t="n">
        <v>9.4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46090</v>
      </c>
      <c r="E480" s="1" t="n">
        <v>46234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46087</v>
      </c>
      <c r="E481" s="1" t="n">
        <v>46234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12317-2026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46087</v>
      </c>
      <c r="E482" s="1" t="n">
        <v>46234</v>
      </c>
      <c r="F482" t="inlineStr">
        <is>
          <t>GÄVLEBORGS LÄN</t>
        </is>
      </c>
      <c r="G482" t="inlineStr">
        <is>
          <t>SANDVIKEN</t>
        </is>
      </c>
      <c r="H482" t="inlineStr">
        <is>
          <t>Bergvik skog öst AB</t>
        </is>
      </c>
      <c r="I482" t="n">
        <v>27.2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46090</v>
      </c>
      <c r="E483" s="1" t="n">
        <v>46234</v>
      </c>
      <c r="F483" t="inlineStr">
        <is>
          <t>GÄVLEBORGS LÄN</t>
        </is>
      </c>
      <c r="G483" t="inlineStr">
        <is>
          <t>SANDVIKEN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12586-2026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46090</v>
      </c>
      <c r="E484" s="1" t="n">
        <v>46234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45989-2023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46234</v>
      </c>
      <c r="F485" t="inlineStr">
        <is>
          <t>GÄVLEBORGS LÄN</t>
        </is>
      </c>
      <c r="G485" t="inlineStr">
        <is>
          <t>SANDVIKEN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12891-2026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46092</v>
      </c>
      <c r="E486" s="1" t="n">
        <v>46234</v>
      </c>
      <c r="F486" t="inlineStr">
        <is>
          <t>GÄVLEBORGS LÄN</t>
        </is>
      </c>
      <c r="G486" t="inlineStr">
        <is>
          <t>SANDVIKEN</t>
        </is>
      </c>
      <c r="H486" t="inlineStr">
        <is>
          <t>Naturvårdsverket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46234</v>
      </c>
      <c r="F487" t="inlineStr">
        <is>
          <t>GÄVLEBORGS LÄN</t>
        </is>
      </c>
      <c r="G487" t="inlineStr">
        <is>
          <t>SANDVIKEN</t>
        </is>
      </c>
      <c r="H487" t="inlineStr">
        <is>
          <t>Naturvårdsverket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12641-2026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46091</v>
      </c>
      <c r="E488" s="1" t="n">
        <v>46234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46234</v>
      </c>
      <c r="F489" t="inlineStr">
        <is>
          <t>GÄVLEBORGS LÄN</t>
        </is>
      </c>
      <c r="G489" t="inlineStr">
        <is>
          <t>SANDVIKEN</t>
        </is>
      </c>
      <c r="H489" t="inlineStr">
        <is>
          <t>Naturvårdsverket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12656-2026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46091</v>
      </c>
      <c r="E490" s="1" t="n">
        <v>46234</v>
      </c>
      <c r="F490" t="inlineStr">
        <is>
          <t>GÄVLEBORGS LÄN</t>
        </is>
      </c>
      <c r="G490" t="inlineStr">
        <is>
          <t>SANDVIKEN</t>
        </is>
      </c>
      <c r="H490" t="inlineStr">
        <is>
          <t>Naturvårdsverket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46092</v>
      </c>
      <c r="E491" s="1" t="n">
        <v>46234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46234</v>
      </c>
      <c r="F492" t="inlineStr">
        <is>
          <t>GÄVLEBORGS LÄN</t>
        </is>
      </c>
      <c r="G492" t="inlineStr">
        <is>
          <t>SANDVIKEN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46234</v>
      </c>
      <c r="F493" t="inlineStr">
        <is>
          <t>GÄVLEBORGS LÄN</t>
        </is>
      </c>
      <c r="G493" t="inlineStr">
        <is>
          <t>SANDVIKEN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46234</v>
      </c>
      <c r="F494" t="inlineStr">
        <is>
          <t>GÄVLEBORGS LÄN</t>
        </is>
      </c>
      <c r="G494" t="inlineStr">
        <is>
          <t>SANDVIKEN</t>
        </is>
      </c>
      <c r="H494" t="inlineStr">
        <is>
          <t>Bergvik skog öst AB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65098-2023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45288</v>
      </c>
      <c r="E495" s="1" t="n">
        <v>46234</v>
      </c>
      <c r="F495" t="inlineStr">
        <is>
          <t>GÄVLEBORGS LÄN</t>
        </is>
      </c>
      <c r="G495" t="inlineStr">
        <is>
          <t>SANDVIKEN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35185-2022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44797</v>
      </c>
      <c r="E496" s="1" t="n">
        <v>46234</v>
      </c>
      <c r="F496" t="inlineStr">
        <is>
          <t>GÄVLEBORGS LÄN</t>
        </is>
      </c>
      <c r="G496" t="inlineStr">
        <is>
          <t>SANDVIKEN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12704-2026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46091</v>
      </c>
      <c r="E497" s="1" t="n">
        <v>46234</v>
      </c>
      <c r="F497" t="inlineStr">
        <is>
          <t>GÄVLEBORGS LÄN</t>
        </is>
      </c>
      <c r="G497" t="inlineStr">
        <is>
          <t>SANDVIKEN</t>
        </is>
      </c>
      <c r="H497" t="inlineStr">
        <is>
          <t>Sveaskog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46093</v>
      </c>
      <c r="E498" s="1" t="n">
        <v>46234</v>
      </c>
      <c r="F498" t="inlineStr">
        <is>
          <t>GÄVLEBORGS LÄN</t>
        </is>
      </c>
      <c r="G498" t="inlineStr">
        <is>
          <t>SANDVIKEN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61052-2024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46234</v>
      </c>
      <c r="F499" t="inlineStr">
        <is>
          <t>GÄVLEBORGS LÄN</t>
        </is>
      </c>
      <c r="G499" t="inlineStr">
        <is>
          <t>SANDVIKEN</t>
        </is>
      </c>
      <c r="H499" t="inlineStr">
        <is>
          <t>Naturvårdsverket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52785-2023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45226</v>
      </c>
      <c r="E500" s="1" t="n">
        <v>46234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13409-2026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46234</v>
      </c>
      <c r="F501" t="inlineStr">
        <is>
          <t>GÄVLEBORGS LÄN</t>
        </is>
      </c>
      <c r="G501" t="inlineStr">
        <is>
          <t>SANDVIKEN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45701</v>
      </c>
      <c r="E502" s="1" t="n">
        <v>46234</v>
      </c>
      <c r="F502" t="inlineStr">
        <is>
          <t>GÄVLEBORGS LÄN</t>
        </is>
      </c>
      <c r="G502" t="inlineStr">
        <is>
          <t>SANDVIKEN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46234</v>
      </c>
      <c r="F503" t="inlineStr">
        <is>
          <t>GÄVLEBORGS LÄN</t>
        </is>
      </c>
      <c r="G503" t="inlineStr">
        <is>
          <t>SANDVIKEN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13108-2026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46093</v>
      </c>
      <c r="E504" s="1" t="n">
        <v>46234</v>
      </c>
      <c r="F504" t="inlineStr">
        <is>
          <t>GÄVLEBORGS LÄN</t>
        </is>
      </c>
      <c r="G504" t="inlineStr">
        <is>
          <t>SANDVIKEN</t>
        </is>
      </c>
      <c r="I504" t="n">
        <v>22.5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71995-2021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44544</v>
      </c>
      <c r="E505" s="1" t="n">
        <v>46234</v>
      </c>
      <c r="F505" t="inlineStr">
        <is>
          <t>GÄVLEBORGS LÄN</t>
        </is>
      </c>
      <c r="G505" t="inlineStr">
        <is>
          <t>SANDVIKEN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46234</v>
      </c>
      <c r="F506" t="inlineStr">
        <is>
          <t>GÄVLEBORGS LÄN</t>
        </is>
      </c>
      <c r="G506" t="inlineStr">
        <is>
          <t>SANDVIKEN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46234</v>
      </c>
      <c r="F507" t="inlineStr">
        <is>
          <t>GÄVLEBORGS LÄN</t>
        </is>
      </c>
      <c r="G507" t="inlineStr">
        <is>
          <t>SANDVIKEN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38570-2023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45162</v>
      </c>
      <c r="E508" s="1" t="n">
        <v>46234</v>
      </c>
      <c r="F508" t="inlineStr">
        <is>
          <t>GÄVLEBORGS LÄN</t>
        </is>
      </c>
      <c r="G508" t="inlineStr">
        <is>
          <t>SANDVIKEN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46234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13727-2026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46097</v>
      </c>
      <c r="E510" s="1" t="n">
        <v>46234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46095</v>
      </c>
      <c r="E511" s="1" t="n">
        <v>46234</v>
      </c>
      <c r="F511" t="inlineStr">
        <is>
          <t>GÄVLEBORGS LÄN</t>
        </is>
      </c>
      <c r="G511" t="inlineStr">
        <is>
          <t>SANDVIKEN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46095</v>
      </c>
      <c r="E512" s="1" t="n">
        <v>46234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46095</v>
      </c>
      <c r="E513" s="1" t="n">
        <v>46234</v>
      </c>
      <c r="F513" t="inlineStr">
        <is>
          <t>GÄVLEBORGS LÄN</t>
        </is>
      </c>
      <c r="G513" t="inlineStr">
        <is>
          <t>SANDVIKEN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46095</v>
      </c>
      <c r="E514" s="1" t="n">
        <v>46234</v>
      </c>
      <c r="F514" t="inlineStr">
        <is>
          <t>GÄVLEBORGS LÄN</t>
        </is>
      </c>
      <c r="G514" t="inlineStr">
        <is>
          <t>SANDVIKEN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11397-2023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44988</v>
      </c>
      <c r="E515" s="1" t="n">
        <v>46234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46095</v>
      </c>
      <c r="E516" s="1" t="n">
        <v>46234</v>
      </c>
      <c r="F516" t="inlineStr">
        <is>
          <t>GÄVLEBORGS LÄN</t>
        </is>
      </c>
      <c r="G516" t="inlineStr">
        <is>
          <t>SANDVIKEN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46095</v>
      </c>
      <c r="E517" s="1" t="n">
        <v>46234</v>
      </c>
      <c r="F517" t="inlineStr">
        <is>
          <t>GÄVLEBORGS LÄN</t>
        </is>
      </c>
      <c r="G517" t="inlineStr">
        <is>
          <t>SANDVIKEN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46234</v>
      </c>
      <c r="F518" t="inlineStr">
        <is>
          <t>GÄVLEBORGS LÄN</t>
        </is>
      </c>
      <c r="G518" t="inlineStr">
        <is>
          <t>SANDVIKEN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48799-2023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45209</v>
      </c>
      <c r="E519" s="1" t="n">
        <v>46234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14044-2026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46098</v>
      </c>
      <c r="E520" s="1" t="n">
        <v>46234</v>
      </c>
      <c r="F520" t="inlineStr">
        <is>
          <t>GÄVLEBORGS LÄN</t>
        </is>
      </c>
      <c r="G520" t="inlineStr">
        <is>
          <t>SANDVIKEN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46095</v>
      </c>
      <c r="E521" s="1" t="n">
        <v>46234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13605-2026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46097</v>
      </c>
      <c r="E522" s="1" t="n">
        <v>46234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46099</v>
      </c>
      <c r="E523" s="1" t="n">
        <v>46234</v>
      </c>
      <c r="F523" t="inlineStr">
        <is>
          <t>GÄVLEBORGS LÄN</t>
        </is>
      </c>
      <c r="G523" t="inlineStr">
        <is>
          <t>SANDVIKEN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46100</v>
      </c>
      <c r="E524" s="1" t="n">
        <v>46234</v>
      </c>
      <c r="F524" t="inlineStr">
        <is>
          <t>GÄVLEBORGS LÄN</t>
        </is>
      </c>
      <c r="G524" t="inlineStr">
        <is>
          <t>SANDVIKEN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46234</v>
      </c>
      <c r="F525" t="inlineStr">
        <is>
          <t>GÄVLEBORGS LÄN</t>
        </is>
      </c>
      <c r="G525" t="inlineStr">
        <is>
          <t>SANDVIKEN</t>
        </is>
      </c>
      <c r="H525" t="inlineStr">
        <is>
          <t>Sveaskog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46099</v>
      </c>
      <c r="E526" s="1" t="n">
        <v>46234</v>
      </c>
      <c r="F526" t="inlineStr">
        <is>
          <t>GÄVLEBORGS LÄN</t>
        </is>
      </c>
      <c r="G526" t="inlineStr">
        <is>
          <t>SANDVIKEN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46234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14192-2026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46234</v>
      </c>
      <c r="F528" t="inlineStr">
        <is>
          <t>GÄVLEBORGS LÄN</t>
        </is>
      </c>
      <c r="G528" t="inlineStr">
        <is>
          <t>SANDVIKEN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46234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45159</v>
      </c>
      <c r="E530" s="1" t="n">
        <v>46234</v>
      </c>
      <c r="F530" t="inlineStr">
        <is>
          <t>GÄVLEBORGS LÄN</t>
        </is>
      </c>
      <c r="G530" t="inlineStr">
        <is>
          <t>SANDVIKEN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46099</v>
      </c>
      <c r="E531" s="1" t="n">
        <v>46234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46101</v>
      </c>
      <c r="E532" s="1" t="n">
        <v>46234</v>
      </c>
      <c r="F532" t="inlineStr">
        <is>
          <t>GÄVLEBORGS LÄN</t>
        </is>
      </c>
      <c r="G532" t="inlineStr">
        <is>
          <t>SANDVIKEN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44949</v>
      </c>
      <c r="E533" s="1" t="n">
        <v>46234</v>
      </c>
      <c r="F533" t="inlineStr">
        <is>
          <t>GÄVLEBORGS LÄN</t>
        </is>
      </c>
      <c r="G533" t="inlineStr">
        <is>
          <t>SANDVIKEN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46234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14649-2026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46234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46234</v>
      </c>
      <c r="F536" t="inlineStr">
        <is>
          <t>GÄVLEBORGS LÄN</t>
        </is>
      </c>
      <c r="G536" t="inlineStr">
        <is>
          <t>SANDVIKEN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46105</v>
      </c>
      <c r="E537" s="1" t="n">
        <v>46234</v>
      </c>
      <c r="F537" t="inlineStr">
        <is>
          <t>GÄVLEBORGS LÄN</t>
        </is>
      </c>
      <c r="G537" t="inlineStr">
        <is>
          <t>SANDVIKEN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15529-2026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46106</v>
      </c>
      <c r="E538" s="1" t="n">
        <v>46234</v>
      </c>
      <c r="F538" t="inlineStr">
        <is>
          <t>GÄVLEBORGS LÄN</t>
        </is>
      </c>
      <c r="G538" t="inlineStr">
        <is>
          <t>SANDVIKEN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46234</v>
      </c>
      <c r="F539" t="inlineStr">
        <is>
          <t>GÄVLEBORGS LÄN</t>
        </is>
      </c>
      <c r="G539" t="inlineStr">
        <is>
          <t>SANDVIKEN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46234</v>
      </c>
      <c r="F540" t="inlineStr">
        <is>
          <t>GÄVLEBORGS LÄN</t>
        </is>
      </c>
      <c r="G540" t="inlineStr">
        <is>
          <t>SANDVIKEN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15770-2026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46107</v>
      </c>
      <c r="E541" s="1" t="n">
        <v>46234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15778-2026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46107</v>
      </c>
      <c r="E542" s="1" t="n">
        <v>46234</v>
      </c>
      <c r="F542" t="inlineStr">
        <is>
          <t>GÄVLEBORGS LÄN</t>
        </is>
      </c>
      <c r="G542" t="inlineStr">
        <is>
          <t>SANDVIKEN</t>
        </is>
      </c>
      <c r="H542" t="inlineStr">
        <is>
          <t>Kommuner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46107</v>
      </c>
      <c r="E543" s="1" t="n">
        <v>46234</v>
      </c>
      <c r="F543" t="inlineStr">
        <is>
          <t>GÄVLEBORGS LÄN</t>
        </is>
      </c>
      <c r="G543" t="inlineStr">
        <is>
          <t>SANDVIKEN</t>
        </is>
      </c>
      <c r="H543" t="inlineStr">
        <is>
          <t>Kommuner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16019-2026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46234</v>
      </c>
      <c r="F544" t="inlineStr">
        <is>
          <t>GÄVLEBORGS LÄN</t>
        </is>
      </c>
      <c r="G544" t="inlineStr">
        <is>
          <t>SANDVIKEN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16060-2026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46108</v>
      </c>
      <c r="E545" s="1" t="n">
        <v>46234</v>
      </c>
      <c r="F545" t="inlineStr">
        <is>
          <t>GÄVLEBORGS LÄN</t>
        </is>
      </c>
      <c r="G545" t="inlineStr">
        <is>
          <t>SANDVIKEN</t>
        </is>
      </c>
      <c r="H545" t="inlineStr">
        <is>
          <t>Kommuner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10895-2025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45722</v>
      </c>
      <c r="E546" s="1" t="n">
        <v>46234</v>
      </c>
      <c r="F546" t="inlineStr">
        <is>
          <t>GÄVLEBORGS LÄN</t>
        </is>
      </c>
      <c r="G546" t="inlineStr">
        <is>
          <t>SANDVIKEN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16099-2026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46234</v>
      </c>
      <c r="F547" t="inlineStr">
        <is>
          <t>GÄVLEBORGS LÄN</t>
        </is>
      </c>
      <c r="G547" t="inlineStr">
        <is>
          <t>SANDVIKEN</t>
        </is>
      </c>
      <c r="H547" t="inlineStr">
        <is>
          <t>Kommuner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54443-2024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45617</v>
      </c>
      <c r="E548" s="1" t="n">
        <v>46234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16242-2026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46234</v>
      </c>
      <c r="F549" t="inlineStr">
        <is>
          <t>GÄVLEBORGS LÄN</t>
        </is>
      </c>
      <c r="G549" t="inlineStr">
        <is>
          <t>SANDVIKEN</t>
        </is>
      </c>
      <c r="H549" t="inlineStr">
        <is>
          <t>Kommuner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46111</v>
      </c>
      <c r="E550" s="1" t="n">
        <v>46234</v>
      </c>
      <c r="F550" t="inlineStr">
        <is>
          <t>GÄVLEBORGS LÄN</t>
        </is>
      </c>
      <c r="G550" t="inlineStr">
        <is>
          <t>SANDVIKEN</t>
        </is>
      </c>
      <c r="H550" t="inlineStr">
        <is>
          <t>Kommuner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16328-2026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46111</v>
      </c>
      <c r="E551" s="1" t="n">
        <v>46234</v>
      </c>
      <c r="F551" t="inlineStr">
        <is>
          <t>GÄVLEBORGS LÄN</t>
        </is>
      </c>
      <c r="G551" t="inlineStr">
        <is>
          <t>SANDVIKEN</t>
        </is>
      </c>
      <c r="H551" t="inlineStr">
        <is>
          <t>Kommuner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46049</v>
      </c>
      <c r="E552" s="1" t="n">
        <v>46234</v>
      </c>
      <c r="F552" t="inlineStr">
        <is>
          <t>GÄVLEBORGS LÄN</t>
        </is>
      </c>
      <c r="G552" t="inlineStr">
        <is>
          <t>SANDVIKEN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1039-2025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45666</v>
      </c>
      <c r="E553" s="1" t="n">
        <v>46234</v>
      </c>
      <c r="F553" t="inlineStr">
        <is>
          <t>GÄVLEBORGS LÄN</t>
        </is>
      </c>
      <c r="G553" t="inlineStr">
        <is>
          <t>SANDVIKEN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16569-2026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46112</v>
      </c>
      <c r="E554" s="1" t="n">
        <v>46234</v>
      </c>
      <c r="F554" t="inlineStr">
        <is>
          <t>GÄVLEBORGS LÄN</t>
        </is>
      </c>
      <c r="G554" t="inlineStr">
        <is>
          <t>SANDVIKEN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7624-2023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44972</v>
      </c>
      <c r="E555" s="1" t="n">
        <v>46234</v>
      </c>
      <c r="F555" t="inlineStr">
        <is>
          <t>GÄVLEBORGS LÄN</t>
        </is>
      </c>
      <c r="G555" t="inlineStr">
        <is>
          <t>SANDVIKEN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49706-2023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45212</v>
      </c>
      <c r="E556" s="1" t="n">
        <v>46234</v>
      </c>
      <c r="F556" t="inlineStr">
        <is>
          <t>GÄVLEBORGS LÄN</t>
        </is>
      </c>
      <c r="G556" t="inlineStr">
        <is>
          <t>SANDVIKEN</t>
        </is>
      </c>
      <c r="H556" t="inlineStr">
        <is>
          <t>Sveaskog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16958-2026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46114</v>
      </c>
      <c r="E557" s="1" t="n">
        <v>46234</v>
      </c>
      <c r="F557" t="inlineStr">
        <is>
          <t>GÄVLEBORGS LÄN</t>
        </is>
      </c>
      <c r="G557" t="inlineStr">
        <is>
          <t>SANDVIKEN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17172-2026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46115</v>
      </c>
      <c r="E558" s="1" t="n">
        <v>46234</v>
      </c>
      <c r="F558" t="inlineStr">
        <is>
          <t>GÄVLEBORGS LÄN</t>
        </is>
      </c>
      <c r="G558" t="inlineStr">
        <is>
          <t>SANDVIKEN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46116</v>
      </c>
      <c r="E559" s="1" t="n">
        <v>46234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17165-2026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46115</v>
      </c>
      <c r="E560" s="1" t="n">
        <v>46234</v>
      </c>
      <c r="F560" t="inlineStr">
        <is>
          <t>GÄVLEBORGS LÄN</t>
        </is>
      </c>
      <c r="G560" t="inlineStr">
        <is>
          <t>SANDVIKEN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17175-2026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46115</v>
      </c>
      <c r="E561" s="1" t="n">
        <v>46234</v>
      </c>
      <c r="F561" t="inlineStr">
        <is>
          <t>GÄVLEBORGS LÄN</t>
        </is>
      </c>
      <c r="G561" t="inlineStr">
        <is>
          <t>SANDVIKEN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17180-2026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46116</v>
      </c>
      <c r="E562" s="1" t="n">
        <v>46234</v>
      </c>
      <c r="F562" t="inlineStr">
        <is>
          <t>GÄVLEBORGS LÄN</t>
        </is>
      </c>
      <c r="G562" t="inlineStr">
        <is>
          <t>SANDVIKEN</t>
        </is>
      </c>
      <c r="I562" t="n">
        <v>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17171-2026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46115</v>
      </c>
      <c r="E563" s="1" t="n">
        <v>46234</v>
      </c>
      <c r="F563" t="inlineStr">
        <is>
          <t>GÄVLEBORGS LÄN</t>
        </is>
      </c>
      <c r="G563" t="inlineStr">
        <is>
          <t>SANDVIKEN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17183-2026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46116</v>
      </c>
      <c r="E564" s="1" t="n">
        <v>46234</v>
      </c>
      <c r="F564" t="inlineStr">
        <is>
          <t>GÄVLEBORGS LÄN</t>
        </is>
      </c>
      <c r="G564" t="inlineStr">
        <is>
          <t>SANDVIKEN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17166-2026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46115</v>
      </c>
      <c r="E565" s="1" t="n">
        <v>46234</v>
      </c>
      <c r="F565" t="inlineStr">
        <is>
          <t>GÄVLEBORGS LÄN</t>
        </is>
      </c>
      <c r="G565" t="inlineStr">
        <is>
          <t>SANDVIKEN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46115</v>
      </c>
      <c r="E566" s="1" t="n">
        <v>46234</v>
      </c>
      <c r="F566" t="inlineStr">
        <is>
          <t>GÄVLEBORGS LÄN</t>
        </is>
      </c>
      <c r="G566" t="inlineStr">
        <is>
          <t>SANDVIKEN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46234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46234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10575-2025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45721</v>
      </c>
      <c r="E569" s="1" t="n">
        <v>46234</v>
      </c>
      <c r="F569" t="inlineStr">
        <is>
          <t>GÄVLEBORGS LÄN</t>
        </is>
      </c>
      <c r="G569" t="inlineStr">
        <is>
          <t>SANDVIKEN</t>
        </is>
      </c>
      <c r="H569" t="inlineStr">
        <is>
          <t>Sveaskog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46234</v>
      </c>
      <c r="F570" t="inlineStr">
        <is>
          <t>GÄVLEBORGS LÄN</t>
        </is>
      </c>
      <c r="G570" t="inlineStr">
        <is>
          <t>SANDVIKEN</t>
        </is>
      </c>
      <c r="H570" t="inlineStr">
        <is>
          <t>Sveaskog</t>
        </is>
      </c>
      <c r="I570" t="n">
        <v>10.9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46234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45721</v>
      </c>
      <c r="E572" s="1" t="n">
        <v>46234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46234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46234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46234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46120</v>
      </c>
      <c r="E576" s="1" t="n">
        <v>46234</v>
      </c>
      <c r="F576" t="inlineStr">
        <is>
          <t>GÄVLEBORGS LÄN</t>
        </is>
      </c>
      <c r="G576" t="inlineStr">
        <is>
          <t>SANDVIKEN</t>
        </is>
      </c>
      <c r="H576" t="inlineStr">
        <is>
          <t>Sveaskog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17859-2026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46122</v>
      </c>
      <c r="E577" s="1" t="n">
        <v>46234</v>
      </c>
      <c r="F577" t="inlineStr">
        <is>
          <t>GÄVLEBORGS LÄN</t>
        </is>
      </c>
      <c r="G577" t="inlineStr">
        <is>
          <t>SANDVIKEN</t>
        </is>
      </c>
      <c r="H577" t="inlineStr">
        <is>
          <t>Sveaskog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17626-2026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46121</v>
      </c>
      <c r="E578" s="1" t="n">
        <v>46234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17596-2026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46121</v>
      </c>
      <c r="E579" s="1" t="n">
        <v>46234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23539-2026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46163</v>
      </c>
      <c r="E580" s="1" t="n">
        <v>46234</v>
      </c>
      <c r="F580" t="inlineStr">
        <is>
          <t>GÄVLEBORGS LÄN</t>
        </is>
      </c>
      <c r="G580" t="inlineStr">
        <is>
          <t>SANDVIKEN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23162-2023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45075</v>
      </c>
      <c r="E581" s="1" t="n">
        <v>46234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29296-2024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45483</v>
      </c>
      <c r="E582" s="1" t="n">
        <v>46234</v>
      </c>
      <c r="F582" t="inlineStr">
        <is>
          <t>GÄVLEBORGS LÄN</t>
        </is>
      </c>
      <c r="G582" t="inlineStr">
        <is>
          <t>SANDVIKEN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18218-2026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46234</v>
      </c>
      <c r="F583" t="inlineStr">
        <is>
          <t>GÄVLEBORGS LÄN</t>
        </is>
      </c>
      <c r="G583" t="inlineStr">
        <is>
          <t>SANDVIKEN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18224-2026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46234</v>
      </c>
      <c r="F584" t="inlineStr">
        <is>
          <t>GÄVLEBORGS LÄN</t>
        </is>
      </c>
      <c r="G584" t="inlineStr">
        <is>
          <t>SANDVIKEN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46126</v>
      </c>
      <c r="E585" s="1" t="n">
        <v>46234</v>
      </c>
      <c r="F585" t="inlineStr">
        <is>
          <t>GÄVLEBORGS LÄN</t>
        </is>
      </c>
      <c r="G585" t="inlineStr">
        <is>
          <t>SANDVIKEN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18219-2026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46126</v>
      </c>
      <c r="E586" s="1" t="n">
        <v>46234</v>
      </c>
      <c r="F586" t="inlineStr">
        <is>
          <t>GÄVLEBORGS LÄN</t>
        </is>
      </c>
      <c r="G586" t="inlineStr">
        <is>
          <t>SANDVIKEN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18988-2026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46129</v>
      </c>
      <c r="E587" s="1" t="n">
        <v>46234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46129</v>
      </c>
      <c r="E588" s="1" t="n">
        <v>46234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18997-2026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46129</v>
      </c>
      <c r="E589" s="1" t="n">
        <v>46234</v>
      </c>
      <c r="F589" t="inlineStr">
        <is>
          <t>GÄVLEBORGS LÄN</t>
        </is>
      </c>
      <c r="G589" t="inlineStr">
        <is>
          <t>SANDVIKEN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46234</v>
      </c>
      <c r="F590" t="inlineStr">
        <is>
          <t>GÄVLEBORGS LÄN</t>
        </is>
      </c>
      <c r="G590" t="inlineStr">
        <is>
          <t>SANDVIKEN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46234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46234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43090-2023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45182</v>
      </c>
      <c r="E593" s="1" t="n">
        <v>46234</v>
      </c>
      <c r="F593" t="inlineStr">
        <is>
          <t>GÄVLEBORGS LÄN</t>
        </is>
      </c>
      <c r="G593" t="inlineStr">
        <is>
          <t>SANDVIKEN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46099</v>
      </c>
      <c r="E594" s="1" t="n">
        <v>46234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46129</v>
      </c>
      <c r="E595" s="1" t="n">
        <v>46234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18987-2026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46129</v>
      </c>
      <c r="E596" s="1" t="n">
        <v>46234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18749-2026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46234</v>
      </c>
      <c r="F597" t="inlineStr">
        <is>
          <t>GÄVLEBORGS LÄN</t>
        </is>
      </c>
      <c r="G597" t="inlineStr">
        <is>
          <t>SANDVIKEN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46128</v>
      </c>
      <c r="E598" s="1" t="n">
        <v>46234</v>
      </c>
      <c r="F598" t="inlineStr">
        <is>
          <t>GÄVLEBORGS LÄN</t>
        </is>
      </c>
      <c r="G598" t="inlineStr">
        <is>
          <t>SANDVIKEN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46234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45102-2022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44843</v>
      </c>
      <c r="E600" s="1" t="n">
        <v>46234</v>
      </c>
      <c r="F600" t="inlineStr">
        <is>
          <t>GÄVLEBORGS LÄN</t>
        </is>
      </c>
      <c r="G600" t="inlineStr">
        <is>
          <t>SANDVIKEN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4502-2024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45327</v>
      </c>
      <c r="E601" s="1" t="n">
        <v>46234</v>
      </c>
      <c r="F601" t="inlineStr">
        <is>
          <t>GÄVLEBORGS LÄN</t>
        </is>
      </c>
      <c r="G601" t="inlineStr">
        <is>
          <t>SANDVIKEN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19189-2026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46132</v>
      </c>
      <c r="E602" s="1" t="n">
        <v>46234</v>
      </c>
      <c r="F602" t="inlineStr">
        <is>
          <t>GÄVLEBORGS LÄN</t>
        </is>
      </c>
      <c r="G602" t="inlineStr">
        <is>
          <t>SANDVIKEN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46234</v>
      </c>
      <c r="F603" t="inlineStr">
        <is>
          <t>GÄVLEBORGS LÄN</t>
        </is>
      </c>
      <c r="G603" t="inlineStr">
        <is>
          <t>SANDVIKEN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46130</v>
      </c>
      <c r="E604" s="1" t="n">
        <v>46234</v>
      </c>
      <c r="F604" t="inlineStr">
        <is>
          <t>GÄVLEBORGS LÄN</t>
        </is>
      </c>
      <c r="G604" t="inlineStr">
        <is>
          <t>SANDVIKEN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19083-2026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46234</v>
      </c>
      <c r="F605" t="inlineStr">
        <is>
          <t>GÄVLEBORGS LÄN</t>
        </is>
      </c>
      <c r="G605" t="inlineStr">
        <is>
          <t>SANDVIKEN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46234</v>
      </c>
      <c r="F606" t="inlineStr">
        <is>
          <t>GÄVLEBORGS LÄN</t>
        </is>
      </c>
      <c r="G606" t="inlineStr">
        <is>
          <t>SANDVIKEN</t>
        </is>
      </c>
      <c r="H606" t="inlineStr">
        <is>
          <t>Naturvårdsverket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46234</v>
      </c>
      <c r="F607" t="inlineStr">
        <is>
          <t>GÄVLEBORGS LÄN</t>
        </is>
      </c>
      <c r="G607" t="inlineStr">
        <is>
          <t>SANDVIKEN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46234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10.1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46132</v>
      </c>
      <c r="E609" s="1" t="n">
        <v>46234</v>
      </c>
      <c r="F609" t="inlineStr">
        <is>
          <t>GÄVLEBORGS LÄN</t>
        </is>
      </c>
      <c r="G609" t="inlineStr">
        <is>
          <t>SANDVIKEN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12675-2026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46091</v>
      </c>
      <c r="E610" s="1" t="n">
        <v>46234</v>
      </c>
      <c r="F610" t="inlineStr">
        <is>
          <t>GÄVLEBORGS LÄN</t>
        </is>
      </c>
      <c r="G610" t="inlineStr">
        <is>
          <t>SANDVIKEN</t>
        </is>
      </c>
      <c r="H610" t="inlineStr">
        <is>
          <t>Naturvårdsverket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19865-2026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46135</v>
      </c>
      <c r="E611" s="1" t="n">
        <v>46234</v>
      </c>
      <c r="F611" t="inlineStr">
        <is>
          <t>GÄVLEBORGS LÄN</t>
        </is>
      </c>
      <c r="G611" t="inlineStr">
        <is>
          <t>SANDVIKEN</t>
        </is>
      </c>
      <c r="H611" t="inlineStr">
        <is>
          <t>Sveaskog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37697-2022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44810</v>
      </c>
      <c r="E612" s="1" t="n">
        <v>46234</v>
      </c>
      <c r="F612" t="inlineStr">
        <is>
          <t>GÄVLEBORGS LÄN</t>
        </is>
      </c>
      <c r="G612" t="inlineStr">
        <is>
          <t>SANDVIKEN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19827-2026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46135</v>
      </c>
      <c r="E613" s="1" t="n">
        <v>46234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46086</v>
      </c>
      <c r="E614" s="1" t="n">
        <v>46234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8603-2026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46234</v>
      </c>
      <c r="F615" t="inlineStr">
        <is>
          <t>GÄVLEBORGS LÄN</t>
        </is>
      </c>
      <c r="G615" t="inlineStr">
        <is>
          <t>SANDVIKEN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45698</v>
      </c>
      <c r="E616" s="1" t="n">
        <v>46234</v>
      </c>
      <c r="F616" t="inlineStr">
        <is>
          <t>GÄVLEBORGS LÄN</t>
        </is>
      </c>
      <c r="G616" t="inlineStr">
        <is>
          <t>SANDVIKEN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12382-2026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46234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49211-2023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45210</v>
      </c>
      <c r="E618" s="1" t="n">
        <v>46234</v>
      </c>
      <c r="F618" t="inlineStr">
        <is>
          <t>GÄVLEBORGS LÄN</t>
        </is>
      </c>
      <c r="G618" t="inlineStr">
        <is>
          <t>SANDVIKEN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46091</v>
      </c>
      <c r="E619" s="1" t="n">
        <v>46234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61537-2023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45265</v>
      </c>
      <c r="E620" s="1" t="n">
        <v>46234</v>
      </c>
      <c r="F620" t="inlineStr">
        <is>
          <t>GÄVLEBORGS LÄN</t>
        </is>
      </c>
      <c r="G620" t="inlineStr">
        <is>
          <t>SANDVIKEN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45867</v>
      </c>
      <c r="E621" s="1" t="n">
        <v>46234</v>
      </c>
      <c r="F621" t="inlineStr">
        <is>
          <t>GÄVLEBORGS LÄN</t>
        </is>
      </c>
      <c r="G621" t="inlineStr">
        <is>
          <t>SANDVIKEN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44586</v>
      </c>
      <c r="E622" s="1" t="n">
        <v>46234</v>
      </c>
      <c r="F622" t="inlineStr">
        <is>
          <t>GÄVLEBORGS LÄN</t>
        </is>
      </c>
      <c r="G622" t="inlineStr">
        <is>
          <t>SANDVIKEN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27969-2024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46234</v>
      </c>
      <c r="F623" t="inlineStr">
        <is>
          <t>GÄVLEBORGS LÄN</t>
        </is>
      </c>
      <c r="G623" t="inlineStr">
        <is>
          <t>SANDVIKEN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58911-2023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45250</v>
      </c>
      <c r="E624" s="1" t="n">
        <v>46234</v>
      </c>
      <c r="F624" t="inlineStr">
        <is>
          <t>GÄVLEBORGS LÄN</t>
        </is>
      </c>
      <c r="G624" t="inlineStr">
        <is>
          <t>SANDVIKEN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46036</v>
      </c>
      <c r="E625" s="1" t="n">
        <v>46234</v>
      </c>
      <c r="F625" t="inlineStr">
        <is>
          <t>GÄVLEBORGS LÄN</t>
        </is>
      </c>
      <c r="G625" t="inlineStr">
        <is>
          <t>SANDVIKEN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45303</v>
      </c>
      <c r="E626" s="1" t="n">
        <v>46234</v>
      </c>
      <c r="F626" t="inlineStr">
        <is>
          <t>GÄVLEBORGS LÄN</t>
        </is>
      </c>
      <c r="G626" t="inlineStr">
        <is>
          <t>SANDVIKEN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56734-2021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44481</v>
      </c>
      <c r="E627" s="1" t="n">
        <v>46234</v>
      </c>
      <c r="F627" t="inlineStr">
        <is>
          <t>GÄVLEBORGS LÄN</t>
        </is>
      </c>
      <c r="G627" t="inlineStr">
        <is>
          <t>SANDVIKEN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30714-2023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45112</v>
      </c>
      <c r="E628" s="1" t="n">
        <v>46234</v>
      </c>
      <c r="F628" t="inlineStr">
        <is>
          <t>GÄVLEBORGS LÄN</t>
        </is>
      </c>
      <c r="G628" t="inlineStr">
        <is>
          <t>SANDVIKEN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49209-2024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45595</v>
      </c>
      <c r="E629" s="1" t="n">
        <v>46234</v>
      </c>
      <c r="F629" t="inlineStr">
        <is>
          <t>GÄVLEBORGS LÄN</t>
        </is>
      </c>
      <c r="G629" t="inlineStr">
        <is>
          <t>SANDVIKEN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45905</v>
      </c>
      <c r="E630" s="1" t="n">
        <v>46234</v>
      </c>
      <c r="F630" t="inlineStr">
        <is>
          <t>GÄVLEBORGS LÄN</t>
        </is>
      </c>
      <c r="G630" t="inlineStr">
        <is>
          <t>SANDVIKEN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8379-2025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45709</v>
      </c>
      <c r="E631" s="1" t="n">
        <v>46234</v>
      </c>
      <c r="F631" t="inlineStr">
        <is>
          <t>GÄVLEBORGS LÄN</t>
        </is>
      </c>
      <c r="G631" t="inlineStr">
        <is>
          <t>SANDVIKEN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46035</v>
      </c>
      <c r="E632" s="1" t="n">
        <v>46234</v>
      </c>
      <c r="F632" t="inlineStr">
        <is>
          <t>GÄVLEBORGS LÄN</t>
        </is>
      </c>
      <c r="G632" t="inlineStr">
        <is>
          <t>SANDVIKEN</t>
        </is>
      </c>
      <c r="I632" t="n">
        <v>6.9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46234</v>
      </c>
      <c r="F633" t="inlineStr">
        <is>
          <t>GÄVLEBORGS LÄN</t>
        </is>
      </c>
      <c r="G633" t="inlineStr">
        <is>
          <t>SANDVIKEN</t>
        </is>
      </c>
      <c r="I633" t="n">
        <v>10.1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11205-2026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46080</v>
      </c>
      <c r="E634" s="1" t="n">
        <v>46234</v>
      </c>
      <c r="F634" t="inlineStr">
        <is>
          <t>GÄVLEBORGS LÄN</t>
        </is>
      </c>
      <c r="G634" t="inlineStr">
        <is>
          <t>SANDVIKEN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63309-2023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46234</v>
      </c>
      <c r="F635" t="inlineStr">
        <is>
          <t>GÄVLEBORGS LÄN</t>
        </is>
      </c>
      <c r="G635" t="inlineStr">
        <is>
          <t>SANDVIKEN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46234</v>
      </c>
      <c r="F636" t="inlineStr">
        <is>
          <t>GÄVLEBORGS LÄN</t>
        </is>
      </c>
      <c r="G636" t="inlineStr">
        <is>
          <t>SANDVIKEN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19499-2026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46234</v>
      </c>
      <c r="F637" t="inlineStr">
        <is>
          <t>GÄVLEBORGS LÄN</t>
        </is>
      </c>
      <c r="G637" t="inlineStr">
        <is>
          <t>SANDVIKEN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46029</v>
      </c>
      <c r="E638" s="1" t="n">
        <v>46234</v>
      </c>
      <c r="F638" t="inlineStr">
        <is>
          <t>GÄVLEBORGS LÄN</t>
        </is>
      </c>
      <c r="G638" t="inlineStr">
        <is>
          <t>SANDVIKEN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55539-2023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45238</v>
      </c>
      <c r="E639" s="1" t="n">
        <v>46234</v>
      </c>
      <c r="F639" t="inlineStr">
        <is>
          <t>GÄVLEBORGS LÄN</t>
        </is>
      </c>
      <c r="G639" t="inlineStr">
        <is>
          <t>SANDVIKEN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17818-2025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45758</v>
      </c>
      <c r="E640" s="1" t="n">
        <v>46234</v>
      </c>
      <c r="F640" t="inlineStr">
        <is>
          <t>GÄVLEBORGS LÄN</t>
        </is>
      </c>
      <c r="G640" t="inlineStr">
        <is>
          <t>SANDVIKEN</t>
        </is>
      </c>
      <c r="H640" t="inlineStr">
        <is>
          <t>Sveaskog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7599-2026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46061</v>
      </c>
      <c r="E641" s="1" t="n">
        <v>46234</v>
      </c>
      <c r="F641" t="inlineStr">
        <is>
          <t>GÄVLEBORGS LÄN</t>
        </is>
      </c>
      <c r="G641" t="inlineStr">
        <is>
          <t>SANDVIKEN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27987-2024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45476</v>
      </c>
      <c r="E642" s="1" t="n">
        <v>46234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46037</v>
      </c>
      <c r="E643" s="1" t="n">
        <v>46234</v>
      </c>
      <c r="F643" t="inlineStr">
        <is>
          <t>GÄVLEBORGS LÄN</t>
        </is>
      </c>
      <c r="G643" t="inlineStr">
        <is>
          <t>SANDVIKEN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46234</v>
      </c>
      <c r="F644" t="inlineStr">
        <is>
          <t>GÄVLEBORGS LÄN</t>
        </is>
      </c>
      <c r="G644" t="inlineStr">
        <is>
          <t>SANDVIKEN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7898-2026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46234</v>
      </c>
      <c r="F645" t="inlineStr">
        <is>
          <t>GÄVLEBORGS LÄN</t>
        </is>
      </c>
      <c r="G645" t="inlineStr">
        <is>
          <t>SANDVIKEN</t>
        </is>
      </c>
      <c r="I645" t="n">
        <v>5.6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42107-2024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46234</v>
      </c>
      <c r="F646" t="inlineStr">
        <is>
          <t>GÄVLEBORGS LÄN</t>
        </is>
      </c>
      <c r="G646" t="inlineStr">
        <is>
          <t>SANDVIKEN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45221-2021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44439</v>
      </c>
      <c r="E647" s="1" t="n">
        <v>46234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7.6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14910-2026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46234</v>
      </c>
      <c r="F648" t="inlineStr">
        <is>
          <t>GÄVLEBORGS LÄN</t>
        </is>
      </c>
      <c r="G648" t="inlineStr">
        <is>
          <t>SANDVIKEN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19910-2026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46136</v>
      </c>
      <c r="E649" s="1" t="n">
        <v>46234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46234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8698-2024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45356</v>
      </c>
      <c r="E651" s="1" t="n">
        <v>46234</v>
      </c>
      <c r="F651" t="inlineStr">
        <is>
          <t>GÄVLEBORGS LÄN</t>
        </is>
      </c>
      <c r="G651" t="inlineStr">
        <is>
          <t>SANDVIKEN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4539-2026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46046</v>
      </c>
      <c r="E652" s="1" t="n">
        <v>46234</v>
      </c>
      <c r="F652" t="inlineStr">
        <is>
          <t>GÄVLEBORGS LÄN</t>
        </is>
      </c>
      <c r="G652" t="inlineStr">
        <is>
          <t>SANDVIKEN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40745-2024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45558</v>
      </c>
      <c r="E653" s="1" t="n">
        <v>46234</v>
      </c>
      <c r="F653" t="inlineStr">
        <is>
          <t>GÄVLEBORGS LÄN</t>
        </is>
      </c>
      <c r="G653" t="inlineStr">
        <is>
          <t>SANDVIKEN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45602</v>
      </c>
      <c r="E654" s="1" t="n">
        <v>46234</v>
      </c>
      <c r="F654" t="inlineStr">
        <is>
          <t>GÄVLEBORGS LÄN</t>
        </is>
      </c>
      <c r="G654" t="inlineStr">
        <is>
          <t>SANDVIKEN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45279-2023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46234</v>
      </c>
      <c r="F655" t="inlineStr">
        <is>
          <t>GÄVLEBORGS LÄN</t>
        </is>
      </c>
      <c r="G655" t="inlineStr">
        <is>
          <t>SANDVIKEN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13194-2025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46234</v>
      </c>
      <c r="F656" t="inlineStr">
        <is>
          <t>GÄVLEBORGS LÄN</t>
        </is>
      </c>
      <c r="G656" t="inlineStr">
        <is>
          <t>SANDVIKEN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9601-2026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46071</v>
      </c>
      <c r="E657" s="1" t="n">
        <v>46234</v>
      </c>
      <c r="F657" t="inlineStr">
        <is>
          <t>GÄVLEBORGS LÄN</t>
        </is>
      </c>
      <c r="G657" t="inlineStr">
        <is>
          <t>SANDVIKEN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19904-2026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46136</v>
      </c>
      <c r="E658" s="1" t="n">
        <v>46234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10.9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46069</v>
      </c>
      <c r="E659" s="1" t="n">
        <v>46234</v>
      </c>
      <c r="F659" t="inlineStr">
        <is>
          <t>GÄVLEBORGS LÄN</t>
        </is>
      </c>
      <c r="G659" t="inlineStr">
        <is>
          <t>SANDVIKEN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11897-2024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45376</v>
      </c>
      <c r="E660" s="1" t="n">
        <v>46234</v>
      </c>
      <c r="F660" t="inlineStr">
        <is>
          <t>GÄVLEBORGS LÄN</t>
        </is>
      </c>
      <c r="G660" t="inlineStr">
        <is>
          <t>SANDVIKEN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44717-2025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45917</v>
      </c>
      <c r="E661" s="1" t="n">
        <v>46234</v>
      </c>
      <c r="F661" t="inlineStr">
        <is>
          <t>GÄVLEBORGS LÄN</t>
        </is>
      </c>
      <c r="G661" t="inlineStr">
        <is>
          <t>SANDVIKEN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23217-2023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45075</v>
      </c>
      <c r="E662" s="1" t="n">
        <v>46234</v>
      </c>
      <c r="F662" t="inlineStr">
        <is>
          <t>GÄVLEBORGS LÄN</t>
        </is>
      </c>
      <c r="G662" t="inlineStr">
        <is>
          <t>SANDVIKEN</t>
        </is>
      </c>
      <c r="H662" t="inlineStr">
        <is>
          <t>Sveaskog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46234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36656-2024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45537</v>
      </c>
      <c r="E664" s="1" t="n">
        <v>46234</v>
      </c>
      <c r="F664" t="inlineStr">
        <is>
          <t>GÄVLEBORGS LÄN</t>
        </is>
      </c>
      <c r="G664" t="inlineStr">
        <is>
          <t>SANDVIKEN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45779</v>
      </c>
      <c r="E665" s="1" t="n">
        <v>46234</v>
      </c>
      <c r="F665" t="inlineStr">
        <is>
          <t>GÄVLEBORGS LÄN</t>
        </is>
      </c>
      <c r="G665" t="inlineStr">
        <is>
          <t>SANDVIKEN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46234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46042</v>
      </c>
      <c r="E667" s="1" t="n">
        <v>46234</v>
      </c>
      <c r="F667" t="inlineStr">
        <is>
          <t>GÄVLEBORGS LÄN</t>
        </is>
      </c>
      <c r="G667" t="inlineStr">
        <is>
          <t>SANDVIKEN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11967-2025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45728</v>
      </c>
      <c r="E668" s="1" t="n">
        <v>46234</v>
      </c>
      <c r="F668" t="inlineStr">
        <is>
          <t>GÄVLEBORGS LÄN</t>
        </is>
      </c>
      <c r="G668" t="inlineStr">
        <is>
          <t>SANDVIKEN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6956-2026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46234</v>
      </c>
      <c r="F669" t="inlineStr">
        <is>
          <t>GÄVLEBORGS LÄN</t>
        </is>
      </c>
      <c r="G669" t="inlineStr">
        <is>
          <t>SANDVIKEN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46044</v>
      </c>
      <c r="E670" s="1" t="n">
        <v>46234</v>
      </c>
      <c r="F670" t="inlineStr">
        <is>
          <t>GÄVLEBORGS LÄN</t>
        </is>
      </c>
      <c r="G670" t="inlineStr">
        <is>
          <t>SANDVIKEN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42069-2024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46234</v>
      </c>
      <c r="F671" t="inlineStr">
        <is>
          <t>GÄVLEBORGS LÄN</t>
        </is>
      </c>
      <c r="G671" t="inlineStr">
        <is>
          <t>SANDVIKEN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22070-2023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45069</v>
      </c>
      <c r="E672" s="1" t="n">
        <v>46234</v>
      </c>
      <c r="F672" t="inlineStr">
        <is>
          <t>GÄVLEBORGS LÄN</t>
        </is>
      </c>
      <c r="G672" t="inlineStr">
        <is>
          <t>SANDVIKEN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9603-2026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46234</v>
      </c>
      <c r="F673" t="inlineStr">
        <is>
          <t>GÄVLEBORGS LÄN</t>
        </is>
      </c>
      <c r="G673" t="inlineStr">
        <is>
          <t>SANDVIKEN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8952-2026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46069</v>
      </c>
      <c r="E674" s="1" t="n">
        <v>46234</v>
      </c>
      <c r="F674" t="inlineStr">
        <is>
          <t>GÄVLEBORGS LÄN</t>
        </is>
      </c>
      <c r="G674" t="inlineStr">
        <is>
          <t>SANDVIKEN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8570-2026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46065</v>
      </c>
      <c r="E675" s="1" t="n">
        <v>46234</v>
      </c>
      <c r="F675" t="inlineStr">
        <is>
          <t>GÄVLEBORGS LÄN</t>
        </is>
      </c>
      <c r="G675" t="inlineStr">
        <is>
          <t>SANDVIKEN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7911-2026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46063</v>
      </c>
      <c r="E676" s="1" t="n">
        <v>46234</v>
      </c>
      <c r="F676" t="inlineStr">
        <is>
          <t>GÄVLEBORGS LÄN</t>
        </is>
      </c>
      <c r="G676" t="inlineStr">
        <is>
          <t>SANDVIKEN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46058</v>
      </c>
      <c r="E677" s="1" t="n">
        <v>46234</v>
      </c>
      <c r="F677" t="inlineStr">
        <is>
          <t>GÄVLEBORGS LÄN</t>
        </is>
      </c>
      <c r="G677" t="inlineStr">
        <is>
          <t>SANDVIKEN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46058</v>
      </c>
      <c r="E678" s="1" t="n">
        <v>46234</v>
      </c>
      <c r="F678" t="inlineStr">
        <is>
          <t>GÄVLEBORGS LÄN</t>
        </is>
      </c>
      <c r="G678" t="inlineStr">
        <is>
          <t>SANDVIKEN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12477-2026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46090</v>
      </c>
      <c r="E679" s="1" t="n">
        <v>46234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8604-2026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46065</v>
      </c>
      <c r="E680" s="1" t="n">
        <v>46234</v>
      </c>
      <c r="F680" t="inlineStr">
        <is>
          <t>GÄVLEBORGS LÄN</t>
        </is>
      </c>
      <c r="G680" t="inlineStr">
        <is>
          <t>SANDVIKEN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23085-2023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45075</v>
      </c>
      <c r="E681" s="1" t="n">
        <v>46234</v>
      </c>
      <c r="F681" t="inlineStr">
        <is>
          <t>GÄVLEBORGS LÄN</t>
        </is>
      </c>
      <c r="G681" t="inlineStr">
        <is>
          <t>SANDVIKEN</t>
        </is>
      </c>
      <c r="I681" t="n">
        <v>8.300000000000001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36833-2022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44805</v>
      </c>
      <c r="E682" s="1" t="n">
        <v>46234</v>
      </c>
      <c r="F682" t="inlineStr">
        <is>
          <t>GÄVLEBORGS LÄN</t>
        </is>
      </c>
      <c r="G682" t="inlineStr">
        <is>
          <t>SANDVIKEN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20618-2026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46140</v>
      </c>
      <c r="E683" s="1" t="n">
        <v>46234</v>
      </c>
      <c r="F683" t="inlineStr">
        <is>
          <t>GÄVLEBORGS LÄN</t>
        </is>
      </c>
      <c r="G683" t="inlineStr">
        <is>
          <t>SANDVIKEN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6428-2026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46055</v>
      </c>
      <c r="E684" s="1" t="n">
        <v>46234</v>
      </c>
      <c r="F684" t="inlineStr">
        <is>
          <t>GÄVLEBORGS LÄN</t>
        </is>
      </c>
      <c r="G684" t="inlineStr">
        <is>
          <t>SANDVIKEN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7924-2026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46234</v>
      </c>
      <c r="F685" t="inlineStr">
        <is>
          <t>GÄVLEBORGS LÄN</t>
        </is>
      </c>
      <c r="G685" t="inlineStr">
        <is>
          <t>SANDVIKEN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20636-2026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46141</v>
      </c>
      <c r="E686" s="1" t="n">
        <v>46234</v>
      </c>
      <c r="F686" t="inlineStr">
        <is>
          <t>GÄVLEBORGS LÄN</t>
        </is>
      </c>
      <c r="G686" t="inlineStr">
        <is>
          <t>SANDVIKEN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28063-2023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45099</v>
      </c>
      <c r="E687" s="1" t="n">
        <v>46234</v>
      </c>
      <c r="F687" t="inlineStr">
        <is>
          <t>GÄVLEBORGS LÄN</t>
        </is>
      </c>
      <c r="G687" t="inlineStr">
        <is>
          <t>SANDVIKEN</t>
        </is>
      </c>
      <c r="I687" t="n">
        <v>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59738-2022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44908</v>
      </c>
      <c r="E688" s="1" t="n">
        <v>46234</v>
      </c>
      <c r="F688" t="inlineStr">
        <is>
          <t>GÄVLEBORGS LÄN</t>
        </is>
      </c>
      <c r="G688" t="inlineStr">
        <is>
          <t>SANDVIKEN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56017-2023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45240</v>
      </c>
      <c r="E689" s="1" t="n">
        <v>46234</v>
      </c>
      <c r="F689" t="inlineStr">
        <is>
          <t>GÄVLEBORGS LÄN</t>
        </is>
      </c>
      <c r="G689" t="inlineStr">
        <is>
          <t>SANDVIKEN</t>
        </is>
      </c>
      <c r="H689" t="inlineStr">
        <is>
          <t>Sveaskog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59661-2024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45639</v>
      </c>
      <c r="E690" s="1" t="n">
        <v>46234</v>
      </c>
      <c r="F690" t="inlineStr">
        <is>
          <t>GÄVLEBORGS LÄN</t>
        </is>
      </c>
      <c r="G690" t="inlineStr">
        <is>
          <t>SANDVIKEN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38319-2025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45883</v>
      </c>
      <c r="E691" s="1" t="n">
        <v>46234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3456-2024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45320</v>
      </c>
      <c r="E692" s="1" t="n">
        <v>46234</v>
      </c>
      <c r="F692" t="inlineStr">
        <is>
          <t>GÄVLEBORGS LÄN</t>
        </is>
      </c>
      <c r="G692" t="inlineStr">
        <is>
          <t>SANDVIKEN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11894-2026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46085</v>
      </c>
      <c r="E693" s="1" t="n">
        <v>46234</v>
      </c>
      <c r="F693" t="inlineStr">
        <is>
          <t>GÄVLEBORGS LÄN</t>
        </is>
      </c>
      <c r="G693" t="inlineStr">
        <is>
          <t>SANDVIKEN</t>
        </is>
      </c>
      <c r="I693" t="n">
        <v>8.199999999999999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46043</v>
      </c>
      <c r="E694" s="1" t="n">
        <v>46234</v>
      </c>
      <c r="F694" t="inlineStr">
        <is>
          <t>GÄVLEBORGS LÄN</t>
        </is>
      </c>
      <c r="G694" t="inlineStr">
        <is>
          <t>SANDVIKEN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46031</v>
      </c>
      <c r="E695" s="1" t="n">
        <v>46234</v>
      </c>
      <c r="F695" t="inlineStr">
        <is>
          <t>GÄVLEBORGS LÄN</t>
        </is>
      </c>
      <c r="G695" t="inlineStr">
        <is>
          <t>SANDVIKEN</t>
        </is>
      </c>
      <c r="I695" t="n">
        <v>11.2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12427-2026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46090</v>
      </c>
      <c r="E696" s="1" t="n">
        <v>46234</v>
      </c>
      <c r="F696" t="inlineStr">
        <is>
          <t>GÄVLEBORGS LÄN</t>
        </is>
      </c>
      <c r="G696" t="inlineStr">
        <is>
          <t>SANDVIKEN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46234</v>
      </c>
      <c r="F697" t="inlineStr">
        <is>
          <t>GÄVLEBORGS LÄN</t>
        </is>
      </c>
      <c r="G697" t="inlineStr">
        <is>
          <t>SANDVIKEN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46234</v>
      </c>
      <c r="F698" t="inlineStr">
        <is>
          <t>GÄVLEBORGS LÄN</t>
        </is>
      </c>
      <c r="G698" t="inlineStr">
        <is>
          <t>SANDVIKEN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15237-2026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46234</v>
      </c>
      <c r="F699" t="inlineStr">
        <is>
          <t>GÄVLEBORGS LÄN</t>
        </is>
      </c>
      <c r="G699" t="inlineStr">
        <is>
          <t>SANDVIKEN</t>
        </is>
      </c>
      <c r="I699" t="n">
        <v>6.8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20917-2026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46142</v>
      </c>
      <c r="E700" s="1" t="n">
        <v>46234</v>
      </c>
      <c r="F700" t="inlineStr">
        <is>
          <t>GÄVLEBORGS LÄN</t>
        </is>
      </c>
      <c r="G700" t="inlineStr">
        <is>
          <t>SANDVIKEN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9694-2026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46072</v>
      </c>
      <c r="E701" s="1" t="n">
        <v>46234</v>
      </c>
      <c r="F701" t="inlineStr">
        <is>
          <t>GÄVLEBORGS LÄN</t>
        </is>
      </c>
      <c r="G701" t="inlineStr">
        <is>
          <t>SANDVIKEN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11778-2024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45374</v>
      </c>
      <c r="E702" s="1" t="n">
        <v>46234</v>
      </c>
      <c r="F702" t="inlineStr">
        <is>
          <t>GÄVLEBORGS LÄN</t>
        </is>
      </c>
      <c r="G702" t="inlineStr">
        <is>
          <t>SANDVIKEN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47710-2022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44854</v>
      </c>
      <c r="E703" s="1" t="n">
        <v>46234</v>
      </c>
      <c r="F703" t="inlineStr">
        <is>
          <t>GÄVLEBORGS LÄN</t>
        </is>
      </c>
      <c r="G703" t="inlineStr">
        <is>
          <t>SANDVIKEN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8600-2026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46065</v>
      </c>
      <c r="E704" s="1" t="n">
        <v>46234</v>
      </c>
      <c r="F704" t="inlineStr">
        <is>
          <t>GÄVLEBORGS LÄN</t>
        </is>
      </c>
      <c r="G704" t="inlineStr">
        <is>
          <t>SANDVIKEN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48300-2023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45205</v>
      </c>
      <c r="E705" s="1" t="n">
        <v>46234</v>
      </c>
      <c r="F705" t="inlineStr">
        <is>
          <t>GÄVLEBORGS LÄN</t>
        </is>
      </c>
      <c r="G705" t="inlineStr">
        <is>
          <t>SANDVIKEN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21377-2026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46147</v>
      </c>
      <c r="E706" s="1" t="n">
        <v>46234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10578-2025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45721</v>
      </c>
      <c r="E707" s="1" t="n">
        <v>46234</v>
      </c>
      <c r="F707" t="inlineStr">
        <is>
          <t>GÄVLEBORGS LÄN</t>
        </is>
      </c>
      <c r="G707" t="inlineStr">
        <is>
          <t>SANDVIKEN</t>
        </is>
      </c>
      <c r="H707" t="inlineStr">
        <is>
          <t>Sveaskog</t>
        </is>
      </c>
      <c r="I707" t="n">
        <v>5.8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21288-2026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46234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46234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44101-2023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45188</v>
      </c>
      <c r="E710" s="1" t="n">
        <v>46234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29297-2024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45483</v>
      </c>
      <c r="E711" s="1" t="n">
        <v>46234</v>
      </c>
      <c r="F711" t="inlineStr">
        <is>
          <t>GÄVLEBORGS LÄN</t>
        </is>
      </c>
      <c r="G711" t="inlineStr">
        <is>
          <t>SANDVIKEN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53007-2023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45226</v>
      </c>
      <c r="E712" s="1" t="n">
        <v>46234</v>
      </c>
      <c r="F712" t="inlineStr">
        <is>
          <t>GÄVLEBORGS LÄN</t>
        </is>
      </c>
      <c r="G712" t="inlineStr">
        <is>
          <t>SANDVIKEN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17177-2026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46115</v>
      </c>
      <c r="E713" s="1" t="n">
        <v>46234</v>
      </c>
      <c r="F713" t="inlineStr">
        <is>
          <t>GÄVLEBORGS LÄN</t>
        </is>
      </c>
      <c r="G713" t="inlineStr">
        <is>
          <t>SANDVIKEN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46234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21343-2026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46234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46038</v>
      </c>
      <c r="E716" s="1" t="n">
        <v>46234</v>
      </c>
      <c r="F716" t="inlineStr">
        <is>
          <t>GÄVLEBORGS LÄN</t>
        </is>
      </c>
      <c r="G716" t="inlineStr">
        <is>
          <t>SANDVIKEN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39566-2022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44818</v>
      </c>
      <c r="E717" s="1" t="n">
        <v>46234</v>
      </c>
      <c r="F717" t="inlineStr">
        <is>
          <t>GÄVLEBORGS LÄN</t>
        </is>
      </c>
      <c r="G717" t="inlineStr">
        <is>
          <t>SANDVIKEN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21576-2026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46148</v>
      </c>
      <c r="E718" s="1" t="n">
        <v>46234</v>
      </c>
      <c r="F718" t="inlineStr">
        <is>
          <t>GÄVLEBORGS LÄN</t>
        </is>
      </c>
      <c r="G718" t="inlineStr">
        <is>
          <t>SANDVIKEN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44988</v>
      </c>
      <c r="E719" s="1" t="n">
        <v>46234</v>
      </c>
      <c r="F719" t="inlineStr">
        <is>
          <t>GÄVLEBORGS LÄN</t>
        </is>
      </c>
      <c r="G719" t="inlineStr">
        <is>
          <t>SANDVIKEN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52932-2022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44875</v>
      </c>
      <c r="E720" s="1" t="n">
        <v>46234</v>
      </c>
      <c r="F720" t="inlineStr">
        <is>
          <t>GÄVLEBORGS LÄN</t>
        </is>
      </c>
      <c r="G720" t="inlineStr">
        <is>
          <t>SANDVIKEN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22205-2026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46153</v>
      </c>
      <c r="E721" s="1" t="n">
        <v>46234</v>
      </c>
      <c r="F721" t="inlineStr">
        <is>
          <t>GÄVLEBORGS LÄN</t>
        </is>
      </c>
      <c r="G721" t="inlineStr">
        <is>
          <t>SANDVIKEN</t>
        </is>
      </c>
      <c r="H721" t="inlineStr">
        <is>
          <t>Sveaskog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21951-2026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46151</v>
      </c>
      <c r="E722" s="1" t="n">
        <v>46234</v>
      </c>
      <c r="F722" t="inlineStr">
        <is>
          <t>GÄVLEBORGS LÄN</t>
        </is>
      </c>
      <c r="G722" t="inlineStr">
        <is>
          <t>SANDVIKEN</t>
        </is>
      </c>
      <c r="I722" t="n">
        <v>11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46050</v>
      </c>
      <c r="E723" s="1" t="n">
        <v>46234</v>
      </c>
      <c r="F723" t="inlineStr">
        <is>
          <t>GÄVLEBORGS LÄN</t>
        </is>
      </c>
      <c r="G723" t="inlineStr">
        <is>
          <t>SANDVIKEN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46035</v>
      </c>
      <c r="E724" s="1" t="n">
        <v>46234</v>
      </c>
      <c r="F724" t="inlineStr">
        <is>
          <t>GÄVLEBORGS LÄN</t>
        </is>
      </c>
      <c r="G724" t="inlineStr">
        <is>
          <t>SANDVIKEN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21773-2026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46150</v>
      </c>
      <c r="E725" s="1" t="n">
        <v>46234</v>
      </c>
      <c r="F725" t="inlineStr">
        <is>
          <t>GÄVLEBORGS LÄN</t>
        </is>
      </c>
      <c r="G725" t="inlineStr">
        <is>
          <t>SANDVIKEN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30721-2023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45112</v>
      </c>
      <c r="E726" s="1" t="n">
        <v>46234</v>
      </c>
      <c r="F726" t="inlineStr">
        <is>
          <t>GÄVLEBORGS LÄN</t>
        </is>
      </c>
      <c r="G726" t="inlineStr">
        <is>
          <t>SANDVIKEN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3635-2026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46234</v>
      </c>
      <c r="F727" t="inlineStr">
        <is>
          <t>GÄVLEBORGS LÄN</t>
        </is>
      </c>
      <c r="G727" t="inlineStr">
        <is>
          <t>SANDVIKEN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34946-2022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44796</v>
      </c>
      <c r="E728" s="1" t="n">
        <v>46234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22008-2026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46153</v>
      </c>
      <c r="E729" s="1" t="n">
        <v>46234</v>
      </c>
      <c r="F729" t="inlineStr">
        <is>
          <t>GÄVLEBORGS LÄN</t>
        </is>
      </c>
      <c r="G729" t="inlineStr">
        <is>
          <t>SANDVIKEN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48765-2021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44452</v>
      </c>
      <c r="E730" s="1" t="n">
        <v>46234</v>
      </c>
      <c r="F730" t="inlineStr">
        <is>
          <t>GÄVLEBORGS LÄN</t>
        </is>
      </c>
      <c r="G730" t="inlineStr">
        <is>
          <t>SANDVIKEN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38200-2024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45545</v>
      </c>
      <c r="E731" s="1" t="n">
        <v>46234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22068-2026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46153</v>
      </c>
      <c r="E732" s="1" t="n">
        <v>46234</v>
      </c>
      <c r="F732" t="inlineStr">
        <is>
          <t>GÄVLEBORGS LÄN</t>
        </is>
      </c>
      <c r="G732" t="inlineStr">
        <is>
          <t>SANDVIKEN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16012-2026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46108</v>
      </c>
      <c r="E733" s="1" t="n">
        <v>46234</v>
      </c>
      <c r="F733" t="inlineStr">
        <is>
          <t>GÄVLEBORGS LÄN</t>
        </is>
      </c>
      <c r="G733" t="inlineStr">
        <is>
          <t>SANDVIKEN</t>
        </is>
      </c>
      <c r="H733" t="inlineStr">
        <is>
          <t>Kommuner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11089-2026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46079</v>
      </c>
      <c r="E734" s="1" t="n">
        <v>46234</v>
      </c>
      <c r="F734" t="inlineStr">
        <is>
          <t>GÄVLEBORGS LÄN</t>
        </is>
      </c>
      <c r="G734" t="inlineStr">
        <is>
          <t>SANDVIKEN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22238-2023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45070</v>
      </c>
      <c r="E735" s="1" t="n">
        <v>46234</v>
      </c>
      <c r="F735" t="inlineStr">
        <is>
          <t>GÄVLEBORGS LÄN</t>
        </is>
      </c>
      <c r="G735" t="inlineStr">
        <is>
          <t>SANDVIKEN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46048</v>
      </c>
      <c r="E736" s="1" t="n">
        <v>46234</v>
      </c>
      <c r="F736" t="inlineStr">
        <is>
          <t>GÄVLEBORGS LÄN</t>
        </is>
      </c>
      <c r="G736" t="inlineStr">
        <is>
          <t>SANDVIKEN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28344-2026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46196</v>
      </c>
      <c r="E737" s="1" t="n">
        <v>46234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28349-2026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46196</v>
      </c>
      <c r="E738" s="1" t="n">
        <v>46234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4461-2023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44956</v>
      </c>
      <c r="E739" s="1" t="n">
        <v>46234</v>
      </c>
      <c r="F739" t="inlineStr">
        <is>
          <t>GÄVLEBORGS LÄN</t>
        </is>
      </c>
      <c r="G739" t="inlineStr">
        <is>
          <t>SANDVIKEN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45300</v>
      </c>
      <c r="E740" s="1" t="n">
        <v>46234</v>
      </c>
      <c r="F740" t="inlineStr">
        <is>
          <t>GÄVLEBORGS LÄN</t>
        </is>
      </c>
      <c r="G740" t="inlineStr">
        <is>
          <t>SANDVIKEN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64801-2023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45282</v>
      </c>
      <c r="E741" s="1" t="n">
        <v>46234</v>
      </c>
      <c r="F741" t="inlineStr">
        <is>
          <t>GÄVLEBORGS LÄN</t>
        </is>
      </c>
      <c r="G741" t="inlineStr">
        <is>
          <t>SANDVIKEN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12149-2026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46086</v>
      </c>
      <c r="E742" s="1" t="n">
        <v>46234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12120-2026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46086</v>
      </c>
      <c r="E743" s="1" t="n">
        <v>46234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46234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11.9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28369-2026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46196</v>
      </c>
      <c r="E745" s="1" t="n">
        <v>46234</v>
      </c>
      <c r="F745" t="inlineStr">
        <is>
          <t>GÄVLEBORGS LÄN</t>
        </is>
      </c>
      <c r="G745" t="inlineStr">
        <is>
          <t>SANDVIKEN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50765-2024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45602</v>
      </c>
      <c r="E746" s="1" t="n">
        <v>46234</v>
      </c>
      <c r="F746" t="inlineStr">
        <is>
          <t>GÄVLEBORGS LÄN</t>
        </is>
      </c>
      <c r="G746" t="inlineStr">
        <is>
          <t>SANDVIKEN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58363-2022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44901</v>
      </c>
      <c r="E747" s="1" t="n">
        <v>46234</v>
      </c>
      <c r="F747" t="inlineStr">
        <is>
          <t>GÄVLEBORGS LÄN</t>
        </is>
      </c>
      <c r="G747" t="inlineStr">
        <is>
          <t>SANDVIKEN</t>
        </is>
      </c>
      <c r="I747" t="n">
        <v>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13551-2026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46234</v>
      </c>
      <c r="F748" t="inlineStr">
        <is>
          <t>GÄVLEBORGS LÄN</t>
        </is>
      </c>
      <c r="G748" t="inlineStr">
        <is>
          <t>SANDVIKEN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58983-2023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45252</v>
      </c>
      <c r="E749" s="1" t="n">
        <v>46234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24465-2023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45082</v>
      </c>
      <c r="E750" s="1" t="n">
        <v>46234</v>
      </c>
      <c r="F750" t="inlineStr">
        <is>
          <t>GÄVLEBORGS LÄN</t>
        </is>
      </c>
      <c r="G750" t="inlineStr">
        <is>
          <t>SANDVIKEN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28728-2026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46198</v>
      </c>
      <c r="E751" s="1" t="n">
        <v>46234</v>
      </c>
      <c r="F751" t="inlineStr">
        <is>
          <t>GÄVLEBORGS LÄN</t>
        </is>
      </c>
      <c r="G751" t="inlineStr">
        <is>
          <t>SANDVIKEN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2290-2025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45673</v>
      </c>
      <c r="E752" s="1" t="n">
        <v>46234</v>
      </c>
      <c r="F752" t="inlineStr">
        <is>
          <t>GÄVLEBORGS LÄN</t>
        </is>
      </c>
      <c r="G752" t="inlineStr">
        <is>
          <t>SANDVIKEN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14867-2026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46234</v>
      </c>
      <c r="F753" t="inlineStr">
        <is>
          <t>GÄVLEBORGS LÄN</t>
        </is>
      </c>
      <c r="G753" t="inlineStr">
        <is>
          <t>SANDVIKEN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28845-2026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46195</v>
      </c>
      <c r="E754" s="1" t="n">
        <v>46234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16102-2026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46108</v>
      </c>
      <c r="E755" s="1" t="n">
        <v>46234</v>
      </c>
      <c r="F755" t="inlineStr">
        <is>
          <t>GÄVLEBORGS LÄN</t>
        </is>
      </c>
      <c r="G755" t="inlineStr">
        <is>
          <t>SANDVIKEN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23144-2026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46161</v>
      </c>
      <c r="E756" s="1" t="n">
        <v>46234</v>
      </c>
      <c r="F756" t="inlineStr">
        <is>
          <t>GÄVLEBORGS LÄN</t>
        </is>
      </c>
      <c r="G756" t="inlineStr">
        <is>
          <t>SANDVIKEN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46201</v>
      </c>
      <c r="E757" s="1" t="n">
        <v>46234</v>
      </c>
      <c r="F757" t="inlineStr">
        <is>
          <t>GÄVLEBORGS LÄN</t>
        </is>
      </c>
      <c r="G757" t="inlineStr">
        <is>
          <t>SANDVIKEN</t>
        </is>
      </c>
      <c r="H757" t="inlineStr">
        <is>
          <t>Kommuner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28340-2026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46196</v>
      </c>
      <c r="E758" s="1" t="n">
        <v>46234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46202</v>
      </c>
      <c r="E759" s="1" t="n">
        <v>46234</v>
      </c>
      <c r="F759" t="inlineStr">
        <is>
          <t>GÄVLEBORGS LÄN</t>
        </is>
      </c>
      <c r="G759" t="inlineStr">
        <is>
          <t>SANDVIKEN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22851-2026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46160</v>
      </c>
      <c r="E760" s="1" t="n">
        <v>46234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1418-2025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45668</v>
      </c>
      <c r="E761" s="1" t="n">
        <v>46234</v>
      </c>
      <c r="F761" t="inlineStr">
        <is>
          <t>GÄVLEBORGS LÄN</t>
        </is>
      </c>
      <c r="G761" t="inlineStr">
        <is>
          <t>SANDVIKEN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15769-2026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46107</v>
      </c>
      <c r="E762" s="1" t="n">
        <v>46234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17164-2026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46115</v>
      </c>
      <c r="E763" s="1" t="n">
        <v>46234</v>
      </c>
      <c r="F763" t="inlineStr">
        <is>
          <t>GÄVLEBORGS LÄN</t>
        </is>
      </c>
      <c r="G763" t="inlineStr">
        <is>
          <t>SANDVIKEN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60908-2022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44914</v>
      </c>
      <c r="E764" s="1" t="n">
        <v>46234</v>
      </c>
      <c r="F764" t="inlineStr">
        <is>
          <t>GÄVLEBORGS LÄN</t>
        </is>
      </c>
      <c r="G764" t="inlineStr">
        <is>
          <t>SANDVIKEN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46034</v>
      </c>
      <c r="E765" s="1" t="n">
        <v>46234</v>
      </c>
      <c r="F765" t="inlineStr">
        <is>
          <t>GÄVLEBORGS LÄN</t>
        </is>
      </c>
      <c r="G765" t="inlineStr">
        <is>
          <t>SANDVIKEN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59841-2023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45257</v>
      </c>
      <c r="E766" s="1" t="n">
        <v>46234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29471-2026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46203</v>
      </c>
      <c r="E767" s="1" t="n">
        <v>46234</v>
      </c>
      <c r="F767" t="inlineStr">
        <is>
          <t>GÄVLEBORGS LÄN</t>
        </is>
      </c>
      <c r="G767" t="inlineStr">
        <is>
          <t>SANDVIKEN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23465-2026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46163</v>
      </c>
      <c r="E768" s="1" t="n">
        <v>46234</v>
      </c>
      <c r="F768" t="inlineStr">
        <is>
          <t>GÄVLEBORGS LÄN</t>
        </is>
      </c>
      <c r="G768" t="inlineStr">
        <is>
          <t>SANDVIKEN</t>
        </is>
      </c>
      <c r="H768" t="inlineStr">
        <is>
          <t>Övriga statliga verk och myndigheter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29682-2026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46234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4783-2025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45688</v>
      </c>
      <c r="E770" s="1" t="n">
        <v>46234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29681-2026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46234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23429-2026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46163</v>
      </c>
      <c r="E772" s="1" t="n">
        <v>46234</v>
      </c>
      <c r="F772" t="inlineStr">
        <is>
          <t>GÄVLEBORGS LÄN</t>
        </is>
      </c>
      <c r="G772" t="inlineStr">
        <is>
          <t>SANDVIKEN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29833-2026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46205</v>
      </c>
      <c r="E773" s="1" t="n">
        <v>46234</v>
      </c>
      <c r="F773" t="inlineStr">
        <is>
          <t>GÄVLEBORGS LÄN</t>
        </is>
      </c>
      <c r="G773" t="inlineStr">
        <is>
          <t>SANDVIKEN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27006-2023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45094</v>
      </c>
      <c r="E774" s="1" t="n">
        <v>46234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9.5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29616-2026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46234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46177-2022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44847</v>
      </c>
      <c r="E776" s="1" t="n">
        <v>46234</v>
      </c>
      <c r="F776" t="inlineStr">
        <is>
          <t>GÄVLEBORGS LÄN</t>
        </is>
      </c>
      <c r="G776" t="inlineStr">
        <is>
          <t>SANDVIKEN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23493-2026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46163</v>
      </c>
      <c r="E777" s="1" t="n">
        <v>46234</v>
      </c>
      <c r="F777" t="inlineStr">
        <is>
          <t>GÄVLEBORGS LÄN</t>
        </is>
      </c>
      <c r="G777" t="inlineStr">
        <is>
          <t>SANDVIKEN</t>
        </is>
      </c>
      <c r="H777" t="inlineStr">
        <is>
          <t>Övriga statliga verk och myndigheter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19346-2023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45049</v>
      </c>
      <c r="E778" s="1" t="n">
        <v>46234</v>
      </c>
      <c r="F778" t="inlineStr">
        <is>
          <t>GÄVLEBORGS LÄN</t>
        </is>
      </c>
      <c r="G778" t="inlineStr">
        <is>
          <t>SANDVIKEN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46030</v>
      </c>
      <c r="E779" s="1" t="n">
        <v>46234</v>
      </c>
      <c r="F779" t="inlineStr">
        <is>
          <t>GÄVLEBORGS LÄN</t>
        </is>
      </c>
      <c r="G779" t="inlineStr">
        <is>
          <t>SANDVIKEN</t>
        </is>
      </c>
      <c r="I779" t="n">
        <v>14.2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29715-2026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46234</v>
      </c>
      <c r="F780" t="inlineStr">
        <is>
          <t>GÄVLEBORGS LÄN</t>
        </is>
      </c>
      <c r="G780" t="inlineStr">
        <is>
          <t>SANDVIKEN</t>
        </is>
      </c>
      <c r="H780" t="inlineStr">
        <is>
          <t>Naturvårdsverket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61363-2023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45264</v>
      </c>
      <c r="E781" s="1" t="n">
        <v>46234</v>
      </c>
      <c r="F781" t="inlineStr">
        <is>
          <t>GÄVLEBORGS LÄN</t>
        </is>
      </c>
      <c r="G781" t="inlineStr">
        <is>
          <t>SANDVIKEN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29842-2026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46234</v>
      </c>
      <c r="F782" t="inlineStr">
        <is>
          <t>GÄVLEBORGS LÄN</t>
        </is>
      </c>
      <c r="G782" t="inlineStr">
        <is>
          <t>SANDVIKEN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29717-2026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46234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29726-2026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46204</v>
      </c>
      <c r="E784" s="1" t="n">
        <v>46234</v>
      </c>
      <c r="F784" t="inlineStr">
        <is>
          <t>GÄVLEBORGS LÄN</t>
        </is>
      </c>
      <c r="G784" t="inlineStr">
        <is>
          <t>SANDVIKEN</t>
        </is>
      </c>
      <c r="H784" t="inlineStr">
        <is>
          <t>Naturvårdsverket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46482-2023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45197</v>
      </c>
      <c r="E785" s="1" t="n">
        <v>46234</v>
      </c>
      <c r="F785" t="inlineStr">
        <is>
          <t>GÄVLEBORGS LÄN</t>
        </is>
      </c>
      <c r="G785" t="inlineStr">
        <is>
          <t>SANDVIKEN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23228-2026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46162</v>
      </c>
      <c r="E786" s="1" t="n">
        <v>46234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23474-2026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46163</v>
      </c>
      <c r="E787" s="1" t="n">
        <v>46234</v>
      </c>
      <c r="F787" t="inlineStr">
        <is>
          <t>GÄVLEBORGS LÄN</t>
        </is>
      </c>
      <c r="G787" t="inlineStr">
        <is>
          <t>SANDVIKEN</t>
        </is>
      </c>
      <c r="H787" t="inlineStr">
        <is>
          <t>Övriga statliga verk och myndigheter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29661-2026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46234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23471-2026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46163</v>
      </c>
      <c r="E789" s="1" t="n">
        <v>46234</v>
      </c>
      <c r="F789" t="inlineStr">
        <is>
          <t>GÄVLEBORGS LÄN</t>
        </is>
      </c>
      <c r="G789" t="inlineStr">
        <is>
          <t>SANDVIKEN</t>
        </is>
      </c>
      <c r="H789" t="inlineStr">
        <is>
          <t>Övriga statliga verk och myndigheter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29572-2026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46234</v>
      </c>
      <c r="F790" t="inlineStr">
        <is>
          <t>GÄVLEBORGS LÄN</t>
        </is>
      </c>
      <c r="G790" t="inlineStr">
        <is>
          <t>SANDVIKEN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23459-2026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46234</v>
      </c>
      <c r="F791" t="inlineStr">
        <is>
          <t>GÄVLEBORGS LÄN</t>
        </is>
      </c>
      <c r="G791" t="inlineStr">
        <is>
          <t>SANDVIKEN</t>
        </is>
      </c>
      <c r="H791" t="inlineStr">
        <is>
          <t>Övriga statliga verk och myndigheter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23821-2026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46165</v>
      </c>
      <c r="E792" s="1" t="n">
        <v>46234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50797-2023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45217</v>
      </c>
      <c r="E793" s="1" t="n">
        <v>46234</v>
      </c>
      <c r="F793" t="inlineStr">
        <is>
          <t>GÄVLEBORGS LÄN</t>
        </is>
      </c>
      <c r="G793" t="inlineStr">
        <is>
          <t>SANDVIKEN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44564</v>
      </c>
      <c r="E794" s="1" t="n">
        <v>46234</v>
      </c>
      <c r="F794" t="inlineStr">
        <is>
          <t>GÄVLEBORGS LÄN</t>
        </is>
      </c>
      <c r="G794" t="inlineStr">
        <is>
          <t>SANDVIKEN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23848-2026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46167</v>
      </c>
      <c r="E795" s="1" t="n">
        <v>46234</v>
      </c>
      <c r="F795" t="inlineStr">
        <is>
          <t>GÄVLEBORGS LÄN</t>
        </is>
      </c>
      <c r="G795" t="inlineStr">
        <is>
          <t>SANDVIKEN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23820-2026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46165</v>
      </c>
      <c r="E796" s="1" t="n">
        <v>46234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7.9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23822-2026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46165</v>
      </c>
      <c r="E797" s="1" t="n">
        <v>46234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23823-2026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46165</v>
      </c>
      <c r="E798" s="1" t="n">
        <v>46234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5.8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23824-2026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46165</v>
      </c>
      <c r="E799" s="1" t="n">
        <v>46234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73331-2021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44551</v>
      </c>
      <c r="E800" s="1" t="n">
        <v>46234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41790-2024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45561</v>
      </c>
      <c r="E801" s="1" t="n">
        <v>46234</v>
      </c>
      <c r="F801" t="inlineStr">
        <is>
          <t>GÄVLEBORGS LÄN</t>
        </is>
      </c>
      <c r="G801" t="inlineStr">
        <is>
          <t>SANDVIKEN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21456-2023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45063</v>
      </c>
      <c r="E802" s="1" t="n">
        <v>46234</v>
      </c>
      <c r="F802" t="inlineStr">
        <is>
          <t>GÄVLEBORGS LÄN</t>
        </is>
      </c>
      <c r="G802" t="inlineStr">
        <is>
          <t>SANDVIKEN</t>
        </is>
      </c>
      <c r="H802" t="inlineStr">
        <is>
          <t>Kommuner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24261-2026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46169</v>
      </c>
      <c r="E803" s="1" t="n">
        <v>46234</v>
      </c>
      <c r="F803" t="inlineStr">
        <is>
          <t>GÄVLEBORGS LÄN</t>
        </is>
      </c>
      <c r="G803" t="inlineStr">
        <is>
          <t>SANDVIKEN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15340-2026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46105</v>
      </c>
      <c r="E804" s="1" t="n">
        <v>46234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24313-2026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46169</v>
      </c>
      <c r="E805" s="1" t="n">
        <v>46234</v>
      </c>
      <c r="F805" t="inlineStr">
        <is>
          <t>GÄVLEBORGS LÄN</t>
        </is>
      </c>
      <c r="G805" t="inlineStr">
        <is>
          <t>SANDVIKEN</t>
        </is>
      </c>
      <c r="H805" t="inlineStr">
        <is>
          <t>Kommuner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24149-2026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46168</v>
      </c>
      <c r="E806" s="1" t="n">
        <v>46234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24177-2026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46234</v>
      </c>
      <c r="F807" t="inlineStr">
        <is>
          <t>GÄVLEBORGS LÄN</t>
        </is>
      </c>
      <c r="G807" t="inlineStr">
        <is>
          <t>SANDVIKEN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24355-2026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46169</v>
      </c>
      <c r="E808" s="1" t="n">
        <v>46234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8.9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46169</v>
      </c>
      <c r="E809" s="1" t="n">
        <v>46234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15788-2025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45748</v>
      </c>
      <c r="E810" s="1" t="n">
        <v>46234</v>
      </c>
      <c r="F810" t="inlineStr">
        <is>
          <t>GÄVLEBORGS LÄN</t>
        </is>
      </c>
      <c r="G810" t="inlineStr">
        <is>
          <t>SANDVIKEN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24297-2026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46169</v>
      </c>
      <c r="E811" s="1" t="n">
        <v>46234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24303-2026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46169</v>
      </c>
      <c r="E812" s="1" t="n">
        <v>46234</v>
      </c>
      <c r="F812" t="inlineStr">
        <is>
          <t>GÄVLEBORGS LÄN</t>
        </is>
      </c>
      <c r="G812" t="inlineStr">
        <is>
          <t>SANDVIKEN</t>
        </is>
      </c>
      <c r="H812" t="inlineStr">
        <is>
          <t>Kommuner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18752-2026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46128</v>
      </c>
      <c r="E813" s="1" t="n">
        <v>46234</v>
      </c>
      <c r="F813" t="inlineStr">
        <is>
          <t>GÄVLEBORGS LÄN</t>
        </is>
      </c>
      <c r="G813" t="inlineStr">
        <is>
          <t>SANDVIKEN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58797-2024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45636</v>
      </c>
      <c r="E814" s="1" t="n">
        <v>46234</v>
      </c>
      <c r="F814" t="inlineStr">
        <is>
          <t>GÄVLEBORGS LÄN</t>
        </is>
      </c>
      <c r="G814" t="inlineStr">
        <is>
          <t>SANDVIKEN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24992-2023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45085</v>
      </c>
      <c r="E815" s="1" t="n">
        <v>46234</v>
      </c>
      <c r="F815" t="inlineStr">
        <is>
          <t>GÄVLEBORGS LÄN</t>
        </is>
      </c>
      <c r="G815" t="inlineStr">
        <is>
          <t>SANDVIKEN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29620-2026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46234</v>
      </c>
      <c r="F816" t="inlineStr">
        <is>
          <t>GÄVLEBORGS LÄN</t>
        </is>
      </c>
      <c r="G816" t="inlineStr">
        <is>
          <t>SANDVIKEN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24650-2026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46171</v>
      </c>
      <c r="E817" s="1" t="n">
        <v>46234</v>
      </c>
      <c r="F817" t="inlineStr">
        <is>
          <t>GÄVLEBORGS LÄN</t>
        </is>
      </c>
      <c r="G817" t="inlineStr">
        <is>
          <t>SANDVIKEN</t>
        </is>
      </c>
      <c r="I817" t="n">
        <v>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7056-2025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45701</v>
      </c>
      <c r="E818" s="1" t="n">
        <v>46234</v>
      </c>
      <c r="F818" t="inlineStr">
        <is>
          <t>GÄVLEBORGS LÄN</t>
        </is>
      </c>
      <c r="G818" t="inlineStr">
        <is>
          <t>SANDVIKEN</t>
        </is>
      </c>
      <c r="I818" t="n">
        <v>6.4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24627-2026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46171</v>
      </c>
      <c r="E819" s="1" t="n">
        <v>46234</v>
      </c>
      <c r="F819" t="inlineStr">
        <is>
          <t>GÄVLEBORGS LÄN</t>
        </is>
      </c>
      <c r="G819" t="inlineStr">
        <is>
          <t>SANDVIKEN</t>
        </is>
      </c>
      <c r="I819" t="n">
        <v>6.9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6765-2025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45700</v>
      </c>
      <c r="E820" s="1" t="n">
        <v>46234</v>
      </c>
      <c r="F820" t="inlineStr">
        <is>
          <t>GÄVLEBORGS LÄN</t>
        </is>
      </c>
      <c r="G820" t="inlineStr">
        <is>
          <t>SANDVIKEN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46045</v>
      </c>
      <c r="E821" s="1" t="n">
        <v>46234</v>
      </c>
      <c r="F821" t="inlineStr">
        <is>
          <t>GÄVLEBORGS LÄN</t>
        </is>
      </c>
      <c r="G821" t="inlineStr">
        <is>
          <t>SANDVIKEN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47889-2022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44855</v>
      </c>
      <c r="E822" s="1" t="n">
        <v>46234</v>
      </c>
      <c r="F822" t="inlineStr">
        <is>
          <t>GÄVLEBORGS LÄN</t>
        </is>
      </c>
      <c r="G822" t="inlineStr">
        <is>
          <t>SANDVIKEN</t>
        </is>
      </c>
      <c r="H822" t="inlineStr">
        <is>
          <t>Sveaskog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29972-2022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44756</v>
      </c>
      <c r="E823" s="1" t="n">
        <v>46234</v>
      </c>
      <c r="F823" t="inlineStr">
        <is>
          <t>GÄVLEBORGS LÄN</t>
        </is>
      </c>
      <c r="G823" t="inlineStr">
        <is>
          <t>SANDVIKEN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16385-2023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45022</v>
      </c>
      <c r="E824" s="1" t="n">
        <v>46234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4488-2026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46045</v>
      </c>
      <c r="E825" s="1" t="n">
        <v>46234</v>
      </c>
      <c r="F825" t="inlineStr">
        <is>
          <t>GÄVLEBORGS LÄN</t>
        </is>
      </c>
      <c r="G825" t="inlineStr">
        <is>
          <t>SANDVIKEN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5960-2026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46052</v>
      </c>
      <c r="E826" s="1" t="n">
        <v>46234</v>
      </c>
      <c r="F826" t="inlineStr">
        <is>
          <t>GÄVLEBORGS LÄN</t>
        </is>
      </c>
      <c r="G826" t="inlineStr">
        <is>
          <t>SANDVIKEN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25544-2024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45463</v>
      </c>
      <c r="E827" s="1" t="n">
        <v>46234</v>
      </c>
      <c r="F827" t="inlineStr">
        <is>
          <t>GÄVLEBORGS LÄN</t>
        </is>
      </c>
      <c r="G827" t="inlineStr">
        <is>
          <t>SANDVIKEN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37641-2024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45541</v>
      </c>
      <c r="E828" s="1" t="n">
        <v>46234</v>
      </c>
      <c r="F828" t="inlineStr">
        <is>
          <t>GÄVLEBORGS LÄN</t>
        </is>
      </c>
      <c r="G828" t="inlineStr">
        <is>
          <t>SANDVIKEN</t>
        </is>
      </c>
      <c r="H828" t="inlineStr">
        <is>
          <t>Sveaskog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45541</v>
      </c>
      <c r="E829" s="1" t="n">
        <v>46234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4.1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31314-2026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46219</v>
      </c>
      <c r="E830" s="1" t="n">
        <v>46234</v>
      </c>
      <c r="F830" t="inlineStr">
        <is>
          <t>GÄVLEBORGS LÄN</t>
        </is>
      </c>
      <c r="G830" t="inlineStr">
        <is>
          <t>SANDVIKEN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25249-2026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46175</v>
      </c>
      <c r="E831" s="1" t="n">
        <v>46234</v>
      </c>
      <c r="F831" t="inlineStr">
        <is>
          <t>GÄVLEBORGS LÄN</t>
        </is>
      </c>
      <c r="G831" t="inlineStr">
        <is>
          <t>SANDVIKEN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25220-2026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46175</v>
      </c>
      <c r="E832" s="1" t="n">
        <v>46234</v>
      </c>
      <c r="F832" t="inlineStr">
        <is>
          <t>GÄVLEBORGS LÄN</t>
        </is>
      </c>
      <c r="G832" t="inlineStr">
        <is>
          <t>SANDVIKEN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25412-2026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46176</v>
      </c>
      <c r="E833" s="1" t="n">
        <v>46234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4.6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25413-2026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46176</v>
      </c>
      <c r="E834" s="1" t="n">
        <v>46234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25175-2026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46175</v>
      </c>
      <c r="E835" s="1" t="n">
        <v>46234</v>
      </c>
      <c r="F835" t="inlineStr">
        <is>
          <t>GÄVLEBORGS LÄN</t>
        </is>
      </c>
      <c r="G835" t="inlineStr">
        <is>
          <t>SANDVIKEN</t>
        </is>
      </c>
      <c r="H835" t="inlineStr">
        <is>
          <t>Kommuner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3899-2022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44587</v>
      </c>
      <c r="E836" s="1" t="n">
        <v>46234</v>
      </c>
      <c r="F836" t="inlineStr">
        <is>
          <t>GÄVLEBORGS LÄN</t>
        </is>
      </c>
      <c r="G836" t="inlineStr">
        <is>
          <t>SANDVIKEN</t>
        </is>
      </c>
      <c r="H836" t="inlineStr">
        <is>
          <t>Kyrkan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4511-2024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45327</v>
      </c>
      <c r="E837" s="1" t="n">
        <v>46234</v>
      </c>
      <c r="F837" t="inlineStr">
        <is>
          <t>GÄVLEBORGS LÄN</t>
        </is>
      </c>
      <c r="G837" t="inlineStr">
        <is>
          <t>SANDVIKEN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25691-2026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46234</v>
      </c>
      <c r="F838" t="inlineStr">
        <is>
          <t>GÄVLEBORGS LÄN</t>
        </is>
      </c>
      <c r="G838" t="inlineStr">
        <is>
          <t>SANDVIKEN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19186-2026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46234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7.3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25826-2026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46178</v>
      </c>
      <c r="E840" s="1" t="n">
        <v>46234</v>
      </c>
      <c r="F840" t="inlineStr">
        <is>
          <t>GÄVLEBORGS LÄN</t>
        </is>
      </c>
      <c r="G840" t="inlineStr">
        <is>
          <t>SANDVIKEN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25836-2026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46178</v>
      </c>
      <c r="E841" s="1" t="n">
        <v>46234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25840-2026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46178</v>
      </c>
      <c r="E842" s="1" t="n">
        <v>46234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8.699999999999999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46178</v>
      </c>
      <c r="E843" s="1" t="n">
        <v>46234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19269-2025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45769</v>
      </c>
      <c r="E844" s="1" t="n">
        <v>46234</v>
      </c>
      <c r="F844" t="inlineStr">
        <is>
          <t>GÄVLEBORGS LÄN</t>
        </is>
      </c>
      <c r="G844" t="inlineStr">
        <is>
          <t>SANDVIKEN</t>
        </is>
      </c>
      <c r="I844" t="n">
        <v>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8940-2026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46069</v>
      </c>
      <c r="E845" s="1" t="n">
        <v>46234</v>
      </c>
      <c r="F845" t="inlineStr">
        <is>
          <t>GÄVLEBORGS LÄN</t>
        </is>
      </c>
      <c r="G845" t="inlineStr">
        <is>
          <t>SANDVIKEN</t>
        </is>
      </c>
      <c r="I845" t="n">
        <v>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25498-2026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46177</v>
      </c>
      <c r="E846" s="1" t="n">
        <v>46234</v>
      </c>
      <c r="F846" t="inlineStr">
        <is>
          <t>GÄVLEBORGS LÄN</t>
        </is>
      </c>
      <c r="G846" t="inlineStr">
        <is>
          <t>SANDVIKEN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46234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25837-2026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46178</v>
      </c>
      <c r="E848" s="1" t="n">
        <v>46234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46234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15671-2024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45404</v>
      </c>
      <c r="E850" s="1" t="n">
        <v>46234</v>
      </c>
      <c r="F850" t="inlineStr">
        <is>
          <t>GÄVLEBORGS LÄN</t>
        </is>
      </c>
      <c r="G850" t="inlineStr">
        <is>
          <t>SANDVIKEN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25834-2026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46178</v>
      </c>
      <c r="E851" s="1" t="n">
        <v>46234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48435-2024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45590</v>
      </c>
      <c r="E852" s="1" t="n">
        <v>46234</v>
      </c>
      <c r="F852" t="inlineStr">
        <is>
          <t>GÄVLEBORGS LÄN</t>
        </is>
      </c>
      <c r="G852" t="inlineStr">
        <is>
          <t>SANDVIKEN</t>
        </is>
      </c>
      <c r="I852" t="n">
        <v>6.7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25647-2026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46234</v>
      </c>
      <c r="F853" t="inlineStr">
        <is>
          <t>GÄVLEBORGS LÄN</t>
        </is>
      </c>
      <c r="G853" t="inlineStr">
        <is>
          <t>SANDVIKEN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25456-2026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46234</v>
      </c>
      <c r="F854" t="inlineStr">
        <is>
          <t>GÄVLEBORGS LÄN</t>
        </is>
      </c>
      <c r="G854" t="inlineStr">
        <is>
          <t>SANDVIKEN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26271-2026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46182</v>
      </c>
      <c r="E855" s="1" t="n">
        <v>46234</v>
      </c>
      <c r="F855" t="inlineStr">
        <is>
          <t>GÄVLEBORGS LÄN</t>
        </is>
      </c>
      <c r="G855" t="inlineStr">
        <is>
          <t>SANDVIKEN</t>
        </is>
      </c>
      <c r="H855" t="inlineStr">
        <is>
          <t>Kommuner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26763-2026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46184</v>
      </c>
      <c r="E856" s="1" t="n">
        <v>46234</v>
      </c>
      <c r="F856" t="inlineStr">
        <is>
          <t>GÄVLEBORGS LÄN</t>
        </is>
      </c>
      <c r="G856" t="inlineStr">
        <is>
          <t>SANDVIKEN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31723-2026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46227</v>
      </c>
      <c r="E857" s="1" t="n">
        <v>46234</v>
      </c>
      <c r="F857" t="inlineStr">
        <is>
          <t>GÄVLEBORGS LÄN</t>
        </is>
      </c>
      <c r="G857" t="inlineStr">
        <is>
          <t>SANDVIKEN</t>
        </is>
      </c>
      <c r="H857" t="inlineStr">
        <is>
          <t>Kommuner</t>
        </is>
      </c>
      <c r="I857" t="n">
        <v>9.300000000000001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46204</v>
      </c>
      <c r="E858" s="1" t="n">
        <v>46234</v>
      </c>
      <c r="F858" t="inlineStr">
        <is>
          <t>GÄVLEBORGS LÄN</t>
        </is>
      </c>
      <c r="G858" t="inlineStr">
        <is>
          <t>SANDVIKEN</t>
        </is>
      </c>
      <c r="I858" t="n">
        <v>5.4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26780-2026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46184</v>
      </c>
      <c r="E859" s="1" t="n">
        <v>46234</v>
      </c>
      <c r="F859" t="inlineStr">
        <is>
          <t>GÄVLEBORGS LÄN</t>
        </is>
      </c>
      <c r="G859" t="inlineStr">
        <is>
          <t>SANDVIKEN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26601-2026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46183</v>
      </c>
      <c r="E860" s="1" t="n">
        <v>46234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29613-2026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46234</v>
      </c>
      <c r="F861" t="inlineStr">
        <is>
          <t>GÄVLEBORGS LÄN</t>
        </is>
      </c>
      <c r="G861" t="inlineStr">
        <is>
          <t>SANDVIKEN</t>
        </is>
      </c>
      <c r="I861" t="n">
        <v>5.3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26882-2026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46185</v>
      </c>
      <c r="E862" s="1" t="n">
        <v>46234</v>
      </c>
      <c r="F862" t="inlineStr">
        <is>
          <t>GÄVLEBORGS LÄN</t>
        </is>
      </c>
      <c r="G862" t="inlineStr">
        <is>
          <t>SANDVIKEN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31802-2026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46230</v>
      </c>
      <c r="E863" s="1" t="n">
        <v>46234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4.9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31807-2026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46230</v>
      </c>
      <c r="E864" s="1" t="n">
        <v>46234</v>
      </c>
      <c r="F864" t="inlineStr">
        <is>
          <t>GÄVLEBORGS LÄN</t>
        </is>
      </c>
      <c r="G864" t="inlineStr">
        <is>
          <t>SANDVIKEN</t>
        </is>
      </c>
      <c r="H864" t="inlineStr">
        <is>
          <t>Kommuner</t>
        </is>
      </c>
      <c r="I864" t="n">
        <v>11.2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26872-2026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46185</v>
      </c>
      <c r="E865" s="1" t="n">
        <v>46234</v>
      </c>
      <c r="F865" t="inlineStr">
        <is>
          <t>GÄVLEBORGS LÄN</t>
        </is>
      </c>
      <c r="G865" t="inlineStr">
        <is>
          <t>SANDVIKEN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26964-2026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46185</v>
      </c>
      <c r="E866" s="1" t="n">
        <v>46234</v>
      </c>
      <c r="F866" t="inlineStr">
        <is>
          <t>GÄVLEBORGS LÄN</t>
        </is>
      </c>
      <c r="G866" t="inlineStr">
        <is>
          <t>SANDVIKEN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26818-2026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46185</v>
      </c>
      <c r="E867" s="1" t="n">
        <v>46234</v>
      </c>
      <c r="F867" t="inlineStr">
        <is>
          <t>GÄVLEBORGS LÄN</t>
        </is>
      </c>
      <c r="G867" t="inlineStr">
        <is>
          <t>SANDVIKEN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27533-2026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46190</v>
      </c>
      <c r="E868" s="1" t="n">
        <v>46234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27588-2026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46190</v>
      </c>
      <c r="E869" s="1" t="n">
        <v>46234</v>
      </c>
      <c r="F869" t="inlineStr">
        <is>
          <t>GÄVLEBORGS LÄN</t>
        </is>
      </c>
      <c r="G869" t="inlineStr">
        <is>
          <t>SANDVIKEN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14720-2026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46101</v>
      </c>
      <c r="E870" s="1" t="n">
        <v>46234</v>
      </c>
      <c r="F870" t="inlineStr">
        <is>
          <t>GÄVLEBORGS LÄN</t>
        </is>
      </c>
      <c r="G870" t="inlineStr">
        <is>
          <t>SANDVIKEN</t>
        </is>
      </c>
      <c r="H870" t="inlineStr">
        <is>
          <t>Kommuner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27743-2026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46191</v>
      </c>
      <c r="E871" s="1" t="n">
        <v>46234</v>
      </c>
      <c r="F871" t="inlineStr">
        <is>
          <t>GÄVLEBORGS LÄN</t>
        </is>
      </c>
      <c r="G871" t="inlineStr">
        <is>
          <t>SANDVIKEN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46234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219-2024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45316</v>
      </c>
      <c r="E873" s="1" t="n">
        <v>46234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21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198-2024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45315</v>
      </c>
      <c r="E874" s="1" t="n">
        <v>46234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64.59999999999999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46234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46234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10363-2021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44550</v>
      </c>
      <c r="E877" s="1" t="n">
        <v>46234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73.3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513-2025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45706</v>
      </c>
      <c r="E878" s="1" t="n">
        <v>46234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29.5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46234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46234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46234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46234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46234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46234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46234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2026-07-31T01:52:45Z</dcterms:created>
  <dcterms:modified xmlns:dcterms="http://purl.org/dc/terms/" xmlns:xsi="http://www.w3.org/2001/XMLSchema-instance" xsi:type="dcterms:W3CDTF">2026-07-31T01:52:46Z</dcterms:modified>
</cp:coreProperties>
</file>