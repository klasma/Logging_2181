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46280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46280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46280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14696-2026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3.1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12</v>
      </c>
      <c r="U13" t="n">
        <v>0</v>
      </c>
      <c r="V13" s="2" t="inlineStr">
        <is>
          <t>Garnlav
Knärot
Dropptaggsvamp
Motaggsvamp</t>
        </is>
      </c>
      <c r="W13">
        <f>HYPERLINK("https://klasma.github.io/Logging_2181/artfynd/A 14696-2026 artfynd.xlsx", "A 14696-2026")</f>
        <v/>
      </c>
      <c r="X13">
        <f>HYPERLINK("https://klasma.github.io/Logging_2181/kartor/A 14696-2026 karta.png", "A 14696-2026")</f>
        <v/>
      </c>
      <c r="Y13">
        <f>HYPERLINK("https://klasma.github.io/Logging_2181/kartor_geotiff/A 14696-2026 georefererad karta.tif", "A 14696-2026")</f>
        <v/>
      </c>
      <c r="Z13">
        <f>HYPERLINK("https://klasma.github.io/Logging_2181/knärot/A 14696-2026 karta knärot.png", "A 14696-2026")</f>
        <v/>
      </c>
      <c r="AA13">
        <f>HYPERLINK("https://klasma.github.io/Logging_2181/klagomål/A 14696-2026 FSC-klagomål.docx", "A 14696-2026")</f>
        <v/>
      </c>
      <c r="AB13">
        <f>HYPERLINK("https://klasma.github.io/Logging_2181/klagomålsmail/A 14696-2026 FSC-klagomål mail.docx", "A 14696-2026")</f>
        <v/>
      </c>
      <c r="AC13">
        <f>HYPERLINK("https://klasma.github.io/Logging_2181/tillsyn/A 14696-2026 tillsynsbegäran.docx", "A 14696-2026")</f>
        <v/>
      </c>
      <c r="AD13">
        <f>HYPERLINK("https://klasma.github.io/Logging_2181/tillsynsmail/A 14696-2026 tillsynsbegäran mail.docx", "A 14696-2026")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46280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46280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46280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46280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46280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46280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46280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46280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46280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46280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46280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46280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46280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46280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46280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46280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46280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46280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46280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46280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46280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46280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46280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46280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46280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46280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46280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46280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46280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46280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46280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46280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42869-2024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46280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6.9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Rödgul trumpetsvamp
Vanlig padda</t>
        </is>
      </c>
      <c r="W49">
        <f>HYPERLINK("https://klasma.github.io/Logging_2181/artfynd/A 42869-2024 artfynd.xlsx", "A 42869-2024")</f>
        <v/>
      </c>
      <c r="X49">
        <f>HYPERLINK("https://klasma.github.io/Logging_2181/kartor/A 42869-2024 karta.png", "A 42869-2024")</f>
        <v/>
      </c>
      <c r="Y49">
        <f>HYPERLINK("https://klasma.github.io/Logging_2181/kartor_geotiff/A 42869-2024 georefererad karta.tif", "A 42869-2024")</f>
        <v/>
      </c>
      <c r="AA49">
        <f>HYPERLINK("https://klasma.github.io/Logging_2181/klagomål/A 42869-2024 FSC-klagomål.docx", "A 42869-2024")</f>
        <v/>
      </c>
      <c r="AB49">
        <f>HYPERLINK("https://klasma.github.io/Logging_2181/klagomålsmail/A 42869-2024 FSC-klagomål mail.docx", "A 42869-2024")</f>
        <v/>
      </c>
      <c r="AC49">
        <f>HYPERLINK("https://klasma.github.io/Logging_2181/tillsyn/A 42869-2024 tillsynsbegäran.docx", "A 42869-2024")</f>
        <v/>
      </c>
      <c r="AD49">
        <f>HYPERLINK("https://klasma.github.io/Logging_2181/tillsynsmail/A 42869-2024 tillsynsbegäran mail.docx", "A 42869-2024")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46280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46280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46280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46280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46280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46280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46280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25314-2025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46280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2.1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Garnlav</t>
        </is>
      </c>
      <c r="W59">
        <f>HYPERLINK("https://klasma.github.io/Logging_2181/artfynd/A 25314-2025 artfynd.xlsx", "A 25314-2025")</f>
        <v/>
      </c>
      <c r="X59">
        <f>HYPERLINK("https://klasma.github.io/Logging_2181/kartor/A 25314-2025 karta.png", "A 25314-2025")</f>
        <v/>
      </c>
      <c r="Y59">
        <f>HYPERLINK("https://klasma.github.io/Logging_2181/kartor_geotiff/A 25314-2025 georefererad karta.tif", "A 25314-2025")</f>
        <v/>
      </c>
      <c r="AA59">
        <f>HYPERLINK("https://klasma.github.io/Logging_2181/klagomål/A 25314-2025 FSC-klagomål.docx", "A 25314-2025")</f>
        <v/>
      </c>
      <c r="AB59">
        <f>HYPERLINK("https://klasma.github.io/Logging_2181/klagomålsmail/A 25314-2025 FSC-klagomål mail.docx", "A 25314-2025")</f>
        <v/>
      </c>
      <c r="AC59">
        <f>HYPERLINK("https://klasma.github.io/Logging_2181/tillsyn/A 25314-2025 tillsynsbegäran.docx", "A 25314-2025")</f>
        <v/>
      </c>
      <c r="AD59">
        <f>HYPERLINK("https://klasma.github.io/Logging_2181/tillsynsmail/A 25314-2025 tillsynsbegäran mail.docx", "A 25314-2025")</f>
        <v/>
      </c>
    </row>
    <row r="60" ht="15" customHeight="1">
      <c r="A60" t="inlineStr">
        <is>
          <t>A 25323-2025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46280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Plattlummer</t>
        </is>
      </c>
      <c r="W60">
        <f>HYPERLINK("https://klasma.github.io/Logging_2181/artfynd/A 25323-2025 artfynd.xlsx", "A 25323-2025")</f>
        <v/>
      </c>
      <c r="X60">
        <f>HYPERLINK("https://klasma.github.io/Logging_2181/kartor/A 25323-2025 karta.png", "A 25323-2025")</f>
        <v/>
      </c>
      <c r="Y60">
        <f>HYPERLINK("https://klasma.github.io/Logging_2181/kartor_geotiff/A 25323-2025 georefererad karta.tif", "A 25323-2025")</f>
        <v/>
      </c>
      <c r="AA60">
        <f>HYPERLINK("https://klasma.github.io/Logging_2181/klagomål/A 25323-2025 FSC-klagomål.docx", "A 25323-2025")</f>
        <v/>
      </c>
      <c r="AB60">
        <f>HYPERLINK("https://klasma.github.io/Logging_2181/klagomålsmail/A 25323-2025 FSC-klagomål mail.docx", "A 25323-2025")</f>
        <v/>
      </c>
      <c r="AC60">
        <f>HYPERLINK("https://klasma.github.io/Logging_2181/tillsyn/A 25323-2025 tillsynsbegäran.docx", "A 25323-2025")</f>
        <v/>
      </c>
      <c r="AD60">
        <f>HYPERLINK("https://klasma.github.io/Logging_2181/tillsynsmail/A 25323-2025 tillsynsbegäran mail.docx", "A 25323-2025")</f>
        <v/>
      </c>
    </row>
    <row r="61" ht="15" customHeight="1">
      <c r="A61" t="inlineStr">
        <is>
          <t>A 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46280</v>
      </c>
      <c r="F61" t="inlineStr">
        <is>
          <t>GÄVLEBORGS LÄN</t>
        </is>
      </c>
      <c r="G61" t="inlineStr">
        <is>
          <t>SANDVIKEN</t>
        </is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Dvärghäxört</t>
        </is>
      </c>
      <c r="W61">
        <f>HYPERLINK("https://klasma.github.io/Logging_2181/artfynd/A 448-2026 artfynd.xlsx", "A 448-2026")</f>
        <v/>
      </c>
      <c r="X61">
        <f>HYPERLINK("https://klasma.github.io/Logging_2181/kartor/A 448-2026 karta.png", "A 448-2026")</f>
        <v/>
      </c>
      <c r="Y61">
        <f>HYPERLINK("https://klasma.github.io/Logging_2181/kartor_geotiff/A 448-2026 georefererad karta.tif", "A 448-2026")</f>
        <v/>
      </c>
      <c r="AA61">
        <f>HYPERLINK("https://klasma.github.io/Logging_2181/klagomål/A 448-2026 FSC-klagomål.docx", "A 448-2026")</f>
        <v/>
      </c>
      <c r="AB61">
        <f>HYPERLINK("https://klasma.github.io/Logging_2181/klagomålsmail/A 448-2026 FSC-klagomål mail.docx", "A 448-2026")</f>
        <v/>
      </c>
      <c r="AC61">
        <f>HYPERLINK("https://klasma.github.io/Logging_2181/tillsyn/A 448-2026 tillsynsbegäran.docx", "A 448-2026")</f>
        <v/>
      </c>
      <c r="AD61">
        <f>HYPERLINK("https://klasma.github.io/Logging_2181/tillsynsmail/A 448-2026 tillsynsbegäran mail.docx", "A 448-2026")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46280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46280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1083-2026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46280</v>
      </c>
      <c r="F64" t="inlineStr">
        <is>
          <t>GÄVLEBORGS LÄN</t>
        </is>
      </c>
      <c r="G64" t="inlineStr">
        <is>
          <t>SANDVIKEN</t>
        </is>
      </c>
      <c r="I64" t="n">
        <v>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HYPERLINK("https://klasma.github.io/Logging_2181/artfynd/A 1083-2026 artfynd.xlsx", "A 1083-2026")</f>
        <v/>
      </c>
      <c r="X64">
        <f>HYPERLINK("https://klasma.github.io/Logging_2181/kartor/A 1083-2026 karta.png", "A 1083-2026")</f>
        <v/>
      </c>
      <c r="Y64">
        <f>HYPERLINK("https://klasma.github.io/Logging_2181/kartor_geotiff/A 1083-2026 georefererad karta.tif", "A 1083-2026")</f>
        <v/>
      </c>
      <c r="AA64">
        <f>HYPERLINK("https://klasma.github.io/Logging_2181/klagomål/A 1083-2026 FSC-klagomål.docx", "A 1083-2026")</f>
        <v/>
      </c>
      <c r="AB64">
        <f>HYPERLINK("https://klasma.github.io/Logging_2181/klagomålsmail/A 1083-2026 FSC-klagomål mail.docx", "A 1083-2026")</f>
        <v/>
      </c>
      <c r="AC64">
        <f>HYPERLINK("https://klasma.github.io/Logging_2181/tillsyn/A 1083-2026 tillsynsbegäran.docx", "A 1083-2026")</f>
        <v/>
      </c>
      <c r="AD64">
        <f>HYPERLINK("https://klasma.github.io/Logging_2181/tillsynsmail/A 1083-2026 tillsynsbegäran mail.docx", "A 1083-2026")</f>
        <v/>
      </c>
    </row>
    <row r="65" ht="15" customHeight="1">
      <c r="A65" t="inlineStr">
        <is>
          <t>A 7393-2026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46280</v>
      </c>
      <c r="F65" t="inlineStr">
        <is>
          <t>GÄVLEBORGS LÄN</t>
        </is>
      </c>
      <c r="G65" t="inlineStr">
        <is>
          <t>SANDVIKEN</t>
        </is>
      </c>
      <c r="I65" t="n">
        <v>6.7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HYPERLINK("https://klasma.github.io/Logging_2181/artfynd/A 7393-2026 artfynd.xlsx", "A 7393-2026")</f>
        <v/>
      </c>
      <c r="X65">
        <f>HYPERLINK("https://klasma.github.io/Logging_2181/kartor/A 7393-2026 karta.png", "A 7393-2026")</f>
        <v/>
      </c>
      <c r="Y65">
        <f>HYPERLINK("https://klasma.github.io/Logging_2181/kartor_geotiff/A 7393-2026 georefererad karta.tif", "A 7393-2026")</f>
        <v/>
      </c>
      <c r="AA65">
        <f>HYPERLINK("https://klasma.github.io/Logging_2181/klagomål/A 7393-2026 FSC-klagomål.docx", "A 7393-2026")</f>
        <v/>
      </c>
      <c r="AB65">
        <f>HYPERLINK("https://klasma.github.io/Logging_2181/klagomålsmail/A 7393-2026 FSC-klagomål mail.docx", "A 7393-2026")</f>
        <v/>
      </c>
      <c r="AC65">
        <f>HYPERLINK("https://klasma.github.io/Logging_2181/tillsyn/A 7393-2026 tillsynsbegäran.docx", "A 7393-2026")</f>
        <v/>
      </c>
      <c r="AD65">
        <f>HYPERLINK("https://klasma.github.io/Logging_2181/tillsynsmail/A 7393-2026 tillsynsbegäran mail.docx", "A 7393-2026")</f>
        <v/>
      </c>
    </row>
    <row r="66" ht="15" customHeight="1">
      <c r="A66" t="inlineStr">
        <is>
          <t>A 46610-2025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46280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16.3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HYPERLINK("https://klasma.github.io/Logging_2181/artfynd/A 46610-2025 artfynd.xlsx", "A 46610-2025")</f>
        <v/>
      </c>
      <c r="X66">
        <f>HYPERLINK("https://klasma.github.io/Logging_2181/kartor/A 46610-2025 karta.png", "A 46610-2025")</f>
        <v/>
      </c>
      <c r="Y66">
        <f>HYPERLINK("https://klasma.github.io/Logging_2181/kartor_geotiff/A 46610-2025 georefererad karta.tif", "A 46610-2025")</f>
        <v/>
      </c>
      <c r="AA66">
        <f>HYPERLINK("https://klasma.github.io/Logging_2181/klagomål/A 46610-2025 FSC-klagomål.docx", "A 46610-2025")</f>
        <v/>
      </c>
      <c r="AB66">
        <f>HYPERLINK("https://klasma.github.io/Logging_2181/klagomålsmail/A 46610-2025 FSC-klagomål mail.docx", "A 46610-2025")</f>
        <v/>
      </c>
      <c r="AC66">
        <f>HYPERLINK("https://klasma.github.io/Logging_2181/tillsyn/A 46610-2025 tillsynsbegäran.docx", "A 46610-2025")</f>
        <v/>
      </c>
      <c r="AD66">
        <f>HYPERLINK("https://klasma.github.io/Logging_2181/tillsynsmail/A 46610-2025 tillsynsbegäran mail.docx", "A 46610-2025")</f>
        <v/>
      </c>
    </row>
    <row r="67" ht="15" customHeight="1">
      <c r="A67" t="inlineStr">
        <is>
          <t>A 47174-2025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46280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47174-2025 artfynd.xlsx", "A 47174-2025")</f>
        <v/>
      </c>
      <c r="X67">
        <f>HYPERLINK("https://klasma.github.io/Logging_2181/kartor/A 47174-2025 karta.png", "A 47174-2025")</f>
        <v/>
      </c>
      <c r="Y67">
        <f>HYPERLINK("https://klasma.github.io/Logging_2181/kartor_geotiff/A 47174-2025 georefererad karta.tif", "A 47174-2025")</f>
        <v/>
      </c>
      <c r="AA67">
        <f>HYPERLINK("https://klasma.github.io/Logging_2181/klagomål/A 47174-2025 FSC-klagomål.docx", "A 47174-2025")</f>
        <v/>
      </c>
      <c r="AB67">
        <f>HYPERLINK("https://klasma.github.io/Logging_2181/klagomålsmail/A 47174-2025 FSC-klagomål mail.docx", "A 47174-2025")</f>
        <v/>
      </c>
      <c r="AC67">
        <f>HYPERLINK("https://klasma.github.io/Logging_2181/tillsyn/A 47174-2025 tillsynsbegäran.docx", "A 47174-2025")</f>
        <v/>
      </c>
      <c r="AD67">
        <f>HYPERLINK("https://klasma.github.io/Logging_2181/tillsynsmail/A 47174-2025 tillsynsbegäran mail.docx", "A 47174-2025")</f>
        <v/>
      </c>
    </row>
    <row r="68" ht="15" customHeight="1">
      <c r="A68" t="inlineStr">
        <is>
          <t>A 9267-2026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46280</v>
      </c>
      <c r="F68" t="inlineStr">
        <is>
          <t>GÄVLEBORGS LÄN</t>
        </is>
      </c>
      <c r="G68" t="inlineStr">
        <is>
          <t>SANDVIKEN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HYPERLINK("https://klasma.github.io/Logging_2181/artfynd/A 9267-2026 artfynd.xlsx", "A 9267-2026")</f>
        <v/>
      </c>
      <c r="X68">
        <f>HYPERLINK("https://klasma.github.io/Logging_2181/kartor/A 9267-2026 karta.png", "A 9267-2026")</f>
        <v/>
      </c>
      <c r="Y68">
        <f>HYPERLINK("https://klasma.github.io/Logging_2181/kartor_geotiff/A 9267-2026 georefererad karta.tif", "A 9267-2026")</f>
        <v/>
      </c>
      <c r="AA68">
        <f>HYPERLINK("https://klasma.github.io/Logging_2181/klagomål/A 9267-2026 FSC-klagomål.docx", "A 9267-2026")</f>
        <v/>
      </c>
      <c r="AB68">
        <f>HYPERLINK("https://klasma.github.io/Logging_2181/klagomålsmail/A 9267-2026 FSC-klagomål mail.docx", "A 9267-2026")</f>
        <v/>
      </c>
      <c r="AC68">
        <f>HYPERLINK("https://klasma.github.io/Logging_2181/tillsyn/A 9267-2026 tillsynsbegäran.docx", "A 9267-2026")</f>
        <v/>
      </c>
      <c r="AD68">
        <f>HYPERLINK("https://klasma.github.io/Logging_2181/tillsynsmail/A 9267-2026 tillsynsbegäran mail.docx", "A 9267-2026")</f>
        <v/>
      </c>
    </row>
    <row r="69" ht="15" customHeight="1">
      <c r="A69" t="inlineStr">
        <is>
          <t>A 36417-2025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45868</v>
      </c>
      <c r="E69" s="1" t="n">
        <v>46280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3.9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HYPERLINK("https://klasma.github.io/Logging_2181/artfynd/A 36417-2025 artfynd.xlsx", "A 36417-2025")</f>
        <v/>
      </c>
      <c r="X69">
        <f>HYPERLINK("https://klasma.github.io/Logging_2181/kartor/A 36417-2025 karta.png", "A 36417-2025")</f>
        <v/>
      </c>
      <c r="Y69">
        <f>HYPERLINK("https://klasma.github.io/Logging_2181/kartor_geotiff/A 36417-2025 georefererad karta.tif", "A 36417-2025")</f>
        <v/>
      </c>
      <c r="Z69">
        <f>HYPERLINK("https://klasma.github.io/Logging_2181/knärot/A 36417-2025 karta knärot.png", "A 36417-2025")</f>
        <v/>
      </c>
      <c r="AA69">
        <f>HYPERLINK("https://klasma.github.io/Logging_2181/klagomål/A 36417-2025 FSC-klagomål.docx", "A 36417-2025")</f>
        <v/>
      </c>
      <c r="AB69">
        <f>HYPERLINK("https://klasma.github.io/Logging_2181/klagomålsmail/A 36417-2025 FSC-klagomål mail.docx", "A 36417-2025")</f>
        <v/>
      </c>
      <c r="AC69">
        <f>HYPERLINK("https://klasma.github.io/Logging_2181/tillsyn/A 36417-2025 tillsynsbegäran.docx", "A 36417-2025")</f>
        <v/>
      </c>
      <c r="AD69">
        <f>HYPERLINK("https://klasma.github.io/Logging_2181/tillsynsmail/A 36417-2025 tillsynsbegäran mail.docx", "A 36417-2025")</f>
        <v/>
      </c>
    </row>
    <row r="70" ht="15" customHeight="1">
      <c r="A70" t="inlineStr">
        <is>
          <t>A 3316-2023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44949</v>
      </c>
      <c r="E70" s="1" t="n">
        <v>46280</v>
      </c>
      <c r="F70" t="inlineStr">
        <is>
          <t>GÄVLEBORGS LÄN</t>
        </is>
      </c>
      <c r="G70" t="inlineStr">
        <is>
          <t>SANDVIKEN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HYPERLINK("https://klasma.github.io/Logging_2181/artfynd/A 3316-2023 artfynd.xlsx", "A 3316-2023")</f>
        <v/>
      </c>
      <c r="X70">
        <f>HYPERLINK("https://klasma.github.io/Logging_2181/kartor/A 3316-2023 karta.png", "A 3316-2023")</f>
        <v/>
      </c>
      <c r="Y70">
        <f>HYPERLINK("https://klasma.github.io/Logging_2181/kartor_geotiff/A 3316-2023 georefererad karta.tif", "A 3316-2023")</f>
        <v/>
      </c>
      <c r="AA70">
        <f>HYPERLINK("https://klasma.github.io/Logging_2181/klagomål/A 3316-2023 FSC-klagomål.docx", "A 3316-2023")</f>
        <v/>
      </c>
      <c r="AB70">
        <f>HYPERLINK("https://klasma.github.io/Logging_2181/klagomålsmail/A 3316-2023 FSC-klagomål mail.docx", "A 3316-2023")</f>
        <v/>
      </c>
      <c r="AC70">
        <f>HYPERLINK("https://klasma.github.io/Logging_2181/tillsyn/A 3316-2023 tillsynsbegäran.docx", "A 3316-2023")</f>
        <v/>
      </c>
      <c r="AD70">
        <f>HYPERLINK("https://klasma.github.io/Logging_2181/tillsynsmail/A 3316-2023 tillsynsbegäran mail.docx", "A 3316-2023")</f>
        <v/>
      </c>
      <c r="AE70">
        <f>HYPERLINK("https://klasma.github.io/Logging_2181/fåglar/A 3316-2023 prioriterade fågelarter.docx", "A 3316-2023")</f>
        <v/>
      </c>
    </row>
    <row r="71" ht="15" customHeight="1">
      <c r="A71" t="inlineStr">
        <is>
          <t>A 38350-2025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46280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väst AB</t>
        </is>
      </c>
      <c r="I71" t="n">
        <v>25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Brandticka</t>
        </is>
      </c>
      <c r="W71">
        <f>HYPERLINK("https://klasma.github.io/Logging_2181/artfynd/A 38350-2025 artfynd.xlsx", "A 38350-2025")</f>
        <v/>
      </c>
      <c r="X71">
        <f>HYPERLINK("https://klasma.github.io/Logging_2181/kartor/A 38350-2025 karta.png", "A 38350-2025")</f>
        <v/>
      </c>
      <c r="Y71">
        <f>HYPERLINK("https://klasma.github.io/Logging_2181/kartor_geotiff/A 38350-2025 georefererad karta.tif", "A 38350-2025")</f>
        <v/>
      </c>
      <c r="AA71">
        <f>HYPERLINK("https://klasma.github.io/Logging_2181/klagomål/A 38350-2025 FSC-klagomål.docx", "A 38350-2025")</f>
        <v/>
      </c>
      <c r="AB71">
        <f>HYPERLINK("https://klasma.github.io/Logging_2181/klagomålsmail/A 38350-2025 FSC-klagomål mail.docx", "A 38350-2025")</f>
        <v/>
      </c>
      <c r="AC71">
        <f>HYPERLINK("https://klasma.github.io/Logging_2181/tillsyn/A 38350-2025 tillsynsbegäran.docx", "A 38350-2025")</f>
        <v/>
      </c>
      <c r="AD71">
        <f>HYPERLINK("https://klasma.github.io/Logging_2181/tillsynsmail/A 38350-2025 tillsynsbegäran mail.docx", "A 38350-2025")</f>
        <v/>
      </c>
    </row>
    <row r="72" ht="15" customHeight="1">
      <c r="A72" t="inlineStr">
        <is>
          <t>A 11784-2026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46084</v>
      </c>
      <c r="E72" s="1" t="n">
        <v>46280</v>
      </c>
      <c r="F72" t="inlineStr">
        <is>
          <t>GÄVLEBORGS LÄN</t>
        </is>
      </c>
      <c r="G72" t="inlineStr">
        <is>
          <t>SANDVIKEN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HYPERLINK("https://klasma.github.io/Logging_2181/artfynd/A 11784-2026 artfynd.xlsx", "A 11784-2026")</f>
        <v/>
      </c>
      <c r="X72">
        <f>HYPERLINK("https://klasma.github.io/Logging_2181/kartor/A 11784-2026 karta.png", "A 11784-2026")</f>
        <v/>
      </c>
      <c r="Y72">
        <f>HYPERLINK("https://klasma.github.io/Logging_2181/kartor_geotiff/A 11784-2026 georefererad karta.tif", "A 11784-2026")</f>
        <v/>
      </c>
      <c r="AA72">
        <f>HYPERLINK("https://klasma.github.io/Logging_2181/klagomål/A 11784-2026 FSC-klagomål.docx", "A 11784-2026")</f>
        <v/>
      </c>
      <c r="AB72">
        <f>HYPERLINK("https://klasma.github.io/Logging_2181/klagomålsmail/A 11784-2026 FSC-klagomål mail.docx", "A 11784-2026")</f>
        <v/>
      </c>
      <c r="AC72">
        <f>HYPERLINK("https://klasma.github.io/Logging_2181/tillsyn/A 11784-2026 tillsynsbegäran.docx", "A 11784-2026")</f>
        <v/>
      </c>
      <c r="AD72">
        <f>HYPERLINK("https://klasma.github.io/Logging_2181/tillsynsmail/A 11784-2026 tillsynsbegäran mail.docx", "A 11784-2026")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46280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15729-2022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46280</v>
      </c>
      <c r="F74" t="inlineStr">
        <is>
          <t>GÄVLEBORGS LÄN</t>
        </is>
      </c>
      <c r="G74" t="inlineStr">
        <is>
          <t>SANDVIKEN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HYPERLINK("https://klasma.github.io/Logging_2181/artfynd/A 15729-2022 artfynd.xlsx", "A 15729-2022")</f>
        <v/>
      </c>
      <c r="X74">
        <f>HYPERLINK("https://klasma.github.io/Logging_2181/kartor/A 15729-2022 karta.png", "A 15729-2022")</f>
        <v/>
      </c>
      <c r="Y74">
        <f>HYPERLINK("https://klasma.github.io/Logging_2181/kartor_geotiff/A 15729-2022 georefererad karta.tif", "A 15729-2022")</f>
        <v/>
      </c>
      <c r="Z74">
        <f>HYPERLINK("https://klasma.github.io/Logging_2181/knärot/A 15729-2022 karta knärot.png", "A 15729-2022")</f>
        <v/>
      </c>
      <c r="AA74">
        <f>HYPERLINK("https://klasma.github.io/Logging_2181/klagomål/A 15729-2022 FSC-klagomål.docx", "A 15729-2022")</f>
        <v/>
      </c>
      <c r="AB74">
        <f>HYPERLINK("https://klasma.github.io/Logging_2181/klagomålsmail/A 15729-2022 FSC-klagomål mail.docx", "A 15729-2022")</f>
        <v/>
      </c>
      <c r="AC74">
        <f>HYPERLINK("https://klasma.github.io/Logging_2181/tillsyn/A 15729-2022 tillsynsbegäran.docx", "A 15729-2022")</f>
        <v/>
      </c>
      <c r="AD74">
        <f>HYPERLINK("https://klasma.github.io/Logging_2181/tillsynsmail/A 15729-2022 tillsynsbegäran mail.docx", "A 15729-2022")</f>
        <v/>
      </c>
    </row>
    <row r="75" ht="15" customHeight="1">
      <c r="A75" t="inlineStr">
        <is>
          <t>A 13135-2026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46280</v>
      </c>
      <c r="F75" t="inlineStr">
        <is>
          <t>GÄVLEBORGS LÄN</t>
        </is>
      </c>
      <c r="G75" t="inlineStr">
        <is>
          <t>SANDVIKEN</t>
        </is>
      </c>
      <c r="I75" t="n">
        <v>2.4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HYPERLINK("https://klasma.github.io/Logging_2181/artfynd/A 13135-2026 artfynd.xlsx", "A 13135-2026")</f>
        <v/>
      </c>
      <c r="X75">
        <f>HYPERLINK("https://klasma.github.io/Logging_2181/kartor/A 13135-2026 karta.png", "A 13135-2026")</f>
        <v/>
      </c>
      <c r="Y75">
        <f>HYPERLINK("https://klasma.github.io/Logging_2181/kartor_geotiff/A 13135-2026 georefererad karta.tif", "A 13135-2026")</f>
        <v/>
      </c>
      <c r="AA75">
        <f>HYPERLINK("https://klasma.github.io/Logging_2181/klagomål/A 13135-2026 FSC-klagomål.docx", "A 13135-2026")</f>
        <v/>
      </c>
      <c r="AB75">
        <f>HYPERLINK("https://klasma.github.io/Logging_2181/klagomålsmail/A 13135-2026 FSC-klagomål mail.docx", "A 13135-2026")</f>
        <v/>
      </c>
      <c r="AC75">
        <f>HYPERLINK("https://klasma.github.io/Logging_2181/tillsyn/A 13135-2026 tillsynsbegäran.docx", "A 13135-2026")</f>
        <v/>
      </c>
      <c r="AD75">
        <f>HYPERLINK("https://klasma.github.io/Logging_2181/tillsynsmail/A 13135-2026 tillsynsbegäran mail.docx", "A 13135-2026")</f>
        <v/>
      </c>
    </row>
    <row r="76" ht="15" customHeight="1">
      <c r="A76" t="inlineStr">
        <is>
          <t>A 13645-2026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46280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HYPERLINK("https://klasma.github.io/Logging_2181/artfynd/A 13645-2026 artfynd.xlsx", "A 13645-2026")</f>
        <v/>
      </c>
      <c r="X76">
        <f>HYPERLINK("https://klasma.github.io/Logging_2181/kartor/A 13645-2026 karta.png", "A 13645-2026")</f>
        <v/>
      </c>
      <c r="Y76">
        <f>HYPERLINK("https://klasma.github.io/Logging_2181/kartor_geotiff/A 13645-2026 georefererad karta.tif", "A 13645-2026")</f>
        <v/>
      </c>
      <c r="AA76">
        <f>HYPERLINK("https://klasma.github.io/Logging_2181/klagomål/A 13645-2026 FSC-klagomål.docx", "A 13645-2026")</f>
        <v/>
      </c>
      <c r="AB76">
        <f>HYPERLINK("https://klasma.github.io/Logging_2181/klagomålsmail/A 13645-2026 FSC-klagomål mail.docx", "A 13645-2026")</f>
        <v/>
      </c>
      <c r="AC76">
        <f>HYPERLINK("https://klasma.github.io/Logging_2181/tillsyn/A 13645-2026 tillsynsbegäran.docx", "A 13645-2026")</f>
        <v/>
      </c>
      <c r="AD76">
        <f>HYPERLINK("https://klasma.github.io/Logging_2181/tillsynsmail/A 13645-2026 tillsynsbegäran mail.docx", "A 13645-2026")</f>
        <v/>
      </c>
      <c r="AE76">
        <f>HYPERLINK("https://klasma.github.io/Logging_2181/fåglar/A 13645-2026 prioriterade fågelarter.docx", "A 13645-2026")</f>
        <v/>
      </c>
    </row>
    <row r="77" ht="15" customHeight="1">
      <c r="A77" t="inlineStr">
        <is>
          <t>A 45427-2023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46280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Mattlummer</t>
        </is>
      </c>
      <c r="W77">
        <f>HYPERLINK("https://klasma.github.io/Logging_2181/artfynd/A 45427-2023 artfynd.xlsx", "A 45427-2023")</f>
        <v/>
      </c>
      <c r="X77">
        <f>HYPERLINK("https://klasma.github.io/Logging_2181/kartor/A 45427-2023 karta.png", "A 45427-2023")</f>
        <v/>
      </c>
      <c r="Y77">
        <f>HYPERLINK("https://klasma.github.io/Logging_2181/kartor_geotiff/A 45427-2023 georefererad karta.tif", "A 45427-2023")</f>
        <v/>
      </c>
      <c r="AA77">
        <f>HYPERLINK("https://klasma.github.io/Logging_2181/klagomål/A 45427-2023 FSC-klagomål.docx", "A 45427-2023")</f>
        <v/>
      </c>
      <c r="AB77">
        <f>HYPERLINK("https://klasma.github.io/Logging_2181/klagomålsmail/A 45427-2023 FSC-klagomål mail.docx", "A 45427-2023")</f>
        <v/>
      </c>
      <c r="AC77">
        <f>HYPERLINK("https://klasma.github.io/Logging_2181/tillsyn/A 45427-2023 tillsynsbegäran.docx", "A 45427-2023")</f>
        <v/>
      </c>
      <c r="AD77">
        <f>HYPERLINK("https://klasma.github.io/Logging_2181/tillsynsmail/A 45427-2023 tillsynsbegäran mail.docx", "A 45427-2023")</f>
        <v/>
      </c>
    </row>
    <row r="78" ht="15" customHeight="1">
      <c r="A78" t="inlineStr">
        <is>
          <t>A 14835-2026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46280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2.5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Höstlåsbräken</t>
        </is>
      </c>
      <c r="W78">
        <f>HYPERLINK("https://klasma.github.io/Logging_2181/artfynd/A 14835-2026 artfynd.xlsx", "A 14835-2026")</f>
        <v/>
      </c>
      <c r="X78">
        <f>HYPERLINK("https://klasma.github.io/Logging_2181/kartor/A 14835-2026 karta.png", "A 14835-2026")</f>
        <v/>
      </c>
      <c r="Y78">
        <f>HYPERLINK("https://klasma.github.io/Logging_2181/kartor_geotiff/A 14835-2026 georefererad karta.tif", "A 14835-2026")</f>
        <v/>
      </c>
      <c r="AA78">
        <f>HYPERLINK("https://klasma.github.io/Logging_2181/klagomål/A 14835-2026 FSC-klagomål.docx", "A 14835-2026")</f>
        <v/>
      </c>
      <c r="AB78">
        <f>HYPERLINK("https://klasma.github.io/Logging_2181/klagomålsmail/A 14835-2026 FSC-klagomål mail.docx", "A 14835-2026")</f>
        <v/>
      </c>
      <c r="AC78">
        <f>HYPERLINK("https://klasma.github.io/Logging_2181/tillsyn/A 14835-2026 tillsynsbegäran.docx", "A 14835-2026")</f>
        <v/>
      </c>
      <c r="AD78">
        <f>HYPERLINK("https://klasma.github.io/Logging_2181/tillsynsmail/A 14835-2026 tillsynsbegäran mail.docx", "A 14835-2026")</f>
        <v/>
      </c>
    </row>
    <row r="79" ht="15" customHeight="1">
      <c r="A79" t="inlineStr">
        <is>
          <t>A 15121-2026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46280</v>
      </c>
      <c r="F79" t="inlineStr">
        <is>
          <t>GÄVLEBORGS LÄN</t>
        </is>
      </c>
      <c r="G79" t="inlineStr">
        <is>
          <t>SANDVIKEN</t>
        </is>
      </c>
      <c r="I79" t="n">
        <v>2.7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Brandticka</t>
        </is>
      </c>
      <c r="W79">
        <f>HYPERLINK("https://klasma.github.io/Logging_2181/artfynd/A 15121-2026 artfynd.xlsx", "A 15121-2026")</f>
        <v/>
      </c>
      <c r="X79">
        <f>HYPERLINK("https://klasma.github.io/Logging_2181/kartor/A 15121-2026 karta.png", "A 15121-2026")</f>
        <v/>
      </c>
      <c r="Y79">
        <f>HYPERLINK("https://klasma.github.io/Logging_2181/kartor_geotiff/A 15121-2026 georefererad karta.tif", "A 15121-2026")</f>
        <v/>
      </c>
      <c r="AA79">
        <f>HYPERLINK("https://klasma.github.io/Logging_2181/klagomål/A 15121-2026 FSC-klagomål.docx", "A 15121-2026")</f>
        <v/>
      </c>
      <c r="AB79">
        <f>HYPERLINK("https://klasma.github.io/Logging_2181/klagomålsmail/A 15121-2026 FSC-klagomål mail.docx", "A 15121-2026")</f>
        <v/>
      </c>
      <c r="AC79">
        <f>HYPERLINK("https://klasma.github.io/Logging_2181/tillsyn/A 15121-2026 tillsynsbegäran.docx", "A 15121-2026")</f>
        <v/>
      </c>
      <c r="AD79">
        <f>HYPERLINK("https://klasma.github.io/Logging_2181/tillsynsmail/A 15121-2026 tillsynsbegäran mail.docx", "A 15121-2026")</f>
        <v/>
      </c>
    </row>
    <row r="80" ht="15" customHeight="1">
      <c r="A80" t="inlineStr">
        <is>
          <t>A 17062-2026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46280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5.7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Vårärt</t>
        </is>
      </c>
      <c r="W80">
        <f>HYPERLINK("https://klasma.github.io/Logging_2181/artfynd/A 17062-2026 artfynd.xlsx", "A 17062-2026")</f>
        <v/>
      </c>
      <c r="X80">
        <f>HYPERLINK("https://klasma.github.io/Logging_2181/kartor/A 17062-2026 karta.png", "A 17062-2026")</f>
        <v/>
      </c>
      <c r="Y80">
        <f>HYPERLINK("https://klasma.github.io/Logging_2181/kartor_geotiff/A 17062-2026 georefererad karta.tif", "A 17062-2026")</f>
        <v/>
      </c>
      <c r="AA80">
        <f>HYPERLINK("https://klasma.github.io/Logging_2181/klagomål/A 17062-2026 FSC-klagomål.docx", "A 17062-2026")</f>
        <v/>
      </c>
      <c r="AB80">
        <f>HYPERLINK("https://klasma.github.io/Logging_2181/klagomålsmail/A 17062-2026 FSC-klagomål mail.docx", "A 17062-2026")</f>
        <v/>
      </c>
      <c r="AC80">
        <f>HYPERLINK("https://klasma.github.io/Logging_2181/tillsyn/A 17062-2026 tillsynsbegäran.docx", "A 17062-2026")</f>
        <v/>
      </c>
      <c r="AD80">
        <f>HYPERLINK("https://klasma.github.io/Logging_2181/tillsynsmail/A 17062-2026 tillsynsbegäran mail.docx", "A 17062-2026")</f>
        <v/>
      </c>
    </row>
    <row r="81" ht="15" customHeight="1">
      <c r="A81" t="inlineStr">
        <is>
          <t>A 17364-2026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46280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3.2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17364-2026 artfynd.xlsx", "A 17364-2026")</f>
        <v/>
      </c>
      <c r="X81">
        <f>HYPERLINK("https://klasma.github.io/Logging_2181/kartor/A 17364-2026 karta.png", "A 17364-2026")</f>
        <v/>
      </c>
      <c r="Y81">
        <f>HYPERLINK("https://klasma.github.io/Logging_2181/kartor_geotiff/A 17364-2026 georefererad karta.tif", "A 17364-2026")</f>
        <v/>
      </c>
      <c r="AA81">
        <f>HYPERLINK("https://klasma.github.io/Logging_2181/klagomål/A 17364-2026 FSC-klagomål.docx", "A 17364-2026")</f>
        <v/>
      </c>
      <c r="AB81">
        <f>HYPERLINK("https://klasma.github.io/Logging_2181/klagomålsmail/A 17364-2026 FSC-klagomål mail.docx", "A 17364-2026")</f>
        <v/>
      </c>
      <c r="AC81">
        <f>HYPERLINK("https://klasma.github.io/Logging_2181/tillsyn/A 17364-2026 tillsynsbegäran.docx", "A 17364-2026")</f>
        <v/>
      </c>
      <c r="AD81">
        <f>HYPERLINK("https://klasma.github.io/Logging_2181/tillsynsmail/A 17364-2026 tillsynsbegäran mail.docx", "A 17364-2026")</f>
        <v/>
      </c>
    </row>
    <row r="82" ht="15" customHeight="1">
      <c r="A82" t="inlineStr">
        <is>
          <t>A 19272-2026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46133</v>
      </c>
      <c r="E82" s="1" t="n">
        <v>46280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9.4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HYPERLINK("https://klasma.github.io/Logging_2181/artfynd/A 19272-2026 artfynd.xlsx", "A 19272-2026")</f>
        <v/>
      </c>
      <c r="X82">
        <f>HYPERLINK("https://klasma.github.io/Logging_2181/kartor/A 19272-2026 karta.png", "A 19272-2026")</f>
        <v/>
      </c>
      <c r="Y82">
        <f>HYPERLINK("https://klasma.github.io/Logging_2181/kartor_geotiff/A 19272-2026 georefererad karta.tif", "A 19272-2026")</f>
        <v/>
      </c>
      <c r="AA82">
        <f>HYPERLINK("https://klasma.github.io/Logging_2181/klagomål/A 19272-2026 FSC-klagomål.docx", "A 19272-2026")</f>
        <v/>
      </c>
      <c r="AB82">
        <f>HYPERLINK("https://klasma.github.io/Logging_2181/klagomålsmail/A 19272-2026 FSC-klagomål mail.docx", "A 19272-2026")</f>
        <v/>
      </c>
      <c r="AC82">
        <f>HYPERLINK("https://klasma.github.io/Logging_2181/tillsyn/A 19272-2026 tillsynsbegäran.docx", "A 19272-2026")</f>
        <v/>
      </c>
      <c r="AD82">
        <f>HYPERLINK("https://klasma.github.io/Logging_2181/tillsynsmail/A 19272-2026 tillsynsbegäran mail.docx", "A 19272-2026")</f>
        <v/>
      </c>
    </row>
    <row r="83" ht="15" customHeight="1">
      <c r="A83" t="inlineStr">
        <is>
          <t>A 57934-2025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46280</v>
      </c>
      <c r="F83" t="inlineStr">
        <is>
          <t>GÄVLEBORGS LÄN</t>
        </is>
      </c>
      <c r="G83" t="inlineStr">
        <is>
          <t>SANDVIKEN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Grönsiska</t>
        </is>
      </c>
      <c r="W83">
        <f>HYPERLINK("https://klasma.github.io/Logging_2181/artfynd/A 57934-2025 artfynd.xlsx", "A 57934-2025")</f>
        <v/>
      </c>
      <c r="X83">
        <f>HYPERLINK("https://klasma.github.io/Logging_2181/kartor/A 57934-2025 karta.png", "A 57934-2025")</f>
        <v/>
      </c>
      <c r="Y83">
        <f>HYPERLINK("https://klasma.github.io/Logging_2181/kartor_geotiff/A 57934-2025 georefererad karta.tif", "A 57934-2025")</f>
        <v/>
      </c>
      <c r="AA83">
        <f>HYPERLINK("https://klasma.github.io/Logging_2181/klagomål/A 57934-2025 FSC-klagomål.docx", "A 57934-2025")</f>
        <v/>
      </c>
      <c r="AB83">
        <f>HYPERLINK("https://klasma.github.io/Logging_2181/klagomålsmail/A 57934-2025 FSC-klagomål mail.docx", "A 57934-2025")</f>
        <v/>
      </c>
      <c r="AC83">
        <f>HYPERLINK("https://klasma.github.io/Logging_2181/tillsyn/A 57934-2025 tillsynsbegäran.docx", "A 57934-2025")</f>
        <v/>
      </c>
      <c r="AD83">
        <f>HYPERLINK("https://klasma.github.io/Logging_2181/tillsynsmail/A 57934-2025 tillsynsbegäran mail.docx", "A 57934-2025")</f>
        <v/>
      </c>
    </row>
    <row r="84" ht="15" customHeight="1">
      <c r="A84" t="inlineStr">
        <is>
          <t>A 4324-2026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46280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11.2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Järpe</t>
        </is>
      </c>
      <c r="W84">
        <f>HYPERLINK("https://klasma.github.io/Logging_2181/artfynd/A 4324-2026 artfynd.xlsx", "A 4324-2026")</f>
        <v/>
      </c>
      <c r="X84">
        <f>HYPERLINK("https://klasma.github.io/Logging_2181/kartor/A 4324-2026 karta.png", "A 4324-2026")</f>
        <v/>
      </c>
      <c r="Y84">
        <f>HYPERLINK("https://klasma.github.io/Logging_2181/kartor_geotiff/A 4324-2026 georefererad karta.tif", "A 4324-2026")</f>
        <v/>
      </c>
      <c r="AA84">
        <f>HYPERLINK("https://klasma.github.io/Logging_2181/klagomål/A 4324-2026 FSC-klagomål.docx", "A 4324-2026")</f>
        <v/>
      </c>
      <c r="AB84">
        <f>HYPERLINK("https://klasma.github.io/Logging_2181/klagomålsmail/A 4324-2026 FSC-klagomål mail.docx", "A 4324-2026")</f>
        <v/>
      </c>
      <c r="AC84">
        <f>HYPERLINK("https://klasma.github.io/Logging_2181/tillsyn/A 4324-2026 tillsynsbegäran.docx", "A 4324-2026")</f>
        <v/>
      </c>
      <c r="AD84">
        <f>HYPERLINK("https://klasma.github.io/Logging_2181/tillsynsmail/A 4324-2026 tillsynsbegäran mail.docx", "A 4324-2026")</f>
        <v/>
      </c>
      <c r="AE84">
        <f>HYPERLINK("https://klasma.github.io/Logging_2181/fåglar/A 4324-2026 prioriterade fågelarter.docx", "A 4324-2026")</f>
        <v/>
      </c>
    </row>
    <row r="85" ht="15" customHeight="1">
      <c r="A85" t="inlineStr">
        <is>
          <t>A 42115-2023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46280</v>
      </c>
      <c r="F85" t="inlineStr">
        <is>
          <t>GÄVLEBORGS LÄN</t>
        </is>
      </c>
      <c r="G85" t="inlineStr">
        <is>
          <t>SANDVIKEN</t>
        </is>
      </c>
      <c r="H85" t="inlineStr">
        <is>
          <t>Sveaskog</t>
        </is>
      </c>
      <c r="I85" t="n">
        <v>2.4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HYPERLINK("https://klasma.github.io/Logging_2181/artfynd/A 42115-2023 artfynd.xlsx", "A 42115-2023")</f>
        <v/>
      </c>
      <c r="X85">
        <f>HYPERLINK("https://klasma.github.io/Logging_2181/kartor/A 42115-2023 karta.png", "A 42115-2023")</f>
        <v/>
      </c>
      <c r="Y85">
        <f>HYPERLINK("https://klasma.github.io/Logging_2181/kartor_geotiff/A 42115-2023 georefererad karta.tif", "A 42115-2023")</f>
        <v/>
      </c>
      <c r="AA85">
        <f>HYPERLINK("https://klasma.github.io/Logging_2181/klagomål/A 42115-2023 FSC-klagomål.docx", "A 42115-2023")</f>
        <v/>
      </c>
      <c r="AB85">
        <f>HYPERLINK("https://klasma.github.io/Logging_2181/klagomålsmail/A 42115-2023 FSC-klagomål mail.docx", "A 42115-2023")</f>
        <v/>
      </c>
      <c r="AC85">
        <f>HYPERLINK("https://klasma.github.io/Logging_2181/tillsyn/A 42115-2023 tillsynsbegäran.docx", "A 42115-2023")</f>
        <v/>
      </c>
      <c r="AD85">
        <f>HYPERLINK("https://klasma.github.io/Logging_2181/tillsynsmail/A 42115-2023 tillsynsbegäran mail.docx", "A 42115-2023")</f>
        <v/>
      </c>
      <c r="AE85">
        <f>HYPERLINK("https://klasma.github.io/Logging_2181/fåglar/A 42115-2023 prioriterade fågelarter.docx", "A 42115-2023")</f>
        <v/>
      </c>
    </row>
    <row r="86" ht="15" customHeight="1">
      <c r="A86" t="inlineStr">
        <is>
          <t>A 6972-2026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46280</v>
      </c>
      <c r="F86" t="inlineStr">
        <is>
          <t>GÄVLEBORGS LÄN</t>
        </is>
      </c>
      <c r="G86" t="inlineStr">
        <is>
          <t>SANDVIKEN</t>
        </is>
      </c>
      <c r="H86" t="inlineStr">
        <is>
          <t>Naturvårdsverket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Svartvit flugsnappare</t>
        </is>
      </c>
      <c r="W86">
        <f>HYPERLINK("https://klasma.github.io/Logging_2181/artfynd/A 6972-2026 artfynd.xlsx", "A 6972-2026")</f>
        <v/>
      </c>
      <c r="X86">
        <f>HYPERLINK("https://klasma.github.io/Logging_2181/kartor/A 6972-2026 karta.png", "A 6972-2026")</f>
        <v/>
      </c>
      <c r="Y86">
        <f>HYPERLINK("https://klasma.github.io/Logging_2181/kartor_geotiff/A 6972-2026 georefererad karta.tif", "A 6972-2026")</f>
        <v/>
      </c>
      <c r="AA86">
        <f>HYPERLINK("https://klasma.github.io/Logging_2181/klagomål/A 6972-2026 FSC-klagomål.docx", "A 6972-2026")</f>
        <v/>
      </c>
      <c r="AB86">
        <f>HYPERLINK("https://klasma.github.io/Logging_2181/klagomålsmail/A 6972-2026 FSC-klagomål mail.docx", "A 6972-2026")</f>
        <v/>
      </c>
      <c r="AC86">
        <f>HYPERLINK("https://klasma.github.io/Logging_2181/tillsyn/A 6972-2026 tillsynsbegäran.docx", "A 6972-2026")</f>
        <v/>
      </c>
      <c r="AD86">
        <f>HYPERLINK("https://klasma.github.io/Logging_2181/tillsynsmail/A 6972-2026 tillsynsbegäran mail.docx", "A 6972-2026")</f>
        <v/>
      </c>
    </row>
    <row r="87" ht="15" customHeight="1">
      <c r="A87" t="inlineStr">
        <is>
          <t>A 41349-2025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45899</v>
      </c>
      <c r="E87" s="1" t="n">
        <v>46280</v>
      </c>
      <c r="F87" t="inlineStr">
        <is>
          <t>GÄVLEBORGS LÄN</t>
        </is>
      </c>
      <c r="G87" t="inlineStr">
        <is>
          <t>SANDVIKEN</t>
        </is>
      </c>
      <c r="I87" t="n">
        <v>3.7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HYPERLINK("https://klasma.github.io/Logging_2181/artfynd/A 41349-2025 artfynd.xlsx", "A 41349-2025")</f>
        <v/>
      </c>
      <c r="X87">
        <f>HYPERLINK("https://klasma.github.io/Logging_2181/kartor/A 41349-2025 karta.png", "A 41349-2025")</f>
        <v/>
      </c>
      <c r="Y87">
        <f>HYPERLINK("https://klasma.github.io/Logging_2181/kartor_geotiff/A 41349-2025 georefererad karta.tif", "A 41349-2025")</f>
        <v/>
      </c>
      <c r="AA87">
        <f>HYPERLINK("https://klasma.github.io/Logging_2181/klagomål/A 41349-2025 FSC-klagomål.docx", "A 41349-2025")</f>
        <v/>
      </c>
      <c r="AB87">
        <f>HYPERLINK("https://klasma.github.io/Logging_2181/klagomålsmail/A 41349-2025 FSC-klagomål mail.docx", "A 41349-2025")</f>
        <v/>
      </c>
      <c r="AC87">
        <f>HYPERLINK("https://klasma.github.io/Logging_2181/tillsyn/A 41349-2025 tillsynsbegäran.docx", "A 41349-2025")</f>
        <v/>
      </c>
      <c r="AD87">
        <f>HYPERLINK("https://klasma.github.io/Logging_2181/tillsynsmail/A 41349-2025 tillsynsbegäran mail.docx", "A 41349-2025")</f>
        <v/>
      </c>
    </row>
    <row r="88" ht="15" customHeight="1">
      <c r="A88" t="inlineStr">
        <is>
          <t>A 25479-2023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46280</v>
      </c>
      <c r="F88" t="inlineStr">
        <is>
          <t>GÄVLEBORGS LÄN</t>
        </is>
      </c>
      <c r="G88" t="inlineStr">
        <is>
          <t>SANDVIKEN</t>
        </is>
      </c>
      <c r="I88" t="n">
        <v>4.1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Grönpyrola</t>
        </is>
      </c>
      <c r="W88">
        <f>HYPERLINK("https://klasma.github.io/Logging_2181/artfynd/A 25479-2023 artfynd.xlsx", "A 25479-2023")</f>
        <v/>
      </c>
      <c r="X88">
        <f>HYPERLINK("https://klasma.github.io/Logging_2181/kartor/A 25479-2023 karta.png", "A 25479-2023")</f>
        <v/>
      </c>
      <c r="Y88">
        <f>HYPERLINK("https://klasma.github.io/Logging_2181/kartor_geotiff/A 25479-2023 georefererad karta.tif", "A 25479-2023")</f>
        <v/>
      </c>
      <c r="AA88">
        <f>HYPERLINK("https://klasma.github.io/Logging_2181/klagomål/A 25479-2023 FSC-klagomål.docx", "A 25479-2023")</f>
        <v/>
      </c>
      <c r="AB88">
        <f>HYPERLINK("https://klasma.github.io/Logging_2181/klagomålsmail/A 25479-2023 FSC-klagomål mail.docx", "A 25479-2023")</f>
        <v/>
      </c>
      <c r="AC88">
        <f>HYPERLINK("https://klasma.github.io/Logging_2181/tillsyn/A 25479-2023 tillsynsbegäran.docx", "A 25479-2023")</f>
        <v/>
      </c>
      <c r="AD88">
        <f>HYPERLINK("https://klasma.github.io/Logging_2181/tillsynsmail/A 25479-2023 tillsynsbegäran mail.docx", "A 25479-2023")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46280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46280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46280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46280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46280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26271-2026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46280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Fläcknycklar</t>
        </is>
      </c>
      <c r="W94">
        <f>HYPERLINK("https://klasma.github.io/Logging_2181/artfynd/A 26271-2026 artfynd.xlsx", "A 26271-2026")</f>
        <v/>
      </c>
      <c r="X94">
        <f>HYPERLINK("https://klasma.github.io/Logging_2181/kartor/A 26271-2026 karta.png", "A 26271-2026")</f>
        <v/>
      </c>
      <c r="Y94">
        <f>HYPERLINK("https://klasma.github.io/Logging_2181/kartor_geotiff/A 26271-2026 georefererad karta.tif", "A 26271-2026")</f>
        <v/>
      </c>
      <c r="AA94">
        <f>HYPERLINK("https://klasma.github.io/Logging_2181/klagomål/A 26271-2026 FSC-klagomål.docx", "A 26271-2026")</f>
        <v/>
      </c>
      <c r="AB94">
        <f>HYPERLINK("https://klasma.github.io/Logging_2181/klagomålsmail/A 26271-2026 FSC-klagomål mail.docx", "A 26271-2026")</f>
        <v/>
      </c>
      <c r="AC94">
        <f>HYPERLINK("https://klasma.github.io/Logging_2181/tillsyn/A 26271-2026 tillsynsbegäran.docx", "A 26271-2026")</f>
        <v/>
      </c>
      <c r="AD94">
        <f>HYPERLINK("https://klasma.github.io/Logging_2181/tillsynsmail/A 26271-2026 tillsynsbegäran mail.docx", "A 26271-2026")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46280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23225-2026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46280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1.3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Rödvingetrast</t>
        </is>
      </c>
      <c r="W96">
        <f>HYPERLINK("https://klasma.github.io/Logging_2181/artfynd/A 23225-2026 artfynd.xlsx", "A 23225-2026")</f>
        <v/>
      </c>
      <c r="X96">
        <f>HYPERLINK("https://klasma.github.io/Logging_2181/kartor/A 23225-2026 karta.png", "A 23225-2026")</f>
        <v/>
      </c>
      <c r="Y96">
        <f>HYPERLINK("https://klasma.github.io/Logging_2181/kartor_geotiff/A 23225-2026 georefererad karta.tif", "A 23225-2026")</f>
        <v/>
      </c>
      <c r="AA96">
        <f>HYPERLINK("https://klasma.github.io/Logging_2181/klagomål/A 23225-2026 FSC-klagomål.docx", "A 23225-2026")</f>
        <v/>
      </c>
      <c r="AB96">
        <f>HYPERLINK("https://klasma.github.io/Logging_2181/klagomålsmail/A 23225-2026 FSC-klagomål mail.docx", "A 23225-2026")</f>
        <v/>
      </c>
      <c r="AC96">
        <f>HYPERLINK("https://klasma.github.io/Logging_2181/tillsyn/A 23225-2026 tillsynsbegäran.docx", "A 23225-2026")</f>
        <v/>
      </c>
      <c r="AD96">
        <f>HYPERLINK("https://klasma.github.io/Logging_2181/tillsynsmail/A 23225-2026 tillsynsbegäran mail.docx", "A 23225-2026")</f>
        <v/>
      </c>
      <c r="AE96">
        <f>HYPERLINK("https://klasma.github.io/Logging_2181/fåglar/A 23225-2026 prioriterade fågelarter.docx", "A 23225-2026")</f>
        <v/>
      </c>
    </row>
    <row r="97" ht="15" customHeight="1">
      <c r="A97" t="inlineStr">
        <is>
          <t>A 32533-2026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46280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Järnsparv</t>
        </is>
      </c>
      <c r="W97">
        <f>HYPERLINK("https://klasma.github.io/Logging_2181/artfynd/A 32533-2026 artfynd.xlsx", "A 32533-2026")</f>
        <v/>
      </c>
      <c r="X97">
        <f>HYPERLINK("https://klasma.github.io/Logging_2181/kartor/A 32533-2026 karta.png", "A 32533-2026")</f>
        <v/>
      </c>
      <c r="Y97">
        <f>HYPERLINK("https://klasma.github.io/Logging_2181/kartor_geotiff/A 32533-2026 georefererad karta.tif", "A 32533-2026")</f>
        <v/>
      </c>
      <c r="AA97">
        <f>HYPERLINK("https://klasma.github.io/Logging_2181/klagomål/A 32533-2026 FSC-klagomål.docx", "A 32533-2026")</f>
        <v/>
      </c>
      <c r="AB97">
        <f>HYPERLINK("https://klasma.github.io/Logging_2181/klagomålsmail/A 32533-2026 FSC-klagomål mail.docx", "A 32533-2026")</f>
        <v/>
      </c>
      <c r="AC97">
        <f>HYPERLINK("https://klasma.github.io/Logging_2181/tillsyn/A 32533-2026 tillsynsbegäran.docx", "A 32533-2026")</f>
        <v/>
      </c>
      <c r="AD97">
        <f>HYPERLINK("https://klasma.github.io/Logging_2181/tillsynsmail/A 32533-2026 tillsynsbegäran mail.docx", "A 32533-2026")</f>
        <v/>
      </c>
      <c r="AE97">
        <f>HYPERLINK("https://klasma.github.io/Logging_2181/fåglar/A 32533-2026 prioriterade fågelarter.docx", "A 32533-2026")</f>
        <v/>
      </c>
    </row>
    <row r="98" ht="15" customHeight="1">
      <c r="A98" t="inlineStr">
        <is>
          <t>A 32539-2026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46280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Grönsiska</t>
        </is>
      </c>
      <c r="W98">
        <f>HYPERLINK("https://klasma.github.io/Logging_2181/artfynd/A 32539-2026 artfynd.xlsx", "A 32539-2026")</f>
        <v/>
      </c>
      <c r="X98">
        <f>HYPERLINK("https://klasma.github.io/Logging_2181/kartor/A 32539-2026 karta.png", "A 32539-2026")</f>
        <v/>
      </c>
      <c r="Y98">
        <f>HYPERLINK("https://klasma.github.io/Logging_2181/kartor_geotiff/A 32539-2026 georefererad karta.tif", "A 32539-2026")</f>
        <v/>
      </c>
      <c r="AA98">
        <f>HYPERLINK("https://klasma.github.io/Logging_2181/klagomål/A 32539-2026 FSC-klagomål.docx", "A 32539-2026")</f>
        <v/>
      </c>
      <c r="AB98">
        <f>HYPERLINK("https://klasma.github.io/Logging_2181/klagomålsmail/A 32539-2026 FSC-klagomål mail.docx", "A 32539-2026")</f>
        <v/>
      </c>
      <c r="AC98">
        <f>HYPERLINK("https://klasma.github.io/Logging_2181/tillsyn/A 32539-2026 tillsynsbegäran.docx", "A 32539-2026")</f>
        <v/>
      </c>
      <c r="AD98">
        <f>HYPERLINK("https://klasma.github.io/Logging_2181/tillsynsmail/A 32539-2026 tillsynsbegäran mail.docx", "A 32539-2026")</f>
        <v/>
      </c>
    </row>
    <row r="99" ht="15" customHeight="1">
      <c r="A99" t="inlineStr">
        <is>
          <t>A 32544-2026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46280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3.8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HYPERLINK("https://klasma.github.io/Logging_2181/artfynd/A 32544-2026 artfynd.xlsx", "A 32544-2026")</f>
        <v/>
      </c>
      <c r="X99">
        <f>HYPERLINK("https://klasma.github.io/Logging_2181/kartor/A 32544-2026 karta.png", "A 32544-2026")</f>
        <v/>
      </c>
      <c r="Y99">
        <f>HYPERLINK("https://klasma.github.io/Logging_2181/kartor_geotiff/A 32544-2026 georefererad karta.tif", "A 32544-2026")</f>
        <v/>
      </c>
      <c r="AA99">
        <f>HYPERLINK("https://klasma.github.io/Logging_2181/klagomål/A 32544-2026 FSC-klagomål.docx", "A 32544-2026")</f>
        <v/>
      </c>
      <c r="AB99">
        <f>HYPERLINK("https://klasma.github.io/Logging_2181/klagomålsmail/A 32544-2026 FSC-klagomål mail.docx", "A 32544-2026")</f>
        <v/>
      </c>
      <c r="AC99">
        <f>HYPERLINK("https://klasma.github.io/Logging_2181/tillsyn/A 32544-2026 tillsynsbegäran.docx", "A 32544-2026")</f>
        <v/>
      </c>
      <c r="AD99">
        <f>HYPERLINK("https://klasma.github.io/Logging_2181/tillsynsmail/A 32544-2026 tillsynsbegäran mail.docx", "A 32544-2026")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46280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46280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31311-2026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46280</v>
      </c>
      <c r="F102" t="inlineStr">
        <is>
          <t>GÄVLEBORGS LÄN</t>
        </is>
      </c>
      <c r="G102" t="inlineStr">
        <is>
          <t>SANDVIKEN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31311-2026 artfynd.xlsx", "A 31311-2026")</f>
        <v/>
      </c>
      <c r="X102">
        <f>HYPERLINK("https://klasma.github.io/Logging_2181/kartor/A 31311-2026 karta.png", "A 31311-2026")</f>
        <v/>
      </c>
      <c r="Y102">
        <f>HYPERLINK("https://klasma.github.io/Logging_2181/kartor_geotiff/A 31311-2026 georefererad karta.tif", "A 31311-2026")</f>
        <v/>
      </c>
      <c r="AA102">
        <f>HYPERLINK("https://klasma.github.io/Logging_2181/klagomål/A 31311-2026 FSC-klagomål.docx", "A 31311-2026")</f>
        <v/>
      </c>
      <c r="AB102">
        <f>HYPERLINK("https://klasma.github.io/Logging_2181/klagomålsmail/A 31311-2026 FSC-klagomål mail.docx", "A 31311-2026")</f>
        <v/>
      </c>
      <c r="AC102">
        <f>HYPERLINK("https://klasma.github.io/Logging_2181/tillsyn/A 31311-2026 tillsynsbegäran.docx", "A 31311-2026")</f>
        <v/>
      </c>
      <c r="AD102">
        <f>HYPERLINK("https://klasma.github.io/Logging_2181/tillsynsmail/A 31311-2026 tillsynsbegäran mail.docx", "A 31311-2026")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46280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46280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22275-2024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45446</v>
      </c>
      <c r="E105" s="1" t="n">
        <v>46280</v>
      </c>
      <c r="F105" t="inlineStr">
        <is>
          <t>GÄVLEBORGS LÄN</t>
        </is>
      </c>
      <c r="G105" t="inlineStr">
        <is>
          <t>SANDVIKEN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Ekorrbär</t>
        </is>
      </c>
      <c r="W105">
        <f>HYPERLINK("https://klasma.github.io/Logging_2181/artfynd/A 22275-2024 artfynd.xlsx", "A 22275-2024")</f>
        <v/>
      </c>
      <c r="X105">
        <f>HYPERLINK("https://klasma.github.io/Logging_2181/kartor/A 22275-2024 karta.png", "A 22275-2024")</f>
        <v/>
      </c>
      <c r="Y105">
        <f>HYPERLINK("https://klasma.github.io/Logging_2181/kartor_geotiff/A 22275-2024 georefererad karta.tif", "A 22275-2024")</f>
        <v/>
      </c>
      <c r="AA105">
        <f>HYPERLINK("https://klasma.github.io/Logging_2181/klagomål/A 22275-2024 FSC-klagomål.docx", "A 22275-2024")</f>
        <v/>
      </c>
      <c r="AB105">
        <f>HYPERLINK("https://klasma.github.io/Logging_2181/klagomålsmail/A 22275-2024 FSC-klagomål mail.docx", "A 22275-2024")</f>
        <v/>
      </c>
      <c r="AC105">
        <f>HYPERLINK("https://klasma.github.io/Logging_2181/tillsyn/A 22275-2024 tillsynsbegäran.docx", "A 22275-2024")</f>
        <v/>
      </c>
      <c r="AD105">
        <f>HYPERLINK("https://klasma.github.io/Logging_2181/tillsynsmail/A 22275-2024 tillsynsbegäran mail.docx", "A 22275-2024")</f>
        <v/>
      </c>
    </row>
    <row r="106" ht="15" customHeight="1">
      <c r="A106" t="inlineStr">
        <is>
          <t>A 34406-2026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46254</v>
      </c>
      <c r="E106" s="1" t="n">
        <v>46280</v>
      </c>
      <c r="F106" t="inlineStr">
        <is>
          <t>GÄVLEBORGS LÄN</t>
        </is>
      </c>
      <c r="G106" t="inlineStr">
        <is>
          <t>SANDVIKEN</t>
        </is>
      </c>
      <c r="I106" t="n">
        <v>15.1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Loppstarr</t>
        </is>
      </c>
      <c r="W106">
        <f>HYPERLINK("https://klasma.github.io/Logging_2181/artfynd/A 34406-2026 artfynd.xlsx", "A 34406-2026")</f>
        <v/>
      </c>
      <c r="X106">
        <f>HYPERLINK("https://klasma.github.io/Logging_2181/kartor/A 34406-2026 karta.png", "A 34406-2026")</f>
        <v/>
      </c>
      <c r="Y106">
        <f>HYPERLINK("https://klasma.github.io/Logging_2181/kartor_geotiff/A 34406-2026 georefererad karta.tif", "A 34406-2026")</f>
        <v/>
      </c>
      <c r="AA106">
        <f>HYPERLINK("https://klasma.github.io/Logging_2181/klagomål/A 34406-2026 FSC-klagomål.docx", "A 34406-2026")</f>
        <v/>
      </c>
      <c r="AB106">
        <f>HYPERLINK("https://klasma.github.io/Logging_2181/klagomålsmail/A 34406-2026 FSC-klagomål mail.docx", "A 34406-2026")</f>
        <v/>
      </c>
      <c r="AC106">
        <f>HYPERLINK("https://klasma.github.io/Logging_2181/tillsyn/A 34406-2026 tillsynsbegäran.docx", "A 34406-2026")</f>
        <v/>
      </c>
      <c r="AD106">
        <f>HYPERLINK("https://klasma.github.io/Logging_2181/tillsynsmail/A 34406-2026 tillsynsbegäran mail.docx", "A 34406-2026")</f>
        <v/>
      </c>
    </row>
    <row r="107" ht="15" customHeight="1">
      <c r="A107" t="inlineStr">
        <is>
          <t>A 5015-2023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46280</v>
      </c>
      <c r="F107" t="inlineStr">
        <is>
          <t>GÄVLEBORGS LÄN</t>
        </is>
      </c>
      <c r="G107" t="inlineStr">
        <is>
          <t>SANDVIKEN</t>
        </is>
      </c>
      <c r="I107" t="n">
        <v>7.8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Slåtterfibbla</t>
        </is>
      </c>
      <c r="W107">
        <f>HYPERLINK("https://klasma.github.io/Logging_2181/artfynd/A 5015-2023 artfynd.xlsx", "A 5015-2023")</f>
        <v/>
      </c>
      <c r="X107">
        <f>HYPERLINK("https://klasma.github.io/Logging_2181/kartor/A 5015-2023 karta.png", "A 5015-2023")</f>
        <v/>
      </c>
      <c r="Y107">
        <f>HYPERLINK("https://klasma.github.io/Logging_2181/kartor_geotiff/A 5015-2023 georefererad karta.tif", "A 5015-2023")</f>
        <v/>
      </c>
      <c r="AA107">
        <f>HYPERLINK("https://klasma.github.io/Logging_2181/klagomål/A 5015-2023 FSC-klagomål.docx", "A 5015-2023")</f>
        <v/>
      </c>
      <c r="AB107">
        <f>HYPERLINK("https://klasma.github.io/Logging_2181/klagomålsmail/A 5015-2023 FSC-klagomål mail.docx", "A 5015-2023")</f>
        <v/>
      </c>
      <c r="AC107">
        <f>HYPERLINK("https://klasma.github.io/Logging_2181/tillsyn/A 5015-2023 tillsynsbegäran.docx", "A 5015-2023")</f>
        <v/>
      </c>
      <c r="AD107">
        <f>HYPERLINK("https://klasma.github.io/Logging_2181/tillsynsmail/A 5015-2023 tillsynsbegäran mail.docx", "A 5015-2023")</f>
        <v/>
      </c>
    </row>
    <row r="108" ht="15" customHeight="1">
      <c r="A108" t="inlineStr">
        <is>
          <t>A 36596-2026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46269</v>
      </c>
      <c r="E108" s="1" t="n">
        <v>46280</v>
      </c>
      <c r="F108" t="inlineStr">
        <is>
          <t>GÄVLEBORGS LÄN</t>
        </is>
      </c>
      <c r="G108" t="inlineStr">
        <is>
          <t>SANDVIKEN</t>
        </is>
      </c>
      <c r="I108" t="n">
        <v>10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HYPERLINK("https://klasma.github.io/Logging_2181/artfynd/A 36596-2026 artfynd.xlsx", "A 36596-2026")</f>
        <v/>
      </c>
      <c r="X108">
        <f>HYPERLINK("https://klasma.github.io/Logging_2181/kartor/A 36596-2026 karta.png", "A 36596-2026")</f>
        <v/>
      </c>
      <c r="Y108">
        <f>HYPERLINK("https://klasma.github.io/Logging_2181/kartor_geotiff/A 36596-2026 georefererad karta.tif", "A 36596-2026")</f>
        <v/>
      </c>
      <c r="AA108">
        <f>HYPERLINK("https://klasma.github.io/Logging_2181/klagomål/A 36596-2026 FSC-klagomål.docx", "A 36596-2026")</f>
        <v/>
      </c>
      <c r="AB108">
        <f>HYPERLINK("https://klasma.github.io/Logging_2181/klagomålsmail/A 36596-2026 FSC-klagomål mail.docx", "A 36596-2026")</f>
        <v/>
      </c>
      <c r="AC108">
        <f>HYPERLINK("https://klasma.github.io/Logging_2181/tillsyn/A 36596-2026 tillsynsbegäran.docx", "A 36596-2026")</f>
        <v/>
      </c>
      <c r="AD108">
        <f>HYPERLINK("https://klasma.github.io/Logging_2181/tillsynsmail/A 36596-2026 tillsynsbegäran mail.docx", "A 36596-2026")</f>
        <v/>
      </c>
    </row>
    <row r="109" ht="15" customHeight="1">
      <c r="A109" t="inlineStr">
        <is>
          <t>A 4384-2023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44955</v>
      </c>
      <c r="E109" s="1" t="n">
        <v>46280</v>
      </c>
      <c r="F109" t="inlineStr">
        <is>
          <t>GÄVLEBORGS LÄN</t>
        </is>
      </c>
      <c r="G109" t="inlineStr">
        <is>
          <t>SANDVIKEN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Sångsvan</t>
        </is>
      </c>
      <c r="W109">
        <f>HYPERLINK("https://klasma.github.io/Logging_2181/artfynd/A 4384-2023 artfynd.xlsx", "A 4384-2023")</f>
        <v/>
      </c>
      <c r="X109">
        <f>HYPERLINK("https://klasma.github.io/Logging_2181/kartor/A 4384-2023 karta.png", "A 4384-2023")</f>
        <v/>
      </c>
      <c r="Y109">
        <f>HYPERLINK("https://klasma.github.io/Logging_2181/kartor_geotiff/A 4384-2023 georefererad karta.tif", "A 4384-2023")</f>
        <v/>
      </c>
      <c r="AA109">
        <f>HYPERLINK("https://klasma.github.io/Logging_2181/klagomål/A 4384-2023 FSC-klagomål.docx", "A 4384-2023")</f>
        <v/>
      </c>
      <c r="AB109">
        <f>HYPERLINK("https://klasma.github.io/Logging_2181/klagomålsmail/A 4384-2023 FSC-klagomål mail.docx", "A 4384-2023")</f>
        <v/>
      </c>
      <c r="AC109">
        <f>HYPERLINK("https://klasma.github.io/Logging_2181/tillsyn/A 4384-2023 tillsynsbegäran.docx", "A 4384-2023")</f>
        <v/>
      </c>
      <c r="AD109">
        <f>HYPERLINK("https://klasma.github.io/Logging_2181/tillsynsmail/A 4384-2023 tillsynsbegäran mail.docx", "A 4384-2023")</f>
        <v/>
      </c>
      <c r="AE109">
        <f>HYPERLINK("https://klasma.github.io/Logging_2181/fåglar/A 4384-2023 prioriterade fågelarter.docx", "A 4384-2023")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46280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46280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46280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46280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46280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46280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46280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46280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46280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46280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46280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46280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46280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46280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46280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46280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46280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46280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46280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46280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46280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46280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46280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46280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46280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46280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46280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46280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46280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46280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46280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46280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46280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46280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46280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46280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46280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46280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46280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46280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46280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46280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46280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46280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46280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46280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46280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46280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46280</v>
      </c>
      <c r="F158" t="inlineStr">
        <is>
          <t>GÄVLEBORGS LÄN</t>
        </is>
      </c>
      <c r="G158" t="inlineStr">
        <is>
          <t>SANDVIKEN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46280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46280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46280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46280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46280</v>
      </c>
      <c r="F163" t="inlineStr">
        <is>
          <t>GÄVLEBORGS LÄN</t>
        </is>
      </c>
      <c r="G163" t="inlineStr">
        <is>
          <t>SANDVIKEN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45404</v>
      </c>
      <c r="E164" s="1" t="n">
        <v>46280</v>
      </c>
      <c r="F164" t="inlineStr">
        <is>
          <t>GÄVLEBORGS LÄN</t>
        </is>
      </c>
      <c r="G164" t="inlineStr">
        <is>
          <t>SANDVIKEN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44289-2023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46280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46280</v>
      </c>
      <c r="F166" t="inlineStr">
        <is>
          <t>GÄVLEBORGS LÄN</t>
        </is>
      </c>
      <c r="G166" t="inlineStr">
        <is>
          <t>SANDVIKEN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46280</v>
      </c>
      <c r="F167" t="inlineStr">
        <is>
          <t>GÄVLEBORGS LÄN</t>
        </is>
      </c>
      <c r="G167" t="inlineStr">
        <is>
          <t>SANDVIKEN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46280</v>
      </c>
      <c r="F168" t="inlineStr">
        <is>
          <t>GÄVLEBORGS LÄN</t>
        </is>
      </c>
      <c r="G168" t="inlineStr">
        <is>
          <t>SANDVIKEN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46280</v>
      </c>
      <c r="F169" t="inlineStr">
        <is>
          <t>GÄVLEBORGS LÄN</t>
        </is>
      </c>
      <c r="G169" t="inlineStr">
        <is>
          <t>SANDVIKEN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45278</v>
      </c>
      <c r="E170" s="1" t="n">
        <v>46280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45693</v>
      </c>
      <c r="E171" s="1" t="n">
        <v>46280</v>
      </c>
      <c r="F171" t="inlineStr">
        <is>
          <t>GÄVLEBORGS LÄN</t>
        </is>
      </c>
      <c r="G171" t="inlineStr">
        <is>
          <t>SANDVIKEN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45984</v>
      </c>
      <c r="E172" s="1" t="n">
        <v>46280</v>
      </c>
      <c r="F172" t="inlineStr">
        <is>
          <t>GÄVLEBORGS LÄN</t>
        </is>
      </c>
      <c r="G172" t="inlineStr">
        <is>
          <t>SANDVIKEN</t>
        </is>
      </c>
      <c r="H172" t="inlineStr">
        <is>
          <t>Bergvik skog öst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45418</v>
      </c>
      <c r="E173" s="1" t="n">
        <v>46280</v>
      </c>
      <c r="F173" t="inlineStr">
        <is>
          <t>GÄVLEBORGS LÄN</t>
        </is>
      </c>
      <c r="G173" t="inlineStr">
        <is>
          <t>SANDVIKEN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46280</v>
      </c>
      <c r="F174" t="inlineStr">
        <is>
          <t>GÄVLEBORGS LÄN</t>
        </is>
      </c>
      <c r="G174" t="inlineStr">
        <is>
          <t>SANDVIKEN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46280</v>
      </c>
      <c r="F175" t="inlineStr">
        <is>
          <t>GÄVLEBORGS LÄN</t>
        </is>
      </c>
      <c r="G175" t="inlineStr">
        <is>
          <t>SANDVIKEN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46280</v>
      </c>
      <c r="F176" t="inlineStr">
        <is>
          <t>GÄVLEBORGS LÄN</t>
        </is>
      </c>
      <c r="G176" t="inlineStr">
        <is>
          <t>SANDVIKEN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46280</v>
      </c>
      <c r="F177" t="inlineStr">
        <is>
          <t>GÄVLEBORGS LÄN</t>
        </is>
      </c>
      <c r="G177" t="inlineStr">
        <is>
          <t>SANDVIKEN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46280</v>
      </c>
      <c r="F178" t="inlineStr">
        <is>
          <t>GÄVLEBORGS LÄN</t>
        </is>
      </c>
      <c r="G178" t="inlineStr">
        <is>
          <t>SANDVIKEN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45126</v>
      </c>
      <c r="E179" s="1" t="n">
        <v>46280</v>
      </c>
      <c r="F179" t="inlineStr">
        <is>
          <t>GÄVLEBORGS LÄN</t>
        </is>
      </c>
      <c r="G179" t="inlineStr">
        <is>
          <t>SANDVIKEN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46280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46280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46280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46280</v>
      </c>
      <c r="F183" t="inlineStr">
        <is>
          <t>GÄVLEBORGS LÄN</t>
        </is>
      </c>
      <c r="G183" t="inlineStr">
        <is>
          <t>SANDVIKEN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46280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46280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46280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46280</v>
      </c>
      <c r="F187" t="inlineStr">
        <is>
          <t>GÄVLEBORGS LÄN</t>
        </is>
      </c>
      <c r="G187" t="inlineStr">
        <is>
          <t>SANDVIKEN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46280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46280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26787-2025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46280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46280</v>
      </c>
      <c r="F191" t="inlineStr">
        <is>
          <t>GÄVLEBORGS LÄN</t>
        </is>
      </c>
      <c r="G191" t="inlineStr">
        <is>
          <t>SANDVIKEN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46280</v>
      </c>
      <c r="F192" t="inlineStr">
        <is>
          <t>GÄVLEBORGS LÄN</t>
        </is>
      </c>
      <c r="G192" t="inlineStr">
        <is>
          <t>SANDVIKEN</t>
        </is>
      </c>
      <c r="H192" t="inlineStr">
        <is>
          <t>Kommuner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46280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46280</v>
      </c>
      <c r="F194" t="inlineStr">
        <is>
          <t>GÄVLEBORGS LÄN</t>
        </is>
      </c>
      <c r="G194" t="inlineStr">
        <is>
          <t>SANDVIKEN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46280</v>
      </c>
      <c r="F195" t="inlineStr">
        <is>
          <t>GÄVLEBORGS LÄN</t>
        </is>
      </c>
      <c r="G195" t="inlineStr">
        <is>
          <t>SANDVIKEN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46280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46280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46280</v>
      </c>
      <c r="F198" t="inlineStr">
        <is>
          <t>GÄVLEBORGS LÄN</t>
        </is>
      </c>
      <c r="G198" t="inlineStr">
        <is>
          <t>SANDVIKEN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44477</v>
      </c>
      <c r="E199" s="1" t="n">
        <v>46280</v>
      </c>
      <c r="F199" t="inlineStr">
        <is>
          <t>GÄVLEBORGS LÄN</t>
        </is>
      </c>
      <c r="G199" t="inlineStr">
        <is>
          <t>SANDVIKEN</t>
        </is>
      </c>
      <c r="H199" t="inlineStr">
        <is>
          <t>Bergvik skog väst AB</t>
        </is>
      </c>
      <c r="I199" t="n">
        <v>18.5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45769</v>
      </c>
      <c r="E200" s="1" t="n">
        <v>46280</v>
      </c>
      <c r="F200" t="inlineStr">
        <is>
          <t>GÄVLEBORGS LÄN</t>
        </is>
      </c>
      <c r="G200" t="inlineStr">
        <is>
          <t>SANDVIKEN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46280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46280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46280</v>
      </c>
      <c r="F203" t="inlineStr">
        <is>
          <t>GÄVLEBORGS LÄN</t>
        </is>
      </c>
      <c r="G203" t="inlineStr">
        <is>
          <t>SANDVIKEN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46280</v>
      </c>
      <c r="F204" t="inlineStr">
        <is>
          <t>GÄVLEBORGS LÄN</t>
        </is>
      </c>
      <c r="G204" t="inlineStr">
        <is>
          <t>SANDVIKEN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46280</v>
      </c>
      <c r="F205" t="inlineStr">
        <is>
          <t>GÄVLEBORGS LÄN</t>
        </is>
      </c>
      <c r="G205" t="inlineStr">
        <is>
          <t>SANDVIKEN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46280</v>
      </c>
      <c r="F206" t="inlineStr">
        <is>
          <t>GÄVLEBORGS LÄN</t>
        </is>
      </c>
      <c r="G206" t="inlineStr">
        <is>
          <t>SANDVIKEN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46280</v>
      </c>
      <c r="F207" t="inlineStr">
        <is>
          <t>GÄVLEBORGS LÄN</t>
        </is>
      </c>
      <c r="G207" t="inlineStr">
        <is>
          <t>SANDVIKEN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46280</v>
      </c>
      <c r="F208" t="inlineStr">
        <is>
          <t>GÄVLEBORGS LÄN</t>
        </is>
      </c>
      <c r="G208" t="inlineStr">
        <is>
          <t>SANDVIKEN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46280</v>
      </c>
      <c r="F209" t="inlineStr">
        <is>
          <t>GÄVLEBORGS LÄN</t>
        </is>
      </c>
      <c r="G209" t="inlineStr">
        <is>
          <t>SANDVIKEN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46280</v>
      </c>
      <c r="F210" t="inlineStr">
        <is>
          <t>GÄVLEBORGS LÄN</t>
        </is>
      </c>
      <c r="G210" t="inlineStr">
        <is>
          <t>SANDVIKEN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46280</v>
      </c>
      <c r="F211" t="inlineStr">
        <is>
          <t>GÄVLEBORGS LÄN</t>
        </is>
      </c>
      <c r="G211" t="inlineStr">
        <is>
          <t>SANDVIKEN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46280</v>
      </c>
      <c r="F212" t="inlineStr">
        <is>
          <t>GÄVLEBORGS LÄN</t>
        </is>
      </c>
      <c r="G212" t="inlineStr">
        <is>
          <t>SANDVIKEN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46280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46280</v>
      </c>
      <c r="F214" t="inlineStr">
        <is>
          <t>GÄVLEBORGS LÄN</t>
        </is>
      </c>
      <c r="G214" t="inlineStr">
        <is>
          <t>SANDVIKEN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46280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45899</v>
      </c>
      <c r="E216" s="1" t="n">
        <v>46280</v>
      </c>
      <c r="F216" t="inlineStr">
        <is>
          <t>GÄVLEBORGS LÄN</t>
        </is>
      </c>
      <c r="G216" t="inlineStr">
        <is>
          <t>SANDVIKEN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46280</v>
      </c>
      <c r="F217" t="inlineStr">
        <is>
          <t>GÄVLEBORGS LÄN</t>
        </is>
      </c>
      <c r="G217" t="inlineStr">
        <is>
          <t>SANDVIKEN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46280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väst AB</t>
        </is>
      </c>
      <c r="I218" t="n">
        <v>8.1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46280</v>
      </c>
      <c r="F219" t="inlineStr">
        <is>
          <t>GÄVLEBORGS LÄN</t>
        </is>
      </c>
      <c r="G219" t="inlineStr">
        <is>
          <t>SANDVIKEN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46280</v>
      </c>
      <c r="F220" t="inlineStr">
        <is>
          <t>GÄVLEBORGS LÄN</t>
        </is>
      </c>
      <c r="G220" t="inlineStr">
        <is>
          <t>SANDVIKEN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46280</v>
      </c>
      <c r="F221" t="inlineStr">
        <is>
          <t>GÄVLEBORGS LÄN</t>
        </is>
      </c>
      <c r="G221" t="inlineStr">
        <is>
          <t>SANDVIKEN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46280</v>
      </c>
      <c r="F222" t="inlineStr">
        <is>
          <t>GÄVLEBORGS LÄN</t>
        </is>
      </c>
      <c r="G222" t="inlineStr">
        <is>
          <t>SANDVIKEN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46280</v>
      </c>
      <c r="F223" t="inlineStr">
        <is>
          <t>GÄVLEBORGS LÄN</t>
        </is>
      </c>
      <c r="G223" t="inlineStr">
        <is>
          <t>SANDVIKEN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46280</v>
      </c>
      <c r="F224" t="inlineStr">
        <is>
          <t>GÄVLEBORGS LÄN</t>
        </is>
      </c>
      <c r="G224" t="inlineStr">
        <is>
          <t>SANDVIKEN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46280</v>
      </c>
      <c r="F225" t="inlineStr">
        <is>
          <t>GÄVLEBORGS LÄN</t>
        </is>
      </c>
      <c r="G225" t="inlineStr">
        <is>
          <t>SANDVIKEN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46280</v>
      </c>
      <c r="F226" t="inlineStr">
        <is>
          <t>GÄVLEBORGS LÄN</t>
        </is>
      </c>
      <c r="G226" t="inlineStr">
        <is>
          <t>SANDVIKEN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46280</v>
      </c>
      <c r="F227" t="inlineStr">
        <is>
          <t>GÄVLEBORGS LÄN</t>
        </is>
      </c>
      <c r="G227" t="inlineStr">
        <is>
          <t>SANDVIKEN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44744</v>
      </c>
      <c r="E228" s="1" t="n">
        <v>46280</v>
      </c>
      <c r="F228" t="inlineStr">
        <is>
          <t>GÄVLEBORGS LÄN</t>
        </is>
      </c>
      <c r="G228" t="inlineStr">
        <is>
          <t>SANDVIKEN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46280</v>
      </c>
      <c r="F229" t="inlineStr">
        <is>
          <t>GÄVLEBORGS LÄN</t>
        </is>
      </c>
      <c r="G229" t="inlineStr">
        <is>
          <t>SANDVIKEN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46280</v>
      </c>
      <c r="F230" t="inlineStr">
        <is>
          <t>GÄVLEBORGS LÄN</t>
        </is>
      </c>
      <c r="G230" t="inlineStr">
        <is>
          <t>SANDVIKEN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46280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46280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46280</v>
      </c>
      <c r="F233" t="inlineStr">
        <is>
          <t>GÄVLEBORGS LÄN</t>
        </is>
      </c>
      <c r="G233" t="inlineStr">
        <is>
          <t>SANDVIKEN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46280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46280</v>
      </c>
      <c r="F235" t="inlineStr">
        <is>
          <t>GÄVLEBORGS LÄN</t>
        </is>
      </c>
      <c r="G235" t="inlineStr">
        <is>
          <t>SANDVIKEN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45408</v>
      </c>
      <c r="E236" s="1" t="n">
        <v>46280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väst AB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46280</v>
      </c>
      <c r="F237" t="inlineStr">
        <is>
          <t>GÄVLEBORGS LÄN</t>
        </is>
      </c>
      <c r="G237" t="inlineStr">
        <is>
          <t>SANDVIKEN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30843-2025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45831</v>
      </c>
      <c r="E238" s="1" t="n">
        <v>46280</v>
      </c>
      <c r="F238" t="inlineStr">
        <is>
          <t>GÄVLEBORGS LÄN</t>
        </is>
      </c>
      <c r="G238" t="inlineStr">
        <is>
          <t>SANDVIKEN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46280</v>
      </c>
      <c r="F239" t="inlineStr">
        <is>
          <t>GÄVLEBORGS LÄN</t>
        </is>
      </c>
      <c r="G239" t="inlineStr">
        <is>
          <t>SANDVIKEN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46280</v>
      </c>
      <c r="F240" t="inlineStr">
        <is>
          <t>GÄVLEBORGS LÄN</t>
        </is>
      </c>
      <c r="G240" t="inlineStr">
        <is>
          <t>SANDVIKEN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46280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46280</v>
      </c>
      <c r="F242" t="inlineStr">
        <is>
          <t>GÄVLEBORGS LÄN</t>
        </is>
      </c>
      <c r="G242" t="inlineStr">
        <is>
          <t>SANDVIKEN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46280</v>
      </c>
      <c r="F243" t="inlineStr">
        <is>
          <t>GÄVLEBORGS LÄN</t>
        </is>
      </c>
      <c r="G243" t="inlineStr">
        <is>
          <t>SANDVIKEN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46280</v>
      </c>
      <c r="F244" t="inlineStr">
        <is>
          <t>GÄVLEBORGS LÄN</t>
        </is>
      </c>
      <c r="G244" t="inlineStr">
        <is>
          <t>SANDVIKEN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46280</v>
      </c>
      <c r="F245" t="inlineStr">
        <is>
          <t>GÄVLEBORGS LÄN</t>
        </is>
      </c>
      <c r="G245" t="inlineStr">
        <is>
          <t>SANDVIKEN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46280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46280</v>
      </c>
      <c r="F247" t="inlineStr">
        <is>
          <t>GÄVLEBORGS LÄN</t>
        </is>
      </c>
      <c r="G247" t="inlineStr">
        <is>
          <t>SANDVIKEN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45916</v>
      </c>
      <c r="E248" s="1" t="n">
        <v>46280</v>
      </c>
      <c r="F248" t="inlineStr">
        <is>
          <t>GÄVLEBORGS LÄN</t>
        </is>
      </c>
      <c r="G248" t="inlineStr">
        <is>
          <t>SANDVIKEN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45649</v>
      </c>
      <c r="E249" s="1" t="n">
        <v>46280</v>
      </c>
      <c r="F249" t="inlineStr">
        <is>
          <t>GÄVLEBORGS LÄN</t>
        </is>
      </c>
      <c r="G249" t="inlineStr">
        <is>
          <t>SANDVIKEN</t>
        </is>
      </c>
      <c r="I249" t="n">
        <v>11.1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46280</v>
      </c>
      <c r="F250" t="inlineStr">
        <is>
          <t>GÄVLEBORGS LÄN</t>
        </is>
      </c>
      <c r="G250" t="inlineStr">
        <is>
          <t>SANDVIKEN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46280</v>
      </c>
      <c r="F251" t="inlineStr">
        <is>
          <t>GÄVLEBORGS LÄN</t>
        </is>
      </c>
      <c r="G251" t="inlineStr">
        <is>
          <t>SANDVIKEN</t>
        </is>
      </c>
      <c r="H251" t="inlineStr">
        <is>
          <t>Kommuner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46280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27.3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45103-2025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45919</v>
      </c>
      <c r="E253" s="1" t="n">
        <v>46280</v>
      </c>
      <c r="F253" t="inlineStr">
        <is>
          <t>GÄVLEBORGS LÄN</t>
        </is>
      </c>
      <c r="G253" t="inlineStr">
        <is>
          <t>SANDVIKEN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46280</v>
      </c>
      <c r="F254" t="inlineStr">
        <is>
          <t>GÄVLEBORGS LÄN</t>
        </is>
      </c>
      <c r="G254" t="inlineStr">
        <is>
          <t>SANDVIKEN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46280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46280</v>
      </c>
      <c r="F256" t="inlineStr">
        <is>
          <t>GÄVLEBORGS LÄN</t>
        </is>
      </c>
      <c r="G256" t="inlineStr">
        <is>
          <t>SANDVIKEN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45845</v>
      </c>
      <c r="E257" s="1" t="n">
        <v>46280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46280</v>
      </c>
      <c r="F258" t="inlineStr">
        <is>
          <t>GÄVLEBORGS LÄN</t>
        </is>
      </c>
      <c r="G258" t="inlineStr">
        <is>
          <t>SANDVIKEN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46280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45649</v>
      </c>
      <c r="E260" s="1" t="n">
        <v>46280</v>
      </c>
      <c r="F260" t="inlineStr">
        <is>
          <t>GÄVLEBORGS LÄN</t>
        </is>
      </c>
      <c r="G260" t="inlineStr">
        <is>
          <t>SANDVIKEN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46280</v>
      </c>
      <c r="F261" t="inlineStr">
        <is>
          <t>GÄVLEBORGS LÄN</t>
        </is>
      </c>
      <c r="G261" t="inlineStr">
        <is>
          <t>SANDVIKEN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46280</v>
      </c>
      <c r="F262" t="inlineStr">
        <is>
          <t>GÄVLEBORGS LÄN</t>
        </is>
      </c>
      <c r="G262" t="inlineStr">
        <is>
          <t>SANDVIKEN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46280</v>
      </c>
      <c r="F263" t="inlineStr">
        <is>
          <t>GÄVLEBORGS LÄN</t>
        </is>
      </c>
      <c r="G263" t="inlineStr">
        <is>
          <t>SANDVIKEN</t>
        </is>
      </c>
      <c r="H263" t="inlineStr">
        <is>
          <t>Kommuner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46280</v>
      </c>
      <c r="F264" t="inlineStr">
        <is>
          <t>GÄVLEBORGS LÄN</t>
        </is>
      </c>
      <c r="G264" t="inlineStr">
        <is>
          <t>SANDVIKEN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46280</v>
      </c>
      <c r="F265" t="inlineStr">
        <is>
          <t>GÄVLEBORGS LÄN</t>
        </is>
      </c>
      <c r="G265" t="inlineStr">
        <is>
          <t>SANDVIKEN</t>
        </is>
      </c>
      <c r="I265" t="n">
        <v>10.3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46280</v>
      </c>
      <c r="F266" t="inlineStr">
        <is>
          <t>GÄVLEBORGS LÄN</t>
        </is>
      </c>
      <c r="G266" t="inlineStr">
        <is>
          <t>SANDVIKEN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46280</v>
      </c>
      <c r="F267" t="inlineStr">
        <is>
          <t>GÄVLEBORGS LÄN</t>
        </is>
      </c>
      <c r="G267" t="inlineStr">
        <is>
          <t>SANDVIKEN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46280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46280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46058</v>
      </c>
      <c r="E270" s="1" t="n">
        <v>46280</v>
      </c>
      <c r="F270" t="inlineStr">
        <is>
          <t>GÄVLEBORGS LÄN</t>
        </is>
      </c>
      <c r="G270" t="inlineStr">
        <is>
          <t>SANDVIKEN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46280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46280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46280</v>
      </c>
      <c r="F273" t="inlineStr">
        <is>
          <t>GÄVLEBORGS LÄN</t>
        </is>
      </c>
      <c r="G273" t="inlineStr">
        <is>
          <t>SANDVIKEN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46280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46280</v>
      </c>
      <c r="F275" t="inlineStr">
        <is>
          <t>GÄVLEBORGS LÄN</t>
        </is>
      </c>
      <c r="G275" t="inlineStr">
        <is>
          <t>SANDVIKEN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46280</v>
      </c>
      <c r="F276" t="inlineStr">
        <is>
          <t>GÄVLEBORGS LÄN</t>
        </is>
      </c>
      <c r="G276" t="inlineStr">
        <is>
          <t>SANDVIKEN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46280</v>
      </c>
      <c r="F277" t="inlineStr">
        <is>
          <t>GÄVLEBORGS LÄN</t>
        </is>
      </c>
      <c r="G277" t="inlineStr">
        <is>
          <t>SANDVIKEN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46280</v>
      </c>
      <c r="F278" t="inlineStr">
        <is>
          <t>GÄVLEBORGS LÄN</t>
        </is>
      </c>
      <c r="G278" t="inlineStr">
        <is>
          <t>SANDVIKEN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46280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46280</v>
      </c>
      <c r="F280" t="inlineStr">
        <is>
          <t>GÄVLEBORGS LÄN</t>
        </is>
      </c>
      <c r="G280" t="inlineStr">
        <is>
          <t>SANDVIKEN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46280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46280</v>
      </c>
      <c r="F282" t="inlineStr">
        <is>
          <t>GÄVLEBORGS LÄN</t>
        </is>
      </c>
      <c r="G282" t="inlineStr">
        <is>
          <t>SANDVIKEN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46280</v>
      </c>
      <c r="F283" t="inlineStr">
        <is>
          <t>GÄVLEBORGS LÄN</t>
        </is>
      </c>
      <c r="G283" t="inlineStr">
        <is>
          <t>SANDVIKEN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46280</v>
      </c>
      <c r="F284" t="inlineStr">
        <is>
          <t>GÄVLEBORGS LÄN</t>
        </is>
      </c>
      <c r="G284" t="inlineStr">
        <is>
          <t>SANDVIKEN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46280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46280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46280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46280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46280</v>
      </c>
      <c r="F289" t="inlineStr">
        <is>
          <t>GÄVLEBORGS LÄN</t>
        </is>
      </c>
      <c r="G289" t="inlineStr">
        <is>
          <t>SANDVIKEN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46280</v>
      </c>
      <c r="F290" t="inlineStr">
        <is>
          <t>GÄVLEBORGS LÄN</t>
        </is>
      </c>
      <c r="G290" t="inlineStr">
        <is>
          <t>SANDVIKEN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46280</v>
      </c>
      <c r="F291" t="inlineStr">
        <is>
          <t>GÄVLEBORGS LÄN</t>
        </is>
      </c>
      <c r="G291" t="inlineStr">
        <is>
          <t>SANDVIKEN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46280</v>
      </c>
      <c r="F292" t="inlineStr">
        <is>
          <t>GÄVLEBORGS LÄN</t>
        </is>
      </c>
      <c r="G292" t="inlineStr">
        <is>
          <t>SANDVIKEN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46280</v>
      </c>
      <c r="F293" t="inlineStr">
        <is>
          <t>GÄVLEBORGS LÄN</t>
        </is>
      </c>
      <c r="G293" t="inlineStr">
        <is>
          <t>SANDVIKEN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46280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46280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46280</v>
      </c>
      <c r="F296" t="inlineStr">
        <is>
          <t>GÄVLEBORGS LÄN</t>
        </is>
      </c>
      <c r="G296" t="inlineStr">
        <is>
          <t>SANDVIKEN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46280</v>
      </c>
      <c r="F297" t="inlineStr">
        <is>
          <t>GÄVLEBORGS LÄN</t>
        </is>
      </c>
      <c r="G297" t="inlineStr">
        <is>
          <t>SANDVIKEN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46280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46280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45863</v>
      </c>
      <c r="E300" s="1" t="n">
        <v>46280</v>
      </c>
      <c r="F300" t="inlineStr">
        <is>
          <t>GÄVLEBORGS LÄN</t>
        </is>
      </c>
      <c r="G300" t="inlineStr">
        <is>
          <t>SANDVIKEN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45866</v>
      </c>
      <c r="E301" s="1" t="n">
        <v>46280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45866</v>
      </c>
      <c r="E302" s="1" t="n">
        <v>46280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46280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45567</v>
      </c>
      <c r="E304" s="1" t="n">
        <v>46280</v>
      </c>
      <c r="F304" t="inlineStr">
        <is>
          <t>GÄVLEBORGS LÄN</t>
        </is>
      </c>
      <c r="G304" t="inlineStr">
        <is>
          <t>SANDVIKEN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46280</v>
      </c>
      <c r="F305" t="inlineStr">
        <is>
          <t>GÄVLEBORGS LÄN</t>
        </is>
      </c>
      <c r="G305" t="inlineStr">
        <is>
          <t>SANDVIKEN</t>
        </is>
      </c>
      <c r="H305" t="inlineStr">
        <is>
          <t>Naturvårdsverket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46280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väst AB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46280</v>
      </c>
      <c r="F307" t="inlineStr">
        <is>
          <t>GÄVLEBORGS LÄN</t>
        </is>
      </c>
      <c r="G307" t="inlineStr">
        <is>
          <t>SANDVIKEN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46280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46280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46280</v>
      </c>
      <c r="F310" t="inlineStr">
        <is>
          <t>GÄVLEBORGS LÄN</t>
        </is>
      </c>
      <c r="G310" t="inlineStr">
        <is>
          <t>SANDVIKEN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45867</v>
      </c>
      <c r="E311" s="1" t="n">
        <v>46280</v>
      </c>
      <c r="F311" t="inlineStr">
        <is>
          <t>GÄVLEBORGS LÄN</t>
        </is>
      </c>
      <c r="G311" t="inlineStr">
        <is>
          <t>SANDVIKEN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46072</v>
      </c>
      <c r="E312" s="1" t="n">
        <v>46280</v>
      </c>
      <c r="F312" t="inlineStr">
        <is>
          <t>GÄVLEBORGS LÄN</t>
        </is>
      </c>
      <c r="G312" t="inlineStr">
        <is>
          <t>SANDVIKEN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46280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44784</v>
      </c>
      <c r="E314" s="1" t="n">
        <v>46280</v>
      </c>
      <c r="F314" t="inlineStr">
        <is>
          <t>GÄVLEBORGS LÄN</t>
        </is>
      </c>
      <c r="G314" t="inlineStr">
        <is>
          <t>SANDVIKEN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46072</v>
      </c>
      <c r="E315" s="1" t="n">
        <v>46280</v>
      </c>
      <c r="F315" t="inlineStr">
        <is>
          <t>GÄVLEBORGS LÄN</t>
        </is>
      </c>
      <c r="G315" t="inlineStr">
        <is>
          <t>SANDVIKEN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46072</v>
      </c>
      <c r="E316" s="1" t="n">
        <v>46280</v>
      </c>
      <c r="F316" t="inlineStr">
        <is>
          <t>GÄVLEBORGS LÄN</t>
        </is>
      </c>
      <c r="G316" t="inlineStr">
        <is>
          <t>SANDVIKEN</t>
        </is>
      </c>
      <c r="H316" t="inlineStr">
        <is>
          <t>Naturvårdsverket</t>
        </is>
      </c>
      <c r="I316" t="n">
        <v>19.5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46280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45870</v>
      </c>
      <c r="E318" s="1" t="n">
        <v>46280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46280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46280</v>
      </c>
      <c r="F320" t="inlineStr">
        <is>
          <t>GÄVLEBORGS LÄN</t>
        </is>
      </c>
      <c r="G320" t="inlineStr">
        <is>
          <t>SANDVIKEN</t>
        </is>
      </c>
      <c r="H320" t="inlineStr">
        <is>
          <t>Sveaskog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49217-2025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45938</v>
      </c>
      <c r="E321" s="1" t="n">
        <v>46280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45615</v>
      </c>
      <c r="E322" s="1" t="n">
        <v>46280</v>
      </c>
      <c r="F322" t="inlineStr">
        <is>
          <t>GÄVLEBORGS LÄN</t>
        </is>
      </c>
      <c r="G322" t="inlineStr">
        <is>
          <t>SANDVIKEN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46280</v>
      </c>
      <c r="F323" t="inlineStr">
        <is>
          <t>GÄVLEBORGS LÄN</t>
        </is>
      </c>
      <c r="G323" t="inlineStr">
        <is>
          <t>SANDVIKEN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53718-2024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46280</v>
      </c>
      <c r="F324" t="inlineStr">
        <is>
          <t>GÄVLEBORGS LÄN</t>
        </is>
      </c>
      <c r="G324" t="inlineStr">
        <is>
          <t>SANDVIKEN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46280</v>
      </c>
      <c r="F325" t="inlineStr">
        <is>
          <t>GÄVLEBORGS LÄN</t>
        </is>
      </c>
      <c r="G325" t="inlineStr">
        <is>
          <t>SANDVIKEN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46074</v>
      </c>
      <c r="E326" s="1" t="n">
        <v>46280</v>
      </c>
      <c r="F326" t="inlineStr">
        <is>
          <t>GÄVLEBORGS LÄN</t>
        </is>
      </c>
      <c r="G326" t="inlineStr">
        <is>
          <t>SANDVIKEN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46280</v>
      </c>
      <c r="F327" t="inlineStr">
        <is>
          <t>GÄVLEBORGS LÄN</t>
        </is>
      </c>
      <c r="G327" t="inlineStr">
        <is>
          <t>SANDVIKEN</t>
        </is>
      </c>
      <c r="H327" t="inlineStr">
        <is>
          <t>Kommuner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46280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46280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45873</v>
      </c>
      <c r="E330" s="1" t="n">
        <v>46280</v>
      </c>
      <c r="F330" t="inlineStr">
        <is>
          <t>GÄVLEBORGS LÄN</t>
        </is>
      </c>
      <c r="G330" t="inlineStr">
        <is>
          <t>SANDVIKEN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46280</v>
      </c>
      <c r="F331" t="inlineStr">
        <is>
          <t>GÄVLEBORGS LÄN</t>
        </is>
      </c>
      <c r="G331" t="inlineStr">
        <is>
          <t>SANDVIKEN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46280</v>
      </c>
      <c r="F332" t="inlineStr">
        <is>
          <t>GÄVLEBORGS LÄN</t>
        </is>
      </c>
      <c r="G332" t="inlineStr">
        <is>
          <t>SANDVIKEN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46280</v>
      </c>
      <c r="F333" t="inlineStr">
        <is>
          <t>GÄVLEBORGS LÄN</t>
        </is>
      </c>
      <c r="G333" t="inlineStr">
        <is>
          <t>SANDVIKEN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46280</v>
      </c>
      <c r="F334" t="inlineStr">
        <is>
          <t>GÄVLEBORGS LÄN</t>
        </is>
      </c>
      <c r="G334" t="inlineStr">
        <is>
          <t>SANDVIKEN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46280</v>
      </c>
      <c r="F335" t="inlineStr">
        <is>
          <t>GÄVLEBORGS LÄN</t>
        </is>
      </c>
      <c r="G335" t="inlineStr">
        <is>
          <t>SANDVIKEN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46280</v>
      </c>
      <c r="F336" t="inlineStr">
        <is>
          <t>GÄVLEBORGS LÄN</t>
        </is>
      </c>
      <c r="G336" t="inlineStr">
        <is>
          <t>SANDVIKEN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46280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46280</v>
      </c>
      <c r="F338" t="inlineStr">
        <is>
          <t>GÄVLEBORGS LÄN</t>
        </is>
      </c>
      <c r="G338" t="inlineStr">
        <is>
          <t>SANDVIKEN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44813</v>
      </c>
      <c r="E339" s="1" t="n">
        <v>46280</v>
      </c>
      <c r="F339" t="inlineStr">
        <is>
          <t>GÄVLEBORGS LÄN</t>
        </is>
      </c>
      <c r="G339" t="inlineStr">
        <is>
          <t>SANDVIKEN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45226</v>
      </c>
      <c r="E340" s="1" t="n">
        <v>46280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46080</v>
      </c>
      <c r="E341" s="1" t="n">
        <v>46280</v>
      </c>
      <c r="F341" t="inlineStr">
        <is>
          <t>GÄVLEBORGS LÄN</t>
        </is>
      </c>
      <c r="G341" t="inlineStr">
        <is>
          <t>SANDVIKEN</t>
        </is>
      </c>
      <c r="I341" t="n">
        <v>14.5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46280</v>
      </c>
      <c r="F342" t="inlineStr">
        <is>
          <t>GÄVLEBORGS LÄN</t>
        </is>
      </c>
      <c r="G342" t="inlineStr">
        <is>
          <t>SANDVIKEN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46280</v>
      </c>
      <c r="F343" t="inlineStr">
        <is>
          <t>GÄVLEBORGS LÄN</t>
        </is>
      </c>
      <c r="G343" t="inlineStr">
        <is>
          <t>SANDVIKEN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46280</v>
      </c>
      <c r="F344" t="inlineStr">
        <is>
          <t>GÄVLEBORGS LÄN</t>
        </is>
      </c>
      <c r="G344" t="inlineStr">
        <is>
          <t>SANDVIKEN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46280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46280</v>
      </c>
      <c r="F346" t="inlineStr">
        <is>
          <t>GÄVLEBORGS LÄN</t>
        </is>
      </c>
      <c r="G346" t="inlineStr">
        <is>
          <t>SANDVIKEN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50851-2025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45946</v>
      </c>
      <c r="E347" s="1" t="n">
        <v>46280</v>
      </c>
      <c r="F347" t="inlineStr">
        <is>
          <t>GÄVLEBORGS LÄN</t>
        </is>
      </c>
      <c r="G347" t="inlineStr">
        <is>
          <t>SANDVIKEN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46280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10.5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46280</v>
      </c>
      <c r="F349" t="inlineStr">
        <is>
          <t>GÄVLEBORGS LÄN</t>
        </is>
      </c>
      <c r="G349" t="inlineStr">
        <is>
          <t>SANDVIKEN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46280</v>
      </c>
      <c r="F350" t="inlineStr">
        <is>
          <t>GÄVLEBORGS LÄN</t>
        </is>
      </c>
      <c r="G350" t="inlineStr">
        <is>
          <t>SANDVIKEN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46280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46280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45480</v>
      </c>
      <c r="E353" s="1" t="n">
        <v>46280</v>
      </c>
      <c r="F353" t="inlineStr">
        <is>
          <t>GÄVLEBORGS LÄN</t>
        </is>
      </c>
      <c r="G353" t="inlineStr">
        <is>
          <t>SANDVIKEN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46280</v>
      </c>
      <c r="F354" t="inlineStr">
        <is>
          <t>GÄVLEBORGS LÄN</t>
        </is>
      </c>
      <c r="G354" t="inlineStr">
        <is>
          <t>SANDVIKEN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46280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46280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46280</v>
      </c>
      <c r="F357" t="inlineStr">
        <is>
          <t>GÄVLEBORGS LÄN</t>
        </is>
      </c>
      <c r="G357" t="inlineStr">
        <is>
          <t>SANDVIKEN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46280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12132-2026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46086</v>
      </c>
      <c r="E359" s="1" t="n">
        <v>46280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46280</v>
      </c>
      <c r="F360" t="inlineStr">
        <is>
          <t>GÄVLEBORGS LÄN</t>
        </is>
      </c>
      <c r="G360" t="inlineStr">
        <is>
          <t>SANDVIKEN</t>
        </is>
      </c>
      <c r="H360" t="inlineStr">
        <is>
          <t>Naturvårdsverket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12146-2026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46086</v>
      </c>
      <c r="E361" s="1" t="n">
        <v>46280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46280</v>
      </c>
      <c r="F362" t="inlineStr">
        <is>
          <t>GÄVLEBORGS LÄN</t>
        </is>
      </c>
      <c r="G362" t="inlineStr">
        <is>
          <t>SANDVIKEN</t>
        </is>
      </c>
      <c r="H362" t="inlineStr">
        <is>
          <t>Naturvårdsverket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46280</v>
      </c>
      <c r="F363" t="inlineStr">
        <is>
          <t>GÄVLEBORGS LÄN</t>
        </is>
      </c>
      <c r="G363" t="inlineStr">
        <is>
          <t>SANDVIKEN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46280</v>
      </c>
      <c r="F364" t="inlineStr">
        <is>
          <t>GÄVLEBORGS LÄN</t>
        </is>
      </c>
      <c r="G364" t="inlineStr">
        <is>
          <t>SANDVIKEN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12091-2026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46086</v>
      </c>
      <c r="E365" s="1" t="n">
        <v>46280</v>
      </c>
      <c r="F365" t="inlineStr">
        <is>
          <t>GÄVLEBORGS LÄN</t>
        </is>
      </c>
      <c r="G365" t="inlineStr">
        <is>
          <t>SANDVIKEN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46280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46086</v>
      </c>
      <c r="E367" s="1" t="n">
        <v>46280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46086</v>
      </c>
      <c r="E368" s="1" t="n">
        <v>46280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45251</v>
      </c>
      <c r="E369" s="1" t="n">
        <v>46280</v>
      </c>
      <c r="F369" t="inlineStr">
        <is>
          <t>GÄVLEBORGS LÄN</t>
        </is>
      </c>
      <c r="G369" t="inlineStr">
        <is>
          <t>SANDVIKEN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46280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46280</v>
      </c>
      <c r="F371" t="inlineStr">
        <is>
          <t>GÄVLEBORGS LÄN</t>
        </is>
      </c>
      <c r="G371" t="inlineStr">
        <is>
          <t>SANDVIKEN</t>
        </is>
      </c>
      <c r="I371" t="n">
        <v>9.4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46280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46280</v>
      </c>
      <c r="F373" t="inlineStr">
        <is>
          <t>GÄVLEBORGS LÄN</t>
        </is>
      </c>
      <c r="G373" t="inlineStr">
        <is>
          <t>SANDVIKEN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46280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12317-2026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46087</v>
      </c>
      <c r="E375" s="1" t="n">
        <v>46280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27.2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46280</v>
      </c>
      <c r="F376" t="inlineStr">
        <is>
          <t>GÄVLEBORGS LÄN</t>
        </is>
      </c>
      <c r="G376" t="inlineStr">
        <is>
          <t>SANDVIKEN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46280</v>
      </c>
      <c r="F377" t="inlineStr">
        <is>
          <t>GÄVLEBORGS LÄN</t>
        </is>
      </c>
      <c r="G377" t="inlineStr">
        <is>
          <t>SANDVIKEN</t>
        </is>
      </c>
      <c r="H377" t="inlineStr">
        <is>
          <t>Bergvik skog öst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45330</v>
      </c>
      <c r="E378" s="1" t="n">
        <v>46280</v>
      </c>
      <c r="F378" t="inlineStr">
        <is>
          <t>GÄVLEBORGS LÄN</t>
        </is>
      </c>
      <c r="G378" t="inlineStr">
        <is>
          <t>SANDVIKEN</t>
        </is>
      </c>
      <c r="I378" t="n">
        <v>8.5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38845-2025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45887</v>
      </c>
      <c r="E379" s="1" t="n">
        <v>46280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46280</v>
      </c>
      <c r="F380" t="inlineStr">
        <is>
          <t>GÄVLEBORGS LÄN</t>
        </is>
      </c>
      <c r="G380" t="inlineStr">
        <is>
          <t>SANDVIKEN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44582</v>
      </c>
      <c r="E381" s="1" t="n">
        <v>46280</v>
      </c>
      <c r="F381" t="inlineStr">
        <is>
          <t>GÄVLEBORGS LÄN</t>
        </is>
      </c>
      <c r="G381" t="inlineStr">
        <is>
          <t>SANDVIKEN</t>
        </is>
      </c>
      <c r="H381" t="inlineStr">
        <is>
          <t>Kyrkan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46280</v>
      </c>
      <c r="F382" t="inlineStr">
        <is>
          <t>GÄVLEBORGS LÄN</t>
        </is>
      </c>
      <c r="G382" t="inlineStr">
        <is>
          <t>SANDVIKEN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46280</v>
      </c>
      <c r="F383" t="inlineStr">
        <is>
          <t>GÄVLEBORGS LÄN</t>
        </is>
      </c>
      <c r="G383" t="inlineStr">
        <is>
          <t>SANDVIKEN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46280</v>
      </c>
      <c r="F384" t="inlineStr">
        <is>
          <t>GÄVLEBORGS LÄN</t>
        </is>
      </c>
      <c r="G384" t="inlineStr">
        <is>
          <t>SANDVIKEN</t>
        </is>
      </c>
      <c r="H384" t="inlineStr">
        <is>
          <t>Naturvårdsverket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46280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46091</v>
      </c>
      <c r="E386" s="1" t="n">
        <v>46280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46280</v>
      </c>
      <c r="F387" t="inlineStr">
        <is>
          <t>GÄVLEBORGS LÄN</t>
        </is>
      </c>
      <c r="G387" t="inlineStr">
        <is>
          <t>SANDVIKEN</t>
        </is>
      </c>
      <c r="H387" t="inlineStr">
        <is>
          <t>Naturvårdsverket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46280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46280</v>
      </c>
      <c r="F389" t="inlineStr">
        <is>
          <t>GÄVLEBORGS LÄN</t>
        </is>
      </c>
      <c r="G389" t="inlineStr">
        <is>
          <t>SANDVIKEN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46280</v>
      </c>
      <c r="F390" t="inlineStr">
        <is>
          <t>GÄVLEBORGS LÄN</t>
        </is>
      </c>
      <c r="G390" t="inlineStr">
        <is>
          <t>SANDVIKEN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45112</v>
      </c>
      <c r="E391" s="1" t="n">
        <v>46280</v>
      </c>
      <c r="F391" t="inlineStr">
        <is>
          <t>GÄVLEBORGS LÄN</t>
        </is>
      </c>
      <c r="G391" t="inlineStr">
        <is>
          <t>SANDVIKEN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46280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12704-2026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46091</v>
      </c>
      <c r="E393" s="1" t="n">
        <v>46280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46280</v>
      </c>
      <c r="F394" t="inlineStr">
        <is>
          <t>GÄVLEBORGS LÄN</t>
        </is>
      </c>
      <c r="G394" t="inlineStr">
        <is>
          <t>SANDVIKEN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46280</v>
      </c>
      <c r="F395" t="inlineStr">
        <is>
          <t>GÄVLEBORGS LÄN</t>
        </is>
      </c>
      <c r="G395" t="inlineStr">
        <is>
          <t>SANDVIKEN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13108-2026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46280</v>
      </c>
      <c r="F396" t="inlineStr">
        <is>
          <t>GÄVLEBORGS LÄN</t>
        </is>
      </c>
      <c r="G396" t="inlineStr">
        <is>
          <t>SANDVIKEN</t>
        </is>
      </c>
      <c r="I396" t="n">
        <v>22.5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46280</v>
      </c>
      <c r="F397" t="inlineStr">
        <is>
          <t>GÄVLEBORGS LÄN</t>
        </is>
      </c>
      <c r="G397" t="inlineStr">
        <is>
          <t>SANDVIKEN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46280</v>
      </c>
      <c r="F398" t="inlineStr">
        <is>
          <t>GÄVLEBORGS LÄN</t>
        </is>
      </c>
      <c r="G398" t="inlineStr">
        <is>
          <t>SANDVIKEN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46280</v>
      </c>
      <c r="F399" t="inlineStr">
        <is>
          <t>GÄVLEBORGS LÄN</t>
        </is>
      </c>
      <c r="G399" t="inlineStr">
        <is>
          <t>SANDVIKEN</t>
        </is>
      </c>
      <c r="H399" t="inlineStr">
        <is>
          <t>Kommuner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46280</v>
      </c>
      <c r="F400" t="inlineStr">
        <is>
          <t>GÄVLEBORGS LÄN</t>
        </is>
      </c>
      <c r="G400" t="inlineStr">
        <is>
          <t>SANDVIKEN</t>
        </is>
      </c>
      <c r="H400" t="inlineStr">
        <is>
          <t>Kommuner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46095</v>
      </c>
      <c r="E401" s="1" t="n">
        <v>46280</v>
      </c>
      <c r="F401" t="inlineStr">
        <is>
          <t>GÄVLEBORGS LÄN</t>
        </is>
      </c>
      <c r="G401" t="inlineStr">
        <is>
          <t>SANDVIKEN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46095</v>
      </c>
      <c r="E402" s="1" t="n">
        <v>46280</v>
      </c>
      <c r="F402" t="inlineStr">
        <is>
          <t>GÄVLEBORGS LÄN</t>
        </is>
      </c>
      <c r="G402" t="inlineStr">
        <is>
          <t>SANDVIKEN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46095</v>
      </c>
      <c r="E403" s="1" t="n">
        <v>46280</v>
      </c>
      <c r="F403" t="inlineStr">
        <is>
          <t>GÄVLEBORGS LÄN</t>
        </is>
      </c>
      <c r="G403" t="inlineStr">
        <is>
          <t>SANDVIKEN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46095</v>
      </c>
      <c r="E404" s="1" t="n">
        <v>46280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46095</v>
      </c>
      <c r="E405" s="1" t="n">
        <v>46280</v>
      </c>
      <c r="F405" t="inlineStr">
        <is>
          <t>GÄVLEBORGS LÄN</t>
        </is>
      </c>
      <c r="G405" t="inlineStr">
        <is>
          <t>SANDVIKEN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46095</v>
      </c>
      <c r="E406" s="1" t="n">
        <v>46280</v>
      </c>
      <c r="F406" t="inlineStr">
        <is>
          <t>GÄVLEBORGS LÄN</t>
        </is>
      </c>
      <c r="G406" t="inlineStr">
        <is>
          <t>SANDVIKEN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46280</v>
      </c>
      <c r="F407" t="inlineStr">
        <is>
          <t>GÄVLEBORGS LÄN</t>
        </is>
      </c>
      <c r="G407" t="inlineStr">
        <is>
          <t>SANDVIKEN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46280</v>
      </c>
      <c r="F408" t="inlineStr">
        <is>
          <t>GÄVLEBORGS LÄN</t>
        </is>
      </c>
      <c r="G408" t="inlineStr">
        <is>
          <t>SANDVIKEN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46095</v>
      </c>
      <c r="E409" s="1" t="n">
        <v>46280</v>
      </c>
      <c r="F409" t="inlineStr">
        <is>
          <t>GÄVLEBORGS LÄN</t>
        </is>
      </c>
      <c r="G409" t="inlineStr">
        <is>
          <t>SANDVIKEN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46097</v>
      </c>
      <c r="E410" s="1" t="n">
        <v>46280</v>
      </c>
      <c r="F410" t="inlineStr">
        <is>
          <t>GÄVLEBORGS LÄN</t>
        </is>
      </c>
      <c r="G410" t="inlineStr">
        <is>
          <t>SANDVIKEN</t>
        </is>
      </c>
      <c r="H410" t="inlineStr">
        <is>
          <t>Kommuner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46280</v>
      </c>
      <c r="F411" t="inlineStr">
        <is>
          <t>GÄVLEBORGS LÄN</t>
        </is>
      </c>
      <c r="G411" t="inlineStr">
        <is>
          <t>SANDVIKEN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46100</v>
      </c>
      <c r="E412" s="1" t="n">
        <v>46280</v>
      </c>
      <c r="F412" t="inlineStr">
        <is>
          <t>GÄVLEBORGS LÄN</t>
        </is>
      </c>
      <c r="G412" t="inlineStr">
        <is>
          <t>SANDVIKEN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46280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46280</v>
      </c>
      <c r="F414" t="inlineStr">
        <is>
          <t>GÄVLEBORGS LÄN</t>
        </is>
      </c>
      <c r="G414" t="inlineStr">
        <is>
          <t>SANDVIKEN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14094-2026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46280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46280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46280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46280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46280</v>
      </c>
      <c r="F419" t="inlineStr">
        <is>
          <t>GÄVLEBORGS LÄN</t>
        </is>
      </c>
      <c r="G419" t="inlineStr">
        <is>
          <t>SANDVIKEN</t>
        </is>
      </c>
      <c r="H419" t="inlineStr">
        <is>
          <t>Kommuner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46101</v>
      </c>
      <c r="E420" s="1" t="n">
        <v>46280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45667</v>
      </c>
      <c r="E421" s="1" t="n">
        <v>46280</v>
      </c>
      <c r="F421" t="inlineStr">
        <is>
          <t>GÄVLEBORGS LÄN</t>
        </is>
      </c>
      <c r="G421" t="inlineStr">
        <is>
          <t>SANDVIKEN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46101</v>
      </c>
      <c r="E422" s="1" t="n">
        <v>46280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52786-2025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46280</v>
      </c>
      <c r="F423" t="inlineStr">
        <is>
          <t>GÄVLEBORGS LÄN</t>
        </is>
      </c>
      <c r="G423" t="inlineStr">
        <is>
          <t>SANDVIKEN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  <c r="Z423">
        <f>HYPERLINK("https://klasma.github.io/Logging_2181/knärot/A 52786-2025 karta knärot.png", "A 52786-2025")</f>
        <v/>
      </c>
      <c r="AA423">
        <f>HYPERLINK("https://klasma.github.io/Logging_2181/klagomål/A 52786-2025 FSC-klagomål.docx", "A 52786-2025")</f>
        <v/>
      </c>
      <c r="AB423">
        <f>HYPERLINK("https://klasma.github.io/Logging_2181/klagomålsmail/A 52786-2025 FSC-klagomål mail.docx", "A 52786-2025")</f>
        <v/>
      </c>
      <c r="AC423">
        <f>HYPERLINK("https://klasma.github.io/Logging_2181/tillsyn/A 52786-2025 tillsynsbegäran.docx", "A 52786-2025")</f>
        <v/>
      </c>
      <c r="AD423">
        <f>HYPERLINK("https://klasma.github.io/Logging_2181/tillsynsmail/A 52786-2025 tillsynsbegäran mail.docx", "A 52786-2025")</f>
        <v/>
      </c>
    </row>
    <row r="424" ht="15" customHeight="1">
      <c r="A424" t="inlineStr">
        <is>
          <t>A 7351-2026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46280</v>
      </c>
      <c r="F424" t="inlineStr">
        <is>
          <t>GÄVLEBORGS LÄN</t>
        </is>
      </c>
      <c r="G424" t="inlineStr">
        <is>
          <t>SANDVIKEN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46280</v>
      </c>
      <c r="F425" t="inlineStr">
        <is>
          <t>GÄVLEBORGS LÄN</t>
        </is>
      </c>
      <c r="G425" t="inlineStr">
        <is>
          <t>SANDVIKEN</t>
        </is>
      </c>
      <c r="H425" t="inlineStr">
        <is>
          <t>Sveaskog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46280</v>
      </c>
      <c r="F426" t="inlineStr">
        <is>
          <t>GÄVLEBORGS LÄN</t>
        </is>
      </c>
      <c r="G426" t="inlineStr">
        <is>
          <t>SANDVIKEN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46280</v>
      </c>
      <c r="F427" t="inlineStr">
        <is>
          <t>GÄVLEBORGS LÄN</t>
        </is>
      </c>
      <c r="G427" t="inlineStr">
        <is>
          <t>SANDVIKEN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46280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46280</v>
      </c>
      <c r="F429" t="inlineStr">
        <is>
          <t>GÄVLEBORGS LÄN</t>
        </is>
      </c>
      <c r="G429" t="inlineStr">
        <is>
          <t>SANDVIKEN</t>
        </is>
      </c>
      <c r="H429" t="inlineStr">
        <is>
          <t>Kommuner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46280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46280</v>
      </c>
      <c r="F431" t="inlineStr">
        <is>
          <t>GÄVLEBORGS LÄN</t>
        </is>
      </c>
      <c r="G431" t="inlineStr">
        <is>
          <t>SANDVIKEN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46280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46111</v>
      </c>
      <c r="E433" s="1" t="n">
        <v>46280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46111</v>
      </c>
      <c r="E434" s="1" t="n">
        <v>46280</v>
      </c>
      <c r="F434" t="inlineStr">
        <is>
          <t>GÄVLEBORGS LÄN</t>
        </is>
      </c>
      <c r="G434" t="inlineStr">
        <is>
          <t>SANDVIKEN</t>
        </is>
      </c>
      <c r="H434" t="inlineStr">
        <is>
          <t>Kommuner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46111</v>
      </c>
      <c r="E435" s="1" t="n">
        <v>46280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46280</v>
      </c>
      <c r="F436" t="inlineStr">
        <is>
          <t>GÄVLEBORGS LÄN</t>
        </is>
      </c>
      <c r="G436" t="inlineStr">
        <is>
          <t>SANDVIKEN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46280</v>
      </c>
      <c r="F437" t="inlineStr">
        <is>
          <t>GÄVLEBORGS LÄN</t>
        </is>
      </c>
      <c r="G437" t="inlineStr">
        <is>
          <t>SANDVIKEN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46280</v>
      </c>
      <c r="F438" t="inlineStr">
        <is>
          <t>GÄVLEBORGS LÄN</t>
        </is>
      </c>
      <c r="G438" t="inlineStr">
        <is>
          <t>SANDVIKEN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45540</v>
      </c>
      <c r="E439" s="1" t="n">
        <v>46280</v>
      </c>
      <c r="F439" t="inlineStr">
        <is>
          <t>GÄVLEBORGS LÄN</t>
        </is>
      </c>
      <c r="G439" t="inlineStr">
        <is>
          <t>SANDVIKEN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46280</v>
      </c>
      <c r="F440" t="inlineStr">
        <is>
          <t>GÄVLEBORGS LÄN</t>
        </is>
      </c>
      <c r="G440" t="inlineStr">
        <is>
          <t>SANDVIKEN</t>
        </is>
      </c>
      <c r="H440" t="inlineStr">
        <is>
          <t>Sveaskog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46280</v>
      </c>
      <c r="F441" t="inlineStr">
        <is>
          <t>GÄVLEBORGS LÄN</t>
        </is>
      </c>
      <c r="G441" t="inlineStr">
        <is>
          <t>SANDVIKEN</t>
        </is>
      </c>
      <c r="I441" t="n">
        <v>10.3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17172-2026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46115</v>
      </c>
      <c r="E442" s="1" t="n">
        <v>46280</v>
      </c>
      <c r="F442" t="inlineStr">
        <is>
          <t>GÄVLEBORGS LÄN</t>
        </is>
      </c>
      <c r="G442" t="inlineStr">
        <is>
          <t>SANDVIKEN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17182-2026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46116</v>
      </c>
      <c r="E443" s="1" t="n">
        <v>46280</v>
      </c>
      <c r="F443" t="inlineStr">
        <is>
          <t>GÄVLEBORGS LÄN</t>
        </is>
      </c>
      <c r="G443" t="inlineStr">
        <is>
          <t>SANDVIKEN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46115</v>
      </c>
      <c r="E444" s="1" t="n">
        <v>46280</v>
      </c>
      <c r="F444" t="inlineStr">
        <is>
          <t>GÄVLEBORGS LÄN</t>
        </is>
      </c>
      <c r="G444" t="inlineStr">
        <is>
          <t>SANDVIKEN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46115</v>
      </c>
      <c r="E445" s="1" t="n">
        <v>46280</v>
      </c>
      <c r="F445" t="inlineStr">
        <is>
          <t>GÄVLEBORGS LÄN</t>
        </is>
      </c>
      <c r="G445" t="inlineStr">
        <is>
          <t>SANDVIKEN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46116</v>
      </c>
      <c r="E446" s="1" t="n">
        <v>46280</v>
      </c>
      <c r="F446" t="inlineStr">
        <is>
          <t>GÄVLEBORGS LÄN</t>
        </is>
      </c>
      <c r="G446" t="inlineStr">
        <is>
          <t>SANDVIKEN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46115</v>
      </c>
      <c r="E447" s="1" t="n">
        <v>46280</v>
      </c>
      <c r="F447" t="inlineStr">
        <is>
          <t>GÄVLEBORGS LÄN</t>
        </is>
      </c>
      <c r="G447" t="inlineStr">
        <is>
          <t>SANDVIKEN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46116</v>
      </c>
      <c r="E448" s="1" t="n">
        <v>46280</v>
      </c>
      <c r="F448" t="inlineStr">
        <is>
          <t>GÄVLEBORGS LÄN</t>
        </is>
      </c>
      <c r="G448" t="inlineStr">
        <is>
          <t>SANDVIKEN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46115</v>
      </c>
      <c r="E449" s="1" t="n">
        <v>46280</v>
      </c>
      <c r="F449" t="inlineStr">
        <is>
          <t>GÄVLEBORGS LÄN</t>
        </is>
      </c>
      <c r="G449" t="inlineStr">
        <is>
          <t>SANDVIKEN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46115</v>
      </c>
      <c r="E450" s="1" t="n">
        <v>46280</v>
      </c>
      <c r="F450" t="inlineStr">
        <is>
          <t>GÄVLEBORGS LÄN</t>
        </is>
      </c>
      <c r="G450" t="inlineStr">
        <is>
          <t>SANDVIKEN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46280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46280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46280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46280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46280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46119</v>
      </c>
      <c r="E456" s="1" t="n">
        <v>46280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46280</v>
      </c>
      <c r="F457" t="inlineStr">
        <is>
          <t>GÄVLEBORGS LÄN</t>
        </is>
      </c>
      <c r="G457" t="inlineStr">
        <is>
          <t>SANDVIKEN</t>
        </is>
      </c>
      <c r="H457" t="inlineStr">
        <is>
          <t>Sveaskog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46280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46280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23539-2026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46163</v>
      </c>
      <c r="E460" s="1" t="n">
        <v>46280</v>
      </c>
      <c r="F460" t="inlineStr">
        <is>
          <t>GÄVLEBORGS LÄN</t>
        </is>
      </c>
      <c r="G460" t="inlineStr">
        <is>
          <t>SANDVIKEN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46280</v>
      </c>
      <c r="F461" t="inlineStr">
        <is>
          <t>GÄVLEBORGS LÄN</t>
        </is>
      </c>
      <c r="G461" t="inlineStr">
        <is>
          <t>SANDVIKEN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46280</v>
      </c>
      <c r="F462" t="inlineStr">
        <is>
          <t>GÄVLEBORGS LÄN</t>
        </is>
      </c>
      <c r="G462" t="inlineStr">
        <is>
          <t>SANDVIKEN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46280</v>
      </c>
      <c r="F463" t="inlineStr">
        <is>
          <t>GÄVLEBORGS LÄN</t>
        </is>
      </c>
      <c r="G463" t="inlineStr">
        <is>
          <t>SANDVIKEN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46280</v>
      </c>
      <c r="F464" t="inlineStr">
        <is>
          <t>GÄVLEBORGS LÄN</t>
        </is>
      </c>
      <c r="G464" t="inlineStr">
        <is>
          <t>SANDVIKEN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46280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46129</v>
      </c>
      <c r="E466" s="1" t="n">
        <v>46280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46129</v>
      </c>
      <c r="E467" s="1" t="n">
        <v>46280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46280</v>
      </c>
      <c r="F468" t="inlineStr">
        <is>
          <t>GÄVLEBORGS LÄN</t>
        </is>
      </c>
      <c r="G468" t="inlineStr">
        <is>
          <t>SANDVIKEN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46280</v>
      </c>
      <c r="F469" t="inlineStr">
        <is>
          <t>GÄVLEBORGS LÄN</t>
        </is>
      </c>
      <c r="G469" t="inlineStr">
        <is>
          <t>SANDVIKEN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55355-2025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46280</v>
      </c>
      <c r="F470" t="inlineStr">
        <is>
          <t>GÄVLEBORGS LÄN</t>
        </is>
      </c>
      <c r="G470" t="inlineStr">
        <is>
          <t>SANDVIKEN</t>
        </is>
      </c>
      <c r="H470" t="inlineStr">
        <is>
          <t>Sveaskog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46128</v>
      </c>
      <c r="E471" s="1" t="n">
        <v>46280</v>
      </c>
      <c r="F471" t="inlineStr">
        <is>
          <t>GÄVLEBORGS LÄN</t>
        </is>
      </c>
      <c r="G471" t="inlineStr">
        <is>
          <t>SANDVIKEN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18991-2026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46129</v>
      </c>
      <c r="E472" s="1" t="n">
        <v>46280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55099-2025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45968</v>
      </c>
      <c r="E473" s="1" t="n">
        <v>46280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46280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46129</v>
      </c>
      <c r="E475" s="1" t="n">
        <v>46280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46129</v>
      </c>
      <c r="E476" s="1" t="n">
        <v>46280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18749-2026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46128</v>
      </c>
      <c r="E477" s="1" t="n">
        <v>46280</v>
      </c>
      <c r="F477" t="inlineStr">
        <is>
          <t>GÄVLEBORGS LÄN</t>
        </is>
      </c>
      <c r="G477" t="inlineStr">
        <is>
          <t>SANDVIKEN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46280</v>
      </c>
      <c r="F478" t="inlineStr">
        <is>
          <t>GÄVLEBORGS LÄN</t>
        </is>
      </c>
      <c r="G478" t="inlineStr">
        <is>
          <t>SANDVIKEN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46107</v>
      </c>
      <c r="E479" s="1" t="n">
        <v>46280</v>
      </c>
      <c r="F479" t="inlineStr">
        <is>
          <t>GÄVLEBORGS LÄN</t>
        </is>
      </c>
      <c r="G479" t="inlineStr">
        <is>
          <t>SANDVIKEN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55607-2025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46280</v>
      </c>
      <c r="F480" t="inlineStr">
        <is>
          <t>GÄVLEBORGS LÄN</t>
        </is>
      </c>
      <c r="G480" t="inlineStr">
        <is>
          <t>SANDVIKEN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46280</v>
      </c>
      <c r="F481" t="inlineStr">
        <is>
          <t>GÄVLEBORGS LÄN</t>
        </is>
      </c>
      <c r="G481" t="inlineStr">
        <is>
          <t>SANDVIKEN</t>
        </is>
      </c>
      <c r="H481" t="inlineStr">
        <is>
          <t>Sveaskog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46280</v>
      </c>
      <c r="F482" t="inlineStr">
        <is>
          <t>GÄVLEBORGS LÄN</t>
        </is>
      </c>
      <c r="G482" t="inlineStr">
        <is>
          <t>SANDVIKEN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19018-2026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46130</v>
      </c>
      <c r="E483" s="1" t="n">
        <v>46280</v>
      </c>
      <c r="F483" t="inlineStr">
        <is>
          <t>GÄVLEBORGS LÄN</t>
        </is>
      </c>
      <c r="G483" t="inlineStr">
        <is>
          <t>SANDVIKEN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46280</v>
      </c>
      <c r="F484" t="inlineStr">
        <is>
          <t>GÄVLEBORGS LÄN</t>
        </is>
      </c>
      <c r="G484" t="inlineStr">
        <is>
          <t>SANDVIKEN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46280</v>
      </c>
      <c r="F485" t="inlineStr">
        <is>
          <t>GÄVLEBORGS LÄN</t>
        </is>
      </c>
      <c r="G485" t="inlineStr">
        <is>
          <t>SANDVIKEN</t>
        </is>
      </c>
      <c r="H485" t="inlineStr">
        <is>
          <t>Naturvårdsverket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46280</v>
      </c>
      <c r="F486" t="inlineStr">
        <is>
          <t>GÄVLEBORGS LÄN</t>
        </is>
      </c>
      <c r="G486" t="inlineStr">
        <is>
          <t>SANDVIKEN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46280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10.1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46280</v>
      </c>
      <c r="F488" t="inlineStr">
        <is>
          <t>GÄVLEBORGS LÄN</t>
        </is>
      </c>
      <c r="G488" t="inlineStr">
        <is>
          <t>SANDVIKEN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46280</v>
      </c>
      <c r="F489" t="inlineStr">
        <is>
          <t>GÄVLEBORGS LÄN</t>
        </is>
      </c>
      <c r="G489" t="inlineStr">
        <is>
          <t>SANDVIKEN</t>
        </is>
      </c>
      <c r="H489" t="inlineStr">
        <is>
          <t>Naturvårdsverket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46135</v>
      </c>
      <c r="E490" s="1" t="n">
        <v>46280</v>
      </c>
      <c r="F490" t="inlineStr">
        <is>
          <t>GÄVLEBORGS LÄN</t>
        </is>
      </c>
      <c r="G490" t="inlineStr">
        <is>
          <t>SANDVIKEN</t>
        </is>
      </c>
      <c r="H490" t="inlineStr">
        <is>
          <t>Sveaskog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46280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45975</v>
      </c>
      <c r="E492" s="1" t="n">
        <v>46280</v>
      </c>
      <c r="F492" t="inlineStr">
        <is>
          <t>GÄVLEBORGS LÄN</t>
        </is>
      </c>
      <c r="G492" t="inlineStr">
        <is>
          <t>SANDVIKEN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46280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8603-2026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46280</v>
      </c>
      <c r="F494" t="inlineStr">
        <is>
          <t>GÄVLEBORGS LÄN</t>
        </is>
      </c>
      <c r="G494" t="inlineStr">
        <is>
          <t>SANDVIKEN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46280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46280</v>
      </c>
      <c r="F496" t="inlineStr">
        <is>
          <t>GÄVLEBORGS LÄN</t>
        </is>
      </c>
      <c r="G496" t="inlineStr">
        <is>
          <t>SANDVIKEN</t>
        </is>
      </c>
      <c r="H496" t="inlineStr">
        <is>
          <t>Naturvårdsverket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45977</v>
      </c>
      <c r="E497" s="1" t="n">
        <v>46280</v>
      </c>
      <c r="F497" t="inlineStr">
        <is>
          <t>GÄVLEBORGS LÄN</t>
        </is>
      </c>
      <c r="G497" t="inlineStr">
        <is>
          <t>SANDVIKEN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36203-2025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45867</v>
      </c>
      <c r="E498" s="1" t="n">
        <v>46280</v>
      </c>
      <c r="F498" t="inlineStr">
        <is>
          <t>GÄVLEBORGS LÄN</t>
        </is>
      </c>
      <c r="G498" t="inlineStr">
        <is>
          <t>SANDVIKEN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45978</v>
      </c>
      <c r="E499" s="1" t="n">
        <v>46280</v>
      </c>
      <c r="F499" t="inlineStr">
        <is>
          <t>GÄVLEBORGS LÄN</t>
        </is>
      </c>
      <c r="G499" t="inlineStr">
        <is>
          <t>SANDVIKEN</t>
        </is>
      </c>
      <c r="I499" t="n">
        <v>10.4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57261-2025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45979</v>
      </c>
      <c r="E500" s="1" t="n">
        <v>46280</v>
      </c>
      <c r="F500" t="inlineStr">
        <is>
          <t>GÄVLEBORGS LÄN</t>
        </is>
      </c>
      <c r="G500" t="inlineStr">
        <is>
          <t>SANDVIKEN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45476</v>
      </c>
      <c r="E501" s="1" t="n">
        <v>46280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46280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45303</v>
      </c>
      <c r="E503" s="1" t="n">
        <v>46280</v>
      </c>
      <c r="F503" t="inlineStr">
        <is>
          <t>GÄVLEBORGS LÄN</t>
        </is>
      </c>
      <c r="G503" t="inlineStr">
        <is>
          <t>SANDVIKEN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58184-2025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45983</v>
      </c>
      <c r="E504" s="1" t="n">
        <v>46280</v>
      </c>
      <c r="F504" t="inlineStr">
        <is>
          <t>GÄVLEBORGS LÄN</t>
        </is>
      </c>
      <c r="G504" t="inlineStr">
        <is>
          <t>SANDVIKEN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45984</v>
      </c>
      <c r="E505" s="1" t="n">
        <v>46280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45984</v>
      </c>
      <c r="E506" s="1" t="n">
        <v>46280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45984</v>
      </c>
      <c r="E507" s="1" t="n">
        <v>46280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56734-2021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44481</v>
      </c>
      <c r="E508" s="1" t="n">
        <v>46280</v>
      </c>
      <c r="F508" t="inlineStr">
        <is>
          <t>GÄVLEBORGS LÄN</t>
        </is>
      </c>
      <c r="G508" t="inlineStr">
        <is>
          <t>SANDVIKEN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45467</v>
      </c>
      <c r="E509" s="1" t="n">
        <v>46280</v>
      </c>
      <c r="F509" t="inlineStr">
        <is>
          <t>GÄVLEBORGS LÄN</t>
        </is>
      </c>
      <c r="G509" t="inlineStr">
        <is>
          <t>SANDVIKEN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49209-2024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46280</v>
      </c>
      <c r="F510" t="inlineStr">
        <is>
          <t>GÄVLEBORGS LÄN</t>
        </is>
      </c>
      <c r="G510" t="inlineStr">
        <is>
          <t>SANDVIKEN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46280</v>
      </c>
      <c r="F511" t="inlineStr">
        <is>
          <t>GÄVLEBORGS LÄN</t>
        </is>
      </c>
      <c r="G511" t="inlineStr">
        <is>
          <t>SANDVIKEN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42495-2025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45905</v>
      </c>
      <c r="E512" s="1" t="n">
        <v>46280</v>
      </c>
      <c r="F512" t="inlineStr">
        <is>
          <t>GÄVLEBORGS LÄN</t>
        </is>
      </c>
      <c r="G512" t="inlineStr">
        <is>
          <t>SANDVIKEN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45981</v>
      </c>
      <c r="E513" s="1" t="n">
        <v>46280</v>
      </c>
      <c r="F513" t="inlineStr">
        <is>
          <t>GÄVLEBORGS LÄN</t>
        </is>
      </c>
      <c r="G513" t="inlineStr">
        <is>
          <t>SANDVIKEN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58207-2025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45985</v>
      </c>
      <c r="E514" s="1" t="n">
        <v>46280</v>
      </c>
      <c r="F514" t="inlineStr">
        <is>
          <t>GÄVLEBORGS LÄN</t>
        </is>
      </c>
      <c r="G514" t="inlineStr">
        <is>
          <t>SANDVIKEN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45709</v>
      </c>
      <c r="E515" s="1" t="n">
        <v>46280</v>
      </c>
      <c r="F515" t="inlineStr">
        <is>
          <t>GÄVLEBORGS LÄN</t>
        </is>
      </c>
      <c r="G515" t="inlineStr">
        <is>
          <t>SANDVIKEN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61694-2021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44501</v>
      </c>
      <c r="E516" s="1" t="n">
        <v>46280</v>
      </c>
      <c r="F516" t="inlineStr">
        <is>
          <t>GÄVLEBORGS LÄN</t>
        </is>
      </c>
      <c r="G516" t="inlineStr">
        <is>
          <t>SANDVIKEN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46280</v>
      </c>
      <c r="F517" t="inlineStr">
        <is>
          <t>GÄVLEBORGS LÄN</t>
        </is>
      </c>
      <c r="G517" t="inlineStr">
        <is>
          <t>SANDVIKEN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46280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46280</v>
      </c>
      <c r="F519" t="inlineStr">
        <is>
          <t>GÄVLEBORGS LÄN</t>
        </is>
      </c>
      <c r="G519" t="inlineStr">
        <is>
          <t>SANDVIKEN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46280</v>
      </c>
      <c r="F520" t="inlineStr">
        <is>
          <t>GÄVLEBORGS LÄN</t>
        </is>
      </c>
      <c r="G520" t="inlineStr">
        <is>
          <t>SANDVIKEN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46280</v>
      </c>
      <c r="F521" t="inlineStr">
        <is>
          <t>GÄVLEBORGS LÄN</t>
        </is>
      </c>
      <c r="G521" t="inlineStr">
        <is>
          <t>SANDVIKEN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72997-2021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44549</v>
      </c>
      <c r="E522" s="1" t="n">
        <v>46280</v>
      </c>
      <c r="F522" t="inlineStr">
        <is>
          <t>GÄVLEBORGS LÄN</t>
        </is>
      </c>
      <c r="G522" t="inlineStr">
        <is>
          <t>SANDVIKEN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45701</v>
      </c>
      <c r="E523" s="1" t="n">
        <v>46280</v>
      </c>
      <c r="F523" t="inlineStr">
        <is>
          <t>GÄVLEBORGS LÄN</t>
        </is>
      </c>
      <c r="G523" t="inlineStr">
        <is>
          <t>SANDVIKEN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19499-2026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46280</v>
      </c>
      <c r="F524" t="inlineStr">
        <is>
          <t>GÄVLEBORGS LÄN</t>
        </is>
      </c>
      <c r="G524" t="inlineStr">
        <is>
          <t>SANDVIKEN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46280</v>
      </c>
      <c r="F525" t="inlineStr">
        <is>
          <t>GÄVLEBORGS LÄN</t>
        </is>
      </c>
      <c r="G525" t="inlineStr">
        <is>
          <t>SANDVIKEN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46280</v>
      </c>
      <c r="F526" t="inlineStr">
        <is>
          <t>GÄVLEBORGS LÄN</t>
        </is>
      </c>
      <c r="G526" t="inlineStr">
        <is>
          <t>SANDVIKEN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55539-2023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46280</v>
      </c>
      <c r="F527" t="inlineStr">
        <is>
          <t>GÄVLEBORGS LÄN</t>
        </is>
      </c>
      <c r="G527" t="inlineStr">
        <is>
          <t>SANDVIKEN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46280</v>
      </c>
      <c r="F528" t="inlineStr">
        <is>
          <t>GÄVLEBORGS LÄN</t>
        </is>
      </c>
      <c r="G528" t="inlineStr">
        <is>
          <t>SANDVIKEN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46061</v>
      </c>
      <c r="E529" s="1" t="n">
        <v>46280</v>
      </c>
      <c r="F529" t="inlineStr">
        <is>
          <t>GÄVLEBORGS LÄN</t>
        </is>
      </c>
      <c r="G529" t="inlineStr">
        <is>
          <t>SANDVIKEN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45769</v>
      </c>
      <c r="E530" s="1" t="n">
        <v>46280</v>
      </c>
      <c r="F530" t="inlineStr">
        <is>
          <t>GÄVLEBORGS LÄN</t>
        </is>
      </c>
      <c r="G530" t="inlineStr">
        <is>
          <t>SANDVIKEN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59750-2025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45992</v>
      </c>
      <c r="E531" s="1" t="n">
        <v>46280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59755-2025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45992</v>
      </c>
      <c r="E532" s="1" t="n">
        <v>46280</v>
      </c>
      <c r="F532" t="inlineStr">
        <is>
          <t>GÄVLEBORGS LÄN</t>
        </is>
      </c>
      <c r="G532" t="inlineStr">
        <is>
          <t>SANDVIKEN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59718-2025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45992</v>
      </c>
      <c r="E533" s="1" t="n">
        <v>46280</v>
      </c>
      <c r="F533" t="inlineStr">
        <is>
          <t>GÄVLEBORGS LÄN</t>
        </is>
      </c>
      <c r="G533" t="inlineStr">
        <is>
          <t>SANDVIKEN</t>
        </is>
      </c>
      <c r="I533" t="n">
        <v>10.2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45992</v>
      </c>
      <c r="E534" s="1" t="n">
        <v>46280</v>
      </c>
      <c r="F534" t="inlineStr">
        <is>
          <t>GÄVLEBORGS LÄN</t>
        </is>
      </c>
      <c r="G534" t="inlineStr">
        <is>
          <t>SANDVIKEN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45390</v>
      </c>
      <c r="E535" s="1" t="n">
        <v>46280</v>
      </c>
      <c r="F535" t="inlineStr">
        <is>
          <t>GÄVLEBORGS LÄN</t>
        </is>
      </c>
      <c r="G535" t="inlineStr">
        <is>
          <t>SANDVIKEN</t>
        </is>
      </c>
      <c r="H535" t="inlineStr">
        <is>
          <t>Kyrkan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46280</v>
      </c>
      <c r="F536" t="inlineStr">
        <is>
          <t>GÄVLEBORGS LÄN</t>
        </is>
      </c>
      <c r="G536" t="inlineStr">
        <is>
          <t>SANDVIKEN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58916-2023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45252</v>
      </c>
      <c r="E537" s="1" t="n">
        <v>46280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7679-2025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45706</v>
      </c>
      <c r="E538" s="1" t="n">
        <v>46280</v>
      </c>
      <c r="F538" t="inlineStr">
        <is>
          <t>GÄVLEBORGS LÄN</t>
        </is>
      </c>
      <c r="G538" t="inlineStr">
        <is>
          <t>SANDVIKEN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45660</v>
      </c>
      <c r="E539" s="1" t="n">
        <v>46280</v>
      </c>
      <c r="F539" t="inlineStr">
        <is>
          <t>GÄVLEBORGS LÄN</t>
        </is>
      </c>
      <c r="G539" t="inlineStr">
        <is>
          <t>SANDVIKEN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45670</v>
      </c>
      <c r="E540" s="1" t="n">
        <v>46280</v>
      </c>
      <c r="F540" t="inlineStr">
        <is>
          <t>GÄVLEBORGS LÄN</t>
        </is>
      </c>
      <c r="G540" t="inlineStr">
        <is>
          <t>SANDVIKEN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46280</v>
      </c>
      <c r="F541" t="inlineStr">
        <is>
          <t>GÄVLEBORGS LÄN</t>
        </is>
      </c>
      <c r="G541" t="inlineStr">
        <is>
          <t>SANDVIKEN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46063</v>
      </c>
      <c r="E542" s="1" t="n">
        <v>46280</v>
      </c>
      <c r="F542" t="inlineStr">
        <is>
          <t>GÄVLEBORGS LÄN</t>
        </is>
      </c>
      <c r="G542" t="inlineStr">
        <is>
          <t>SANDVIKEN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42107-2024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45562</v>
      </c>
      <c r="E543" s="1" t="n">
        <v>46280</v>
      </c>
      <c r="F543" t="inlineStr">
        <is>
          <t>GÄVLEBORGS LÄN</t>
        </is>
      </c>
      <c r="G543" t="inlineStr">
        <is>
          <t>SANDVIKEN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60952-2025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45999</v>
      </c>
      <c r="E544" s="1" t="n">
        <v>46280</v>
      </c>
      <c r="F544" t="inlineStr">
        <is>
          <t>GÄVLEBORGS LÄN</t>
        </is>
      </c>
      <c r="G544" t="inlineStr">
        <is>
          <t>SANDVIKEN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14910-2026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46280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46280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46280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8698-2024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45356</v>
      </c>
      <c r="E548" s="1" t="n">
        <v>46280</v>
      </c>
      <c r="F548" t="inlineStr">
        <is>
          <t>GÄVLEBORGS LÄN</t>
        </is>
      </c>
      <c r="G548" t="inlineStr">
        <is>
          <t>SANDVIKEN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46046</v>
      </c>
      <c r="E549" s="1" t="n">
        <v>46280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45246</v>
      </c>
      <c r="E550" s="1" t="n">
        <v>46280</v>
      </c>
      <c r="F550" t="inlineStr">
        <is>
          <t>GÄVLEBORGS LÄN</t>
        </is>
      </c>
      <c r="G550" t="inlineStr">
        <is>
          <t>SANDVIKEN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45558</v>
      </c>
      <c r="E551" s="1" t="n">
        <v>46280</v>
      </c>
      <c r="F551" t="inlineStr">
        <is>
          <t>GÄVLEBORGS LÄN</t>
        </is>
      </c>
      <c r="G551" t="inlineStr">
        <is>
          <t>SANDVIKEN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45478</v>
      </c>
      <c r="E552" s="1" t="n">
        <v>46280</v>
      </c>
      <c r="F552" t="inlineStr">
        <is>
          <t>GÄVLEBORGS LÄN</t>
        </is>
      </c>
      <c r="G552" t="inlineStr">
        <is>
          <t>SANDVIKEN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61299-2025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46000</v>
      </c>
      <c r="E553" s="1" t="n">
        <v>46280</v>
      </c>
      <c r="F553" t="inlineStr">
        <is>
          <t>GÄVLEBORGS LÄN</t>
        </is>
      </c>
      <c r="G553" t="inlineStr">
        <is>
          <t>SANDVIKEN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61303-2025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46280</v>
      </c>
      <c r="F554" t="inlineStr">
        <is>
          <t>GÄVLEBORGS LÄN</t>
        </is>
      </c>
      <c r="G554" t="inlineStr">
        <is>
          <t>SANDVIKEN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50900-2024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45602</v>
      </c>
      <c r="E555" s="1" t="n">
        <v>46280</v>
      </c>
      <c r="F555" t="inlineStr">
        <is>
          <t>GÄVLEBORGS LÄN</t>
        </is>
      </c>
      <c r="G555" t="inlineStr">
        <is>
          <t>SANDVIKEN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45984</v>
      </c>
      <c r="E556" s="1" t="n">
        <v>46280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46280</v>
      </c>
      <c r="F557" t="inlineStr">
        <is>
          <t>GÄVLEBORGS LÄN</t>
        </is>
      </c>
      <c r="G557" t="inlineStr">
        <is>
          <t>SANDVIKEN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45120</v>
      </c>
      <c r="E558" s="1" t="n">
        <v>46280</v>
      </c>
      <c r="F558" t="inlineStr">
        <is>
          <t>GÄVLEBORGS LÄN</t>
        </is>
      </c>
      <c r="G558" t="inlineStr">
        <is>
          <t>SANDVIKEN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61020-2025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45999</v>
      </c>
      <c r="E559" s="1" t="n">
        <v>46280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45999</v>
      </c>
      <c r="E560" s="1" t="n">
        <v>46280</v>
      </c>
      <c r="F560" t="inlineStr">
        <is>
          <t>GÄVLEBORGS LÄN</t>
        </is>
      </c>
      <c r="G560" t="inlineStr">
        <is>
          <t>SANDVIKEN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13194-2025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46280</v>
      </c>
      <c r="F561" t="inlineStr">
        <is>
          <t>GÄVLEBORGS LÄN</t>
        </is>
      </c>
      <c r="G561" t="inlineStr">
        <is>
          <t>SANDVIKEN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46071</v>
      </c>
      <c r="E562" s="1" t="n">
        <v>46280</v>
      </c>
      <c r="F562" t="inlineStr">
        <is>
          <t>GÄVLEBORGS LÄN</t>
        </is>
      </c>
      <c r="G562" t="inlineStr">
        <is>
          <t>SANDVIKEN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19904-2026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46136</v>
      </c>
      <c r="E563" s="1" t="n">
        <v>46280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46069</v>
      </c>
      <c r="E564" s="1" t="n">
        <v>46280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46280</v>
      </c>
      <c r="F565" t="inlineStr">
        <is>
          <t>GÄVLEBORGS LÄN</t>
        </is>
      </c>
      <c r="G565" t="inlineStr">
        <is>
          <t>SANDVIKEN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44717-2025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45917</v>
      </c>
      <c r="E566" s="1" t="n">
        <v>46280</v>
      </c>
      <c r="F566" t="inlineStr">
        <is>
          <t>GÄVLEBORGS LÄN</t>
        </is>
      </c>
      <c r="G566" t="inlineStr">
        <is>
          <t>SANDVIKEN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46280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36656-2024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45537</v>
      </c>
      <c r="E568" s="1" t="n">
        <v>46280</v>
      </c>
      <c r="F568" t="inlineStr">
        <is>
          <t>GÄVLEBORGS LÄN</t>
        </is>
      </c>
      <c r="G568" t="inlineStr">
        <is>
          <t>SANDVIKEN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45779</v>
      </c>
      <c r="E569" s="1" t="n">
        <v>46280</v>
      </c>
      <c r="F569" t="inlineStr">
        <is>
          <t>GÄVLEBORGS LÄN</t>
        </is>
      </c>
      <c r="G569" t="inlineStr">
        <is>
          <t>SANDVIKEN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46280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46280</v>
      </c>
      <c r="F571" t="inlineStr">
        <is>
          <t>GÄVLEBORGS LÄN</t>
        </is>
      </c>
      <c r="G571" t="inlineStr">
        <is>
          <t>SANDVIKEN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45728</v>
      </c>
      <c r="E572" s="1" t="n">
        <v>46280</v>
      </c>
      <c r="F572" t="inlineStr">
        <is>
          <t>GÄVLEBORGS LÄN</t>
        </is>
      </c>
      <c r="G572" t="inlineStr">
        <is>
          <t>SANDVIKEN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46280</v>
      </c>
      <c r="F573" t="inlineStr">
        <is>
          <t>GÄVLEBORGS LÄN</t>
        </is>
      </c>
      <c r="G573" t="inlineStr">
        <is>
          <t>SANDVIKEN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46280</v>
      </c>
      <c r="F574" t="inlineStr">
        <is>
          <t>GÄVLEBORGS LÄN</t>
        </is>
      </c>
      <c r="G574" t="inlineStr">
        <is>
          <t>SANDVIKEN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46280</v>
      </c>
      <c r="F575" t="inlineStr">
        <is>
          <t>GÄVLEBORGS LÄN</t>
        </is>
      </c>
      <c r="G575" t="inlineStr">
        <is>
          <t>SANDVIKEN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46280</v>
      </c>
      <c r="F576" t="inlineStr">
        <is>
          <t>GÄVLEBORGS LÄN</t>
        </is>
      </c>
      <c r="G576" t="inlineStr">
        <is>
          <t>SANDVIKEN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44586</v>
      </c>
      <c r="E577" s="1" t="n">
        <v>46280</v>
      </c>
      <c r="F577" t="inlineStr">
        <is>
          <t>GÄVLEBORGS LÄN</t>
        </is>
      </c>
      <c r="G577" t="inlineStr">
        <is>
          <t>SANDVIKEN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8570-2026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46280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7911-2026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46280</v>
      </c>
      <c r="F579" t="inlineStr">
        <is>
          <t>GÄVLEBORGS LÄN</t>
        </is>
      </c>
      <c r="G579" t="inlineStr">
        <is>
          <t>SANDVIKEN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46280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46280</v>
      </c>
      <c r="F581" t="inlineStr">
        <is>
          <t>GÄVLEBORGS LÄN</t>
        </is>
      </c>
      <c r="G581" t="inlineStr">
        <is>
          <t>SANDVIKEN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46090</v>
      </c>
      <c r="E582" s="1" t="n">
        <v>46280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46280</v>
      </c>
      <c r="F583" t="inlineStr">
        <is>
          <t>GÄVLEBORGS LÄN</t>
        </is>
      </c>
      <c r="G583" t="inlineStr">
        <is>
          <t>SANDVIKEN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46280</v>
      </c>
      <c r="F584" t="inlineStr">
        <is>
          <t>GÄVLEBORGS LÄN</t>
        </is>
      </c>
      <c r="G584" t="inlineStr">
        <is>
          <t>SANDVIKEN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46055</v>
      </c>
      <c r="E585" s="1" t="n">
        <v>46280</v>
      </c>
      <c r="F585" t="inlineStr">
        <is>
          <t>GÄVLEBORGS LÄN</t>
        </is>
      </c>
      <c r="G585" t="inlineStr">
        <is>
          <t>SANDVIKEN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46280</v>
      </c>
      <c r="F586" t="inlineStr">
        <is>
          <t>GÄVLEBORGS LÄN</t>
        </is>
      </c>
      <c r="G586" t="inlineStr">
        <is>
          <t>SANDVIKEN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45211</v>
      </c>
      <c r="E587" s="1" t="n">
        <v>46280</v>
      </c>
      <c r="F587" t="inlineStr">
        <is>
          <t>GÄVLEBORGS LÄN</t>
        </is>
      </c>
      <c r="G587" t="inlineStr">
        <is>
          <t>SANDVIKEN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46141</v>
      </c>
      <c r="E588" s="1" t="n">
        <v>46280</v>
      </c>
      <c r="F588" t="inlineStr">
        <is>
          <t>GÄVLEBORGS LÄN</t>
        </is>
      </c>
      <c r="G588" t="inlineStr">
        <is>
          <t>SANDVIKEN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46280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45070</v>
      </c>
      <c r="E590" s="1" t="n">
        <v>46280</v>
      </c>
      <c r="F590" t="inlineStr">
        <is>
          <t>GÄVLEBORGS LÄN</t>
        </is>
      </c>
      <c r="G590" t="inlineStr">
        <is>
          <t>SANDVIKEN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46280</v>
      </c>
      <c r="F591" t="inlineStr">
        <is>
          <t>GÄVLEBORGS LÄN</t>
        </is>
      </c>
      <c r="G591" t="inlineStr">
        <is>
          <t>SANDVIKEN</t>
        </is>
      </c>
      <c r="I591" t="n">
        <v>8.199999999999999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46280</v>
      </c>
      <c r="F592" t="inlineStr">
        <is>
          <t>GÄVLEBORGS LÄN</t>
        </is>
      </c>
      <c r="G592" t="inlineStr">
        <is>
          <t>SANDVIKEN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46031</v>
      </c>
      <c r="E593" s="1" t="n">
        <v>46280</v>
      </c>
      <c r="F593" t="inlineStr">
        <is>
          <t>GÄVLEBORGS LÄN</t>
        </is>
      </c>
      <c r="G593" t="inlineStr">
        <is>
          <t>SANDVIKEN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45636</v>
      </c>
      <c r="E594" s="1" t="n">
        <v>46280</v>
      </c>
      <c r="F594" t="inlineStr">
        <is>
          <t>GÄVLEBORGS LÄN</t>
        </is>
      </c>
      <c r="G594" t="inlineStr">
        <is>
          <t>SANDVIKEN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46280</v>
      </c>
      <c r="F595" t="inlineStr">
        <is>
          <t>GÄVLEBORGS LÄN</t>
        </is>
      </c>
      <c r="G595" t="inlineStr">
        <is>
          <t>SANDVIKEN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45087</v>
      </c>
      <c r="E596" s="1" t="n">
        <v>46280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35252-2024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45530</v>
      </c>
      <c r="E597" s="1" t="n">
        <v>46280</v>
      </c>
      <c r="F597" t="inlineStr">
        <is>
          <t>GÄVLEBORGS LÄN</t>
        </is>
      </c>
      <c r="G597" t="inlineStr">
        <is>
          <t>SANDVIKEN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46280</v>
      </c>
      <c r="F598" t="inlineStr">
        <is>
          <t>GÄVLEBORGS LÄN</t>
        </is>
      </c>
      <c r="G598" t="inlineStr">
        <is>
          <t>SANDVIKEN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32291-2024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45512</v>
      </c>
      <c r="E599" s="1" t="n">
        <v>46280</v>
      </c>
      <c r="F599" t="inlineStr">
        <is>
          <t>GÄVLEBORGS LÄN</t>
        </is>
      </c>
      <c r="G599" t="inlineStr">
        <is>
          <t>SANDVIKEN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46038</v>
      </c>
      <c r="E600" s="1" t="n">
        <v>46280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45460</v>
      </c>
      <c r="E601" s="1" t="n">
        <v>46280</v>
      </c>
      <c r="F601" t="inlineStr">
        <is>
          <t>GÄVLEBORGS LÄN</t>
        </is>
      </c>
      <c r="G601" t="inlineStr">
        <is>
          <t>SANDVIKEN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45153</v>
      </c>
      <c r="E602" s="1" t="n">
        <v>46280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15237-2026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46105</v>
      </c>
      <c r="E603" s="1" t="n">
        <v>46280</v>
      </c>
      <c r="F603" t="inlineStr">
        <is>
          <t>GÄVLEBORGS LÄN</t>
        </is>
      </c>
      <c r="G603" t="inlineStr">
        <is>
          <t>SANDVIKEN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46280</v>
      </c>
      <c r="F604" t="inlineStr">
        <is>
          <t>GÄVLEBORGS LÄN</t>
        </is>
      </c>
      <c r="G604" t="inlineStr">
        <is>
          <t>SANDVIKEN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46280</v>
      </c>
      <c r="F605" t="inlineStr">
        <is>
          <t>GÄVLEBORGS LÄN</t>
        </is>
      </c>
      <c r="G605" t="inlineStr">
        <is>
          <t>SANDVIKEN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46280</v>
      </c>
      <c r="F606" t="inlineStr">
        <is>
          <t>GÄVLEBORGS LÄN</t>
        </is>
      </c>
      <c r="G606" t="inlineStr">
        <is>
          <t>SANDVIKEN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60897-2023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45261</v>
      </c>
      <c r="E607" s="1" t="n">
        <v>46280</v>
      </c>
      <c r="F607" t="inlineStr">
        <is>
          <t>GÄVLEBORGS LÄN</t>
        </is>
      </c>
      <c r="G607" t="inlineStr">
        <is>
          <t>SANDVIKEN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46280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62047-2022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44918</v>
      </c>
      <c r="E609" s="1" t="n">
        <v>46280</v>
      </c>
      <c r="F609" t="inlineStr">
        <is>
          <t>GÄVLEBORGS LÄN</t>
        </is>
      </c>
      <c r="G609" t="inlineStr">
        <is>
          <t>SANDVIKEN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21288-2026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46280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46280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45331-2024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45576</v>
      </c>
      <c r="E612" s="1" t="n">
        <v>46280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17177-2026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46115</v>
      </c>
      <c r="E613" s="1" t="n">
        <v>46280</v>
      </c>
      <c r="F613" t="inlineStr">
        <is>
          <t>GÄVLEBORGS LÄN</t>
        </is>
      </c>
      <c r="G613" t="inlineStr">
        <is>
          <t>SANDVIKEN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46280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46280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46038</v>
      </c>
      <c r="E616" s="1" t="n">
        <v>46280</v>
      </c>
      <c r="F616" t="inlineStr">
        <is>
          <t>GÄVLEBORGS LÄN</t>
        </is>
      </c>
      <c r="G616" t="inlineStr">
        <is>
          <t>SANDVIKEN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62642-2023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45271</v>
      </c>
      <c r="E617" s="1" t="n">
        <v>46280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62056-2022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44918</v>
      </c>
      <c r="E618" s="1" t="n">
        <v>46280</v>
      </c>
      <c r="F618" t="inlineStr">
        <is>
          <t>GÄVLEBORGS LÄN</t>
        </is>
      </c>
      <c r="G618" t="inlineStr">
        <is>
          <t>SANDVIKEN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21576-2026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46280</v>
      </c>
      <c r="F619" t="inlineStr">
        <is>
          <t>GÄVLEBORGS LÄN</t>
        </is>
      </c>
      <c r="G619" t="inlineStr">
        <is>
          <t>SANDVIKEN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45245</v>
      </c>
      <c r="E620" s="1" t="n">
        <v>46280</v>
      </c>
      <c r="F620" t="inlineStr">
        <is>
          <t>GÄVLEBORGS LÄN</t>
        </is>
      </c>
      <c r="G620" t="inlineStr">
        <is>
          <t>SANDVIKEN</t>
        </is>
      </c>
      <c r="I620" t="n">
        <v>8.1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15674-2024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45404</v>
      </c>
      <c r="E621" s="1" t="n">
        <v>46280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21951-2026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46151</v>
      </c>
      <c r="E622" s="1" t="n">
        <v>46280</v>
      </c>
      <c r="F622" t="inlineStr">
        <is>
          <t>GÄVLEBORGS LÄN</t>
        </is>
      </c>
      <c r="G622" t="inlineStr">
        <is>
          <t>SANDVIKEN</t>
        </is>
      </c>
      <c r="I622" t="n">
        <v>11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46050</v>
      </c>
      <c r="E623" s="1" t="n">
        <v>46280</v>
      </c>
      <c r="F623" t="inlineStr">
        <is>
          <t>GÄVLEBORGS LÄN</t>
        </is>
      </c>
      <c r="G623" t="inlineStr">
        <is>
          <t>SANDVIKEN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22042-2023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45069</v>
      </c>
      <c r="E624" s="1" t="n">
        <v>46280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46035</v>
      </c>
      <c r="E625" s="1" t="n">
        <v>46280</v>
      </c>
      <c r="F625" t="inlineStr">
        <is>
          <t>GÄVLEBORGS LÄN</t>
        </is>
      </c>
      <c r="G625" t="inlineStr">
        <is>
          <t>SANDVIKEN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45666</v>
      </c>
      <c r="E626" s="1" t="n">
        <v>46280</v>
      </c>
      <c r="F626" t="inlineStr">
        <is>
          <t>GÄVLEBORGS LÄN</t>
        </is>
      </c>
      <c r="G626" t="inlineStr">
        <is>
          <t>SANDVIKEN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16980-2025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45755</v>
      </c>
      <c r="E627" s="1" t="n">
        <v>46280</v>
      </c>
      <c r="F627" t="inlineStr">
        <is>
          <t>GÄVLEBORGS LÄN</t>
        </is>
      </c>
      <c r="G627" t="inlineStr">
        <is>
          <t>SANDVIKEN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21773-2026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46150</v>
      </c>
      <c r="E628" s="1" t="n">
        <v>46280</v>
      </c>
      <c r="F628" t="inlineStr">
        <is>
          <t>GÄVLEBORGS LÄN</t>
        </is>
      </c>
      <c r="G628" t="inlineStr">
        <is>
          <t>SANDVIKEN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46280</v>
      </c>
      <c r="F629" t="inlineStr">
        <is>
          <t>GÄVLEBORGS LÄN</t>
        </is>
      </c>
      <c r="G629" t="inlineStr">
        <is>
          <t>SANDVIKEN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17498-2024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45415</v>
      </c>
      <c r="E630" s="1" t="n">
        <v>46280</v>
      </c>
      <c r="F630" t="inlineStr">
        <is>
          <t>GÄVLEBORGS LÄN</t>
        </is>
      </c>
      <c r="G630" t="inlineStr">
        <is>
          <t>SANDVIKEN</t>
        </is>
      </c>
      <c r="H630" t="inlineStr">
        <is>
          <t>Kommuner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44994</v>
      </c>
      <c r="E631" s="1" t="n">
        <v>46280</v>
      </c>
      <c r="F631" t="inlineStr">
        <is>
          <t>GÄVLEBORGS LÄN</t>
        </is>
      </c>
      <c r="G631" t="inlineStr">
        <is>
          <t>SANDVIKEN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11764-2023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46280</v>
      </c>
      <c r="F632" t="inlineStr">
        <is>
          <t>GÄVLEBORGS LÄN</t>
        </is>
      </c>
      <c r="G632" t="inlineStr">
        <is>
          <t>SANDVIKEN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46280</v>
      </c>
      <c r="F633" t="inlineStr">
        <is>
          <t>GÄVLEBORGS LÄN</t>
        </is>
      </c>
      <c r="G633" t="inlineStr">
        <is>
          <t>SANDVIKEN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16012-2026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46108</v>
      </c>
      <c r="E634" s="1" t="n">
        <v>46280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45414</v>
      </c>
      <c r="E635" s="1" t="n">
        <v>46280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61858-2024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45649</v>
      </c>
      <c r="E636" s="1" t="n">
        <v>46280</v>
      </c>
      <c r="F636" t="inlineStr">
        <is>
          <t>GÄVLEBORGS LÄN</t>
        </is>
      </c>
      <c r="G636" t="inlineStr">
        <is>
          <t>SANDVIKEN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46280</v>
      </c>
      <c r="F637" t="inlineStr">
        <is>
          <t>GÄVLEBORGS LÄN</t>
        </is>
      </c>
      <c r="G637" t="inlineStr">
        <is>
          <t>SANDVIKEN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6951-2024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45343</v>
      </c>
      <c r="E638" s="1" t="n">
        <v>46280</v>
      </c>
      <c r="F638" t="inlineStr">
        <is>
          <t>GÄVLEBORGS LÄN</t>
        </is>
      </c>
      <c r="G638" t="inlineStr">
        <is>
          <t>SANDVIKEN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46280</v>
      </c>
      <c r="F639" t="inlineStr">
        <is>
          <t>GÄVLEBORGS LÄN</t>
        </is>
      </c>
      <c r="G639" t="inlineStr">
        <is>
          <t>SANDVIKEN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46280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12120-2026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46086</v>
      </c>
      <c r="E641" s="1" t="n">
        <v>46280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13551-2026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46280</v>
      </c>
      <c r="F642" t="inlineStr">
        <is>
          <t>GÄVLEBORGS LÄN</t>
        </is>
      </c>
      <c r="G642" t="inlineStr">
        <is>
          <t>SANDVIKEN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46280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16102-2026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46280</v>
      </c>
      <c r="F644" t="inlineStr">
        <is>
          <t>GÄVLEBORGS LÄN</t>
        </is>
      </c>
      <c r="G644" t="inlineStr">
        <is>
          <t>SANDVIKEN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46280</v>
      </c>
      <c r="F645" t="inlineStr">
        <is>
          <t>GÄVLEBORGS LÄN</t>
        </is>
      </c>
      <c r="G645" t="inlineStr">
        <is>
          <t>SANDVIKEN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46280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46115</v>
      </c>
      <c r="E647" s="1" t="n">
        <v>46280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46034</v>
      </c>
      <c r="E648" s="1" t="n">
        <v>46280</v>
      </c>
      <c r="F648" t="inlineStr">
        <is>
          <t>GÄVLEBORGS LÄN</t>
        </is>
      </c>
      <c r="G648" t="inlineStr">
        <is>
          <t>SANDVIKEN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23465-2026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46280</v>
      </c>
      <c r="F649" t="inlineStr">
        <is>
          <t>GÄVLEBORGS LÄN</t>
        </is>
      </c>
      <c r="G649" t="inlineStr">
        <is>
          <t>SANDVIKEN</t>
        </is>
      </c>
      <c r="H649" t="inlineStr">
        <is>
          <t>Övriga statliga verk och myndigheter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23429-2026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46280</v>
      </c>
      <c r="F650" t="inlineStr">
        <is>
          <t>GÄVLEBORGS LÄN</t>
        </is>
      </c>
      <c r="G650" t="inlineStr">
        <is>
          <t>SANDVIKEN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23493-2026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46163</v>
      </c>
      <c r="E651" s="1" t="n">
        <v>46280</v>
      </c>
      <c r="F651" t="inlineStr">
        <is>
          <t>GÄVLEBORGS LÄN</t>
        </is>
      </c>
      <c r="G651" t="inlineStr">
        <is>
          <t>SANDVIKEN</t>
        </is>
      </c>
      <c r="H651" t="inlineStr">
        <is>
          <t>Övriga statliga verk och myndigheter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46280</v>
      </c>
      <c r="F652" t="inlineStr">
        <is>
          <t>GÄVLEBORGS LÄN</t>
        </is>
      </c>
      <c r="G652" t="inlineStr">
        <is>
          <t>SANDVIKEN</t>
        </is>
      </c>
      <c r="I652" t="n">
        <v>14.2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46280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46280</v>
      </c>
      <c r="F654" t="inlineStr">
        <is>
          <t>GÄVLEBORGS LÄN</t>
        </is>
      </c>
      <c r="G654" t="inlineStr">
        <is>
          <t>SANDVIKEN</t>
        </is>
      </c>
      <c r="H654" t="inlineStr">
        <is>
          <t>Övriga statliga verk och myndigheter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23459-2026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46280</v>
      </c>
      <c r="F655" t="inlineStr">
        <is>
          <t>GÄVLEBORGS LÄN</t>
        </is>
      </c>
      <c r="G655" t="inlineStr">
        <is>
          <t>SANDVIKEN</t>
        </is>
      </c>
      <c r="H655" t="inlineStr">
        <is>
          <t>Övriga statliga verk och myndigheter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46165</v>
      </c>
      <c r="E656" s="1" t="n">
        <v>46280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46280</v>
      </c>
      <c r="F657" t="inlineStr">
        <is>
          <t>GÄVLEBORGS LÄN</t>
        </is>
      </c>
      <c r="G657" t="inlineStr">
        <is>
          <t>SANDVIKEN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46165</v>
      </c>
      <c r="E658" s="1" t="n">
        <v>46280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46165</v>
      </c>
      <c r="E659" s="1" t="n">
        <v>46280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23823-2026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46165</v>
      </c>
      <c r="E660" s="1" t="n">
        <v>46280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46165</v>
      </c>
      <c r="E661" s="1" t="n">
        <v>46280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46280</v>
      </c>
      <c r="F662" t="inlineStr">
        <is>
          <t>GÄVLEBORGS LÄN</t>
        </is>
      </c>
      <c r="G662" t="inlineStr">
        <is>
          <t>SANDVIKEN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46280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46280</v>
      </c>
      <c r="F664" t="inlineStr">
        <is>
          <t>GÄVLEBORGS LÄN</t>
        </is>
      </c>
      <c r="G664" t="inlineStr">
        <is>
          <t>SANDVIKEN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46280</v>
      </c>
      <c r="F665" t="inlineStr">
        <is>
          <t>GÄVLEBORGS LÄN</t>
        </is>
      </c>
      <c r="G665" t="inlineStr">
        <is>
          <t>SANDVIKEN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24355-2026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46169</v>
      </c>
      <c r="E666" s="1" t="n">
        <v>46280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8.9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46280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24297-2026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46280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46280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46128</v>
      </c>
      <c r="E670" s="1" t="n">
        <v>46280</v>
      </c>
      <c r="F670" t="inlineStr">
        <is>
          <t>GÄVLEBORGS LÄN</t>
        </is>
      </c>
      <c r="G670" t="inlineStr">
        <is>
          <t>SANDVIKEN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46171</v>
      </c>
      <c r="E671" s="1" t="n">
        <v>46280</v>
      </c>
      <c r="F671" t="inlineStr">
        <is>
          <t>GÄVLEBORGS LÄN</t>
        </is>
      </c>
      <c r="G671" t="inlineStr">
        <is>
          <t>SANDVIKEN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24627-2026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46171</v>
      </c>
      <c r="E672" s="1" t="n">
        <v>46280</v>
      </c>
      <c r="F672" t="inlineStr">
        <is>
          <t>GÄVLEBORGS LÄN</t>
        </is>
      </c>
      <c r="G672" t="inlineStr">
        <is>
          <t>SANDVIKEN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46280</v>
      </c>
      <c r="F673" t="inlineStr">
        <is>
          <t>GÄVLEBORGS LÄN</t>
        </is>
      </c>
      <c r="G673" t="inlineStr">
        <is>
          <t>SANDVIKEN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46280</v>
      </c>
      <c r="F674" t="inlineStr">
        <is>
          <t>GÄVLEBORGS LÄN</t>
        </is>
      </c>
      <c r="G674" t="inlineStr">
        <is>
          <t>SANDVIKEN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46052</v>
      </c>
      <c r="E675" s="1" t="n">
        <v>46280</v>
      </c>
      <c r="F675" t="inlineStr">
        <is>
          <t>GÄVLEBORGS LÄN</t>
        </is>
      </c>
      <c r="G675" t="inlineStr">
        <is>
          <t>SANDVIKEN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46280</v>
      </c>
      <c r="F676" t="inlineStr">
        <is>
          <t>GÄVLEBORGS LÄN</t>
        </is>
      </c>
      <c r="G676" t="inlineStr">
        <is>
          <t>SANDVIKEN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12417-2025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45730</v>
      </c>
      <c r="E677" s="1" t="n">
        <v>46280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12418-2025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45730</v>
      </c>
      <c r="E678" s="1" t="n">
        <v>46280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25220-2026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46280</v>
      </c>
      <c r="F679" t="inlineStr">
        <is>
          <t>GÄVLEBORGS LÄN</t>
        </is>
      </c>
      <c r="G679" t="inlineStr">
        <is>
          <t>SANDVIKEN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25412-2026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46280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25413-2026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46280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25175-2026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46175</v>
      </c>
      <c r="E682" s="1" t="n">
        <v>46280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25691-2026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46280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46132</v>
      </c>
      <c r="E684" s="1" t="n">
        <v>46280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7.3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46280</v>
      </c>
      <c r="F685" t="inlineStr">
        <is>
          <t>GÄVLEBORGS LÄN</t>
        </is>
      </c>
      <c r="G685" t="inlineStr">
        <is>
          <t>SANDVIKEN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46280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46280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46178</v>
      </c>
      <c r="E688" s="1" t="n">
        <v>46280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8940-2026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46069</v>
      </c>
      <c r="E689" s="1" t="n">
        <v>46280</v>
      </c>
      <c r="F689" t="inlineStr">
        <is>
          <t>GÄVLEBORGS LÄN</t>
        </is>
      </c>
      <c r="G689" t="inlineStr">
        <is>
          <t>SANDVIKEN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46280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46280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46178</v>
      </c>
      <c r="E692" s="1" t="n">
        <v>46280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46280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46280</v>
      </c>
      <c r="F694" t="inlineStr">
        <is>
          <t>GÄVLEBORGS LÄN</t>
        </is>
      </c>
      <c r="G694" t="inlineStr">
        <is>
          <t>SANDVIKEN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46280</v>
      </c>
      <c r="F695" t="inlineStr">
        <is>
          <t>GÄVLEBORGS LÄN</t>
        </is>
      </c>
      <c r="G695" t="inlineStr">
        <is>
          <t>SANDVIKEN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46280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46280</v>
      </c>
      <c r="F697" t="inlineStr">
        <is>
          <t>GÄVLEBORGS LÄN</t>
        </is>
      </c>
      <c r="G697" t="inlineStr">
        <is>
          <t>SANDVIKEN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46183</v>
      </c>
      <c r="E698" s="1" t="n">
        <v>46280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46280</v>
      </c>
      <c r="F699" t="inlineStr">
        <is>
          <t>GÄVLEBORGS LÄN</t>
        </is>
      </c>
      <c r="G699" t="inlineStr">
        <is>
          <t>SANDVIKEN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46280</v>
      </c>
      <c r="F700" t="inlineStr">
        <is>
          <t>GÄVLEBORGS LÄN</t>
        </is>
      </c>
      <c r="G700" t="inlineStr">
        <is>
          <t>SANDVIKEN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26964-2026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46280</v>
      </c>
      <c r="F701" t="inlineStr">
        <is>
          <t>GÄVLEBORGS LÄN</t>
        </is>
      </c>
      <c r="G701" t="inlineStr">
        <is>
          <t>SANDVIKEN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46280</v>
      </c>
      <c r="F702" t="inlineStr">
        <is>
          <t>GÄVLEBORGS LÄN</t>
        </is>
      </c>
      <c r="G702" t="inlineStr">
        <is>
          <t>SANDVIKEN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46280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46280</v>
      </c>
      <c r="F704" t="inlineStr">
        <is>
          <t>GÄVLEBORGS LÄN</t>
        </is>
      </c>
      <c r="G704" t="inlineStr">
        <is>
          <t>SANDVIKEN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14720-2026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46280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46280</v>
      </c>
      <c r="F706" t="inlineStr">
        <is>
          <t>GÄVLEBORGS LÄN</t>
        </is>
      </c>
      <c r="G706" t="inlineStr">
        <is>
          <t>SANDVIKEN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27743-2026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46191</v>
      </c>
      <c r="E707" s="1" t="n">
        <v>46280</v>
      </c>
      <c r="F707" t="inlineStr">
        <is>
          <t>GÄVLEBORGS LÄN</t>
        </is>
      </c>
      <c r="G707" t="inlineStr">
        <is>
          <t>SANDVIKEN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46280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46280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46280</v>
      </c>
      <c r="F710" t="inlineStr">
        <is>
          <t>GÄVLEBORGS LÄN</t>
        </is>
      </c>
      <c r="G710" t="inlineStr">
        <is>
          <t>SANDVIKEN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46280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26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46280</v>
      </c>
      <c r="F712" t="inlineStr">
        <is>
          <t>GÄVLEBORGS LÄN</t>
        </is>
      </c>
      <c r="G712" t="inlineStr">
        <is>
          <t>SANDVIKEN</t>
        </is>
      </c>
      <c r="H712" t="inlineStr">
        <is>
          <t>Sveaskog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46280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46280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60891-2023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45261</v>
      </c>
      <c r="E715" s="1" t="n">
        <v>46280</v>
      </c>
      <c r="F715" t="inlineStr">
        <is>
          <t>GÄVLEBORGS LÄN</t>
        </is>
      </c>
      <c r="G715" t="inlineStr">
        <is>
          <t>SANDVIKEN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45293</v>
      </c>
      <c r="E716" s="1" t="n">
        <v>46280</v>
      </c>
      <c r="F716" t="inlineStr">
        <is>
          <t>GÄVLEBORGS LÄN</t>
        </is>
      </c>
      <c r="G716" t="inlineStr">
        <is>
          <t>SANDVIKEN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45293</v>
      </c>
      <c r="E717" s="1" t="n">
        <v>46280</v>
      </c>
      <c r="F717" t="inlineStr">
        <is>
          <t>GÄVLEBORGS LÄN</t>
        </is>
      </c>
      <c r="G717" t="inlineStr">
        <is>
          <t>SANDVIKEN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46280</v>
      </c>
      <c r="F718" t="inlineStr">
        <is>
          <t>GÄVLEBORGS LÄN</t>
        </is>
      </c>
      <c r="G718" t="inlineStr">
        <is>
          <t>SANDVIKEN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4498-2024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45327</v>
      </c>
      <c r="E719" s="1" t="n">
        <v>46280</v>
      </c>
      <c r="F719" t="inlineStr">
        <is>
          <t>GÄVLEBORGS LÄN</t>
        </is>
      </c>
      <c r="G719" t="inlineStr">
        <is>
          <t>SANDVIKEN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46280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29115-2026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46201</v>
      </c>
      <c r="E721" s="1" t="n">
        <v>46280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46280</v>
      </c>
      <c r="F722" t="inlineStr">
        <is>
          <t>GÄVLEBORGS LÄN</t>
        </is>
      </c>
      <c r="G722" t="inlineStr">
        <is>
          <t>SANDVIKEN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32989-2026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46244</v>
      </c>
      <c r="E723" s="1" t="n">
        <v>46280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32998-2026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46280</v>
      </c>
      <c r="F724" t="inlineStr">
        <is>
          <t>GÄVLEBORGS LÄN</t>
        </is>
      </c>
      <c r="G724" t="inlineStr">
        <is>
          <t>SANDVIKEN</t>
        </is>
      </c>
      <c r="H724" t="inlineStr">
        <is>
          <t>Kommuner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29682-2026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46280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29726-2026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46280</v>
      </c>
      <c r="F726" t="inlineStr">
        <is>
          <t>GÄVLEBORGS LÄN</t>
        </is>
      </c>
      <c r="G726" t="inlineStr">
        <is>
          <t>SANDVIKEN</t>
        </is>
      </c>
      <c r="H726" t="inlineStr">
        <is>
          <t>Naturvårdsverket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46280</v>
      </c>
      <c r="F727" t="inlineStr">
        <is>
          <t>GÄVLEBORGS LÄN</t>
        </is>
      </c>
      <c r="G727" t="inlineStr">
        <is>
          <t>SANDVIKEN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46280</v>
      </c>
      <c r="F728" t="inlineStr">
        <is>
          <t>GÄVLEBORGS LÄN</t>
        </is>
      </c>
      <c r="G728" t="inlineStr">
        <is>
          <t>SANDVIKEN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46280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29715-2026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46280</v>
      </c>
      <c r="F730" t="inlineStr">
        <is>
          <t>GÄVLEBORGS LÄN</t>
        </is>
      </c>
      <c r="G730" t="inlineStr">
        <is>
          <t>SANDVIKEN</t>
        </is>
      </c>
      <c r="H730" t="inlineStr">
        <is>
          <t>Naturvårdsverket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46280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46280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46280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33310-2026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46246</v>
      </c>
      <c r="E734" s="1" t="n">
        <v>46280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46280</v>
      </c>
      <c r="F735" t="inlineStr">
        <is>
          <t>GÄVLEBORGS LÄN</t>
        </is>
      </c>
      <c r="G735" t="inlineStr">
        <is>
          <t>SANDVIKEN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46247</v>
      </c>
      <c r="E736" s="1" t="n">
        <v>46280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46280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46204</v>
      </c>
      <c r="E738" s="1" t="n">
        <v>46280</v>
      </c>
      <c r="F738" t="inlineStr">
        <is>
          <t>GÄVLEBORGS LÄN</t>
        </is>
      </c>
      <c r="G738" t="inlineStr">
        <is>
          <t>SANDVIKEN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46280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46280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33874-2026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46251</v>
      </c>
      <c r="E741" s="1" t="n">
        <v>46280</v>
      </c>
      <c r="F741" t="inlineStr">
        <is>
          <t>GÄVLEBORGS LÄN</t>
        </is>
      </c>
      <c r="G741" t="inlineStr">
        <is>
          <t>SANDVIKEN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22851-2026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46160</v>
      </c>
      <c r="E742" s="1" t="n">
        <v>46280</v>
      </c>
      <c r="F742" t="inlineStr">
        <is>
          <t>GÄVLEBORGS LÄN</t>
        </is>
      </c>
      <c r="G742" t="inlineStr">
        <is>
          <t>SANDVIKEN</t>
        </is>
      </c>
      <c r="H742" t="inlineStr">
        <is>
          <t>Kommuner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29833-2026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46280</v>
      </c>
      <c r="F743" t="inlineStr">
        <is>
          <t>GÄVLEBORGS LÄN</t>
        </is>
      </c>
      <c r="G743" t="inlineStr">
        <is>
          <t>SANDVIKEN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46205</v>
      </c>
      <c r="E744" s="1" t="n">
        <v>46280</v>
      </c>
      <c r="F744" t="inlineStr">
        <is>
          <t>GÄVLEBORGS LÄN</t>
        </is>
      </c>
      <c r="G744" t="inlineStr">
        <is>
          <t>SANDVIKEN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46244</v>
      </c>
      <c r="E745" s="1" t="n">
        <v>46280</v>
      </c>
      <c r="F745" t="inlineStr">
        <is>
          <t>GÄVLEBORGS LÄN</t>
        </is>
      </c>
      <c r="G745" t="inlineStr">
        <is>
          <t>SANDVIKEN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45321</v>
      </c>
      <c r="E746" s="1" t="n">
        <v>46280</v>
      </c>
      <c r="F746" t="inlineStr">
        <is>
          <t>GÄVLEBORGS LÄN</t>
        </is>
      </c>
      <c r="G746" t="inlineStr">
        <is>
          <t>SANDVIKEN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62459-2023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45268</v>
      </c>
      <c r="E747" s="1" t="n">
        <v>46280</v>
      </c>
      <c r="F747" t="inlineStr">
        <is>
          <t>GÄVLEBORGS LÄN</t>
        </is>
      </c>
      <c r="G747" t="inlineStr">
        <is>
          <t>SANDVIKEN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46252</v>
      </c>
      <c r="E748" s="1" t="n">
        <v>46280</v>
      </c>
      <c r="F748" t="inlineStr">
        <is>
          <t>GÄVLEBORGS LÄN</t>
        </is>
      </c>
      <c r="G748" t="inlineStr">
        <is>
          <t>SANDVIKEN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34253-2026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46253</v>
      </c>
      <c r="E749" s="1" t="n">
        <v>46280</v>
      </c>
      <c r="F749" t="inlineStr">
        <is>
          <t>GÄVLEBORGS LÄN</t>
        </is>
      </c>
      <c r="G749" t="inlineStr">
        <is>
          <t>SANDVIKEN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46280</v>
      </c>
      <c r="F750" t="inlineStr">
        <is>
          <t>GÄVLEBORGS LÄN</t>
        </is>
      </c>
      <c r="G750" t="inlineStr">
        <is>
          <t>SANDVIKEN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46280</v>
      </c>
      <c r="F751" t="inlineStr">
        <is>
          <t>GÄVLEBORGS LÄN</t>
        </is>
      </c>
      <c r="G751" t="inlineStr">
        <is>
          <t>SANDVIKEN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36660-2023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45153</v>
      </c>
      <c r="E752" s="1" t="n">
        <v>46280</v>
      </c>
      <c r="F752" t="inlineStr">
        <is>
          <t>GÄVLEBORGS LÄN</t>
        </is>
      </c>
      <c r="G752" t="inlineStr">
        <is>
          <t>SANDVIKEN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46255</v>
      </c>
      <c r="E753" s="1" t="n">
        <v>46280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46280</v>
      </c>
      <c r="F754" t="inlineStr">
        <is>
          <t>GÄVLEBORGS LÄN</t>
        </is>
      </c>
      <c r="G754" t="inlineStr">
        <is>
          <t>SANDVIKEN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34879-2026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46258</v>
      </c>
      <c r="E755" s="1" t="n">
        <v>46280</v>
      </c>
      <c r="F755" t="inlineStr">
        <is>
          <t>GÄVLEBORGS LÄN</t>
        </is>
      </c>
      <c r="G755" t="inlineStr">
        <is>
          <t>SANDVIKEN</t>
        </is>
      </c>
      <c r="H755" t="inlineStr">
        <is>
          <t>Sveaskog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34608-2026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46255</v>
      </c>
      <c r="E756" s="1" t="n">
        <v>46280</v>
      </c>
      <c r="F756" t="inlineStr">
        <is>
          <t>GÄVLEBORGS LÄN</t>
        </is>
      </c>
      <c r="G756" t="inlineStr">
        <is>
          <t>SANDVIKEN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46280</v>
      </c>
      <c r="F757" t="inlineStr">
        <is>
          <t>GÄVLEBORGS LÄN</t>
        </is>
      </c>
      <c r="G757" t="inlineStr">
        <is>
          <t>SANDVIKEN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34997-2026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46259</v>
      </c>
      <c r="E758" s="1" t="n">
        <v>46280</v>
      </c>
      <c r="F758" t="inlineStr">
        <is>
          <t>GÄVLEBORGS LÄN</t>
        </is>
      </c>
      <c r="G758" t="inlineStr">
        <is>
          <t>SANDVIKEN</t>
        </is>
      </c>
      <c r="H758" t="inlineStr">
        <is>
          <t>Sveaskog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35107-2026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46260</v>
      </c>
      <c r="E759" s="1" t="n">
        <v>46280</v>
      </c>
      <c r="F759" t="inlineStr">
        <is>
          <t>GÄVLEBORGS LÄN</t>
        </is>
      </c>
      <c r="G759" t="inlineStr">
        <is>
          <t>SANDVIKEN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35253-2026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46261</v>
      </c>
      <c r="E760" s="1" t="n">
        <v>46280</v>
      </c>
      <c r="F760" t="inlineStr">
        <is>
          <t>GÄVLEBORGS LÄN</t>
        </is>
      </c>
      <c r="G760" t="inlineStr">
        <is>
          <t>SANDVIKEN</t>
        </is>
      </c>
      <c r="H760" t="inlineStr">
        <is>
          <t>Sveaskog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35255-2026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46280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35345-2026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46280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46280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35417-2026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46280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46280</v>
      </c>
      <c r="F765" t="inlineStr">
        <is>
          <t>GÄVLEBORGS LÄN</t>
        </is>
      </c>
      <c r="G765" t="inlineStr">
        <is>
          <t>SANDVIKEN</t>
        </is>
      </c>
      <c r="H765" t="inlineStr">
        <is>
          <t>Naturvårdsverket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46280</v>
      </c>
      <c r="F766" t="inlineStr">
        <is>
          <t>GÄVLEBORGS LÄN</t>
        </is>
      </c>
      <c r="G766" t="inlineStr">
        <is>
          <t>SANDVIKEN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46280</v>
      </c>
      <c r="F767" t="inlineStr">
        <is>
          <t>GÄVLEBORGS LÄN</t>
        </is>
      </c>
      <c r="G767" t="inlineStr">
        <is>
          <t>SANDVIKEN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46280</v>
      </c>
      <c r="F768" t="inlineStr">
        <is>
          <t>GÄVLEBORGS LÄN</t>
        </is>
      </c>
      <c r="G768" t="inlineStr">
        <is>
          <t>SANDVIKEN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35376-2026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46280</v>
      </c>
      <c r="F769" t="inlineStr">
        <is>
          <t>GÄVLEBORGS LÄN</t>
        </is>
      </c>
      <c r="G769" t="inlineStr">
        <is>
          <t>SANDVIKEN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46280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35254-2026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46280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35348-2026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46280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35420-2026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46261</v>
      </c>
      <c r="E773" s="1" t="n">
        <v>46280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46280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35578-2026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46262</v>
      </c>
      <c r="E775" s="1" t="n">
        <v>46280</v>
      </c>
      <c r="F775" t="inlineStr">
        <is>
          <t>GÄVLEBORGS LÄN</t>
        </is>
      </c>
      <c r="G775" t="inlineStr">
        <is>
          <t>SANDVIKEN</t>
        </is>
      </c>
      <c r="H775" t="inlineStr">
        <is>
          <t>Naturvårdsverket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45989-2023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45196</v>
      </c>
      <c r="E776" s="1" t="n">
        <v>46280</v>
      </c>
      <c r="F776" t="inlineStr">
        <is>
          <t>GÄVLEBORGS LÄN</t>
        </is>
      </c>
      <c r="G776" t="inlineStr">
        <is>
          <t>SANDVIKEN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35432-2026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46280</v>
      </c>
      <c r="F777" t="inlineStr">
        <is>
          <t>GÄVLEBORGS LÄN</t>
        </is>
      </c>
      <c r="G777" t="inlineStr">
        <is>
          <t>SANDVIKEN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35434-2026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46262</v>
      </c>
      <c r="E778" s="1" t="n">
        <v>46280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35575-2026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46262</v>
      </c>
      <c r="E779" s="1" t="n">
        <v>46280</v>
      </c>
      <c r="F779" t="inlineStr">
        <is>
          <t>GÄVLEBORGS LÄN</t>
        </is>
      </c>
      <c r="G779" t="inlineStr">
        <is>
          <t>SANDVIKEN</t>
        </is>
      </c>
      <c r="H779" t="inlineStr">
        <is>
          <t>Naturvårdsverket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31314-2026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46219</v>
      </c>
      <c r="E780" s="1" t="n">
        <v>46280</v>
      </c>
      <c r="F780" t="inlineStr">
        <is>
          <t>GÄVLEBORGS LÄN</t>
        </is>
      </c>
      <c r="G780" t="inlineStr">
        <is>
          <t>SANDVIKEN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65098-2023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45288</v>
      </c>
      <c r="E781" s="1" t="n">
        <v>46280</v>
      </c>
      <c r="F781" t="inlineStr">
        <is>
          <t>GÄVLEBORGS LÄN</t>
        </is>
      </c>
      <c r="G781" t="inlineStr">
        <is>
          <t>SANDVIKEN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35185-2022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44797</v>
      </c>
      <c r="E782" s="1" t="n">
        <v>46280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61052-2024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45645</v>
      </c>
      <c r="E783" s="1" t="n">
        <v>46280</v>
      </c>
      <c r="F783" t="inlineStr">
        <is>
          <t>GÄVLEBORGS LÄN</t>
        </is>
      </c>
      <c r="G783" t="inlineStr">
        <is>
          <t>SANDVIKEN</t>
        </is>
      </c>
      <c r="H783" t="inlineStr">
        <is>
          <t>Naturvårdsverket</t>
        </is>
      </c>
      <c r="I783" t="n">
        <v>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35481-2026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46280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6.7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46280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35576-2026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46262</v>
      </c>
      <c r="E786" s="1" t="n">
        <v>46280</v>
      </c>
      <c r="F786" t="inlineStr">
        <is>
          <t>GÄVLEBORGS LÄN</t>
        </is>
      </c>
      <c r="G786" t="inlineStr">
        <is>
          <t>SANDVIKEN</t>
        </is>
      </c>
      <c r="H786" t="inlineStr">
        <is>
          <t>Naturvårdsverket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52785-2023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45226</v>
      </c>
      <c r="E787" s="1" t="n">
        <v>46280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46280</v>
      </c>
      <c r="F788" t="inlineStr">
        <is>
          <t>GÄVLEBORGS LÄN</t>
        </is>
      </c>
      <c r="G788" t="inlineStr">
        <is>
          <t>SANDVIKEN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35865-2026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46266</v>
      </c>
      <c r="E789" s="1" t="n">
        <v>46280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35863-2026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46266</v>
      </c>
      <c r="E790" s="1" t="n">
        <v>46280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71995-2021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44544</v>
      </c>
      <c r="E791" s="1" t="n">
        <v>46280</v>
      </c>
      <c r="F791" t="inlineStr">
        <is>
          <t>GÄVLEBORGS LÄN</t>
        </is>
      </c>
      <c r="G791" t="inlineStr">
        <is>
          <t>SANDVIKEN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38570-2023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45162</v>
      </c>
      <c r="E792" s="1" t="n">
        <v>46280</v>
      </c>
      <c r="F792" t="inlineStr">
        <is>
          <t>GÄVLEBORGS LÄN</t>
        </is>
      </c>
      <c r="G792" t="inlineStr">
        <is>
          <t>SANDVIKEN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11397-2023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44988</v>
      </c>
      <c r="E793" s="1" t="n">
        <v>46280</v>
      </c>
      <c r="F793" t="inlineStr">
        <is>
          <t>GÄVLEBORGS LÄN</t>
        </is>
      </c>
      <c r="G793" t="inlineStr">
        <is>
          <t>SANDVIKEN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48799-2023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45209</v>
      </c>
      <c r="E794" s="1" t="n">
        <v>46280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37741-2023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45159</v>
      </c>
      <c r="E795" s="1" t="n">
        <v>46280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44949</v>
      </c>
      <c r="E796" s="1" t="n">
        <v>46280</v>
      </c>
      <c r="F796" t="inlineStr">
        <is>
          <t>GÄVLEBORGS LÄN</t>
        </is>
      </c>
      <c r="G796" t="inlineStr">
        <is>
          <t>SANDVIKEN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61100-2025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46000</v>
      </c>
      <c r="E797" s="1" t="n">
        <v>46280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31802-2026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46230</v>
      </c>
      <c r="E798" s="1" t="n">
        <v>46280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31807-2026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46230</v>
      </c>
      <c r="E799" s="1" t="n">
        <v>46280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11.2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46273</v>
      </c>
      <c r="E800" s="1" t="n">
        <v>46280</v>
      </c>
      <c r="F800" t="inlineStr">
        <is>
          <t>GÄVLEBORGS LÄN</t>
        </is>
      </c>
      <c r="G800" t="inlineStr">
        <is>
          <t>SANDVIKEN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7996-2026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46063</v>
      </c>
      <c r="E801" s="1" t="n">
        <v>46280</v>
      </c>
      <c r="F801" t="inlineStr">
        <is>
          <t>GÄVLEBORGS LÄN</t>
        </is>
      </c>
      <c r="G801" t="inlineStr">
        <is>
          <t>SANDVIKEN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45103</v>
      </c>
      <c r="E802" s="1" t="n">
        <v>46280</v>
      </c>
      <c r="F802" t="inlineStr">
        <is>
          <t>GÄVLEBORGS LÄN</t>
        </is>
      </c>
      <c r="G802" t="inlineStr">
        <is>
          <t>SANDVIKEN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46227</v>
      </c>
      <c r="E803" s="1" t="n">
        <v>46280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9.300000000000001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10895-2025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45722</v>
      </c>
      <c r="E804" s="1" t="n">
        <v>46280</v>
      </c>
      <c r="F804" t="inlineStr">
        <is>
          <t>GÄVLEBORGS LÄN</t>
        </is>
      </c>
      <c r="G804" t="inlineStr">
        <is>
          <t>SANDVIKEN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54443-2024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45617</v>
      </c>
      <c r="E805" s="1" t="n">
        <v>46280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15340-2026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46105</v>
      </c>
      <c r="E806" s="1" t="n">
        <v>46280</v>
      </c>
      <c r="F806" t="inlineStr">
        <is>
          <t>GÄVLEBORGS LÄN</t>
        </is>
      </c>
      <c r="G806" t="inlineStr">
        <is>
          <t>SANDVIKEN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37455-2026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46275</v>
      </c>
      <c r="E807" s="1" t="n">
        <v>46280</v>
      </c>
      <c r="F807" t="inlineStr">
        <is>
          <t>GÄVLEBORGS LÄN</t>
        </is>
      </c>
      <c r="G807" t="inlineStr">
        <is>
          <t>SANDVIKEN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1039-2025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45666</v>
      </c>
      <c r="E808" s="1" t="n">
        <v>46280</v>
      </c>
      <c r="F808" t="inlineStr">
        <is>
          <t>GÄVLEBORGS LÄN</t>
        </is>
      </c>
      <c r="G808" t="inlineStr">
        <is>
          <t>SANDVIKEN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44972</v>
      </c>
      <c r="E809" s="1" t="n">
        <v>46280</v>
      </c>
      <c r="F809" t="inlineStr">
        <is>
          <t>GÄVLEBORGS LÄN</t>
        </is>
      </c>
      <c r="G809" t="inlineStr">
        <is>
          <t>SANDVIKEN</t>
        </is>
      </c>
      <c r="I809" t="n">
        <v>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49706-2023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45212</v>
      </c>
      <c r="E810" s="1" t="n">
        <v>46280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23476-2026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46163</v>
      </c>
      <c r="E811" s="1" t="n">
        <v>46280</v>
      </c>
      <c r="F811" t="inlineStr">
        <is>
          <t>GÄVLEBORGS LÄN</t>
        </is>
      </c>
      <c r="G811" t="inlineStr">
        <is>
          <t>SANDVIKEN</t>
        </is>
      </c>
      <c r="H811" t="inlineStr">
        <is>
          <t>Övriga statliga verk och myndigheter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35492-2026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46262</v>
      </c>
      <c r="E812" s="1" t="n">
        <v>46280</v>
      </c>
      <c r="F812" t="inlineStr">
        <is>
          <t>GÄVLEBORGS LÄN</t>
        </is>
      </c>
      <c r="G812" t="inlineStr">
        <is>
          <t>SANDVIKEN</t>
        </is>
      </c>
      <c r="I812" t="n">
        <v>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45721</v>
      </c>
      <c r="E813" s="1" t="n">
        <v>46280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10577-2025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45721</v>
      </c>
      <c r="E814" s="1" t="n">
        <v>46280</v>
      </c>
      <c r="F814" t="inlineStr">
        <is>
          <t>GÄVLEBORGS LÄN</t>
        </is>
      </c>
      <c r="G814" t="inlineStr">
        <is>
          <t>SANDVIKEN</t>
        </is>
      </c>
      <c r="H814" t="inlineStr">
        <is>
          <t>Sveaskog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10580-2025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45721</v>
      </c>
      <c r="E815" s="1" t="n">
        <v>46280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23162-2023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45075</v>
      </c>
      <c r="E816" s="1" t="n">
        <v>46280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29296-2024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45483</v>
      </c>
      <c r="E817" s="1" t="n">
        <v>46280</v>
      </c>
      <c r="F817" t="inlineStr">
        <is>
          <t>GÄVLEBORGS LÄN</t>
        </is>
      </c>
      <c r="G817" t="inlineStr">
        <is>
          <t>SANDVIKEN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43090-2023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45182</v>
      </c>
      <c r="E818" s="1" t="n">
        <v>46280</v>
      </c>
      <c r="F818" t="inlineStr">
        <is>
          <t>GÄVLEBORGS LÄN</t>
        </is>
      </c>
      <c r="G818" t="inlineStr">
        <is>
          <t>SANDVIKEN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45102-2022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44843</v>
      </c>
      <c r="E819" s="1" t="n">
        <v>46280</v>
      </c>
      <c r="F819" t="inlineStr">
        <is>
          <t>GÄVLEBORGS LÄN</t>
        </is>
      </c>
      <c r="G819" t="inlineStr">
        <is>
          <t>SANDVIKEN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4502-2024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45327</v>
      </c>
      <c r="E820" s="1" t="n">
        <v>46280</v>
      </c>
      <c r="F820" t="inlineStr">
        <is>
          <t>GÄVLEBORGS LÄN</t>
        </is>
      </c>
      <c r="G820" t="inlineStr">
        <is>
          <t>SANDVIKEN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37697-2022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44810</v>
      </c>
      <c r="E821" s="1" t="n">
        <v>46280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45698</v>
      </c>
      <c r="E822" s="1" t="n">
        <v>46280</v>
      </c>
      <c r="F822" t="inlineStr">
        <is>
          <t>GÄVLEBORGS LÄN</t>
        </is>
      </c>
      <c r="G822" t="inlineStr">
        <is>
          <t>SANDVIKEN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49211-2023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45210</v>
      </c>
      <c r="E823" s="1" t="n">
        <v>46280</v>
      </c>
      <c r="F823" t="inlineStr">
        <is>
          <t>GÄVLEBORGS LÄN</t>
        </is>
      </c>
      <c r="G823" t="inlineStr">
        <is>
          <t>SANDVIKEN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61537-2023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45265</v>
      </c>
      <c r="E824" s="1" t="n">
        <v>46280</v>
      </c>
      <c r="F824" t="inlineStr">
        <is>
          <t>GÄVLEBORGS LÄN</t>
        </is>
      </c>
      <c r="G824" t="inlineStr">
        <is>
          <t>SANDVIKEN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3748-2022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44586</v>
      </c>
      <c r="E825" s="1" t="n">
        <v>46280</v>
      </c>
      <c r="F825" t="inlineStr">
        <is>
          <t>GÄVLEBORGS LÄN</t>
        </is>
      </c>
      <c r="G825" t="inlineStr">
        <is>
          <t>SANDVIKEN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58911-2023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45250</v>
      </c>
      <c r="E826" s="1" t="n">
        <v>46280</v>
      </c>
      <c r="F826" t="inlineStr">
        <is>
          <t>GÄVLEBORGS LÄN</t>
        </is>
      </c>
      <c r="G826" t="inlineStr">
        <is>
          <t>SANDVIKEN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30714-2023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45112</v>
      </c>
      <c r="E827" s="1" t="n">
        <v>46280</v>
      </c>
      <c r="F827" t="inlineStr">
        <is>
          <t>GÄVLEBORGS LÄN</t>
        </is>
      </c>
      <c r="G827" t="inlineStr">
        <is>
          <t>SANDVIKEN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63309-2023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45274</v>
      </c>
      <c r="E828" s="1" t="n">
        <v>46280</v>
      </c>
      <c r="F828" t="inlineStr">
        <is>
          <t>GÄVLEBORGS LÄN</t>
        </is>
      </c>
      <c r="G828" t="inlineStr">
        <is>
          <t>SANDVIKEN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17818-2025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45758</v>
      </c>
      <c r="E829" s="1" t="n">
        <v>46280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27987-2024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45476</v>
      </c>
      <c r="E830" s="1" t="n">
        <v>46280</v>
      </c>
      <c r="F830" t="inlineStr">
        <is>
          <t>GÄVLEBORGS LÄN</t>
        </is>
      </c>
      <c r="G830" t="inlineStr">
        <is>
          <t>SANDVIKEN</t>
        </is>
      </c>
      <c r="H830" t="inlineStr">
        <is>
          <t>Kommuner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45279-2023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46280</v>
      </c>
      <c r="F831" t="inlineStr">
        <is>
          <t>GÄVLEBORGS LÄN</t>
        </is>
      </c>
      <c r="G831" t="inlineStr">
        <is>
          <t>SANDVIKEN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11897-2024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45376</v>
      </c>
      <c r="E832" s="1" t="n">
        <v>46280</v>
      </c>
      <c r="F832" t="inlineStr">
        <is>
          <t>GÄVLEBORGS LÄN</t>
        </is>
      </c>
      <c r="G832" t="inlineStr">
        <is>
          <t>SANDVIKEN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23217-2023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45075</v>
      </c>
      <c r="E833" s="1" t="n">
        <v>46280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42069-2024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45562</v>
      </c>
      <c r="E834" s="1" t="n">
        <v>46280</v>
      </c>
      <c r="F834" t="inlineStr">
        <is>
          <t>GÄVLEBORGS LÄN</t>
        </is>
      </c>
      <c r="G834" t="inlineStr">
        <is>
          <t>SANDVIKEN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22070-2023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45069</v>
      </c>
      <c r="E835" s="1" t="n">
        <v>46280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23085-2023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45075</v>
      </c>
      <c r="E836" s="1" t="n">
        <v>46280</v>
      </c>
      <c r="F836" t="inlineStr">
        <is>
          <t>GÄVLEBORGS LÄN</t>
        </is>
      </c>
      <c r="G836" t="inlineStr">
        <is>
          <t>SANDVIKEN</t>
        </is>
      </c>
      <c r="I836" t="n">
        <v>8.300000000000001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36833-2022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44805</v>
      </c>
      <c r="E837" s="1" t="n">
        <v>46280</v>
      </c>
      <c r="F837" t="inlineStr">
        <is>
          <t>GÄVLEBORGS LÄN</t>
        </is>
      </c>
      <c r="G837" t="inlineStr">
        <is>
          <t>SANDVIKEN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28063-2023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45099</v>
      </c>
      <c r="E838" s="1" t="n">
        <v>46280</v>
      </c>
      <c r="F838" t="inlineStr">
        <is>
          <t>GÄVLEBORGS LÄN</t>
        </is>
      </c>
      <c r="G838" t="inlineStr">
        <is>
          <t>SANDVIKEN</t>
        </is>
      </c>
      <c r="I838" t="n">
        <v>8.1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59738-2022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44908</v>
      </c>
      <c r="E839" s="1" t="n">
        <v>46280</v>
      </c>
      <c r="F839" t="inlineStr">
        <is>
          <t>GÄVLEBORGS LÄN</t>
        </is>
      </c>
      <c r="G839" t="inlineStr">
        <is>
          <t>SANDVIKEN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56017-2023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45240</v>
      </c>
      <c r="E840" s="1" t="n">
        <v>46280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59661-2024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45639</v>
      </c>
      <c r="E841" s="1" t="n">
        <v>46280</v>
      </c>
      <c r="F841" t="inlineStr">
        <is>
          <t>GÄVLEBORGS LÄN</t>
        </is>
      </c>
      <c r="G841" t="inlineStr">
        <is>
          <t>SANDVIKEN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3456-2024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45320</v>
      </c>
      <c r="E842" s="1" t="n">
        <v>46280</v>
      </c>
      <c r="F842" t="inlineStr">
        <is>
          <t>GÄVLEBORGS LÄN</t>
        </is>
      </c>
      <c r="G842" t="inlineStr">
        <is>
          <t>SANDVIKEN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11778-2024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45374</v>
      </c>
      <c r="E843" s="1" t="n">
        <v>46280</v>
      </c>
      <c r="F843" t="inlineStr">
        <is>
          <t>GÄVLEBORGS LÄN</t>
        </is>
      </c>
      <c r="G843" t="inlineStr">
        <is>
          <t>SANDVIKEN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47710-2022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44854</v>
      </c>
      <c r="E844" s="1" t="n">
        <v>46280</v>
      </c>
      <c r="F844" t="inlineStr">
        <is>
          <t>GÄVLEBORGS LÄN</t>
        </is>
      </c>
      <c r="G844" t="inlineStr">
        <is>
          <t>SANDVIKEN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48300-2023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45205</v>
      </c>
      <c r="E845" s="1" t="n">
        <v>46280</v>
      </c>
      <c r="F845" t="inlineStr">
        <is>
          <t>GÄVLEBORGS LÄN</t>
        </is>
      </c>
      <c r="G845" t="inlineStr">
        <is>
          <t>SANDVIKEN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10578-2025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45721</v>
      </c>
      <c r="E846" s="1" t="n">
        <v>46280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44101-2023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45188</v>
      </c>
      <c r="E847" s="1" t="n">
        <v>46280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29297-2024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45483</v>
      </c>
      <c r="E848" s="1" t="n">
        <v>46280</v>
      </c>
      <c r="F848" t="inlineStr">
        <is>
          <t>GÄVLEBORGS LÄN</t>
        </is>
      </c>
      <c r="G848" t="inlineStr">
        <is>
          <t>SANDVIKEN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53007-2023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45226</v>
      </c>
      <c r="E849" s="1" t="n">
        <v>46280</v>
      </c>
      <c r="F849" t="inlineStr">
        <is>
          <t>GÄVLEBORGS LÄN</t>
        </is>
      </c>
      <c r="G849" t="inlineStr">
        <is>
          <t>SANDVIKEN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39566-2022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44818</v>
      </c>
      <c r="E850" s="1" t="n">
        <v>46280</v>
      </c>
      <c r="F850" t="inlineStr">
        <is>
          <t>GÄVLEBORGS LÄN</t>
        </is>
      </c>
      <c r="G850" t="inlineStr">
        <is>
          <t>SANDVIKEN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11385-2023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44988</v>
      </c>
      <c r="E851" s="1" t="n">
        <v>46280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52932-2022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44875</v>
      </c>
      <c r="E852" s="1" t="n">
        <v>46280</v>
      </c>
      <c r="F852" t="inlineStr">
        <is>
          <t>GÄVLEBORGS LÄN</t>
        </is>
      </c>
      <c r="G852" t="inlineStr">
        <is>
          <t>SANDVIKEN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30721-2023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45112</v>
      </c>
      <c r="E853" s="1" t="n">
        <v>46280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34946-2022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44796</v>
      </c>
      <c r="E854" s="1" t="n">
        <v>46280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38200-2024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45545</v>
      </c>
      <c r="E855" s="1" t="n">
        <v>46280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22238-2023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45070</v>
      </c>
      <c r="E856" s="1" t="n">
        <v>46280</v>
      </c>
      <c r="F856" t="inlineStr">
        <is>
          <t>GÄVLEBORGS LÄN</t>
        </is>
      </c>
      <c r="G856" t="inlineStr">
        <is>
          <t>SANDVIKEN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4461-2023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44956</v>
      </c>
      <c r="E857" s="1" t="n">
        <v>46280</v>
      </c>
      <c r="F857" t="inlineStr">
        <is>
          <t>GÄVLEBORGS LÄN</t>
        </is>
      </c>
      <c r="G857" t="inlineStr">
        <is>
          <t>SANDVIKEN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45300</v>
      </c>
      <c r="E858" s="1" t="n">
        <v>46280</v>
      </c>
      <c r="F858" t="inlineStr">
        <is>
          <t>GÄVLEBORGS LÄN</t>
        </is>
      </c>
      <c r="G858" t="inlineStr">
        <is>
          <t>SANDVIKEN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64801-2023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45282</v>
      </c>
      <c r="E859" s="1" t="n">
        <v>46280</v>
      </c>
      <c r="F859" t="inlineStr">
        <is>
          <t>GÄVLEBORGS LÄN</t>
        </is>
      </c>
      <c r="G859" t="inlineStr">
        <is>
          <t>SANDVIKEN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50765-2024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45602</v>
      </c>
      <c r="E860" s="1" t="n">
        <v>46280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58363-2022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44901</v>
      </c>
      <c r="E861" s="1" t="n">
        <v>46280</v>
      </c>
      <c r="F861" t="inlineStr">
        <is>
          <t>GÄVLEBORGS LÄN</t>
        </is>
      </c>
      <c r="G861" t="inlineStr">
        <is>
          <t>SANDVIKEN</t>
        </is>
      </c>
      <c r="I861" t="n">
        <v>7.3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58983-2023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45252</v>
      </c>
      <c r="E862" s="1" t="n">
        <v>46280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24465-2023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45082</v>
      </c>
      <c r="E863" s="1" t="n">
        <v>46280</v>
      </c>
      <c r="F863" t="inlineStr">
        <is>
          <t>GÄVLEBORGS LÄN</t>
        </is>
      </c>
      <c r="G863" t="inlineStr">
        <is>
          <t>SANDVIKEN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2290-2025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45673</v>
      </c>
      <c r="E864" s="1" t="n">
        <v>46280</v>
      </c>
      <c r="F864" t="inlineStr">
        <is>
          <t>GÄVLEBORGS LÄN</t>
        </is>
      </c>
      <c r="G864" t="inlineStr">
        <is>
          <t>SANDVIKEN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1418-2025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45668</v>
      </c>
      <c r="E865" s="1" t="n">
        <v>46280</v>
      </c>
      <c r="F865" t="inlineStr">
        <is>
          <t>GÄVLEBORGS LÄN</t>
        </is>
      </c>
      <c r="G865" t="inlineStr">
        <is>
          <t>SANDVIKEN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60908-2022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44914</v>
      </c>
      <c r="E866" s="1" t="n">
        <v>46280</v>
      </c>
      <c r="F866" t="inlineStr">
        <is>
          <t>GÄVLEBORGS LÄN</t>
        </is>
      </c>
      <c r="G866" t="inlineStr">
        <is>
          <t>SANDVIKEN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59841-2023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45257</v>
      </c>
      <c r="E867" s="1" t="n">
        <v>46280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4783-2025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45688</v>
      </c>
      <c r="E868" s="1" t="n">
        <v>46280</v>
      </c>
      <c r="F868" t="inlineStr">
        <is>
          <t>GÄVLEBORGS LÄN</t>
        </is>
      </c>
      <c r="G868" t="inlineStr">
        <is>
          <t>SANDVIKEN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27006-2023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45094</v>
      </c>
      <c r="E869" s="1" t="n">
        <v>46280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9.5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46177-2022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44847</v>
      </c>
      <c r="E870" s="1" t="n">
        <v>46280</v>
      </c>
      <c r="F870" t="inlineStr">
        <is>
          <t>GÄVLEBORGS LÄN</t>
        </is>
      </c>
      <c r="G870" t="inlineStr">
        <is>
          <t>SANDVIKEN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19346-2023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45049</v>
      </c>
      <c r="E871" s="1" t="n">
        <v>46280</v>
      </c>
      <c r="F871" t="inlineStr">
        <is>
          <t>GÄVLEBORGS LÄN</t>
        </is>
      </c>
      <c r="G871" t="inlineStr">
        <is>
          <t>SANDVIKEN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61363-2023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45264</v>
      </c>
      <c r="E872" s="1" t="n">
        <v>46280</v>
      </c>
      <c r="F872" t="inlineStr">
        <is>
          <t>GÄVLEBORGS LÄN</t>
        </is>
      </c>
      <c r="G872" t="inlineStr">
        <is>
          <t>SANDVIKEN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46482-2023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45197</v>
      </c>
      <c r="E873" s="1" t="n">
        <v>46280</v>
      </c>
      <c r="F873" t="inlineStr">
        <is>
          <t>GÄVLEBORGS LÄN</t>
        </is>
      </c>
      <c r="G873" t="inlineStr">
        <is>
          <t>SANDVIKEN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50797-2023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45217</v>
      </c>
      <c r="E874" s="1" t="n">
        <v>46280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44564</v>
      </c>
      <c r="E875" s="1" t="n">
        <v>46280</v>
      </c>
      <c r="F875" t="inlineStr">
        <is>
          <t>GÄVLEBORGS LÄN</t>
        </is>
      </c>
      <c r="G875" t="inlineStr">
        <is>
          <t>SANDVIKEN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73331-2021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44551</v>
      </c>
      <c r="E876" s="1" t="n">
        <v>46280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41790-2024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45561</v>
      </c>
      <c r="E877" s="1" t="n">
        <v>46280</v>
      </c>
      <c r="F877" t="inlineStr">
        <is>
          <t>GÄVLEBORGS LÄN</t>
        </is>
      </c>
      <c r="G877" t="inlineStr">
        <is>
          <t>SANDVIKEN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21456-2023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45063</v>
      </c>
      <c r="E878" s="1" t="n">
        <v>46280</v>
      </c>
      <c r="F878" t="inlineStr">
        <is>
          <t>GÄVLEBORGS LÄN</t>
        </is>
      </c>
      <c r="G878" t="inlineStr">
        <is>
          <t>SANDVIKEN</t>
        </is>
      </c>
      <c r="H878" t="inlineStr">
        <is>
          <t>Kommuner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15788-2025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45748</v>
      </c>
      <c r="E879" s="1" t="n">
        <v>46280</v>
      </c>
      <c r="F879" t="inlineStr">
        <is>
          <t>GÄVLEBORGS LÄN</t>
        </is>
      </c>
      <c r="G879" t="inlineStr">
        <is>
          <t>SANDVIKEN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58797-2024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45636</v>
      </c>
      <c r="E880" s="1" t="n">
        <v>46280</v>
      </c>
      <c r="F880" t="inlineStr">
        <is>
          <t>GÄVLEBORGS LÄN</t>
        </is>
      </c>
      <c r="G880" t="inlineStr">
        <is>
          <t>SANDVIKEN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45085</v>
      </c>
      <c r="E881" s="1" t="n">
        <v>46280</v>
      </c>
      <c r="F881" t="inlineStr">
        <is>
          <t>GÄVLEBORGS LÄN</t>
        </is>
      </c>
      <c r="G881" t="inlineStr">
        <is>
          <t>SANDVIKEN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7056-2025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45701</v>
      </c>
      <c r="E882" s="1" t="n">
        <v>46280</v>
      </c>
      <c r="F882" t="inlineStr">
        <is>
          <t>GÄVLEBORGS LÄN</t>
        </is>
      </c>
      <c r="G882" t="inlineStr">
        <is>
          <t>SANDVIKEN</t>
        </is>
      </c>
      <c r="I882" t="n">
        <v>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6765-2025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45700</v>
      </c>
      <c r="E883" s="1" t="n">
        <v>46280</v>
      </c>
      <c r="F883" t="inlineStr">
        <is>
          <t>GÄVLEBORGS LÄN</t>
        </is>
      </c>
      <c r="G883" t="inlineStr">
        <is>
          <t>SANDVIKEN</t>
        </is>
      </c>
      <c r="I883" t="n">
        <v>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47889-2022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44855</v>
      </c>
      <c r="E884" s="1" t="n">
        <v>46280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29972-2022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44756</v>
      </c>
      <c r="E885" s="1" t="n">
        <v>46280</v>
      </c>
      <c r="F885" t="inlineStr">
        <is>
          <t>GÄVLEBORGS LÄN</t>
        </is>
      </c>
      <c r="G885" t="inlineStr">
        <is>
          <t>SANDVIKEN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16385-2023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45022</v>
      </c>
      <c r="E886" s="1" t="n">
        <v>46280</v>
      </c>
      <c r="F886" t="inlineStr">
        <is>
          <t>GÄVLEBORGS LÄN</t>
        </is>
      </c>
      <c r="G886" t="inlineStr">
        <is>
          <t>SANDVIKEN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25544-2024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45463</v>
      </c>
      <c r="E887" s="1" t="n">
        <v>46280</v>
      </c>
      <c r="F887" t="inlineStr">
        <is>
          <t>GÄVLEBORGS LÄN</t>
        </is>
      </c>
      <c r="G887" t="inlineStr">
        <is>
          <t>SANDVIKEN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37641-2024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45541</v>
      </c>
      <c r="E888" s="1" t="n">
        <v>46280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37643-2024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45541</v>
      </c>
      <c r="E889" s="1" t="n">
        <v>46280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3899-2022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44587</v>
      </c>
      <c r="E890" s="1" t="n">
        <v>46280</v>
      </c>
      <c r="F890" t="inlineStr">
        <is>
          <t>GÄVLEBORGS LÄN</t>
        </is>
      </c>
      <c r="G890" t="inlineStr">
        <is>
          <t>SANDVIKEN</t>
        </is>
      </c>
      <c r="H890" t="inlineStr">
        <is>
          <t>Kyrkan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4511-2024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45327</v>
      </c>
      <c r="E891" s="1" t="n">
        <v>46280</v>
      </c>
      <c r="F891" t="inlineStr">
        <is>
          <t>GÄVLEBORGS LÄN</t>
        </is>
      </c>
      <c r="G891" t="inlineStr">
        <is>
          <t>SANDVIKEN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19269-2025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45769</v>
      </c>
      <c r="E892" s="1" t="n">
        <v>46280</v>
      </c>
      <c r="F892" t="inlineStr">
        <is>
          <t>GÄVLEBORGS LÄN</t>
        </is>
      </c>
      <c r="G892" t="inlineStr">
        <is>
          <t>SANDVIKEN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48435-2024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45590</v>
      </c>
      <c r="E893" s="1" t="n">
        <v>46280</v>
      </c>
      <c r="F893" t="inlineStr">
        <is>
          <t>GÄVLEBORGS LÄN</t>
        </is>
      </c>
      <c r="G893" t="inlineStr">
        <is>
          <t>SANDVIKEN</t>
        </is>
      </c>
      <c r="I893" t="n">
        <v>6.7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2131-2025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45672</v>
      </c>
      <c r="E894" s="1" t="n">
        <v>46280</v>
      </c>
      <c r="F894" t="inlineStr">
        <is>
          <t>GÄVLEBORGS LÄN</t>
        </is>
      </c>
      <c r="G894" t="inlineStr">
        <is>
          <t>SANDVIKEN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49518-2023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45211</v>
      </c>
      <c r="E895" s="1" t="n">
        <v>46280</v>
      </c>
      <c r="F895" t="inlineStr">
        <is>
          <t>GÄVLEBORGS LÄN</t>
        </is>
      </c>
      <c r="G895" t="inlineStr">
        <is>
          <t>SANDVIKEN</t>
        </is>
      </c>
      <c r="I895" t="n">
        <v>7.4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549-2022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44566</v>
      </c>
      <c r="E896" s="1" t="n">
        <v>46280</v>
      </c>
      <c r="F896" t="inlineStr">
        <is>
          <t>GÄVLEBORGS LÄN</t>
        </is>
      </c>
      <c r="G896" t="inlineStr">
        <is>
          <t>SANDVIKEN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36656-2023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45153</v>
      </c>
      <c r="E897" s="1" t="n">
        <v>46280</v>
      </c>
      <c r="F897" t="inlineStr">
        <is>
          <t>GÄVLEBORGS LÄN</t>
        </is>
      </c>
      <c r="G897" t="inlineStr">
        <is>
          <t>SANDVIKEN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16258-2023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45022</v>
      </c>
      <c r="E898" s="1" t="n">
        <v>46280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väst AB</t>
        </is>
      </c>
      <c r="I898" t="n">
        <v>5.2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21182-2025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45779</v>
      </c>
      <c r="E899" s="1" t="n">
        <v>46280</v>
      </c>
      <c r="F899" t="inlineStr">
        <is>
          <t>GÄVLEBORGS LÄN</t>
        </is>
      </c>
      <c r="G899" t="inlineStr">
        <is>
          <t>SANDVIKEN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37459-2024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45540</v>
      </c>
      <c r="E900" s="1" t="n">
        <v>46280</v>
      </c>
      <c r="F900" t="inlineStr">
        <is>
          <t>GÄVLEBORGS LÄN</t>
        </is>
      </c>
      <c r="G900" t="inlineStr">
        <is>
          <t>SANDVIKEN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48319-2023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45205</v>
      </c>
      <c r="E901" s="1" t="n">
        <v>46280</v>
      </c>
      <c r="F901" t="inlineStr">
        <is>
          <t>GÄVLEBORGS LÄN</t>
        </is>
      </c>
      <c r="G901" t="inlineStr">
        <is>
          <t>SANDVIKEN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55446-2024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45622</v>
      </c>
      <c r="E902" s="1" t="n">
        <v>46280</v>
      </c>
      <c r="F902" t="inlineStr">
        <is>
          <t>GÄVLEBORGS LÄN</t>
        </is>
      </c>
      <c r="G902" t="inlineStr">
        <is>
          <t>SANDVIKEN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46280</v>
      </c>
      <c r="F903" t="inlineStr">
        <is>
          <t>GÄVLEBORGS LÄN</t>
        </is>
      </c>
      <c r="G903" t="inlineStr">
        <is>
          <t>SANDVIKEN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40460-2024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45555</v>
      </c>
      <c r="E904" s="1" t="n">
        <v>46280</v>
      </c>
      <c r="F904" t="inlineStr">
        <is>
          <t>GÄVLEBORGS LÄN</t>
        </is>
      </c>
      <c r="G904" t="inlineStr">
        <is>
          <t>SANDVIKEN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41284-2023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45174</v>
      </c>
      <c r="E905" s="1" t="n">
        <v>46280</v>
      </c>
      <c r="F905" t="inlineStr">
        <is>
          <t>GÄVLEBORGS LÄN</t>
        </is>
      </c>
      <c r="G905" t="inlineStr">
        <is>
          <t>SANDVIKEN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69521-2021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44531</v>
      </c>
      <c r="E906" s="1" t="n">
        <v>46280</v>
      </c>
      <c r="F906" t="inlineStr">
        <is>
          <t>GÄVLEBORGS LÄN</t>
        </is>
      </c>
      <c r="G906" t="inlineStr">
        <is>
          <t>SANDVIKEN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56019-2023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45240</v>
      </c>
      <c r="E907" s="1" t="n">
        <v>46280</v>
      </c>
      <c r="F907" t="inlineStr">
        <is>
          <t>GÄVLEBORGS LÄN</t>
        </is>
      </c>
      <c r="G907" t="inlineStr">
        <is>
          <t>SANDVIKEN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42950-2023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45178</v>
      </c>
      <c r="E908" s="1" t="n">
        <v>46280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väst AB</t>
        </is>
      </c>
      <c r="I908" t="n">
        <v>16.5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33623-2024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45520</v>
      </c>
      <c r="E909" s="1" t="n">
        <v>46280</v>
      </c>
      <c r="F909" t="inlineStr">
        <is>
          <t>GÄVLEBORGS LÄN</t>
        </is>
      </c>
      <c r="G909" t="inlineStr">
        <is>
          <t>SANDVIKEN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34429-2024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45525</v>
      </c>
      <c r="E910" s="1" t="n">
        <v>46280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46280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219-2024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45316</v>
      </c>
      <c r="E912" s="1" t="n">
        <v>46280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198-2024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45315</v>
      </c>
      <c r="E913" s="1" t="n">
        <v>46280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64.59999999999999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7975-2021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44484</v>
      </c>
      <c r="E914" s="1" t="n">
        <v>46280</v>
      </c>
      <c r="F914" t="inlineStr">
        <is>
          <t>GÄVLEBORGS LÄN</t>
        </is>
      </c>
      <c r="G914" t="inlineStr">
        <is>
          <t>SANDVIKEN</t>
        </is>
      </c>
      <c r="H914" t="inlineStr">
        <is>
          <t>Kommuner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2574-2023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45142</v>
      </c>
      <c r="E915" s="1" t="n">
        <v>46280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31.8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10363-2021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44550</v>
      </c>
      <c r="E916" s="1" t="n">
        <v>46280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73.3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513-2025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45706</v>
      </c>
      <c r="E917" s="1" t="n">
        <v>46280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29.5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46280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46280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46280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46280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46280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46280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46280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2026-09-15T08:10:35Z</dcterms:created>
  <dcterms:modified xmlns:dcterms="http://purl.org/dc/terms/" xmlns:xsi="http://www.w3.org/2001/XMLSchema-instance" xsi:type="dcterms:W3CDTF">2026-09-15T08:10:37Z</dcterms:modified>
</cp:coreProperties>
</file>