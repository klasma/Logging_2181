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46241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46241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46241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46241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46241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46241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46241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46241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46241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46241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46241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46241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46241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46241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46241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46241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46241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46241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46241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46241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46241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46241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46241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46241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31123-2026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46216</v>
      </c>
      <c r="E27" s="1" t="n">
        <v>46241</v>
      </c>
      <c r="F27" t="inlineStr">
        <is>
          <t>GÄVLEBORGS LÄN</t>
        </is>
      </c>
      <c r="G27" t="inlineStr">
        <is>
          <t>SANDVIKEN</t>
        </is>
      </c>
      <c r="I27" t="n">
        <v>3.3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Mindre hackspett
Spillkråka</t>
        </is>
      </c>
      <c r="W27">
        <f>HYPERLINK("https://klasma.github.io/Logging_2181/artfynd/A 31123-2026 artfynd.xlsx", "A 31123-2026")</f>
        <v/>
      </c>
      <c r="X27">
        <f>HYPERLINK("https://klasma.github.io/Logging_2181/kartor/A 31123-2026 karta.png", "A 31123-2026")</f>
        <v/>
      </c>
      <c r="Y27">
        <f>HYPERLINK("https://klasma.github.io/Logging_2181/kartor_geotiff/A 31123-2026 georefererad karta.tif", "A 31123-2026")</f>
        <v/>
      </c>
      <c r="AA27">
        <f>HYPERLINK("https://klasma.github.io/Logging_2181/klagomål/A 31123-2026 FSC-klagomål.docx", "A 31123-2026")</f>
        <v/>
      </c>
      <c r="AB27">
        <f>HYPERLINK("https://klasma.github.io/Logging_2181/klagomålsmail/A 31123-2026 FSC-klagomål mail.docx", "A 31123-2026")</f>
        <v/>
      </c>
      <c r="AC27">
        <f>HYPERLINK("https://klasma.github.io/Logging_2181/tillsyn/A 31123-2026 tillsynsbegäran.docx", "A 31123-2026")</f>
        <v/>
      </c>
      <c r="AD27">
        <f>HYPERLINK("https://klasma.github.io/Logging_2181/tillsynsmail/A 31123-2026 tillsynsbegäran mail.docx", "A 31123-2026")</f>
        <v/>
      </c>
      <c r="AE27">
        <f>HYPERLINK("https://klasma.github.io/Logging_2181/fåglar/A 31123-2026 prioriterade fågelarter.docx", "A 31123-2026")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46241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46241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46241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46241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46241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46241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46241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46241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7733-2026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46062</v>
      </c>
      <c r="E36" s="1" t="n">
        <v>46241</v>
      </c>
      <c r="F36" t="inlineStr">
        <is>
          <t>GÄVLEBORGS LÄN</t>
        </is>
      </c>
      <c r="G36" t="inlineStr">
        <is>
          <t>SANDVIKEN</t>
        </is>
      </c>
      <c r="I36" t="n">
        <v>6.9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Knärot
Vedticka</t>
        </is>
      </c>
      <c r="W36">
        <f>HYPERLINK("https://klasma.github.io/Logging_2181/artfynd/A 7733-2026 artfynd.xlsx", "A 7733-2026")</f>
        <v/>
      </c>
      <c r="X36">
        <f>HYPERLINK("https://klasma.github.io/Logging_2181/kartor/A 7733-2026 karta.png", "A 7733-2026")</f>
        <v/>
      </c>
      <c r="Y36">
        <f>HYPERLINK("https://klasma.github.io/Logging_2181/kartor_geotiff/A 7733-2026 georefererad karta.tif", "A 7733-2026")</f>
        <v/>
      </c>
      <c r="Z36">
        <f>HYPERLINK("https://klasma.github.io/Logging_2181/knärot/A 7733-2026 karta knärot.png", "A 7733-2026")</f>
        <v/>
      </c>
      <c r="AA36">
        <f>HYPERLINK("https://klasma.github.io/Logging_2181/klagomål/A 7733-2026 FSC-klagomål.docx", "A 7733-2026")</f>
        <v/>
      </c>
      <c r="AB36">
        <f>HYPERLINK("https://klasma.github.io/Logging_2181/klagomålsmail/A 7733-2026 FSC-klagomål mail.docx", "A 7733-2026")</f>
        <v/>
      </c>
      <c r="AC36">
        <f>HYPERLINK("https://klasma.github.io/Logging_2181/tillsyn/A 7733-2026 tillsynsbegäran.docx", "A 7733-2026")</f>
        <v/>
      </c>
      <c r="AD36">
        <f>HYPERLINK("https://klasma.github.io/Logging_2181/tillsynsmail/A 7733-2026 tillsynsbegäran mail.docx", "A 7733-2026")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46241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46241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46241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29111-2026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46201</v>
      </c>
      <c r="E40" s="1" t="n">
        <v>46241</v>
      </c>
      <c r="F40" t="inlineStr">
        <is>
          <t>GÄVLEBORGS LÄN</t>
        </is>
      </c>
      <c r="G40" t="inlineStr">
        <is>
          <t>SANDVIKEN</t>
        </is>
      </c>
      <c r="H40" t="inlineStr">
        <is>
          <t>Kommuner</t>
        </is>
      </c>
      <c r="I40" t="n">
        <v>4.1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Knärot
Tallticka</t>
        </is>
      </c>
      <c r="W40">
        <f>HYPERLINK("https://klasma.github.io/Logging_2181/artfynd/A 29111-2026 artfynd.xlsx", "A 29111-2026")</f>
        <v/>
      </c>
      <c r="X40">
        <f>HYPERLINK("https://klasma.github.io/Logging_2181/kartor/A 29111-2026 karta.png", "A 29111-2026")</f>
        <v/>
      </c>
      <c r="Y40">
        <f>HYPERLINK("https://klasma.github.io/Logging_2181/kartor_geotiff/A 29111-2026 georefererad karta.tif", "A 29111-2026")</f>
        <v/>
      </c>
      <c r="Z40">
        <f>HYPERLINK("https://klasma.github.io/Logging_2181/knärot/A 29111-2026 karta knärot.png", "A 29111-2026")</f>
        <v/>
      </c>
      <c r="AA40">
        <f>HYPERLINK("https://klasma.github.io/Logging_2181/klagomål/A 29111-2026 FSC-klagomål.docx", "A 29111-2026")</f>
        <v/>
      </c>
      <c r="AB40">
        <f>HYPERLINK("https://klasma.github.io/Logging_2181/klagomålsmail/A 29111-2026 FSC-klagomål mail.docx", "A 29111-2026")</f>
        <v/>
      </c>
      <c r="AC40">
        <f>HYPERLINK("https://klasma.github.io/Logging_2181/tillsyn/A 29111-2026 tillsynsbegäran.docx", "A 29111-2026")</f>
        <v/>
      </c>
      <c r="AD40">
        <f>HYPERLINK("https://klasma.github.io/Logging_2181/tillsynsmail/A 29111-2026 tillsynsbegäran mail.docx", "A 29111-2026")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46241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46241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46241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46241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46241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46241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10623-2025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45721</v>
      </c>
      <c r="E47" s="1" t="n">
        <v>46241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4.6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7</v>
      </c>
      <c r="U47" t="n">
        <v>7</v>
      </c>
      <c r="V47" s="2" t="inlineStr">
        <is>
          <t>Knärot
Revlummer</t>
        </is>
      </c>
      <c r="W47">
        <f>HYPERLINK("https://klasma.github.io/Logging_2181/artfynd/A 10623-2025 artfynd.xlsx", "A 10623-2025")</f>
        <v/>
      </c>
      <c r="X47">
        <f>HYPERLINK("https://klasma.github.io/Logging_2181/kartor/A 10623-2025 karta.png", "A 10623-2025")</f>
        <v/>
      </c>
      <c r="Y47">
        <f>HYPERLINK("https://klasma.github.io/Logging_2181/kartor_geotiff/A 10623-2025 georefererad karta.tif", "A 10623-2025")</f>
        <v/>
      </c>
      <c r="Z47">
        <f>HYPERLINK("https://klasma.github.io/Logging_2181/knärot/A 10623-2025 karta knärot.png", "A 10623-2025")</f>
        <v/>
      </c>
      <c r="AA47">
        <f>HYPERLINK("https://klasma.github.io/Logging_2181/klagomål/A 10623-2025 FSC-klagomål.docx", "A 10623-2025")</f>
        <v/>
      </c>
      <c r="AB47">
        <f>HYPERLINK("https://klasma.github.io/Logging_2181/klagomålsmail/A 10623-2025 FSC-klagomål mail.docx", "A 10623-2025")</f>
        <v/>
      </c>
      <c r="AC47">
        <f>HYPERLINK("https://klasma.github.io/Logging_2181/tillsyn/A 10623-2025 tillsynsbegäran.docx", "A 10623-2025")</f>
        <v/>
      </c>
      <c r="AD47">
        <f>HYPERLINK("https://klasma.github.io/Logging_2181/tillsynsmail/A 10623-2025 tillsynsbegäran mail.docx", "A 10623-2025")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46241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46241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46241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46241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46241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35525-2022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46241</v>
      </c>
      <c r="F53" t="inlineStr">
        <is>
          <t>GÄVLEBORGS LÄN</t>
        </is>
      </c>
      <c r="G53" t="inlineStr">
        <is>
          <t>SANDVIKEN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HYPERLINK("https://klasma.github.io/Logging_2181/artfynd/A 35525-2022 artfynd.xlsx", "A 35525-2022")</f>
        <v/>
      </c>
      <c r="X53">
        <f>HYPERLINK("https://klasma.github.io/Logging_2181/kartor/A 35525-2022 karta.png", "A 35525-2022")</f>
        <v/>
      </c>
      <c r="Y53">
        <f>HYPERLINK("https://klasma.github.io/Logging_2181/kartor_geotiff/A 35525-2022 georefererad karta.tif", "A 35525-2022")</f>
        <v/>
      </c>
      <c r="AA53">
        <f>HYPERLINK("https://klasma.github.io/Logging_2181/klagomål/A 35525-2022 FSC-klagomål.docx", "A 35525-2022")</f>
        <v/>
      </c>
      <c r="AB53">
        <f>HYPERLINK("https://klasma.github.io/Logging_2181/klagomålsmail/A 35525-2022 FSC-klagomål mail.docx", "A 35525-2022")</f>
        <v/>
      </c>
      <c r="AC53">
        <f>HYPERLINK("https://klasma.github.io/Logging_2181/tillsyn/A 35525-2022 tillsynsbegäran.docx", "A 35525-2022")</f>
        <v/>
      </c>
      <c r="AD53">
        <f>HYPERLINK("https://klasma.github.io/Logging_2181/tillsynsmail/A 35525-2022 tillsynsbegäran mail.docx", "A 35525-2022")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46241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4384-2023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44955</v>
      </c>
      <c r="E55" s="1" t="n">
        <v>46241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Sångsvan</t>
        </is>
      </c>
      <c r="W55">
        <f>HYPERLINK("https://klasma.github.io/Logging_2181/artfynd/A 4384-2023 artfynd.xlsx", "A 4384-2023")</f>
        <v/>
      </c>
      <c r="X55">
        <f>HYPERLINK("https://klasma.github.io/Logging_2181/kartor/A 4384-2023 karta.png", "A 4384-2023")</f>
        <v/>
      </c>
      <c r="Y55">
        <f>HYPERLINK("https://klasma.github.io/Logging_2181/kartor_geotiff/A 4384-2023 georefererad karta.tif", "A 4384-2023")</f>
        <v/>
      </c>
      <c r="AA55">
        <f>HYPERLINK("https://klasma.github.io/Logging_2181/klagomål/A 4384-2023 FSC-klagomål.docx", "A 4384-2023")</f>
        <v/>
      </c>
      <c r="AB55">
        <f>HYPERLINK("https://klasma.github.io/Logging_2181/klagomålsmail/A 4384-2023 FSC-klagomål mail.docx", "A 4384-2023")</f>
        <v/>
      </c>
      <c r="AC55">
        <f>HYPERLINK("https://klasma.github.io/Logging_2181/tillsyn/A 4384-2023 tillsynsbegäran.docx", "A 4384-2023")</f>
        <v/>
      </c>
      <c r="AD55">
        <f>HYPERLINK("https://klasma.github.io/Logging_2181/tillsynsmail/A 4384-2023 tillsynsbegäran mail.docx", "A 4384-2023")</f>
        <v/>
      </c>
      <c r="AE55">
        <f>HYPERLINK("https://klasma.github.io/Logging_2181/fåglar/A 4384-2023 prioriterade fågelarter.docx", "A 4384-2023")</f>
        <v/>
      </c>
    </row>
    <row r="56" ht="15" customHeight="1">
      <c r="A56" t="inlineStr">
        <is>
          <t>A 36417-2025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45868</v>
      </c>
      <c r="E56" s="1" t="n">
        <v>46241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HYPERLINK("https://klasma.github.io/Logging_2181/artfynd/A 36417-2025 artfynd.xlsx", "A 36417-2025")</f>
        <v/>
      </c>
      <c r="X56">
        <f>HYPERLINK("https://klasma.github.io/Logging_2181/kartor/A 36417-2025 karta.png", "A 36417-2025")</f>
        <v/>
      </c>
      <c r="Y56">
        <f>HYPERLINK("https://klasma.github.io/Logging_2181/kartor_geotiff/A 36417-2025 georefererad karta.tif", "A 36417-2025")</f>
        <v/>
      </c>
      <c r="Z56">
        <f>HYPERLINK("https://klasma.github.io/Logging_2181/knärot/A 36417-2025 karta knärot.png", "A 36417-2025")</f>
        <v/>
      </c>
      <c r="AA56">
        <f>HYPERLINK("https://klasma.github.io/Logging_2181/klagomål/A 36417-2025 FSC-klagomål.docx", "A 36417-2025")</f>
        <v/>
      </c>
      <c r="AB56">
        <f>HYPERLINK("https://klasma.github.io/Logging_2181/klagomålsmail/A 36417-2025 FSC-klagomål mail.docx", "A 36417-2025")</f>
        <v/>
      </c>
      <c r="AC56">
        <f>HYPERLINK("https://klasma.github.io/Logging_2181/tillsyn/A 36417-2025 tillsynsbegäran.docx", "A 36417-2025")</f>
        <v/>
      </c>
      <c r="AD56">
        <f>HYPERLINK("https://klasma.github.io/Logging_2181/tillsynsmail/A 36417-2025 tillsynsbegäran mail.docx", "A 36417-2025")</f>
        <v/>
      </c>
    </row>
    <row r="57" ht="15" customHeight="1">
      <c r="A57" t="inlineStr">
        <is>
          <t>A 23289-2024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46241</v>
      </c>
      <c r="F57" t="inlineStr">
        <is>
          <t>GÄVLEBORGS LÄN</t>
        </is>
      </c>
      <c r="G57" t="inlineStr">
        <is>
          <t>SANDVIKEN</t>
        </is>
      </c>
      <c r="H57" t="inlineStr">
        <is>
          <t>Kyrkan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Skogsödla</t>
        </is>
      </c>
      <c r="W57">
        <f>HYPERLINK("https://klasma.github.io/Logging_2181/artfynd/A 23289-2024 artfynd.xlsx", "A 23289-2024")</f>
        <v/>
      </c>
      <c r="X57">
        <f>HYPERLINK("https://klasma.github.io/Logging_2181/kartor/A 23289-2024 karta.png", "A 23289-2024")</f>
        <v/>
      </c>
      <c r="Y57">
        <f>HYPERLINK("https://klasma.github.io/Logging_2181/kartor_geotiff/A 23289-2024 georefererad karta.tif", "A 23289-2024")</f>
        <v/>
      </c>
      <c r="AA57">
        <f>HYPERLINK("https://klasma.github.io/Logging_2181/klagomål/A 23289-2024 FSC-klagomål.docx", "A 23289-2024")</f>
        <v/>
      </c>
      <c r="AB57">
        <f>HYPERLINK("https://klasma.github.io/Logging_2181/klagomålsmail/A 23289-2024 FSC-klagomål mail.docx", "A 23289-2024")</f>
        <v/>
      </c>
      <c r="AC57">
        <f>HYPERLINK("https://klasma.github.io/Logging_2181/tillsyn/A 23289-2024 tillsynsbegäran.docx", "A 23289-2024")</f>
        <v/>
      </c>
      <c r="AD57">
        <f>HYPERLINK("https://klasma.github.io/Logging_2181/tillsynsmail/A 23289-2024 tillsynsbegäran mail.docx", "A 23289-2024")</f>
        <v/>
      </c>
    </row>
    <row r="58" ht="15" customHeight="1">
      <c r="A58" t="inlineStr">
        <is>
          <t>A 17062-2026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46114</v>
      </c>
      <c r="E58" s="1" t="n">
        <v>46241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5.7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Vårärt</t>
        </is>
      </c>
      <c r="W58">
        <f>HYPERLINK("https://klasma.github.io/Logging_2181/artfynd/A 17062-2026 artfynd.xlsx", "A 17062-2026")</f>
        <v/>
      </c>
      <c r="X58">
        <f>HYPERLINK("https://klasma.github.io/Logging_2181/kartor/A 17062-2026 karta.png", "A 17062-2026")</f>
        <v/>
      </c>
      <c r="Y58">
        <f>HYPERLINK("https://klasma.github.io/Logging_2181/kartor_geotiff/A 17062-2026 georefererad karta.tif", "A 17062-2026")</f>
        <v/>
      </c>
      <c r="AA58">
        <f>HYPERLINK("https://klasma.github.io/Logging_2181/klagomål/A 17062-2026 FSC-klagomål.docx", "A 17062-2026")</f>
        <v/>
      </c>
      <c r="AB58">
        <f>HYPERLINK("https://klasma.github.io/Logging_2181/klagomålsmail/A 17062-2026 FSC-klagomål mail.docx", "A 17062-2026")</f>
        <v/>
      </c>
      <c r="AC58">
        <f>HYPERLINK("https://klasma.github.io/Logging_2181/tillsyn/A 17062-2026 tillsynsbegäran.docx", "A 17062-2026")</f>
        <v/>
      </c>
      <c r="AD58">
        <f>HYPERLINK("https://klasma.github.io/Logging_2181/tillsynsmail/A 17062-2026 tillsynsbegäran mail.docx", "A 17062-2026")</f>
        <v/>
      </c>
    </row>
    <row r="59" ht="15" customHeight="1">
      <c r="A59" t="inlineStr">
        <is>
          <t>A 17364-2026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46241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Höstlåsbräken</t>
        </is>
      </c>
      <c r="W59">
        <f>HYPERLINK("https://klasma.github.io/Logging_2181/artfynd/A 17364-2026 artfynd.xlsx", "A 17364-2026")</f>
        <v/>
      </c>
      <c r="X59">
        <f>HYPERLINK("https://klasma.github.io/Logging_2181/kartor/A 17364-2026 karta.png", "A 17364-2026")</f>
        <v/>
      </c>
      <c r="Y59">
        <f>HYPERLINK("https://klasma.github.io/Logging_2181/kartor_geotiff/A 17364-2026 georefererad karta.tif", "A 17364-2026")</f>
        <v/>
      </c>
      <c r="AA59">
        <f>HYPERLINK("https://klasma.github.io/Logging_2181/klagomål/A 17364-2026 FSC-klagomål.docx", "A 17364-2026")</f>
        <v/>
      </c>
      <c r="AB59">
        <f>HYPERLINK("https://klasma.github.io/Logging_2181/klagomålsmail/A 17364-2026 FSC-klagomål mail.docx", "A 17364-2026")</f>
        <v/>
      </c>
      <c r="AC59">
        <f>HYPERLINK("https://klasma.github.io/Logging_2181/tillsyn/A 17364-2026 tillsynsbegäran.docx", "A 17364-2026")</f>
        <v/>
      </c>
      <c r="AD59">
        <f>HYPERLINK("https://klasma.github.io/Logging_2181/tillsynsmail/A 17364-2026 tillsynsbegäran mail.docx", "A 17364-2026")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46241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46241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38350-2025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46241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väst AB</t>
        </is>
      </c>
      <c r="I62" t="n">
        <v>25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Brandticka</t>
        </is>
      </c>
      <c r="W62">
        <f>HYPERLINK("https://klasma.github.io/Logging_2181/artfynd/A 38350-2025 artfynd.xlsx", "A 38350-2025")</f>
        <v/>
      </c>
      <c r="X62">
        <f>HYPERLINK("https://klasma.github.io/Logging_2181/kartor/A 38350-2025 karta.png", "A 38350-2025")</f>
        <v/>
      </c>
      <c r="Y62">
        <f>HYPERLINK("https://klasma.github.io/Logging_2181/kartor_geotiff/A 38350-2025 georefererad karta.tif", "A 38350-2025")</f>
        <v/>
      </c>
      <c r="AA62">
        <f>HYPERLINK("https://klasma.github.io/Logging_2181/klagomål/A 38350-2025 FSC-klagomål.docx", "A 38350-2025")</f>
        <v/>
      </c>
      <c r="AB62">
        <f>HYPERLINK("https://klasma.github.io/Logging_2181/klagomålsmail/A 38350-2025 FSC-klagomål mail.docx", "A 38350-2025")</f>
        <v/>
      </c>
      <c r="AC62">
        <f>HYPERLINK("https://klasma.github.io/Logging_2181/tillsyn/A 38350-2025 tillsynsbegäran.docx", "A 38350-2025")</f>
        <v/>
      </c>
      <c r="AD62">
        <f>HYPERLINK("https://klasma.github.io/Logging_2181/tillsynsmail/A 38350-2025 tillsynsbegäran mail.docx", "A 38350-2025")</f>
        <v/>
      </c>
    </row>
    <row r="63" ht="15" customHeight="1">
      <c r="A63" t="inlineStr">
        <is>
          <t>A 19272-2026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46133</v>
      </c>
      <c r="E63" s="1" t="n">
        <v>46241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9.4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HYPERLINK("https://klasma.github.io/Logging_2181/artfynd/A 19272-2026 artfynd.xlsx", "A 19272-2026")</f>
        <v/>
      </c>
      <c r="X63">
        <f>HYPERLINK("https://klasma.github.io/Logging_2181/kartor/A 19272-2026 karta.png", "A 19272-2026")</f>
        <v/>
      </c>
      <c r="Y63">
        <f>HYPERLINK("https://klasma.github.io/Logging_2181/kartor_geotiff/A 19272-2026 georefererad karta.tif", "A 19272-2026")</f>
        <v/>
      </c>
      <c r="AA63">
        <f>HYPERLINK("https://klasma.github.io/Logging_2181/klagomål/A 19272-2026 FSC-klagomål.docx", "A 19272-2026")</f>
        <v/>
      </c>
      <c r="AB63">
        <f>HYPERLINK("https://klasma.github.io/Logging_2181/klagomålsmail/A 19272-2026 FSC-klagomål mail.docx", "A 19272-2026")</f>
        <v/>
      </c>
      <c r="AC63">
        <f>HYPERLINK("https://klasma.github.io/Logging_2181/tillsyn/A 19272-2026 tillsynsbegäran.docx", "A 19272-2026")</f>
        <v/>
      </c>
      <c r="AD63">
        <f>HYPERLINK("https://klasma.github.io/Logging_2181/tillsynsmail/A 19272-2026 tillsynsbegäran mail.docx", "A 19272-2026")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46241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46241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42115-2023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46241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2.4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HYPERLINK("https://klasma.github.io/Logging_2181/artfynd/A 42115-2023 artfynd.xlsx", "A 42115-2023")</f>
        <v/>
      </c>
      <c r="X66">
        <f>HYPERLINK("https://klasma.github.io/Logging_2181/kartor/A 42115-2023 karta.png", "A 42115-2023")</f>
        <v/>
      </c>
      <c r="Y66">
        <f>HYPERLINK("https://klasma.github.io/Logging_2181/kartor_geotiff/A 42115-2023 georefererad karta.tif", "A 42115-2023")</f>
        <v/>
      </c>
      <c r="AA66">
        <f>HYPERLINK("https://klasma.github.io/Logging_2181/klagomål/A 42115-2023 FSC-klagomål.docx", "A 42115-2023")</f>
        <v/>
      </c>
      <c r="AB66">
        <f>HYPERLINK("https://klasma.github.io/Logging_2181/klagomålsmail/A 42115-2023 FSC-klagomål mail.docx", "A 42115-2023")</f>
        <v/>
      </c>
      <c r="AC66">
        <f>HYPERLINK("https://klasma.github.io/Logging_2181/tillsyn/A 42115-2023 tillsynsbegäran.docx", "A 42115-2023")</f>
        <v/>
      </c>
      <c r="AD66">
        <f>HYPERLINK("https://klasma.github.io/Logging_2181/tillsynsmail/A 42115-2023 tillsynsbegäran mail.docx", "A 42115-2023")</f>
        <v/>
      </c>
      <c r="AE66">
        <f>HYPERLINK("https://klasma.github.io/Logging_2181/fåglar/A 42115-2023 prioriterade fågelarter.docx", "A 42115-2023")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46241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48188-2025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46241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4.6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HYPERLINK("https://klasma.github.io/Logging_2181/artfynd/A 48188-2025 artfynd.xlsx", "A 48188-2025")</f>
        <v/>
      </c>
      <c r="X68">
        <f>HYPERLINK("https://klasma.github.io/Logging_2181/kartor/A 48188-2025 karta.png", "A 48188-2025")</f>
        <v/>
      </c>
      <c r="Y68">
        <f>HYPERLINK("https://klasma.github.io/Logging_2181/kartor_geotiff/A 48188-2025 georefererad karta.tif", "A 48188-2025")</f>
        <v/>
      </c>
      <c r="AA68">
        <f>HYPERLINK("https://klasma.github.io/Logging_2181/klagomål/A 48188-2025 FSC-klagomål.docx", "A 48188-2025")</f>
        <v/>
      </c>
      <c r="AB68">
        <f>HYPERLINK("https://klasma.github.io/Logging_2181/klagomålsmail/A 48188-2025 FSC-klagomål mail.docx", "A 48188-2025")</f>
        <v/>
      </c>
      <c r="AC68">
        <f>HYPERLINK("https://klasma.github.io/Logging_2181/tillsyn/A 48188-2025 tillsynsbegäran.docx", "A 48188-2025")</f>
        <v/>
      </c>
      <c r="AD68">
        <f>HYPERLINK("https://klasma.github.io/Logging_2181/tillsynsmail/A 48188-2025 tillsynsbegäran mail.docx", "A 48188-2025")</f>
        <v/>
      </c>
      <c r="AE68">
        <f>HYPERLINK("https://klasma.github.io/Logging_2181/fåglar/A 48188-2025 prioriterade fågelarter.docx", "A 48188-2025")</f>
        <v/>
      </c>
    </row>
    <row r="69" ht="15" customHeight="1">
      <c r="A69" t="inlineStr">
        <is>
          <t>A 4324-2026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46241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11.2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Järpe</t>
        </is>
      </c>
      <c r="W69">
        <f>HYPERLINK("https://klasma.github.io/Logging_2181/artfynd/A 4324-2026 artfynd.xlsx", "A 4324-2026")</f>
        <v/>
      </c>
      <c r="X69">
        <f>HYPERLINK("https://klasma.github.io/Logging_2181/kartor/A 4324-2026 karta.png", "A 4324-2026")</f>
        <v/>
      </c>
      <c r="Y69">
        <f>HYPERLINK("https://klasma.github.io/Logging_2181/kartor_geotiff/A 4324-2026 georefererad karta.tif", "A 4324-2026")</f>
        <v/>
      </c>
      <c r="AA69">
        <f>HYPERLINK("https://klasma.github.io/Logging_2181/klagomål/A 4324-2026 FSC-klagomål.docx", "A 4324-2026")</f>
        <v/>
      </c>
      <c r="AB69">
        <f>HYPERLINK("https://klasma.github.io/Logging_2181/klagomålsmail/A 4324-2026 FSC-klagomål mail.docx", "A 4324-2026")</f>
        <v/>
      </c>
      <c r="AC69">
        <f>HYPERLINK("https://klasma.github.io/Logging_2181/tillsyn/A 4324-2026 tillsynsbegäran.docx", "A 4324-2026")</f>
        <v/>
      </c>
      <c r="AD69">
        <f>HYPERLINK("https://klasma.github.io/Logging_2181/tillsynsmail/A 4324-2026 tillsynsbegäran mail.docx", "A 4324-2026")</f>
        <v/>
      </c>
      <c r="AE69">
        <f>HYPERLINK("https://klasma.github.io/Logging_2181/fåglar/A 4324-2026 prioriterade fågelarter.docx", "A 4324-2026")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46241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6972-2026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46241</v>
      </c>
      <c r="F71" t="inlineStr">
        <is>
          <t>GÄVLEBORGS LÄN</t>
        </is>
      </c>
      <c r="G71" t="inlineStr">
        <is>
          <t>SANDVIKEN</t>
        </is>
      </c>
      <c r="H71" t="inlineStr">
        <is>
          <t>Naturvårdsverket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Svartvit flugsnappare</t>
        </is>
      </c>
      <c r="W71">
        <f>HYPERLINK("https://klasma.github.io/Logging_2181/artfynd/A 6972-2026 artfynd.xlsx", "A 6972-2026")</f>
        <v/>
      </c>
      <c r="X71">
        <f>HYPERLINK("https://klasma.github.io/Logging_2181/kartor/A 6972-2026 karta.png", "A 6972-2026")</f>
        <v/>
      </c>
      <c r="Y71">
        <f>HYPERLINK("https://klasma.github.io/Logging_2181/kartor_geotiff/A 6972-2026 georefererad karta.tif", "A 6972-2026")</f>
        <v/>
      </c>
      <c r="AA71">
        <f>HYPERLINK("https://klasma.github.io/Logging_2181/klagomål/A 6972-2026 FSC-klagomål.docx", "A 6972-2026")</f>
        <v/>
      </c>
      <c r="AB71">
        <f>HYPERLINK("https://klasma.github.io/Logging_2181/klagomålsmail/A 6972-2026 FSC-klagomål mail.docx", "A 6972-2026")</f>
        <v/>
      </c>
      <c r="AC71">
        <f>HYPERLINK("https://klasma.github.io/Logging_2181/tillsyn/A 6972-2026 tillsynsbegäran.docx", "A 6972-2026")</f>
        <v/>
      </c>
      <c r="AD71">
        <f>HYPERLINK("https://klasma.github.io/Logging_2181/tillsynsmail/A 6972-2026 tillsynsbegäran mail.docx", "A 6972-2026")</f>
        <v/>
      </c>
    </row>
    <row r="72" ht="15" customHeight="1">
      <c r="A72" t="inlineStr">
        <is>
          <t>A 41349-2025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46241</v>
      </c>
      <c r="F72" t="inlineStr">
        <is>
          <t>GÄVLEBORGS LÄN</t>
        </is>
      </c>
      <c r="G72" t="inlineStr">
        <is>
          <t>SANDVIKEN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HYPERLINK("https://klasma.github.io/Logging_2181/artfynd/A 41349-2025 artfynd.xlsx", "A 41349-2025")</f>
        <v/>
      </c>
      <c r="X72">
        <f>HYPERLINK("https://klasma.github.io/Logging_2181/kartor/A 41349-2025 karta.png", "A 41349-2025")</f>
        <v/>
      </c>
      <c r="Y72">
        <f>HYPERLINK("https://klasma.github.io/Logging_2181/kartor_geotiff/A 41349-2025 georefererad karta.tif", "A 41349-2025")</f>
        <v/>
      </c>
      <c r="AA72">
        <f>HYPERLINK("https://klasma.github.io/Logging_2181/klagomål/A 41349-2025 FSC-klagomål.docx", "A 41349-2025")</f>
        <v/>
      </c>
      <c r="AB72">
        <f>HYPERLINK("https://klasma.github.io/Logging_2181/klagomålsmail/A 41349-2025 FSC-klagomål mail.docx", "A 41349-2025")</f>
        <v/>
      </c>
      <c r="AC72">
        <f>HYPERLINK("https://klasma.github.io/Logging_2181/tillsyn/A 41349-2025 tillsynsbegäran.docx", "A 41349-2025")</f>
        <v/>
      </c>
      <c r="AD72">
        <f>HYPERLINK("https://klasma.github.io/Logging_2181/tillsynsmail/A 41349-2025 tillsynsbegäran mail.docx", "A 41349-2025")</f>
        <v/>
      </c>
    </row>
    <row r="73" ht="15" customHeight="1">
      <c r="A73" t="inlineStr">
        <is>
          <t>A 21532-2026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46148</v>
      </c>
      <c r="E73" s="1" t="n">
        <v>46241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Svartvit flugsnappare</t>
        </is>
      </c>
      <c r="W73">
        <f>HYPERLINK("https://klasma.github.io/Logging_2181/artfynd/A 21532-2026 artfynd.xlsx", "A 21532-2026")</f>
        <v/>
      </c>
      <c r="X73">
        <f>HYPERLINK("https://klasma.github.io/Logging_2181/kartor/A 21532-2026 karta.png", "A 21532-2026")</f>
        <v/>
      </c>
      <c r="Y73">
        <f>HYPERLINK("https://klasma.github.io/Logging_2181/kartor_geotiff/A 21532-2026 georefererad karta.tif", "A 21532-2026")</f>
        <v/>
      </c>
      <c r="AA73">
        <f>HYPERLINK("https://klasma.github.io/Logging_2181/klagomål/A 21532-2026 FSC-klagomål.docx", "A 21532-2026")</f>
        <v/>
      </c>
      <c r="AB73">
        <f>HYPERLINK("https://klasma.github.io/Logging_2181/klagomålsmail/A 21532-2026 FSC-klagomål mail.docx", "A 21532-2026")</f>
        <v/>
      </c>
      <c r="AC73">
        <f>HYPERLINK("https://klasma.github.io/Logging_2181/tillsyn/A 21532-2026 tillsynsbegäran.docx", "A 21532-2026")</f>
        <v/>
      </c>
      <c r="AD73">
        <f>HYPERLINK("https://klasma.github.io/Logging_2181/tillsynsmail/A 21532-2026 tillsynsbegäran mail.docx", "A 21532-2026")</f>
        <v/>
      </c>
    </row>
    <row r="74" ht="15" customHeight="1">
      <c r="A74" t="inlineStr">
        <is>
          <t>A 3316-2023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44949</v>
      </c>
      <c r="E74" s="1" t="n">
        <v>46241</v>
      </c>
      <c r="F74" t="inlineStr">
        <is>
          <t>GÄVLEBORGS LÄN</t>
        </is>
      </c>
      <c r="G74" t="inlineStr">
        <is>
          <t>SANDVIKEN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HYPERLINK("https://klasma.github.io/Logging_2181/artfynd/A 3316-2023 artfynd.xlsx", "A 3316-2023")</f>
        <v/>
      </c>
      <c r="X74">
        <f>HYPERLINK("https://klasma.github.io/Logging_2181/kartor/A 3316-2023 karta.png", "A 3316-2023")</f>
        <v/>
      </c>
      <c r="Y74">
        <f>HYPERLINK("https://klasma.github.io/Logging_2181/kartor_geotiff/A 3316-2023 georefererad karta.tif", "A 3316-2023")</f>
        <v/>
      </c>
      <c r="AA74">
        <f>HYPERLINK("https://klasma.github.io/Logging_2181/klagomål/A 3316-2023 FSC-klagomål.docx", "A 3316-2023")</f>
        <v/>
      </c>
      <c r="AB74">
        <f>HYPERLINK("https://klasma.github.io/Logging_2181/klagomålsmail/A 3316-2023 FSC-klagomål mail.docx", "A 3316-2023")</f>
        <v/>
      </c>
      <c r="AC74">
        <f>HYPERLINK("https://klasma.github.io/Logging_2181/tillsyn/A 3316-2023 tillsynsbegäran.docx", "A 3316-2023")</f>
        <v/>
      </c>
      <c r="AD74">
        <f>HYPERLINK("https://klasma.github.io/Logging_2181/tillsynsmail/A 3316-2023 tillsynsbegäran mail.docx", "A 3316-2023")</f>
        <v/>
      </c>
      <c r="AE74">
        <f>HYPERLINK("https://klasma.github.io/Logging_2181/fåglar/A 3316-2023 prioriterade fågelarter.docx", "A 3316-2023")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46241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Ekorrbär</t>
        </is>
      </c>
      <c r="W75">
        <f>HYPERLINK("https://klasma.github.io/Logging_2181/artfynd/A 22275-2024 artfynd.xlsx", "A 22275-2024")</f>
        <v/>
      </c>
      <c r="X75">
        <f>HYPERLINK("https://klasma.github.io/Logging_2181/kartor/A 22275-2024 karta.png", "A 22275-2024")</f>
        <v/>
      </c>
      <c r="Y75">
        <f>HYPERLINK("https://klasma.github.io/Logging_2181/kartor_geotiff/A 22275-2024 georefererad karta.tif", "A 22275-2024")</f>
        <v/>
      </c>
      <c r="AA75">
        <f>HYPERLINK("https://klasma.github.io/Logging_2181/klagomål/A 22275-2024 FSC-klagomål.docx", "A 22275-2024")</f>
        <v/>
      </c>
      <c r="AB75">
        <f>HYPERLINK("https://klasma.github.io/Logging_2181/klagomålsmail/A 22275-2024 FSC-klagomål mail.docx", "A 22275-2024")</f>
        <v/>
      </c>
      <c r="AC75">
        <f>HYPERLINK("https://klasma.github.io/Logging_2181/tillsyn/A 22275-2024 tillsynsbegäran.docx", "A 22275-2024")</f>
        <v/>
      </c>
      <c r="AD75">
        <f>HYPERLINK("https://klasma.github.io/Logging_2181/tillsynsmail/A 22275-2024 tillsynsbegäran mail.docx", "A 22275-2024")</f>
        <v/>
      </c>
    </row>
    <row r="76" ht="15" customHeight="1">
      <c r="A76" t="inlineStr">
        <is>
          <t>A 58845-2023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46241</v>
      </c>
      <c r="F76" t="inlineStr">
        <is>
          <t>GÄVLEBORGS LÄN</t>
        </is>
      </c>
      <c r="G76" t="inlineStr">
        <is>
          <t>SANDVIKEN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Vanlig padda</t>
        </is>
      </c>
      <c r="W76">
        <f>HYPERLINK("https://klasma.github.io/Logging_2181/artfynd/A 58845-2023 artfynd.xlsx", "A 58845-2023")</f>
        <v/>
      </c>
      <c r="X76">
        <f>HYPERLINK("https://klasma.github.io/Logging_2181/kartor/A 58845-2023 karta.png", "A 58845-2023")</f>
        <v/>
      </c>
      <c r="Y76">
        <f>HYPERLINK("https://klasma.github.io/Logging_2181/kartor_geotiff/A 58845-2023 georefererad karta.tif", "A 58845-2023")</f>
        <v/>
      </c>
      <c r="AA76">
        <f>HYPERLINK("https://klasma.github.io/Logging_2181/klagomål/A 58845-2023 FSC-klagomål.docx", "A 58845-2023")</f>
        <v/>
      </c>
      <c r="AB76">
        <f>HYPERLINK("https://klasma.github.io/Logging_2181/klagomålsmail/A 58845-2023 FSC-klagomål mail.docx", "A 58845-2023")</f>
        <v/>
      </c>
      <c r="AC76">
        <f>HYPERLINK("https://klasma.github.io/Logging_2181/tillsyn/A 58845-2023 tillsynsbegäran.docx", "A 58845-2023")</f>
        <v/>
      </c>
      <c r="AD76">
        <f>HYPERLINK("https://klasma.github.io/Logging_2181/tillsynsmail/A 58845-2023 tillsynsbegäran mail.docx", "A 58845-2023")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46241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1083-2026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46241</v>
      </c>
      <c r="F78" t="inlineStr">
        <is>
          <t>GÄVLEBORGS LÄN</t>
        </is>
      </c>
      <c r="G78" t="inlineStr">
        <is>
          <t>SANDVIKEN</t>
        </is>
      </c>
      <c r="I78" t="n">
        <v>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1083-2026 artfynd.xlsx", "A 1083-2026")</f>
        <v/>
      </c>
      <c r="X78">
        <f>HYPERLINK("https://klasma.github.io/Logging_2181/kartor/A 1083-2026 karta.png", "A 1083-2026")</f>
        <v/>
      </c>
      <c r="Y78">
        <f>HYPERLINK("https://klasma.github.io/Logging_2181/kartor_geotiff/A 1083-2026 georefererad karta.tif", "A 1083-2026")</f>
        <v/>
      </c>
      <c r="AA78">
        <f>HYPERLINK("https://klasma.github.io/Logging_2181/klagomål/A 1083-2026 FSC-klagomål.docx", "A 1083-2026")</f>
        <v/>
      </c>
      <c r="AB78">
        <f>HYPERLINK("https://klasma.github.io/Logging_2181/klagomålsmail/A 1083-2026 FSC-klagomål mail.docx", "A 1083-2026")</f>
        <v/>
      </c>
      <c r="AC78">
        <f>HYPERLINK("https://klasma.github.io/Logging_2181/tillsyn/A 1083-2026 tillsynsbegäran.docx", "A 1083-2026")</f>
        <v/>
      </c>
      <c r="AD78">
        <f>HYPERLINK("https://klasma.github.io/Logging_2181/tillsynsmail/A 1083-2026 tillsynsbegäran mail.docx", "A 1083-2026")</f>
        <v/>
      </c>
    </row>
    <row r="79" ht="15" customHeight="1">
      <c r="A79" t="inlineStr">
        <is>
          <t>A 45427-2023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46241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Mattlummer</t>
        </is>
      </c>
      <c r="W79">
        <f>HYPERLINK("https://klasma.github.io/Logging_2181/artfynd/A 45427-2023 artfynd.xlsx", "A 45427-2023")</f>
        <v/>
      </c>
      <c r="X79">
        <f>HYPERLINK("https://klasma.github.io/Logging_2181/kartor/A 45427-2023 karta.png", "A 45427-2023")</f>
        <v/>
      </c>
      <c r="Y79">
        <f>HYPERLINK("https://klasma.github.io/Logging_2181/kartor_geotiff/A 45427-2023 georefererad karta.tif", "A 45427-2023")</f>
        <v/>
      </c>
      <c r="AA79">
        <f>HYPERLINK("https://klasma.github.io/Logging_2181/klagomål/A 45427-2023 FSC-klagomål.docx", "A 45427-2023")</f>
        <v/>
      </c>
      <c r="AB79">
        <f>HYPERLINK("https://klasma.github.io/Logging_2181/klagomålsmail/A 45427-2023 FSC-klagomål mail.docx", "A 45427-2023")</f>
        <v/>
      </c>
      <c r="AC79">
        <f>HYPERLINK("https://klasma.github.io/Logging_2181/tillsyn/A 45427-2023 tillsynsbegäran.docx", "A 45427-2023")</f>
        <v/>
      </c>
      <c r="AD79">
        <f>HYPERLINK("https://klasma.github.io/Logging_2181/tillsynsmail/A 45427-2023 tillsynsbegäran mail.docx", "A 45427-2023")</f>
        <v/>
      </c>
    </row>
    <row r="80" ht="15" customHeight="1">
      <c r="A80" t="inlineStr">
        <is>
          <t>A 24171-2026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46168</v>
      </c>
      <c r="E80" s="1" t="n">
        <v>46241</v>
      </c>
      <c r="F80" t="inlineStr">
        <is>
          <t>GÄVLEBORGS LÄN</t>
        </is>
      </c>
      <c r="G80" t="inlineStr">
        <is>
          <t>SANDVIKEN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Svedjenäva</t>
        </is>
      </c>
      <c r="W80">
        <f>HYPERLINK("https://klasma.github.io/Logging_2181/artfynd/A 24171-2026 artfynd.xlsx", "A 24171-2026")</f>
        <v/>
      </c>
      <c r="X80">
        <f>HYPERLINK("https://klasma.github.io/Logging_2181/kartor/A 24171-2026 karta.png", "A 24171-2026")</f>
        <v/>
      </c>
      <c r="Y80">
        <f>HYPERLINK("https://klasma.github.io/Logging_2181/kartor_geotiff/A 24171-2026 georefererad karta.tif", "A 24171-2026")</f>
        <v/>
      </c>
      <c r="AA80">
        <f>HYPERLINK("https://klasma.github.io/Logging_2181/klagomål/A 24171-2026 FSC-klagomål.docx", "A 24171-2026")</f>
        <v/>
      </c>
      <c r="AB80">
        <f>HYPERLINK("https://klasma.github.io/Logging_2181/klagomålsmail/A 24171-2026 FSC-klagomål mail.docx", "A 24171-2026")</f>
        <v/>
      </c>
      <c r="AC80">
        <f>HYPERLINK("https://klasma.github.io/Logging_2181/tillsyn/A 24171-2026 tillsynsbegäran.docx", "A 24171-2026")</f>
        <v/>
      </c>
      <c r="AD80">
        <f>HYPERLINK("https://klasma.github.io/Logging_2181/tillsynsmail/A 24171-2026 tillsynsbegäran mail.docx", "A 24171-2026")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46241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9267-2026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46241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Gullpudra</t>
        </is>
      </c>
      <c r="W82">
        <f>HYPERLINK("https://klasma.github.io/Logging_2181/artfynd/A 9267-2026 artfynd.xlsx", "A 9267-2026")</f>
        <v/>
      </c>
      <c r="X82">
        <f>HYPERLINK("https://klasma.github.io/Logging_2181/kartor/A 9267-2026 karta.png", "A 9267-2026")</f>
        <v/>
      </c>
      <c r="Y82">
        <f>HYPERLINK("https://klasma.github.io/Logging_2181/kartor_geotiff/A 9267-2026 georefererad karta.tif", "A 9267-2026")</f>
        <v/>
      </c>
      <c r="AA82">
        <f>HYPERLINK("https://klasma.github.io/Logging_2181/klagomål/A 9267-2026 FSC-klagomål.docx", "A 9267-2026")</f>
        <v/>
      </c>
      <c r="AB82">
        <f>HYPERLINK("https://klasma.github.io/Logging_2181/klagomålsmail/A 9267-2026 FSC-klagomål mail.docx", "A 9267-2026")</f>
        <v/>
      </c>
      <c r="AC82">
        <f>HYPERLINK("https://klasma.github.io/Logging_2181/tillsyn/A 9267-2026 tillsynsbegäran.docx", "A 9267-2026")</f>
        <v/>
      </c>
      <c r="AD82">
        <f>HYPERLINK("https://klasma.github.io/Logging_2181/tillsynsmail/A 9267-2026 tillsynsbegäran mail.docx", "A 9267-2026")</f>
        <v/>
      </c>
    </row>
    <row r="83" ht="15" customHeight="1">
      <c r="A83" t="inlineStr">
        <is>
          <t>A 24357-2026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46241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HYPERLINK("https://klasma.github.io/Logging_2181/artfynd/A 24357-2026 artfynd.xlsx", "A 24357-2026")</f>
        <v/>
      </c>
      <c r="X83">
        <f>HYPERLINK("https://klasma.github.io/Logging_2181/kartor/A 24357-2026 karta.png", "A 24357-2026")</f>
        <v/>
      </c>
      <c r="Y83">
        <f>HYPERLINK("https://klasma.github.io/Logging_2181/kartor_geotiff/A 24357-2026 georefererad karta.tif", "A 24357-2026")</f>
        <v/>
      </c>
      <c r="AA83">
        <f>HYPERLINK("https://klasma.github.io/Logging_2181/klagomål/A 24357-2026 FSC-klagomål.docx", "A 24357-2026")</f>
        <v/>
      </c>
      <c r="AB83">
        <f>HYPERLINK("https://klasma.github.io/Logging_2181/klagomålsmail/A 24357-2026 FSC-klagomål mail.docx", "A 24357-2026")</f>
        <v/>
      </c>
      <c r="AC83">
        <f>HYPERLINK("https://klasma.github.io/Logging_2181/tillsyn/A 24357-2026 tillsynsbegäran.docx", "A 24357-2026")</f>
        <v/>
      </c>
      <c r="AD83">
        <f>HYPERLINK("https://klasma.github.io/Logging_2181/tillsynsmail/A 24357-2026 tillsynsbegäran mail.docx", "A 24357-2026")</f>
        <v/>
      </c>
    </row>
    <row r="84" ht="15" customHeight="1">
      <c r="A84" t="inlineStr">
        <is>
          <t>A 11784-2026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46241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HYPERLINK("https://klasma.github.io/Logging_2181/artfynd/A 11784-2026 artfynd.xlsx", "A 11784-2026")</f>
        <v/>
      </c>
      <c r="X84">
        <f>HYPERLINK("https://klasma.github.io/Logging_2181/kartor/A 11784-2026 karta.png", "A 11784-2026")</f>
        <v/>
      </c>
      <c r="Y84">
        <f>HYPERLINK("https://klasma.github.io/Logging_2181/kartor_geotiff/A 11784-2026 georefererad karta.tif", "A 11784-2026")</f>
        <v/>
      </c>
      <c r="AA84">
        <f>HYPERLINK("https://klasma.github.io/Logging_2181/klagomål/A 11784-2026 FSC-klagomål.docx", "A 11784-2026")</f>
        <v/>
      </c>
      <c r="AB84">
        <f>HYPERLINK("https://klasma.github.io/Logging_2181/klagomålsmail/A 11784-2026 FSC-klagomål mail.docx", "A 11784-2026")</f>
        <v/>
      </c>
      <c r="AC84">
        <f>HYPERLINK("https://klasma.github.io/Logging_2181/tillsyn/A 11784-2026 tillsynsbegäran.docx", "A 11784-2026")</f>
        <v/>
      </c>
      <c r="AD84">
        <f>HYPERLINK("https://klasma.github.io/Logging_2181/tillsynsmail/A 11784-2026 tillsynsbegäran mail.docx", "A 11784-2026")</f>
        <v/>
      </c>
    </row>
    <row r="85" ht="15" customHeight="1">
      <c r="A85" t="inlineStr">
        <is>
          <t>A 15729-2022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46241</v>
      </c>
      <c r="F85" t="inlineStr">
        <is>
          <t>GÄVLEBORGS LÄN</t>
        </is>
      </c>
      <c r="G85" t="inlineStr">
        <is>
          <t>SANDVIKEN</t>
        </is>
      </c>
      <c r="I85" t="n">
        <v>2.1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HYPERLINK("https://klasma.github.io/Logging_2181/artfynd/A 15729-2022 artfynd.xlsx", "A 15729-2022")</f>
        <v/>
      </c>
      <c r="X85">
        <f>HYPERLINK("https://klasma.github.io/Logging_2181/kartor/A 15729-2022 karta.png", "A 15729-2022")</f>
        <v/>
      </c>
      <c r="Y85">
        <f>HYPERLINK("https://klasma.github.io/Logging_2181/kartor_geotiff/A 15729-2022 georefererad karta.tif", "A 15729-2022")</f>
        <v/>
      </c>
      <c r="Z85">
        <f>HYPERLINK("https://klasma.github.io/Logging_2181/knärot/A 15729-2022 karta knärot.png", "A 15729-2022")</f>
        <v/>
      </c>
      <c r="AA85">
        <f>HYPERLINK("https://klasma.github.io/Logging_2181/klagomål/A 15729-2022 FSC-klagomål.docx", "A 15729-2022")</f>
        <v/>
      </c>
      <c r="AB85">
        <f>HYPERLINK("https://klasma.github.io/Logging_2181/klagomålsmail/A 15729-2022 FSC-klagomål mail.docx", "A 15729-2022")</f>
        <v/>
      </c>
      <c r="AC85">
        <f>HYPERLINK("https://klasma.github.io/Logging_2181/tillsyn/A 15729-2022 tillsynsbegäran.docx", "A 15729-2022")</f>
        <v/>
      </c>
      <c r="AD85">
        <f>HYPERLINK("https://klasma.github.io/Logging_2181/tillsynsmail/A 15729-2022 tillsynsbegäran mail.docx", "A 15729-2022")</f>
        <v/>
      </c>
    </row>
    <row r="86" ht="15" customHeight="1">
      <c r="A86" t="inlineStr">
        <is>
          <t>A 25247-2026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46175</v>
      </c>
      <c r="E86" s="1" t="n">
        <v>46241</v>
      </c>
      <c r="F86" t="inlineStr">
        <is>
          <t>GÄVLEBORGS LÄN</t>
        </is>
      </c>
      <c r="G86" t="inlineStr">
        <is>
          <t>SANDVIKEN</t>
        </is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HYPERLINK("https://klasma.github.io/Logging_2181/artfynd/A 25247-2026 artfynd.xlsx", "A 25247-2026")</f>
        <v/>
      </c>
      <c r="X86">
        <f>HYPERLINK("https://klasma.github.io/Logging_2181/kartor/A 25247-2026 karta.png", "A 25247-2026")</f>
        <v/>
      </c>
      <c r="Y86">
        <f>HYPERLINK("https://klasma.github.io/Logging_2181/kartor_geotiff/A 25247-2026 georefererad karta.tif", "A 25247-2026")</f>
        <v/>
      </c>
      <c r="AA86">
        <f>HYPERLINK("https://klasma.github.io/Logging_2181/klagomål/A 25247-2026 FSC-klagomål.docx", "A 25247-2026")</f>
        <v/>
      </c>
      <c r="AB86">
        <f>HYPERLINK("https://klasma.github.io/Logging_2181/klagomålsmail/A 25247-2026 FSC-klagomål mail.docx", "A 25247-2026")</f>
        <v/>
      </c>
      <c r="AC86">
        <f>HYPERLINK("https://klasma.github.io/Logging_2181/tillsyn/A 25247-2026 tillsynsbegäran.docx", "A 25247-2026")</f>
        <v/>
      </c>
      <c r="AD86">
        <f>HYPERLINK("https://klasma.github.io/Logging_2181/tillsynsmail/A 25247-2026 tillsynsbegäran mail.docx", "A 25247-2026")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46241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46241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31311-2026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46219</v>
      </c>
      <c r="E89" s="1" t="n">
        <v>46241</v>
      </c>
      <c r="F89" t="inlineStr">
        <is>
          <t>GÄVLEBORGS LÄN</t>
        </is>
      </c>
      <c r="G89" t="inlineStr">
        <is>
          <t>SANDVIKEN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padda</t>
        </is>
      </c>
      <c r="W89">
        <f>HYPERLINK("https://klasma.github.io/Logging_2181/artfynd/A 31311-2026 artfynd.xlsx", "A 31311-2026")</f>
        <v/>
      </c>
      <c r="X89">
        <f>HYPERLINK("https://klasma.github.io/Logging_2181/kartor/A 31311-2026 karta.png", "A 31311-2026")</f>
        <v/>
      </c>
      <c r="Y89">
        <f>HYPERLINK("https://klasma.github.io/Logging_2181/kartor_geotiff/A 31311-2026 georefererad karta.tif", "A 31311-2026")</f>
        <v/>
      </c>
      <c r="AA89">
        <f>HYPERLINK("https://klasma.github.io/Logging_2181/klagomål/A 31311-2026 FSC-klagomål.docx", "A 31311-2026")</f>
        <v/>
      </c>
      <c r="AB89">
        <f>HYPERLINK("https://klasma.github.io/Logging_2181/klagomålsmail/A 31311-2026 FSC-klagomål mail.docx", "A 31311-2026")</f>
        <v/>
      </c>
      <c r="AC89">
        <f>HYPERLINK("https://klasma.github.io/Logging_2181/tillsyn/A 31311-2026 tillsynsbegäran.docx", "A 31311-2026")</f>
        <v/>
      </c>
      <c r="AD89">
        <f>HYPERLINK("https://klasma.github.io/Logging_2181/tillsynsmail/A 31311-2026 tillsynsbegäran mail.docx", "A 31311-2026")</f>
        <v/>
      </c>
    </row>
    <row r="90" ht="15" customHeight="1">
      <c r="A90" t="inlineStr">
        <is>
          <t>A 15121-2026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46241</v>
      </c>
      <c r="F90" t="inlineStr">
        <is>
          <t>GÄVLEBORGS LÄN</t>
        </is>
      </c>
      <c r="G90" t="inlineStr">
        <is>
          <t>SANDVIKEN</t>
        </is>
      </c>
      <c r="I90" t="n">
        <v>2.7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Brandticka</t>
        </is>
      </c>
      <c r="W90">
        <f>HYPERLINK("https://klasma.github.io/Logging_2181/artfynd/A 15121-2026 artfynd.xlsx", "A 15121-2026")</f>
        <v/>
      </c>
      <c r="X90">
        <f>HYPERLINK("https://klasma.github.io/Logging_2181/kartor/A 15121-2026 karta.png", "A 15121-2026")</f>
        <v/>
      </c>
      <c r="Y90">
        <f>HYPERLINK("https://klasma.github.io/Logging_2181/kartor_geotiff/A 15121-2026 georefererad karta.tif", "A 15121-2026")</f>
        <v/>
      </c>
      <c r="AA90">
        <f>HYPERLINK("https://klasma.github.io/Logging_2181/klagomål/A 15121-2026 FSC-klagomål.docx", "A 15121-2026")</f>
        <v/>
      </c>
      <c r="AB90">
        <f>HYPERLINK("https://klasma.github.io/Logging_2181/klagomålsmail/A 15121-2026 FSC-klagomål mail.docx", "A 15121-2026")</f>
        <v/>
      </c>
      <c r="AC90">
        <f>HYPERLINK("https://klasma.github.io/Logging_2181/tillsyn/A 15121-2026 tillsynsbegäran.docx", "A 15121-2026")</f>
        <v/>
      </c>
      <c r="AD90">
        <f>HYPERLINK("https://klasma.github.io/Logging_2181/tillsynsmail/A 15121-2026 tillsynsbegäran mail.docx", "A 15121-2026")</f>
        <v/>
      </c>
    </row>
    <row r="91" ht="15" customHeight="1">
      <c r="A91" t="inlineStr">
        <is>
          <t>A 14835-2026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46241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2.5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Höstlåsbräken</t>
        </is>
      </c>
      <c r="W91">
        <f>HYPERLINK("https://klasma.github.io/Logging_2181/artfynd/A 14835-2026 artfynd.xlsx", "A 14835-2026")</f>
        <v/>
      </c>
      <c r="X91">
        <f>HYPERLINK("https://klasma.github.io/Logging_2181/kartor/A 14835-2026 karta.png", "A 14835-2026")</f>
        <v/>
      </c>
      <c r="Y91">
        <f>HYPERLINK("https://klasma.github.io/Logging_2181/kartor_geotiff/A 14835-2026 georefererad karta.tif", "A 14835-2026")</f>
        <v/>
      </c>
      <c r="AA91">
        <f>HYPERLINK("https://klasma.github.io/Logging_2181/klagomål/A 14835-2026 FSC-klagomål.docx", "A 14835-2026")</f>
        <v/>
      </c>
      <c r="AB91">
        <f>HYPERLINK("https://klasma.github.io/Logging_2181/klagomålsmail/A 14835-2026 FSC-klagomål mail.docx", "A 14835-2026")</f>
        <v/>
      </c>
      <c r="AC91">
        <f>HYPERLINK("https://klasma.github.io/Logging_2181/tillsyn/A 14835-2026 tillsynsbegäran.docx", "A 14835-2026")</f>
        <v/>
      </c>
      <c r="AD91">
        <f>HYPERLINK("https://klasma.github.io/Logging_2181/tillsynsmail/A 14835-2026 tillsynsbegäran mail.docx", "A 14835-2026")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46241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27207-2026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46188</v>
      </c>
      <c r="E93" s="1" t="n">
        <v>46241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HYPERLINK("https://klasma.github.io/Logging_2181/artfynd/A 27207-2026 artfynd.xlsx", "A 27207-2026")</f>
        <v/>
      </c>
      <c r="X93">
        <f>HYPERLINK("https://klasma.github.io/Logging_2181/kartor/A 27207-2026 karta.png", "A 27207-2026")</f>
        <v/>
      </c>
      <c r="Y93">
        <f>HYPERLINK("https://klasma.github.io/Logging_2181/kartor_geotiff/A 27207-2026 georefererad karta.tif", "A 27207-2026")</f>
        <v/>
      </c>
      <c r="AA93">
        <f>HYPERLINK("https://klasma.github.io/Logging_2181/klagomål/A 27207-2026 FSC-klagomål.docx", "A 27207-2026")</f>
        <v/>
      </c>
      <c r="AB93">
        <f>HYPERLINK("https://klasma.github.io/Logging_2181/klagomålsmail/A 27207-2026 FSC-klagomål mail.docx", "A 27207-2026")</f>
        <v/>
      </c>
      <c r="AC93">
        <f>HYPERLINK("https://klasma.github.io/Logging_2181/tillsyn/A 27207-2026 tillsynsbegäran.docx", "A 27207-2026")</f>
        <v/>
      </c>
      <c r="AD93">
        <f>HYPERLINK("https://klasma.github.io/Logging_2181/tillsynsmail/A 27207-2026 tillsynsbegäran mail.docx", "A 27207-2026")</f>
        <v/>
      </c>
    </row>
    <row r="94" ht="15" customHeight="1">
      <c r="A94" t="inlineStr">
        <is>
          <t>A 23225-2026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46162</v>
      </c>
      <c r="E94" s="1" t="n">
        <v>46241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1.3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Rödvingetrast</t>
        </is>
      </c>
      <c r="W94">
        <f>HYPERLINK("https://klasma.github.io/Logging_2181/artfynd/A 23225-2026 artfynd.xlsx", "A 23225-2026")</f>
        <v/>
      </c>
      <c r="X94">
        <f>HYPERLINK("https://klasma.github.io/Logging_2181/kartor/A 23225-2026 karta.png", "A 23225-2026")</f>
        <v/>
      </c>
      <c r="Y94">
        <f>HYPERLINK("https://klasma.github.io/Logging_2181/kartor_geotiff/A 23225-2026 georefererad karta.tif", "A 23225-2026")</f>
        <v/>
      </c>
      <c r="AA94">
        <f>HYPERLINK("https://klasma.github.io/Logging_2181/klagomål/A 23225-2026 FSC-klagomål.docx", "A 23225-2026")</f>
        <v/>
      </c>
      <c r="AB94">
        <f>HYPERLINK("https://klasma.github.io/Logging_2181/klagomålsmail/A 23225-2026 FSC-klagomål mail.docx", "A 23225-2026")</f>
        <v/>
      </c>
      <c r="AC94">
        <f>HYPERLINK("https://klasma.github.io/Logging_2181/tillsyn/A 23225-2026 tillsynsbegäran.docx", "A 23225-2026")</f>
        <v/>
      </c>
      <c r="AD94">
        <f>HYPERLINK("https://klasma.github.io/Logging_2181/tillsynsmail/A 23225-2026 tillsynsbegäran mail.docx", "A 23225-2026")</f>
        <v/>
      </c>
      <c r="AE94">
        <f>HYPERLINK("https://klasma.github.io/Logging_2181/fåglar/A 23225-2026 prioriterade fågelarter.docx", "A 23225-2026")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46241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32539-2026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46241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Grönsiska</t>
        </is>
      </c>
      <c r="W96">
        <f>HYPERLINK("https://klasma.github.io/Logging_2181/artfynd/A 32539-2026 artfynd.xlsx", "A 32539-2026")</f>
        <v/>
      </c>
      <c r="X96">
        <f>HYPERLINK("https://klasma.github.io/Logging_2181/kartor/A 32539-2026 karta.png", "A 32539-2026")</f>
        <v/>
      </c>
      <c r="Y96">
        <f>HYPERLINK("https://klasma.github.io/Logging_2181/kartor_geotiff/A 32539-2026 georefererad karta.tif", "A 32539-2026")</f>
        <v/>
      </c>
      <c r="AA96">
        <f>HYPERLINK("https://klasma.github.io/Logging_2181/klagomål/A 32539-2026 FSC-klagomål.docx", "A 32539-2026")</f>
        <v/>
      </c>
      <c r="AB96">
        <f>HYPERLINK("https://klasma.github.io/Logging_2181/klagomålsmail/A 32539-2026 FSC-klagomål mail.docx", "A 32539-2026")</f>
        <v/>
      </c>
      <c r="AC96">
        <f>HYPERLINK("https://klasma.github.io/Logging_2181/tillsyn/A 32539-2026 tillsynsbegäran.docx", "A 32539-2026")</f>
        <v/>
      </c>
      <c r="AD96">
        <f>HYPERLINK("https://klasma.github.io/Logging_2181/tillsynsmail/A 32539-2026 tillsynsbegäran mail.docx", "A 32539-2026")</f>
        <v/>
      </c>
    </row>
    <row r="97" ht="15" customHeight="1">
      <c r="A97" t="inlineStr">
        <is>
          <t>A 32544-2026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46241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HYPERLINK("https://klasma.github.io/Logging_2181/artfynd/A 32544-2026 artfynd.xlsx", "A 32544-2026")</f>
        <v/>
      </c>
      <c r="X97">
        <f>HYPERLINK("https://klasma.github.io/Logging_2181/kartor/A 32544-2026 karta.png", "A 32544-2026")</f>
        <v/>
      </c>
      <c r="Y97">
        <f>HYPERLINK("https://klasma.github.io/Logging_2181/kartor_geotiff/A 32544-2026 georefererad karta.tif", "A 32544-2026")</f>
        <v/>
      </c>
      <c r="AA97">
        <f>HYPERLINK("https://klasma.github.io/Logging_2181/klagomål/A 32544-2026 FSC-klagomål.docx", "A 32544-2026")</f>
        <v/>
      </c>
      <c r="AB97">
        <f>HYPERLINK("https://klasma.github.io/Logging_2181/klagomålsmail/A 32544-2026 FSC-klagomål mail.docx", "A 32544-2026")</f>
        <v/>
      </c>
      <c r="AC97">
        <f>HYPERLINK("https://klasma.github.io/Logging_2181/tillsyn/A 32544-2026 tillsynsbegäran.docx", "A 32544-2026")</f>
        <v/>
      </c>
      <c r="AD97">
        <f>HYPERLINK("https://klasma.github.io/Logging_2181/tillsynsmail/A 32544-2026 tillsynsbegäran mail.docx", "A 32544-2026")</f>
        <v/>
      </c>
    </row>
    <row r="98" ht="15" customHeight="1">
      <c r="A98" t="inlineStr">
        <is>
          <t>A 5015-2023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46241</v>
      </c>
      <c r="F98" t="inlineStr">
        <is>
          <t>GÄVLEBORGS LÄN</t>
        </is>
      </c>
      <c r="G98" t="inlineStr">
        <is>
          <t>SANDVIKEN</t>
        </is>
      </c>
      <c r="I98" t="n">
        <v>7.8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Slåtterfibbla</t>
        </is>
      </c>
      <c r="W98">
        <f>HYPERLINK("https://klasma.github.io/Logging_2181/artfynd/A 5015-2023 artfynd.xlsx", "A 5015-2023")</f>
        <v/>
      </c>
      <c r="X98">
        <f>HYPERLINK("https://klasma.github.io/Logging_2181/kartor/A 5015-2023 karta.png", "A 5015-2023")</f>
        <v/>
      </c>
      <c r="Y98">
        <f>HYPERLINK("https://klasma.github.io/Logging_2181/kartor_geotiff/A 5015-2023 georefererad karta.tif", "A 5015-2023")</f>
        <v/>
      </c>
      <c r="AA98">
        <f>HYPERLINK("https://klasma.github.io/Logging_2181/klagomål/A 5015-2023 FSC-klagomål.docx", "A 5015-2023")</f>
        <v/>
      </c>
      <c r="AB98">
        <f>HYPERLINK("https://klasma.github.io/Logging_2181/klagomålsmail/A 5015-2023 FSC-klagomål mail.docx", "A 5015-2023")</f>
        <v/>
      </c>
      <c r="AC98">
        <f>HYPERLINK("https://klasma.github.io/Logging_2181/tillsyn/A 5015-2023 tillsynsbegäran.docx", "A 5015-2023")</f>
        <v/>
      </c>
      <c r="AD98">
        <f>HYPERLINK("https://klasma.github.io/Logging_2181/tillsynsmail/A 5015-2023 tillsynsbegäran mail.docx", "A 5015-2023")</f>
        <v/>
      </c>
    </row>
    <row r="99" ht="15" customHeight="1">
      <c r="A99" t="inlineStr">
        <is>
          <t>A 25479-2023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46241</v>
      </c>
      <c r="F99" t="inlineStr">
        <is>
          <t>GÄVLEBORGS LÄN</t>
        </is>
      </c>
      <c r="G99" t="inlineStr">
        <is>
          <t>SANDVIKEN</t>
        </is>
      </c>
      <c r="I99" t="n">
        <v>4.1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Grönpyrola</t>
        </is>
      </c>
      <c r="W99">
        <f>HYPERLINK("https://klasma.github.io/Logging_2181/artfynd/A 25479-2023 artfynd.xlsx", "A 25479-2023")</f>
        <v/>
      </c>
      <c r="X99">
        <f>HYPERLINK("https://klasma.github.io/Logging_2181/kartor/A 25479-2023 karta.png", "A 25479-2023")</f>
        <v/>
      </c>
      <c r="Y99">
        <f>HYPERLINK("https://klasma.github.io/Logging_2181/kartor_geotiff/A 25479-2023 georefererad karta.tif", "A 25479-2023")</f>
        <v/>
      </c>
      <c r="AA99">
        <f>HYPERLINK("https://klasma.github.io/Logging_2181/klagomål/A 25479-2023 FSC-klagomål.docx", "A 25479-2023")</f>
        <v/>
      </c>
      <c r="AB99">
        <f>HYPERLINK("https://klasma.github.io/Logging_2181/klagomålsmail/A 25479-2023 FSC-klagomål mail.docx", "A 25479-2023")</f>
        <v/>
      </c>
      <c r="AC99">
        <f>HYPERLINK("https://klasma.github.io/Logging_2181/tillsyn/A 25479-2023 tillsynsbegäran.docx", "A 25479-2023")</f>
        <v/>
      </c>
      <c r="AD99">
        <f>HYPERLINK("https://klasma.github.io/Logging_2181/tillsynsmail/A 25479-2023 tillsynsbegäran mail.docx", "A 25479-2023")</f>
        <v/>
      </c>
    </row>
    <row r="100" ht="15" customHeight="1">
      <c r="A100" t="inlineStr">
        <is>
          <t>A 25323-2025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46241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3.8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Plattlummer</t>
        </is>
      </c>
      <c r="W100">
        <f>HYPERLINK("https://klasma.github.io/Logging_2181/artfynd/A 25323-2025 artfynd.xlsx", "A 25323-2025")</f>
        <v/>
      </c>
      <c r="X100">
        <f>HYPERLINK("https://klasma.github.io/Logging_2181/kartor/A 25323-2025 karta.png", "A 25323-2025")</f>
        <v/>
      </c>
      <c r="Y100">
        <f>HYPERLINK("https://klasma.github.io/Logging_2181/kartor_geotiff/A 25323-2025 georefererad karta.tif", "A 25323-2025")</f>
        <v/>
      </c>
      <c r="AA100">
        <f>HYPERLINK("https://klasma.github.io/Logging_2181/klagomål/A 25323-2025 FSC-klagomål.docx", "A 25323-2025")</f>
        <v/>
      </c>
      <c r="AB100">
        <f>HYPERLINK("https://klasma.github.io/Logging_2181/klagomålsmail/A 25323-2025 FSC-klagomål mail.docx", "A 25323-2025")</f>
        <v/>
      </c>
      <c r="AC100">
        <f>HYPERLINK("https://klasma.github.io/Logging_2181/tillsyn/A 25323-2025 tillsynsbegäran.docx", "A 25323-2025")</f>
        <v/>
      </c>
      <c r="AD100">
        <f>HYPERLINK("https://klasma.github.io/Logging_2181/tillsynsmail/A 25323-2025 tillsynsbegäran mail.docx", "A 25323-2025")</f>
        <v/>
      </c>
    </row>
    <row r="101" ht="15" customHeight="1">
      <c r="A101" t="inlineStr">
        <is>
          <t>A 25314-2025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46241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HYPERLINK("https://klasma.github.io/Logging_2181/artfynd/A 25314-2025 artfynd.xlsx", "A 25314-2025")</f>
        <v/>
      </c>
      <c r="X101">
        <f>HYPERLINK("https://klasma.github.io/Logging_2181/kartor/A 25314-2025 karta.png", "A 25314-2025")</f>
        <v/>
      </c>
      <c r="Y101">
        <f>HYPERLINK("https://klasma.github.io/Logging_2181/kartor_geotiff/A 25314-2025 georefererad karta.tif", "A 25314-2025")</f>
        <v/>
      </c>
      <c r="AA101">
        <f>HYPERLINK("https://klasma.github.io/Logging_2181/klagomål/A 25314-2025 FSC-klagomål.docx", "A 25314-2025")</f>
        <v/>
      </c>
      <c r="AB101">
        <f>HYPERLINK("https://klasma.github.io/Logging_2181/klagomålsmail/A 25314-2025 FSC-klagomål mail.docx", "A 25314-2025")</f>
        <v/>
      </c>
      <c r="AC101">
        <f>HYPERLINK("https://klasma.github.io/Logging_2181/tillsyn/A 25314-2025 tillsynsbegäran.docx", "A 25314-2025")</f>
        <v/>
      </c>
      <c r="AD101">
        <f>HYPERLINK("https://klasma.github.io/Logging_2181/tillsynsmail/A 25314-2025 tillsynsbegäran mail.docx", "A 25314-2025")</f>
        <v/>
      </c>
    </row>
    <row r="102" ht="15" customHeight="1">
      <c r="A102" t="inlineStr">
        <is>
          <t>S 504-2025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45706</v>
      </c>
      <c r="E102" s="1" t="n">
        <v>46241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19.3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Fläcknycklar</t>
        </is>
      </c>
      <c r="W102">
        <f>HYPERLINK("https://klasma.github.io/Logging_2181/artfynd/S 504-2025 artfynd.xlsx", "S 504-2025")</f>
        <v/>
      </c>
      <c r="X102">
        <f>HYPERLINK("https://klasma.github.io/Logging_2181/kartor/S 504-2025 karta.png", "S 504-2025")</f>
        <v/>
      </c>
      <c r="Y102">
        <f>HYPERLINK("https://klasma.github.io/Logging_2181/kartor_geotiff/S 504-2025 georefererad karta.tif", "S 504-2025")</f>
        <v/>
      </c>
      <c r="AA102">
        <f>HYPERLINK("https://klasma.github.io/Logging_2181/klagomål/S 504-2025 FSC-klagomål.docx", "S 504-2025")</f>
        <v/>
      </c>
      <c r="AB102">
        <f>HYPERLINK("https://klasma.github.io/Logging_2181/klagomålsmail/S 504-2025 FSC-klagomål mail.docx", "S 504-2025")</f>
        <v/>
      </c>
      <c r="AC102">
        <f>HYPERLINK("https://klasma.github.io/Logging_2181/tillsyn/S 504-2025 tillsynsbegäran.docx", "S 504-2025")</f>
        <v/>
      </c>
      <c r="AD102">
        <f>HYPERLINK("https://klasma.github.io/Logging_2181/tillsynsmail/S 504-2025 tillsynsbegäran mail.docx", "S 504-2025")</f>
        <v/>
      </c>
    </row>
    <row r="103" ht="15" customHeight="1">
      <c r="A103" t="inlineStr">
        <is>
          <t>S 242-2024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45319</v>
      </c>
      <c r="E103" s="1" t="n">
        <v>46241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51.8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Bivråk</t>
        </is>
      </c>
      <c r="W103">
        <f>HYPERLINK("https://klasma.github.io/Logging_2181/artfynd/S 242-2024 artfynd.xlsx", "S 242-2024")</f>
        <v/>
      </c>
      <c r="X103">
        <f>HYPERLINK("https://klasma.github.io/Logging_2181/kartor/S 242-2024 karta.png", "S 242-2024")</f>
        <v/>
      </c>
      <c r="Y103">
        <f>HYPERLINK("https://klasma.github.io/Logging_2181/kartor_geotiff/S 242-2024 georefererad karta.tif", "S 242-2024")</f>
        <v/>
      </c>
      <c r="AA103">
        <f>HYPERLINK("https://klasma.github.io/Logging_2181/klagomål/S 242-2024 FSC-klagomål.docx", "S 242-2024")</f>
        <v/>
      </c>
      <c r="AB103">
        <f>HYPERLINK("https://klasma.github.io/Logging_2181/klagomålsmail/S 242-2024 FSC-klagomål mail.docx", "S 242-2024")</f>
        <v/>
      </c>
      <c r="AC103">
        <f>HYPERLINK("https://klasma.github.io/Logging_2181/tillsyn/S 242-2024 tillsynsbegäran.docx", "S 242-2024")</f>
        <v/>
      </c>
      <c r="AD103">
        <f>HYPERLINK("https://klasma.github.io/Logging_2181/tillsynsmail/S 242-2024 tillsynsbegäran mail.docx", "S 242-2024")</f>
        <v/>
      </c>
      <c r="AE103">
        <f>HYPERLINK("https://klasma.github.io/Logging_2181/fåglar/S 242-2024 prioriterade fågelarter.docx", "S 242-2024")</f>
        <v/>
      </c>
    </row>
    <row r="104" ht="15" customHeight="1">
      <c r="A104" t="inlineStr">
        <is>
          <t>S 1687-2023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45064</v>
      </c>
      <c r="E104" s="1" t="n">
        <v>46241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12.6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HYPERLINK("https://klasma.github.io/Logging_2181/artfynd/S 1687-2023 artfynd.xlsx", "S 1687-2023")</f>
        <v/>
      </c>
      <c r="X104">
        <f>HYPERLINK("https://klasma.github.io/Logging_2181/kartor/S 1687-2023 karta.png", "S 1687-2023")</f>
        <v/>
      </c>
      <c r="Y104">
        <f>HYPERLINK("https://klasma.github.io/Logging_2181/kartor_geotiff/S 1687-2023 georefererad karta.tif", "S 1687-2023")</f>
        <v/>
      </c>
      <c r="AA104">
        <f>HYPERLINK("https://klasma.github.io/Logging_2181/klagomål/S 1687-2023 FSC-klagomål.docx", "S 1687-2023")</f>
        <v/>
      </c>
      <c r="AB104">
        <f>HYPERLINK("https://klasma.github.io/Logging_2181/klagomålsmail/S 1687-2023 FSC-klagomål mail.docx", "S 1687-2023")</f>
        <v/>
      </c>
      <c r="AC104">
        <f>HYPERLINK("https://klasma.github.io/Logging_2181/tillsyn/S 1687-2023 tillsynsbegäran.docx", "S 1687-2023")</f>
        <v/>
      </c>
      <c r="AD104">
        <f>HYPERLINK("https://klasma.github.io/Logging_2181/tillsynsmail/S 1687-2023 tillsynsbegäran mail.docx", "S 1687-2023")</f>
        <v/>
      </c>
    </row>
    <row r="105" ht="15" customHeight="1">
      <c r="A105" t="inlineStr">
        <is>
          <t>S 412-2025</t>
        </is>
      </c>
      <c r="B105" t="inlineStr">
        <is>
          <t>samrådsanmälan</t>
        </is>
      </c>
      <c r="C105" t="inlineStr">
        <is>
          <t>Skogsgödsling</t>
        </is>
      </c>
      <c r="D105" s="1" t="n">
        <v>45699</v>
      </c>
      <c r="E105" s="1" t="n">
        <v>46241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21.2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Aspbarkgnagare</t>
        </is>
      </c>
      <c r="W105">
        <f>HYPERLINK("https://klasma.github.io/Logging_2181/artfynd/S 412-2025 artfynd.xlsx", "S 412-2025")</f>
        <v/>
      </c>
      <c r="X105">
        <f>HYPERLINK("https://klasma.github.io/Logging_2181/kartor/S 412-2025 karta.png", "S 412-2025")</f>
        <v/>
      </c>
      <c r="Y105">
        <f>HYPERLINK("https://klasma.github.io/Logging_2181/kartor_geotiff/S 412-2025 georefererad karta.tif", "S 412-2025")</f>
        <v/>
      </c>
      <c r="AA105">
        <f>HYPERLINK("https://klasma.github.io/Logging_2181/klagomål/S 412-2025 FSC-klagomål.docx", "S 412-2025")</f>
        <v/>
      </c>
      <c r="AB105">
        <f>HYPERLINK("https://klasma.github.io/Logging_2181/klagomålsmail/S 412-2025 FSC-klagomål mail.docx", "S 412-2025")</f>
        <v/>
      </c>
      <c r="AC105">
        <f>HYPERLINK("https://klasma.github.io/Logging_2181/tillsyn/S 412-2025 tillsynsbegäran.docx", "S 412-2025")</f>
        <v/>
      </c>
      <c r="AD105">
        <f>HYPERLINK("https://klasma.github.io/Logging_2181/tillsynsmail/S 412-2025 tillsynsbegäran mail.docx", "S 412-2025")</f>
        <v/>
      </c>
    </row>
    <row r="106" ht="15" customHeight="1">
      <c r="A106" t="inlineStr">
        <is>
          <t>S 501-2025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45706</v>
      </c>
      <c r="E106" s="1" t="n">
        <v>46241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HYPERLINK("https://klasma.github.io/Logging_2181/artfynd/S 501-2025 artfynd.xlsx", "S 501-2025")</f>
        <v/>
      </c>
      <c r="X106">
        <f>HYPERLINK("https://klasma.github.io/Logging_2181/kartor/S 501-2025 karta.png", "S 501-2025")</f>
        <v/>
      </c>
      <c r="Y106">
        <f>HYPERLINK("https://klasma.github.io/Logging_2181/kartor_geotiff/S 501-2025 georefererad karta.tif", "S 501-2025")</f>
        <v/>
      </c>
      <c r="AA106">
        <f>HYPERLINK("https://klasma.github.io/Logging_2181/klagomål/S 501-2025 FSC-klagomål.docx", "S 501-2025")</f>
        <v/>
      </c>
      <c r="AB106">
        <f>HYPERLINK("https://klasma.github.io/Logging_2181/klagomålsmail/S 501-2025 FSC-klagomål mail.docx", "S 501-2025")</f>
        <v/>
      </c>
      <c r="AC106">
        <f>HYPERLINK("https://klasma.github.io/Logging_2181/tillsyn/S 501-2025 tillsynsbegäran.docx", "S 501-2025")</f>
        <v/>
      </c>
      <c r="AD106">
        <f>HYPERLINK("https://klasma.github.io/Logging_2181/tillsynsmail/S 501-2025 tillsynsbegäran mail.docx", "S 501-2025")</f>
        <v/>
      </c>
      <c r="AE106">
        <f>HYPERLINK("https://klasma.github.io/Logging_2181/fåglar/S 501-2025 prioriterade fågelarter.docx", "S 501-2025")</f>
        <v/>
      </c>
    </row>
    <row r="107" ht="15" customHeight="1">
      <c r="A107" t="inlineStr">
        <is>
          <t>S 1025-2026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46122</v>
      </c>
      <c r="E107" s="1" t="n">
        <v>46241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62.8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Bivråk</t>
        </is>
      </c>
      <c r="W107">
        <f>HYPERLINK("https://klasma.github.io/Logging_2181/artfynd/S 1025-2026 artfynd.xlsx", "S 1025-2026")</f>
        <v/>
      </c>
      <c r="X107">
        <f>HYPERLINK("https://klasma.github.io/Logging_2181/kartor/S 1025-2026 karta.png", "S 1025-2026")</f>
        <v/>
      </c>
      <c r="Y107">
        <f>HYPERLINK("https://klasma.github.io/Logging_2181/kartor_geotiff/S 1025-2026 georefererad karta.tif", "S 1025-2026")</f>
        <v/>
      </c>
      <c r="AA107">
        <f>HYPERLINK("https://klasma.github.io/Logging_2181/klagomål/S 1025-2026 FSC-klagomål.docx", "S 1025-2026")</f>
        <v/>
      </c>
      <c r="AB107">
        <f>HYPERLINK("https://klasma.github.io/Logging_2181/klagomålsmail/S 1025-2026 FSC-klagomål mail.docx", "S 1025-2026")</f>
        <v/>
      </c>
      <c r="AC107">
        <f>HYPERLINK("https://klasma.github.io/Logging_2181/tillsyn/S 1025-2026 tillsynsbegäran.docx", "S 1025-2026")</f>
        <v/>
      </c>
      <c r="AD107">
        <f>HYPERLINK("https://klasma.github.io/Logging_2181/tillsynsmail/S 1025-2026 tillsynsbegäran mail.docx", "S 1025-2026")</f>
        <v/>
      </c>
      <c r="AE107">
        <f>HYPERLINK("https://klasma.github.io/Logging_2181/fåglar/S 1025-2026 prioriterade fågelarter.docx", "S 1025-2026")</f>
        <v/>
      </c>
    </row>
    <row r="108" ht="15" customHeight="1">
      <c r="A108" t="inlineStr">
        <is>
          <t>A 51162-2022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46241</v>
      </c>
      <c r="F108" t="inlineStr">
        <is>
          <t>GÄVLEBORGS LÄN</t>
        </is>
      </c>
      <c r="G108" t="inlineStr">
        <is>
          <t>SANDVIKEN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63086-2021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46241</v>
      </c>
      <c r="F109" t="inlineStr">
        <is>
          <t>GÄVLEBORGS LÄN</t>
        </is>
      </c>
      <c r="G109" t="inlineStr">
        <is>
          <t>SANDVIKEN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46241</v>
      </c>
      <c r="F110" t="inlineStr">
        <is>
          <t>GÄVLEBORGS LÄN</t>
        </is>
      </c>
      <c r="G110" t="inlineStr">
        <is>
          <t>SANDVIKEN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44774</v>
      </c>
      <c r="E111" s="1" t="n">
        <v>46241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50876-2021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44460</v>
      </c>
      <c r="E112" s="1" t="n">
        <v>46241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46241</v>
      </c>
      <c r="F113" t="inlineStr">
        <is>
          <t>GÄVLEBORGS LÄN</t>
        </is>
      </c>
      <c r="G113" t="inlineStr">
        <is>
          <t>SANDVIKEN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46241</v>
      </c>
      <c r="F114" t="inlineStr">
        <is>
          <t>GÄVLEBORGS LÄN</t>
        </is>
      </c>
      <c r="G114" t="inlineStr">
        <is>
          <t>SANDVIKEN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46241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46241</v>
      </c>
      <c r="F116" t="inlineStr">
        <is>
          <t>GÄVLEBORGS LÄN</t>
        </is>
      </c>
      <c r="G116" t="inlineStr">
        <is>
          <t>SANDVIKEN</t>
        </is>
      </c>
      <c r="H116" t="inlineStr">
        <is>
          <t>Naturvårdsverket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47632-2021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46241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46241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46241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44854</v>
      </c>
      <c r="E120" s="1" t="n">
        <v>46241</v>
      </c>
      <c r="F120" t="inlineStr">
        <is>
          <t>GÄVLEBORGS LÄN</t>
        </is>
      </c>
      <c r="G120" t="inlineStr">
        <is>
          <t>SANDVIKEN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53258-2022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44876</v>
      </c>
      <c r="E121" s="1" t="n">
        <v>46241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44635</v>
      </c>
      <c r="E122" s="1" t="n">
        <v>46241</v>
      </c>
      <c r="F122" t="inlineStr">
        <is>
          <t>GÄVLEBORGS LÄN</t>
        </is>
      </c>
      <c r="G122" t="inlineStr">
        <is>
          <t>SANDVIKEN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44512</v>
      </c>
      <c r="E123" s="1" t="n">
        <v>46241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44596</v>
      </c>
      <c r="E124" s="1" t="n">
        <v>46241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46241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46241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46241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46241</v>
      </c>
      <c r="F128" t="inlineStr">
        <is>
          <t>GÄVLEBORGS LÄN</t>
        </is>
      </c>
      <c r="G128" t="inlineStr">
        <is>
          <t>SANDVIKEN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46241</v>
      </c>
      <c r="F129" t="inlineStr">
        <is>
          <t>GÄVLEBORGS LÄN</t>
        </is>
      </c>
      <c r="G129" t="inlineStr">
        <is>
          <t>SANDVIKEN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46241</v>
      </c>
      <c r="F130" t="inlineStr">
        <is>
          <t>GÄVLEBORGS LÄN</t>
        </is>
      </c>
      <c r="G130" t="inlineStr">
        <is>
          <t>SANDVIKEN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46241</v>
      </c>
      <c r="F131" t="inlineStr">
        <is>
          <t>GÄVLEBORGS LÄN</t>
        </is>
      </c>
      <c r="G131" t="inlineStr">
        <is>
          <t>SANDVIKEN</t>
        </is>
      </c>
      <c r="H131" t="inlineStr">
        <is>
          <t>Bergvik skog öst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46241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46241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46241</v>
      </c>
      <c r="F134" t="inlineStr">
        <is>
          <t>GÄVLEBORGS LÄN</t>
        </is>
      </c>
      <c r="G134" t="inlineStr">
        <is>
          <t>SANDVIKEN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46241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46241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46241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42287-2021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44427</v>
      </c>
      <c r="E138" s="1" t="n">
        <v>46241</v>
      </c>
      <c r="F138" t="inlineStr">
        <is>
          <t>GÄVLEBORGS LÄN</t>
        </is>
      </c>
      <c r="G138" t="inlineStr">
        <is>
          <t>SANDVIKEN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46241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46241</v>
      </c>
      <c r="F140" t="inlineStr">
        <is>
          <t>GÄVLEBORGS LÄN</t>
        </is>
      </c>
      <c r="G140" t="inlineStr">
        <is>
          <t>SANDVIKEN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45414</v>
      </c>
      <c r="E141" s="1" t="n">
        <v>46241</v>
      </c>
      <c r="F141" t="inlineStr">
        <is>
          <t>GÄVLEBORGS LÄN</t>
        </is>
      </c>
      <c r="G141" t="inlineStr">
        <is>
          <t>SANDVIKEN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45365</v>
      </c>
      <c r="E142" s="1" t="n">
        <v>46241</v>
      </c>
      <c r="F142" t="inlineStr">
        <is>
          <t>GÄVLEBORGS LÄN</t>
        </is>
      </c>
      <c r="G142" t="inlineStr">
        <is>
          <t>SANDVIKEN</t>
        </is>
      </c>
      <c r="H142" t="inlineStr">
        <is>
          <t>Kommuner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46241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45288</v>
      </c>
      <c r="E144" s="1" t="n">
        <v>46241</v>
      </c>
      <c r="F144" t="inlineStr">
        <is>
          <t>GÄVLEBORGS LÄN</t>
        </is>
      </c>
      <c r="G144" t="inlineStr">
        <is>
          <t>SANDVIKEN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45460</v>
      </c>
      <c r="E145" s="1" t="n">
        <v>46241</v>
      </c>
      <c r="F145" t="inlineStr">
        <is>
          <t>GÄVLEBORGS LÄN</t>
        </is>
      </c>
      <c r="G145" t="inlineStr">
        <is>
          <t>SANDVIKEN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46241</v>
      </c>
      <c r="F146" t="inlineStr">
        <is>
          <t>GÄVLEBORGS LÄN</t>
        </is>
      </c>
      <c r="G146" t="inlineStr">
        <is>
          <t>SANDVIKEN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46241</v>
      </c>
      <c r="F147" t="inlineStr">
        <is>
          <t>GÄVLEBORGS LÄN</t>
        </is>
      </c>
      <c r="G147" t="inlineStr">
        <is>
          <t>SANDVIKEN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46241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45512</v>
      </c>
      <c r="E149" s="1" t="n">
        <v>46241</v>
      </c>
      <c r="F149" t="inlineStr">
        <is>
          <t>GÄVLEBORGS LÄN</t>
        </is>
      </c>
      <c r="G149" t="inlineStr">
        <is>
          <t>SANDVIKEN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46241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46241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44914</v>
      </c>
      <c r="E152" s="1" t="n">
        <v>46241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44854</v>
      </c>
      <c r="E153" s="1" t="n">
        <v>46241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46241</v>
      </c>
      <c r="F154" t="inlineStr">
        <is>
          <t>GÄVLEBORGS LÄN</t>
        </is>
      </c>
      <c r="G154" t="inlineStr">
        <is>
          <t>SANDVIKEN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45483</v>
      </c>
      <c r="E155" s="1" t="n">
        <v>46241</v>
      </c>
      <c r="F155" t="inlineStr">
        <is>
          <t>GÄVLEBORGS LÄN</t>
        </is>
      </c>
      <c r="G155" t="inlineStr">
        <is>
          <t>SANDVIKEN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46241</v>
      </c>
      <c r="F156" t="inlineStr">
        <is>
          <t>GÄVLEBORGS LÄN</t>
        </is>
      </c>
      <c r="G156" t="inlineStr">
        <is>
          <t>SANDVIKEN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46241</v>
      </c>
      <c r="F157" t="inlineStr">
        <is>
          <t>GÄVLEBORGS LÄN</t>
        </is>
      </c>
      <c r="G157" t="inlineStr">
        <is>
          <t>SANDVIKEN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46241</v>
      </c>
      <c r="F158" t="inlineStr">
        <is>
          <t>GÄVLEBORGS LÄN</t>
        </is>
      </c>
      <c r="G158" t="inlineStr">
        <is>
          <t>SANDVIKEN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46241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46241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46241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46241</v>
      </c>
      <c r="F162" t="inlineStr">
        <is>
          <t>GÄVLEBORGS LÄN</t>
        </is>
      </c>
      <c r="G162" t="inlineStr">
        <is>
          <t>SANDVIKEN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46241</v>
      </c>
      <c r="F163" t="inlineStr">
        <is>
          <t>GÄVLEBORGS LÄN</t>
        </is>
      </c>
      <c r="G163" t="inlineStr">
        <is>
          <t>SANDVIKEN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45721</v>
      </c>
      <c r="E164" s="1" t="n">
        <v>46241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46241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46241</v>
      </c>
      <c r="F166" t="inlineStr">
        <is>
          <t>GÄVLEBORGS LÄN</t>
        </is>
      </c>
      <c r="G166" t="inlineStr">
        <is>
          <t>SANDVIKEN</t>
        </is>
      </c>
      <c r="H166" t="inlineStr">
        <is>
          <t>Kyrkan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45070</v>
      </c>
      <c r="E167" s="1" t="n">
        <v>46241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46241</v>
      </c>
      <c r="F168" t="inlineStr">
        <is>
          <t>GÄVLEBORGS LÄN</t>
        </is>
      </c>
      <c r="G168" t="inlineStr">
        <is>
          <t>SANDVIKEN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45404</v>
      </c>
      <c r="E169" s="1" t="n">
        <v>46241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46241</v>
      </c>
      <c r="F170" t="inlineStr">
        <is>
          <t>GÄVLEBORGS LÄN</t>
        </is>
      </c>
      <c r="G170" t="inlineStr">
        <is>
          <t>SANDVIKEN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46241</v>
      </c>
      <c r="F171" t="inlineStr">
        <is>
          <t>GÄVLEBORGS LÄN</t>
        </is>
      </c>
      <c r="G171" t="inlineStr">
        <is>
          <t>SANDVIKEN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46241</v>
      </c>
      <c r="F172" t="inlineStr">
        <is>
          <t>GÄVLEBORGS LÄN</t>
        </is>
      </c>
      <c r="G172" t="inlineStr">
        <is>
          <t>SANDVIKEN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46241</v>
      </c>
      <c r="F173" t="inlineStr">
        <is>
          <t>GÄVLEBORGS LÄN</t>
        </is>
      </c>
      <c r="G173" t="inlineStr">
        <is>
          <t>SANDVIKEN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46241</v>
      </c>
      <c r="F174" t="inlineStr">
        <is>
          <t>GÄVLEBORGS LÄN</t>
        </is>
      </c>
      <c r="G174" t="inlineStr">
        <is>
          <t>SANDVIKEN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46241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46241</v>
      </c>
      <c r="F176" t="inlineStr">
        <is>
          <t>GÄVLEBORGS LÄN</t>
        </is>
      </c>
      <c r="G176" t="inlineStr">
        <is>
          <t>SANDVIKEN</t>
        </is>
      </c>
      <c r="H176" t="inlineStr">
        <is>
          <t>Kyrkan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44477</v>
      </c>
      <c r="E177" s="1" t="n">
        <v>46241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45866</v>
      </c>
      <c r="E178" s="1" t="n">
        <v>46241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45863</v>
      </c>
      <c r="E179" s="1" t="n">
        <v>46241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46112</v>
      </c>
      <c r="E180" s="1" t="n">
        <v>46241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45866</v>
      </c>
      <c r="E181" s="1" t="n">
        <v>46241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45867</v>
      </c>
      <c r="E182" s="1" t="n">
        <v>46241</v>
      </c>
      <c r="F182" t="inlineStr">
        <is>
          <t>GÄVLEBORGS LÄN</t>
        </is>
      </c>
      <c r="G182" t="inlineStr">
        <is>
          <t>SANDVIKEN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46241</v>
      </c>
      <c r="F183" t="inlineStr">
        <is>
          <t>GÄVLEBORGS LÄN</t>
        </is>
      </c>
      <c r="G183" t="inlineStr">
        <is>
          <t>SANDVIKEN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45870</v>
      </c>
      <c r="E184" s="1" t="n">
        <v>46241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46241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46241</v>
      </c>
      <c r="F186" t="inlineStr">
        <is>
          <t>GÄVLEBORGS LÄN</t>
        </is>
      </c>
      <c r="G186" t="inlineStr">
        <is>
          <t>SANDVIKEN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46241</v>
      </c>
      <c r="F187" t="inlineStr">
        <is>
          <t>GÄVLEBORGS LÄN</t>
        </is>
      </c>
      <c r="G187" t="inlineStr">
        <is>
          <t>SANDVIKEN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45217</v>
      </c>
      <c r="E188" s="1" t="n">
        <v>46241</v>
      </c>
      <c r="F188" t="inlineStr">
        <is>
          <t>GÄVLEBORGS LÄN</t>
        </is>
      </c>
      <c r="G188" t="inlineStr">
        <is>
          <t>SANDVIKEN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45873</v>
      </c>
      <c r="E189" s="1" t="n">
        <v>46241</v>
      </c>
      <c r="F189" t="inlineStr">
        <is>
          <t>GÄVLEBORGS LÄN</t>
        </is>
      </c>
      <c r="G189" t="inlineStr">
        <is>
          <t>SANDVIKEN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46241</v>
      </c>
      <c r="F190" t="inlineStr">
        <is>
          <t>GÄVLEBORGS LÄN</t>
        </is>
      </c>
      <c r="G190" t="inlineStr">
        <is>
          <t>SANDVIKEN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46241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46241</v>
      </c>
      <c r="F192" t="inlineStr">
        <is>
          <t>GÄVLEBORGS LÄN</t>
        </is>
      </c>
      <c r="G192" t="inlineStr">
        <is>
          <t>SANDVIKEN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46241</v>
      </c>
      <c r="F193" t="inlineStr">
        <is>
          <t>GÄVLEBORGS LÄN</t>
        </is>
      </c>
      <c r="G193" t="inlineStr">
        <is>
          <t>SANDVIKEN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45094</v>
      </c>
      <c r="E194" s="1" t="n">
        <v>46241</v>
      </c>
      <c r="F194" t="inlineStr">
        <is>
          <t>GÄVLEBORGS LÄN</t>
        </is>
      </c>
      <c r="G194" t="inlineStr">
        <is>
          <t>SANDVIKEN</t>
        </is>
      </c>
      <c r="H194" t="inlineStr">
        <is>
          <t>Bergvik skog öst AB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46241</v>
      </c>
      <c r="F195" t="inlineStr">
        <is>
          <t>GÄVLEBORGS LÄN</t>
        </is>
      </c>
      <c r="G195" t="inlineStr">
        <is>
          <t>SANDVIKEN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46241</v>
      </c>
      <c r="F196" t="inlineStr">
        <is>
          <t>GÄVLEBORGS LÄN</t>
        </is>
      </c>
      <c r="G196" t="inlineStr">
        <is>
          <t>SANDVIKEN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46241</v>
      </c>
      <c r="F197" t="inlineStr">
        <is>
          <t>GÄVLEBORGS LÄN</t>
        </is>
      </c>
      <c r="G197" t="inlineStr">
        <is>
          <t>SANDVIKEN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46241</v>
      </c>
      <c r="F198" t="inlineStr">
        <is>
          <t>GÄVLEBORGS LÄN</t>
        </is>
      </c>
      <c r="G198" t="inlineStr">
        <is>
          <t>SANDVIKEN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46115</v>
      </c>
      <c r="E199" s="1" t="n">
        <v>46241</v>
      </c>
      <c r="F199" t="inlineStr">
        <is>
          <t>GÄVLEBORGS LÄN</t>
        </is>
      </c>
      <c r="G199" t="inlineStr">
        <is>
          <t>SANDVIKEN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46115</v>
      </c>
      <c r="E200" s="1" t="n">
        <v>46241</v>
      </c>
      <c r="F200" t="inlineStr">
        <is>
          <t>GÄVLEBORGS LÄN</t>
        </is>
      </c>
      <c r="G200" t="inlineStr">
        <is>
          <t>SANDVIKEN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46115</v>
      </c>
      <c r="E201" s="1" t="n">
        <v>46241</v>
      </c>
      <c r="F201" t="inlineStr">
        <is>
          <t>GÄVLEBORGS LÄN</t>
        </is>
      </c>
      <c r="G201" t="inlineStr">
        <is>
          <t>SANDVIKEN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46241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44988</v>
      </c>
      <c r="E203" s="1" t="n">
        <v>46241</v>
      </c>
      <c r="F203" t="inlineStr">
        <is>
          <t>GÄVLEBORGS LÄN</t>
        </is>
      </c>
      <c r="G203" t="inlineStr">
        <is>
          <t>SANDVIKEN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46241</v>
      </c>
      <c r="F204" t="inlineStr">
        <is>
          <t>GÄVLEBORGS LÄN</t>
        </is>
      </c>
      <c r="G204" t="inlineStr">
        <is>
          <t>SANDVIKEN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46241</v>
      </c>
      <c r="F205" t="inlineStr">
        <is>
          <t>GÄVLEBORGS LÄN</t>
        </is>
      </c>
      <c r="G205" t="inlineStr">
        <is>
          <t>SANDVIKEN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46241</v>
      </c>
      <c r="F206" t="inlineStr">
        <is>
          <t>GÄVLEBORGS LÄN</t>
        </is>
      </c>
      <c r="G206" t="inlineStr">
        <is>
          <t>SANDVIKEN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46115</v>
      </c>
      <c r="E207" s="1" t="n">
        <v>46241</v>
      </c>
      <c r="F207" t="inlineStr">
        <is>
          <t>GÄVLEBORGS LÄN</t>
        </is>
      </c>
      <c r="G207" t="inlineStr">
        <is>
          <t>SANDVIKEN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46241</v>
      </c>
      <c r="F208" t="inlineStr">
        <is>
          <t>GÄVLEBORGS LÄN</t>
        </is>
      </c>
      <c r="G208" t="inlineStr">
        <is>
          <t>SANDVIKEN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46241</v>
      </c>
      <c r="F209" t="inlineStr">
        <is>
          <t>GÄVLEBORGS LÄN</t>
        </is>
      </c>
      <c r="G209" t="inlineStr">
        <is>
          <t>SANDVIKEN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46115</v>
      </c>
      <c r="E210" s="1" t="n">
        <v>46241</v>
      </c>
      <c r="F210" t="inlineStr">
        <is>
          <t>GÄVLEBORGS LÄN</t>
        </is>
      </c>
      <c r="G210" t="inlineStr">
        <is>
          <t>SANDVIKEN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46241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46241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46241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öst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46116</v>
      </c>
      <c r="E214" s="1" t="n">
        <v>46241</v>
      </c>
      <c r="F214" t="inlineStr">
        <is>
          <t>GÄVLEBORGS LÄN</t>
        </is>
      </c>
      <c r="G214" t="inlineStr">
        <is>
          <t>SANDVIKEN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46116</v>
      </c>
      <c r="E215" s="1" t="n">
        <v>46241</v>
      </c>
      <c r="F215" t="inlineStr">
        <is>
          <t>GÄVLEBORGS LÄN</t>
        </is>
      </c>
      <c r="G215" t="inlineStr">
        <is>
          <t>SANDVIKEN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46119</v>
      </c>
      <c r="E216" s="1" t="n">
        <v>46241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46115</v>
      </c>
      <c r="E217" s="1" t="n">
        <v>46241</v>
      </c>
      <c r="F217" t="inlineStr">
        <is>
          <t>GÄVLEBORGS LÄN</t>
        </is>
      </c>
      <c r="G217" t="inlineStr">
        <is>
          <t>SANDVIKEN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46241</v>
      </c>
      <c r="F218" t="inlineStr">
        <is>
          <t>GÄVLEBORGS LÄN</t>
        </is>
      </c>
      <c r="G218" t="inlineStr">
        <is>
          <t>SANDVIKEN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46241</v>
      </c>
      <c r="F219" t="inlineStr">
        <is>
          <t>GÄVLEBORGS LÄN</t>
        </is>
      </c>
      <c r="G219" t="inlineStr">
        <is>
          <t>SANDVIKEN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46116</v>
      </c>
      <c r="E220" s="1" t="n">
        <v>46241</v>
      </c>
      <c r="F220" t="inlineStr">
        <is>
          <t>GÄVLEBORGS LÄN</t>
        </is>
      </c>
      <c r="G220" t="inlineStr">
        <is>
          <t>SANDVIKEN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46241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öst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46241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46241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46241</v>
      </c>
      <c r="F224" t="inlineStr">
        <is>
          <t>GÄVLEBORGS LÄN</t>
        </is>
      </c>
      <c r="G224" t="inlineStr">
        <is>
          <t>SANDVIKEN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23539-2026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46163</v>
      </c>
      <c r="E225" s="1" t="n">
        <v>46241</v>
      </c>
      <c r="F225" t="inlineStr">
        <is>
          <t>GÄVLEBORGS LÄN</t>
        </is>
      </c>
      <c r="G225" t="inlineStr">
        <is>
          <t>SANDVIKEN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46241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46120</v>
      </c>
      <c r="E227" s="1" t="n">
        <v>46241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46241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46241</v>
      </c>
      <c r="F229" t="inlineStr">
        <is>
          <t>GÄVLEBORGS LÄN</t>
        </is>
      </c>
      <c r="G229" t="inlineStr">
        <is>
          <t>SANDVIKEN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46241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46241</v>
      </c>
      <c r="F231" t="inlineStr">
        <is>
          <t>GÄVLEBORGS LÄN</t>
        </is>
      </c>
      <c r="G231" t="inlineStr">
        <is>
          <t>SANDVIKEN</t>
        </is>
      </c>
      <c r="H231" t="inlineStr">
        <is>
          <t>Bergvik skog öst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46241</v>
      </c>
      <c r="F232" t="inlineStr">
        <is>
          <t>GÄVLEBORGS LÄN</t>
        </is>
      </c>
      <c r="G232" t="inlineStr">
        <is>
          <t>SANDVIKEN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46241</v>
      </c>
      <c r="F233" t="inlineStr">
        <is>
          <t>GÄVLEBORGS LÄN</t>
        </is>
      </c>
      <c r="G233" t="inlineStr">
        <is>
          <t>SANDVIKEN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46241</v>
      </c>
      <c r="F234" t="inlineStr">
        <is>
          <t>GÄVLEBORGS LÄN</t>
        </is>
      </c>
      <c r="G234" t="inlineStr">
        <is>
          <t>SANDVIKEN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46241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väst AB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46241</v>
      </c>
      <c r="F236" t="inlineStr">
        <is>
          <t>GÄVLEBORGS LÄN</t>
        </is>
      </c>
      <c r="G236" t="inlineStr">
        <is>
          <t>SANDVIKEN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45899</v>
      </c>
      <c r="E237" s="1" t="n">
        <v>46241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46241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46241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46241</v>
      </c>
      <c r="F240" t="inlineStr">
        <is>
          <t>GÄVLEBORGS LÄN</t>
        </is>
      </c>
      <c r="G240" t="inlineStr">
        <is>
          <t>SANDVIKEN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46241</v>
      </c>
      <c r="F241" t="inlineStr">
        <is>
          <t>GÄVLEBORGS LÄN</t>
        </is>
      </c>
      <c r="G241" t="inlineStr">
        <is>
          <t>SANDVIKEN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46241</v>
      </c>
      <c r="F242" t="inlineStr">
        <is>
          <t>GÄVLEBORGS LÄN</t>
        </is>
      </c>
      <c r="G242" t="inlineStr">
        <is>
          <t>SANDVIKEN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46241</v>
      </c>
      <c r="F243" t="inlineStr">
        <is>
          <t>GÄVLEBORGS LÄN</t>
        </is>
      </c>
      <c r="G243" t="inlineStr">
        <is>
          <t>SANDVIKEN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46241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46241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46130</v>
      </c>
      <c r="E246" s="1" t="n">
        <v>46241</v>
      </c>
      <c r="F246" t="inlineStr">
        <is>
          <t>GÄVLEBORGS LÄN</t>
        </is>
      </c>
      <c r="G246" t="inlineStr">
        <is>
          <t>SANDVIKEN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46241</v>
      </c>
      <c r="F247" t="inlineStr">
        <is>
          <t>GÄVLEBORGS LÄN</t>
        </is>
      </c>
      <c r="G247" t="inlineStr">
        <is>
          <t>SANDVIKEN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46241</v>
      </c>
      <c r="F248" t="inlineStr">
        <is>
          <t>GÄVLEBORGS LÄN</t>
        </is>
      </c>
      <c r="G248" t="inlineStr">
        <is>
          <t>SANDVIKEN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46241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46241</v>
      </c>
      <c r="F250" t="inlineStr">
        <is>
          <t>GÄVLEBORGS LÄN</t>
        </is>
      </c>
      <c r="G250" t="inlineStr">
        <is>
          <t>SANDVIKEN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46241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46129</v>
      </c>
      <c r="E252" s="1" t="n">
        <v>46241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46241</v>
      </c>
      <c r="F253" t="inlineStr">
        <is>
          <t>GÄVLEBORGS LÄN</t>
        </is>
      </c>
      <c r="G253" t="inlineStr">
        <is>
          <t>SANDVIKEN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46128</v>
      </c>
      <c r="E254" s="1" t="n">
        <v>46241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46241</v>
      </c>
      <c r="F255" t="inlineStr">
        <is>
          <t>GÄVLEBORGS LÄN</t>
        </is>
      </c>
      <c r="G255" t="inlineStr">
        <is>
          <t>SANDVIKEN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46241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46128</v>
      </c>
      <c r="E257" s="1" t="n">
        <v>46241</v>
      </c>
      <c r="F257" t="inlineStr">
        <is>
          <t>GÄVLEBORGS LÄN</t>
        </is>
      </c>
      <c r="G257" t="inlineStr">
        <is>
          <t>SANDVIKEN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46241</v>
      </c>
      <c r="F258" t="inlineStr">
        <is>
          <t>GÄVLEBORGS LÄN</t>
        </is>
      </c>
      <c r="G258" t="inlineStr">
        <is>
          <t>SANDVIKEN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46241</v>
      </c>
      <c r="F259" t="inlineStr">
        <is>
          <t>GÄVLEBORGS LÄN</t>
        </is>
      </c>
      <c r="G259" t="inlineStr">
        <is>
          <t>SANDVIKEN</t>
        </is>
      </c>
      <c r="H259" t="inlineStr">
        <is>
          <t>Naturvårdsverket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46241</v>
      </c>
      <c r="F260" t="inlineStr">
        <is>
          <t>GÄVLEBORGS LÄN</t>
        </is>
      </c>
      <c r="G260" t="inlineStr">
        <is>
          <t>SANDVIKEN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46241</v>
      </c>
      <c r="F261" t="inlineStr">
        <is>
          <t>GÄVLEBORGS LÄN</t>
        </is>
      </c>
      <c r="G261" t="inlineStr">
        <is>
          <t>SANDVIKEN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18750-2026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46241</v>
      </c>
      <c r="F262" t="inlineStr">
        <is>
          <t>GÄVLEBORGS LÄN</t>
        </is>
      </c>
      <c r="G262" t="inlineStr">
        <is>
          <t>SANDVIKEN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46132</v>
      </c>
      <c r="E263" s="1" t="n">
        <v>46241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46241</v>
      </c>
      <c r="F264" t="inlineStr">
        <is>
          <t>GÄVLEBORGS LÄN</t>
        </is>
      </c>
      <c r="G264" t="inlineStr">
        <is>
          <t>SANDVIKEN</t>
        </is>
      </c>
      <c r="H264" t="inlineStr">
        <is>
          <t>Naturvårdsverket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46241</v>
      </c>
      <c r="F265" t="inlineStr">
        <is>
          <t>GÄVLEBORGS LÄN</t>
        </is>
      </c>
      <c r="G265" t="inlineStr">
        <is>
          <t>SANDVIKEN</t>
        </is>
      </c>
      <c r="H265" t="inlineStr">
        <is>
          <t>Bergvik skog öst AB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44582</v>
      </c>
      <c r="E266" s="1" t="n">
        <v>46241</v>
      </c>
      <c r="F266" t="inlineStr">
        <is>
          <t>GÄVLEBORGS LÄN</t>
        </is>
      </c>
      <c r="G266" t="inlineStr">
        <is>
          <t>SANDVIKEN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46129</v>
      </c>
      <c r="E267" s="1" t="n">
        <v>46241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46241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46241</v>
      </c>
      <c r="F269" t="inlineStr">
        <is>
          <t>GÄVLEBORGS LÄN</t>
        </is>
      </c>
      <c r="G269" t="inlineStr">
        <is>
          <t>SANDVIKEN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46129</v>
      </c>
      <c r="E270" s="1" t="n">
        <v>46241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öst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46241</v>
      </c>
      <c r="F271" t="inlineStr">
        <is>
          <t>GÄVLEBORGS LÄN</t>
        </is>
      </c>
      <c r="G271" t="inlineStr">
        <is>
          <t>SANDVIKEN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46241</v>
      </c>
      <c r="F272" t="inlineStr">
        <is>
          <t>GÄVLEBORGS LÄN</t>
        </is>
      </c>
      <c r="G272" t="inlineStr">
        <is>
          <t>SANDVIKEN</t>
        </is>
      </c>
      <c r="H272" t="inlineStr">
        <is>
          <t>Kyrkan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46241</v>
      </c>
      <c r="F273" t="inlineStr">
        <is>
          <t>GÄVLEBORGS LÄN</t>
        </is>
      </c>
      <c r="G273" t="inlineStr">
        <is>
          <t>SANDVIKEN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45730</v>
      </c>
      <c r="E274" s="1" t="n">
        <v>46241</v>
      </c>
      <c r="F274" t="inlineStr">
        <is>
          <t>GÄVLEBORGS LÄN</t>
        </is>
      </c>
      <c r="G274" t="inlineStr">
        <is>
          <t>SANDVIKEN</t>
        </is>
      </c>
      <c r="H274" t="inlineStr">
        <is>
          <t>Bergvik skog öst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46241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öst AB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46241</v>
      </c>
      <c r="F276" t="inlineStr">
        <is>
          <t>GÄVLEBORGS LÄN</t>
        </is>
      </c>
      <c r="G276" t="inlineStr">
        <is>
          <t>SANDVIKEN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46241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46241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46241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46241</v>
      </c>
      <c r="F280" t="inlineStr">
        <is>
          <t>GÄVLEBORGS LÄN</t>
        </is>
      </c>
      <c r="G280" t="inlineStr">
        <is>
          <t>SANDVIKEN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46241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46241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46241</v>
      </c>
      <c r="F283" t="inlineStr">
        <is>
          <t>GÄVLEBORGS LÄN</t>
        </is>
      </c>
      <c r="G283" t="inlineStr">
        <is>
          <t>SANDVIKEN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46241</v>
      </c>
      <c r="F284" t="inlineStr">
        <is>
          <t>GÄVLEBORGS LÄN</t>
        </is>
      </c>
      <c r="G284" t="inlineStr">
        <is>
          <t>SANDVIKEN</t>
        </is>
      </c>
      <c r="H284" t="inlineStr">
        <is>
          <t>Naturvårdsverket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45649</v>
      </c>
      <c r="E285" s="1" t="n">
        <v>46241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46241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46241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16.4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45226</v>
      </c>
      <c r="E288" s="1" t="n">
        <v>46241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46241</v>
      </c>
      <c r="F289" t="inlineStr">
        <is>
          <t>GÄVLEBORGS LÄN</t>
        </is>
      </c>
      <c r="G289" t="inlineStr">
        <is>
          <t>SANDVIKEN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46241</v>
      </c>
      <c r="F290" t="inlineStr">
        <is>
          <t>GÄVLEBORGS LÄN</t>
        </is>
      </c>
      <c r="G290" t="inlineStr">
        <is>
          <t>SANDVIKEN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46241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öst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46241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46241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46241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46241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46241</v>
      </c>
      <c r="F296" t="inlineStr">
        <is>
          <t>GÄVLEBORGS LÄN</t>
        </is>
      </c>
      <c r="G296" t="inlineStr">
        <is>
          <t>SANDVIKEN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46241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46241</v>
      </c>
      <c r="F298" t="inlineStr">
        <is>
          <t>GÄVLEBORGS LÄN</t>
        </is>
      </c>
      <c r="G298" t="inlineStr">
        <is>
          <t>SANDVIKEN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46241</v>
      </c>
      <c r="F299" t="inlineStr">
        <is>
          <t>GÄVLEBORGS LÄN</t>
        </is>
      </c>
      <c r="G299" t="inlineStr">
        <is>
          <t>SANDVIKEN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36203-2025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45867</v>
      </c>
      <c r="E300" s="1" t="n">
        <v>46241</v>
      </c>
      <c r="F300" t="inlineStr">
        <is>
          <t>GÄVLEBORGS LÄN</t>
        </is>
      </c>
      <c r="G300" t="inlineStr">
        <is>
          <t>SANDVIKEN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46241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46241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11.9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45670</v>
      </c>
      <c r="E303" s="1" t="n">
        <v>46241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44843</v>
      </c>
      <c r="E304" s="1" t="n">
        <v>46241</v>
      </c>
      <c r="F304" t="inlineStr">
        <is>
          <t>GÄVLEBORGS LÄN</t>
        </is>
      </c>
      <c r="G304" t="inlineStr">
        <is>
          <t>SANDVIKEN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46241</v>
      </c>
      <c r="F305" t="inlineStr">
        <is>
          <t>GÄVLEBORGS LÄN</t>
        </is>
      </c>
      <c r="G305" t="inlineStr">
        <is>
          <t>SANDVIKEN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46241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46241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45936</v>
      </c>
      <c r="E308" s="1" t="n">
        <v>46241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väst AB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44481</v>
      </c>
      <c r="E309" s="1" t="n">
        <v>46241</v>
      </c>
      <c r="F309" t="inlineStr">
        <is>
          <t>GÄVLEBORGS LÄN</t>
        </is>
      </c>
      <c r="G309" t="inlineStr">
        <is>
          <t>SANDVIKEN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46241</v>
      </c>
      <c r="F310" t="inlineStr">
        <is>
          <t>GÄVLEBORGS LÄN</t>
        </is>
      </c>
      <c r="G310" t="inlineStr">
        <is>
          <t>SANDVIKEN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46241</v>
      </c>
      <c r="F311" t="inlineStr">
        <is>
          <t>GÄVLEBORGS LÄN</t>
        </is>
      </c>
      <c r="G311" t="inlineStr">
        <is>
          <t>SANDVIKEN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46241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46241</v>
      </c>
      <c r="F313" t="inlineStr">
        <is>
          <t>GÄVLEBORGS LÄN</t>
        </is>
      </c>
      <c r="G313" t="inlineStr">
        <is>
          <t>SANDVIKEN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46241</v>
      </c>
      <c r="F314" t="inlineStr">
        <is>
          <t>GÄVLEBORGS LÄN</t>
        </is>
      </c>
      <c r="G314" t="inlineStr">
        <is>
          <t>SANDVIKEN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45303</v>
      </c>
      <c r="E315" s="1" t="n">
        <v>46241</v>
      </c>
      <c r="F315" t="inlineStr">
        <is>
          <t>GÄVLEBORGS LÄN</t>
        </is>
      </c>
      <c r="G315" t="inlineStr">
        <is>
          <t>SANDVIKEN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46241</v>
      </c>
      <c r="F316" t="inlineStr">
        <is>
          <t>GÄVLEBORGS LÄN</t>
        </is>
      </c>
      <c r="G316" t="inlineStr">
        <is>
          <t>SANDVIKEN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46241</v>
      </c>
      <c r="F317" t="inlineStr">
        <is>
          <t>GÄVLEBORGS LÄN</t>
        </is>
      </c>
      <c r="G317" t="inlineStr">
        <is>
          <t>SANDVIKEN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49217-2025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45938</v>
      </c>
      <c r="E318" s="1" t="n">
        <v>46241</v>
      </c>
      <c r="F318" t="inlineStr">
        <is>
          <t>GÄVLEBORGS LÄN</t>
        </is>
      </c>
      <c r="G318" t="inlineStr">
        <is>
          <t>SANDVIKEN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46241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46241</v>
      </c>
      <c r="F320" t="inlineStr">
        <is>
          <t>GÄVLEBORGS LÄN</t>
        </is>
      </c>
      <c r="G320" t="inlineStr">
        <is>
          <t>SANDVIKEN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46241</v>
      </c>
      <c r="F321" t="inlineStr">
        <is>
          <t>GÄVLEBORGS LÄN</t>
        </is>
      </c>
      <c r="G321" t="inlineStr">
        <is>
          <t>SANDVIKEN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46241</v>
      </c>
      <c r="F322" t="inlineStr">
        <is>
          <t>GÄVLEBORGS LÄN</t>
        </is>
      </c>
      <c r="G322" t="inlineStr">
        <is>
          <t>SANDVIKEN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46241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46241</v>
      </c>
      <c r="F324" t="inlineStr">
        <is>
          <t>GÄVLEBORGS LÄN</t>
        </is>
      </c>
      <c r="G324" t="inlineStr">
        <is>
          <t>SANDVIKEN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46241</v>
      </c>
      <c r="F325" t="inlineStr">
        <is>
          <t>GÄVLEBORGS LÄN</t>
        </is>
      </c>
      <c r="G325" t="inlineStr">
        <is>
          <t>SANDVIKEN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46241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46241</v>
      </c>
      <c r="F327" t="inlineStr">
        <is>
          <t>GÄVLEBORGS LÄN</t>
        </is>
      </c>
      <c r="G327" t="inlineStr">
        <is>
          <t>SANDVIKEN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46241</v>
      </c>
      <c r="F328" t="inlineStr">
        <is>
          <t>GÄVLEBORGS LÄN</t>
        </is>
      </c>
      <c r="G328" t="inlineStr">
        <is>
          <t>SANDVIKEN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46241</v>
      </c>
      <c r="F329" t="inlineStr">
        <is>
          <t>GÄVLEBORGS LÄN</t>
        </is>
      </c>
      <c r="G329" t="inlineStr">
        <is>
          <t>SANDVIKEN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45476</v>
      </c>
      <c r="E330" s="1" t="n">
        <v>46241</v>
      </c>
      <c r="F330" t="inlineStr">
        <is>
          <t>GÄVLEBORGS LÄN</t>
        </is>
      </c>
      <c r="G330" t="inlineStr">
        <is>
          <t>SANDVIKEN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46241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46241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46241</v>
      </c>
      <c r="F333" t="inlineStr">
        <is>
          <t>GÄVLEBORGS LÄN</t>
        </is>
      </c>
      <c r="G333" t="inlineStr">
        <is>
          <t>SANDVIKEN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46241</v>
      </c>
      <c r="F334" t="inlineStr">
        <is>
          <t>GÄVLEBORGS LÄN</t>
        </is>
      </c>
      <c r="G334" t="inlineStr">
        <is>
          <t>SANDVIKEN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50851-2025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45946</v>
      </c>
      <c r="E335" s="1" t="n">
        <v>46241</v>
      </c>
      <c r="F335" t="inlineStr">
        <is>
          <t>GÄVLEBORGS LÄN</t>
        </is>
      </c>
      <c r="G335" t="inlineStr">
        <is>
          <t>SANDVIKEN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46241</v>
      </c>
      <c r="F336" t="inlineStr">
        <is>
          <t>GÄVLEBORGS LÄN</t>
        </is>
      </c>
      <c r="G336" t="inlineStr">
        <is>
          <t>SANDVIKEN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46241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46241</v>
      </c>
      <c r="F338" t="inlineStr">
        <is>
          <t>GÄVLEBORGS LÄN</t>
        </is>
      </c>
      <c r="G338" t="inlineStr">
        <is>
          <t>SANDVIKEN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46241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45735</v>
      </c>
      <c r="E340" s="1" t="n">
        <v>46241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45779</v>
      </c>
      <c r="E341" s="1" t="n">
        <v>46241</v>
      </c>
      <c r="F341" t="inlineStr">
        <is>
          <t>GÄVLEBORGS LÄN</t>
        </is>
      </c>
      <c r="G341" t="inlineStr">
        <is>
          <t>SANDVIKEN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34013-2024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46241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46241</v>
      </c>
      <c r="F343" t="inlineStr">
        <is>
          <t>GÄVLEBORGS LÄN</t>
        </is>
      </c>
      <c r="G343" t="inlineStr">
        <is>
          <t>SANDVIKEN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46241</v>
      </c>
      <c r="F344" t="inlineStr">
        <is>
          <t>GÄVLEBORGS LÄN</t>
        </is>
      </c>
      <c r="G344" t="inlineStr">
        <is>
          <t>SANDVIKEN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45755</v>
      </c>
      <c r="E345" s="1" t="n">
        <v>46241</v>
      </c>
      <c r="F345" t="inlineStr">
        <is>
          <t>GÄVLEBORGS LÄN</t>
        </is>
      </c>
      <c r="G345" t="inlineStr">
        <is>
          <t>SANDVIKEN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45210</v>
      </c>
      <c r="E346" s="1" t="n">
        <v>46241</v>
      </c>
      <c r="F346" t="inlineStr">
        <is>
          <t>GÄVLEBORGS LÄN</t>
        </is>
      </c>
      <c r="G346" t="inlineStr">
        <is>
          <t>SANDVIKEN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52786-2025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45957</v>
      </c>
      <c r="E347" s="1" t="n">
        <v>46241</v>
      </c>
      <c r="F347" t="inlineStr">
        <is>
          <t>GÄVLEBORGS LÄN</t>
        </is>
      </c>
      <c r="G347" t="inlineStr">
        <is>
          <t>SANDVIKEN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  <c r="Z347">
        <f>HYPERLINK("https://klasma.github.io/Logging_2181/knärot/A 52786-2025 karta knärot.png", "A 52786-2025")</f>
        <v/>
      </c>
      <c r="AA347">
        <f>HYPERLINK("https://klasma.github.io/Logging_2181/klagomål/A 52786-2025 FSC-klagomål.docx", "A 52786-2025")</f>
        <v/>
      </c>
      <c r="AB347">
        <f>HYPERLINK("https://klasma.github.io/Logging_2181/klagomålsmail/A 52786-2025 FSC-klagomål mail.docx", "A 52786-2025")</f>
        <v/>
      </c>
      <c r="AC347">
        <f>HYPERLINK("https://klasma.github.io/Logging_2181/tillsyn/A 52786-2025 tillsynsbegäran.docx", "A 52786-2025")</f>
        <v/>
      </c>
      <c r="AD347">
        <f>HYPERLINK("https://klasma.github.io/Logging_2181/tillsynsmail/A 52786-2025 tillsynsbegäran mail.docx", "A 52786-2025")</f>
        <v/>
      </c>
    </row>
    <row r="348" ht="15" customHeight="1">
      <c r="A348" t="inlineStr">
        <is>
          <t>A 8570-2026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46241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46241</v>
      </c>
      <c r="F349" t="inlineStr">
        <is>
          <t>GÄVLEBORGS LÄN</t>
        </is>
      </c>
      <c r="G349" t="inlineStr">
        <is>
          <t>SANDVIKEN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46241</v>
      </c>
      <c r="F350" t="inlineStr">
        <is>
          <t>GÄVLEBORGS LÄN</t>
        </is>
      </c>
      <c r="G350" t="inlineStr">
        <is>
          <t>SANDVIKEN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46241</v>
      </c>
      <c r="F351" t="inlineStr">
        <is>
          <t>GÄVLEBORGS LÄN</t>
        </is>
      </c>
      <c r="G351" t="inlineStr">
        <is>
          <t>SANDVIKEN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46241</v>
      </c>
      <c r="F352" t="inlineStr">
        <is>
          <t>GÄVLEBORGS LÄN</t>
        </is>
      </c>
      <c r="G352" t="inlineStr">
        <is>
          <t>SANDVIKEN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46241</v>
      </c>
      <c r="F353" t="inlineStr">
        <is>
          <t>GÄVLEBORGS LÄN</t>
        </is>
      </c>
      <c r="G353" t="inlineStr">
        <is>
          <t>SANDVIKEN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45721</v>
      </c>
      <c r="E354" s="1" t="n">
        <v>46241</v>
      </c>
      <c r="F354" t="inlineStr">
        <is>
          <t>GÄVLEBORGS LÄN</t>
        </is>
      </c>
      <c r="G354" t="inlineStr">
        <is>
          <t>SANDVIKEN</t>
        </is>
      </c>
      <c r="H354" t="inlineStr">
        <is>
          <t>Sveaskog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45721</v>
      </c>
      <c r="E355" s="1" t="n">
        <v>46241</v>
      </c>
      <c r="F355" t="inlineStr">
        <is>
          <t>GÄVLEBORGS LÄN</t>
        </is>
      </c>
      <c r="G355" t="inlineStr">
        <is>
          <t>SANDVIKEN</t>
        </is>
      </c>
      <c r="H355" t="inlineStr">
        <is>
          <t>Sveaskog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45238</v>
      </c>
      <c r="E356" s="1" t="n">
        <v>46241</v>
      </c>
      <c r="F356" t="inlineStr">
        <is>
          <t>GÄVLEBORGS LÄN</t>
        </is>
      </c>
      <c r="G356" t="inlineStr">
        <is>
          <t>SANDVIKEN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46241</v>
      </c>
      <c r="F357" t="inlineStr">
        <is>
          <t>GÄVLEBORGS LÄN</t>
        </is>
      </c>
      <c r="G357" t="inlineStr">
        <is>
          <t>SANDVIKEN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46241</v>
      </c>
      <c r="F358" t="inlineStr">
        <is>
          <t>GÄVLEBORGS LÄN</t>
        </is>
      </c>
      <c r="G358" t="inlineStr">
        <is>
          <t>SANDVIKEN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45537</v>
      </c>
      <c r="E359" s="1" t="n">
        <v>46241</v>
      </c>
      <c r="F359" t="inlineStr">
        <is>
          <t>GÄVLEBORGS LÄN</t>
        </is>
      </c>
      <c r="G359" t="inlineStr">
        <is>
          <t>SANDVIKEN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46241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46177-2022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44847</v>
      </c>
      <c r="E361" s="1" t="n">
        <v>46241</v>
      </c>
      <c r="F361" t="inlineStr">
        <is>
          <t>GÄVLEBORGS LÄN</t>
        </is>
      </c>
      <c r="G361" t="inlineStr">
        <is>
          <t>SANDVIKEN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46241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45595</v>
      </c>
      <c r="E363" s="1" t="n">
        <v>46241</v>
      </c>
      <c r="F363" t="inlineStr">
        <is>
          <t>GÄVLEBORGS LÄN</t>
        </is>
      </c>
      <c r="G363" t="inlineStr">
        <is>
          <t>SANDVIKEN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46241</v>
      </c>
      <c r="F364" t="inlineStr">
        <is>
          <t>GÄVLEBORGS LÄN</t>
        </is>
      </c>
      <c r="G364" t="inlineStr">
        <is>
          <t>SANDVIKEN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46061</v>
      </c>
      <c r="E365" s="1" t="n">
        <v>46241</v>
      </c>
      <c r="F365" t="inlineStr">
        <is>
          <t>GÄVLEBORGS LÄN</t>
        </is>
      </c>
      <c r="G365" t="inlineStr">
        <is>
          <t>SANDVIKEN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44717-2025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46241</v>
      </c>
      <c r="F366" t="inlineStr">
        <is>
          <t>GÄVLEBORGS LÄN</t>
        </is>
      </c>
      <c r="G366" t="inlineStr">
        <is>
          <t>SANDVIKEN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46241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46046</v>
      </c>
      <c r="E368" s="1" t="n">
        <v>46241</v>
      </c>
      <c r="F368" t="inlineStr">
        <is>
          <t>GÄVLEBORGS LÄN</t>
        </is>
      </c>
      <c r="G368" t="inlineStr">
        <is>
          <t>SANDVIKEN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46241</v>
      </c>
      <c r="F369" t="inlineStr">
        <is>
          <t>GÄVLEBORGS LÄN</t>
        </is>
      </c>
      <c r="G369" t="inlineStr">
        <is>
          <t>SANDVIKEN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46241</v>
      </c>
      <c r="F370" t="inlineStr">
        <is>
          <t>GÄVLEBORGS LÄN</t>
        </is>
      </c>
      <c r="G370" t="inlineStr">
        <is>
          <t>SANDVIKEN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46241</v>
      </c>
      <c r="F371" t="inlineStr">
        <is>
          <t>GÄVLEBORGS LÄN</t>
        </is>
      </c>
      <c r="G371" t="inlineStr">
        <is>
          <t>SANDVIKEN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46241</v>
      </c>
      <c r="F372" t="inlineStr">
        <is>
          <t>GÄVLEBORGS LÄN</t>
        </is>
      </c>
      <c r="G372" t="inlineStr">
        <is>
          <t>SANDVIKEN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11894-2026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46241</v>
      </c>
      <c r="F373" t="inlineStr">
        <is>
          <t>GÄVLEBORGS LÄN</t>
        </is>
      </c>
      <c r="G373" t="inlineStr">
        <is>
          <t>SANDVIKEN</t>
        </is>
      </c>
      <c r="I373" t="n">
        <v>8.199999999999999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46080</v>
      </c>
      <c r="E374" s="1" t="n">
        <v>46241</v>
      </c>
      <c r="F374" t="inlineStr">
        <is>
          <t>GÄVLEBORGS LÄN</t>
        </is>
      </c>
      <c r="G374" t="inlineStr">
        <is>
          <t>SANDVIKEN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46241</v>
      </c>
      <c r="F375" t="inlineStr">
        <is>
          <t>GÄVLEBORGS LÄN</t>
        </is>
      </c>
      <c r="G375" t="inlineStr">
        <is>
          <t>SANDVIKEN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46241</v>
      </c>
      <c r="F376" t="inlineStr">
        <is>
          <t>GÄVLEBORGS LÄN</t>
        </is>
      </c>
      <c r="G376" t="inlineStr">
        <is>
          <t>SANDVIKEN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46241</v>
      </c>
      <c r="F377" t="inlineStr">
        <is>
          <t>GÄVLEBORGS LÄN</t>
        </is>
      </c>
      <c r="G377" t="inlineStr">
        <is>
          <t>SANDVIKEN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46241</v>
      </c>
      <c r="F378" t="inlineStr">
        <is>
          <t>GÄVLEBORGS LÄN</t>
        </is>
      </c>
      <c r="G378" t="inlineStr">
        <is>
          <t>SANDVIKEN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45602</v>
      </c>
      <c r="E379" s="1" t="n">
        <v>46241</v>
      </c>
      <c r="F379" t="inlineStr">
        <is>
          <t>GÄVLEBORGS LÄN</t>
        </is>
      </c>
      <c r="G379" t="inlineStr">
        <is>
          <t>SANDVIKEN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46241</v>
      </c>
      <c r="F380" t="inlineStr">
        <is>
          <t>GÄVLEBORGS LÄN</t>
        </is>
      </c>
      <c r="G380" t="inlineStr">
        <is>
          <t>SANDVIKEN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58363-2022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44901</v>
      </c>
      <c r="E381" s="1" t="n">
        <v>46241</v>
      </c>
      <c r="F381" t="inlineStr">
        <is>
          <t>GÄVLEBORGS LÄN</t>
        </is>
      </c>
      <c r="G381" t="inlineStr">
        <is>
          <t>SANDVIKEN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46241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46241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46241</v>
      </c>
      <c r="F384" t="inlineStr">
        <is>
          <t>GÄVLEBORGS LÄN</t>
        </is>
      </c>
      <c r="G384" t="inlineStr">
        <is>
          <t>SANDVIKEN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46241</v>
      </c>
      <c r="F385" t="inlineStr">
        <is>
          <t>GÄVLEBORGS LÄN</t>
        </is>
      </c>
      <c r="G385" t="inlineStr">
        <is>
          <t>SANDVIKEN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46241</v>
      </c>
      <c r="F386" t="inlineStr">
        <is>
          <t>GÄVLEBORGS LÄN</t>
        </is>
      </c>
      <c r="G386" t="inlineStr">
        <is>
          <t>SANDVIKEN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46241</v>
      </c>
      <c r="F387" t="inlineStr">
        <is>
          <t>GÄVLEBORGS LÄN</t>
        </is>
      </c>
      <c r="G387" t="inlineStr">
        <is>
          <t>SANDVIKEN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46241</v>
      </c>
      <c r="F388" t="inlineStr">
        <is>
          <t>GÄVLEBORGS LÄN</t>
        </is>
      </c>
      <c r="G388" t="inlineStr">
        <is>
          <t>SANDVIKEN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46241</v>
      </c>
      <c r="F389" t="inlineStr">
        <is>
          <t>GÄVLEBORGS LÄN</t>
        </is>
      </c>
      <c r="G389" t="inlineStr">
        <is>
          <t>SANDVIKEN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46241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45049</v>
      </c>
      <c r="E391" s="1" t="n">
        <v>46241</v>
      </c>
      <c r="F391" t="inlineStr">
        <is>
          <t>GÄVLEBORGS LÄN</t>
        </is>
      </c>
      <c r="G391" t="inlineStr">
        <is>
          <t>SANDVIKEN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46241</v>
      </c>
      <c r="F392" t="inlineStr">
        <is>
          <t>GÄVLEBORGS LÄN</t>
        </is>
      </c>
      <c r="G392" t="inlineStr">
        <is>
          <t>SANDVIKEN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61694-2021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44501</v>
      </c>
      <c r="E393" s="1" t="n">
        <v>46241</v>
      </c>
      <c r="F393" t="inlineStr">
        <is>
          <t>GÄVLEBORGS LÄN</t>
        </is>
      </c>
      <c r="G393" t="inlineStr">
        <is>
          <t>SANDVIKEN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46241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45721</v>
      </c>
      <c r="E395" s="1" t="n">
        <v>46241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10.9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46241</v>
      </c>
      <c r="F396" t="inlineStr">
        <is>
          <t>GÄVLEBORGS LÄN</t>
        </is>
      </c>
      <c r="G396" t="inlineStr">
        <is>
          <t>SANDVIKEN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46241</v>
      </c>
      <c r="F397" t="inlineStr">
        <is>
          <t>GÄVLEBORGS LÄN</t>
        </is>
      </c>
      <c r="G397" t="inlineStr">
        <is>
          <t>SANDVIKEN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46241</v>
      </c>
      <c r="F398" t="inlineStr">
        <is>
          <t>GÄVLEBORGS LÄN</t>
        </is>
      </c>
      <c r="G398" t="inlineStr">
        <is>
          <t>SANDVIKEN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46241</v>
      </c>
      <c r="F399" t="inlineStr">
        <is>
          <t>GÄVLEBORGS LÄN</t>
        </is>
      </c>
      <c r="G399" t="inlineStr">
        <is>
          <t>SANDVIKEN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44918</v>
      </c>
      <c r="E400" s="1" t="n">
        <v>46241</v>
      </c>
      <c r="F400" t="inlineStr">
        <is>
          <t>GÄVLEBORGS LÄN</t>
        </is>
      </c>
      <c r="G400" t="inlineStr">
        <is>
          <t>SANDVIKEN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46241</v>
      </c>
      <c r="F401" t="inlineStr">
        <is>
          <t>GÄVLEBORGS LÄN</t>
        </is>
      </c>
      <c r="G401" t="inlineStr">
        <is>
          <t>SANDVIKEN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46241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10.6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46241</v>
      </c>
      <c r="F403" t="inlineStr">
        <is>
          <t>GÄVLEBORGS LÄN</t>
        </is>
      </c>
      <c r="G403" t="inlineStr">
        <is>
          <t>SANDVIKEN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45981</v>
      </c>
      <c r="E404" s="1" t="n">
        <v>46241</v>
      </c>
      <c r="F404" t="inlineStr">
        <is>
          <t>GÄVLEBORGS LÄN</t>
        </is>
      </c>
      <c r="G404" t="inlineStr">
        <is>
          <t>SANDVIKEN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46241</v>
      </c>
      <c r="F405" t="inlineStr">
        <is>
          <t>GÄVLEBORGS LÄN</t>
        </is>
      </c>
      <c r="G405" t="inlineStr">
        <is>
          <t>SANDVIKEN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46090</v>
      </c>
      <c r="E406" s="1" t="n">
        <v>46241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46241</v>
      </c>
      <c r="F407" t="inlineStr">
        <is>
          <t>GÄVLEBORGS LÄN</t>
        </is>
      </c>
      <c r="G407" t="inlineStr">
        <is>
          <t>SANDVIKEN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46241</v>
      </c>
      <c r="F408" t="inlineStr">
        <is>
          <t>GÄVLEBORGS LÄN</t>
        </is>
      </c>
      <c r="G408" t="inlineStr">
        <is>
          <t>SANDVIKEN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46031</v>
      </c>
      <c r="E409" s="1" t="n">
        <v>46241</v>
      </c>
      <c r="F409" t="inlineStr">
        <is>
          <t>GÄVLEBORGS LÄN</t>
        </is>
      </c>
      <c r="G409" t="inlineStr">
        <is>
          <t>SANDVIKEN</t>
        </is>
      </c>
      <c r="I409" t="n">
        <v>11.2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45981</v>
      </c>
      <c r="E410" s="1" t="n">
        <v>46241</v>
      </c>
      <c r="F410" t="inlineStr">
        <is>
          <t>GÄVLEBORGS LÄN</t>
        </is>
      </c>
      <c r="G410" t="inlineStr">
        <is>
          <t>SANDVIKEN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73331-2021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44551</v>
      </c>
      <c r="E411" s="1" t="n">
        <v>46241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46241</v>
      </c>
      <c r="F412" t="inlineStr">
        <is>
          <t>GÄVLEBORGS LÄN</t>
        </is>
      </c>
      <c r="G412" t="inlineStr">
        <is>
          <t>SANDVIKEN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46241</v>
      </c>
      <c r="F413" t="inlineStr">
        <is>
          <t>GÄVLEBORGS LÄN</t>
        </is>
      </c>
      <c r="G413" t="inlineStr">
        <is>
          <t>SANDVIKEN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64225-2021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44510</v>
      </c>
      <c r="E414" s="1" t="n">
        <v>46241</v>
      </c>
      <c r="F414" t="inlineStr">
        <is>
          <t>GÄVLEBORGS LÄN</t>
        </is>
      </c>
      <c r="G414" t="inlineStr">
        <is>
          <t>SANDVIKEN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45983</v>
      </c>
      <c r="E415" s="1" t="n">
        <v>46241</v>
      </c>
      <c r="F415" t="inlineStr">
        <is>
          <t>GÄVLEBORGS LÄN</t>
        </is>
      </c>
      <c r="G415" t="inlineStr">
        <is>
          <t>SANDVIKEN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46038</v>
      </c>
      <c r="E416" s="1" t="n">
        <v>46241</v>
      </c>
      <c r="F416" t="inlineStr">
        <is>
          <t>GÄVLEBORGS LÄN</t>
        </is>
      </c>
      <c r="G416" t="inlineStr">
        <is>
          <t>SANDVIKEN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45984</v>
      </c>
      <c r="E417" s="1" t="n">
        <v>46241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45984</v>
      </c>
      <c r="E418" s="1" t="n">
        <v>46241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45984</v>
      </c>
      <c r="E419" s="1" t="n">
        <v>46241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46241</v>
      </c>
      <c r="F420" t="inlineStr">
        <is>
          <t>GÄVLEBORGS LÄN</t>
        </is>
      </c>
      <c r="G420" t="inlineStr">
        <is>
          <t>SANDVIKEN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46241</v>
      </c>
      <c r="F421" t="inlineStr">
        <is>
          <t>GÄVLEBORGS LÄN</t>
        </is>
      </c>
      <c r="G421" t="inlineStr">
        <is>
          <t>SANDVIKEN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46115</v>
      </c>
      <c r="E422" s="1" t="n">
        <v>46241</v>
      </c>
      <c r="F422" t="inlineStr">
        <is>
          <t>GÄVLEBORGS LÄN</t>
        </is>
      </c>
      <c r="G422" t="inlineStr">
        <is>
          <t>SANDVIKEN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59623-2025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45992</v>
      </c>
      <c r="E423" s="1" t="n">
        <v>46241</v>
      </c>
      <c r="F423" t="inlineStr">
        <is>
          <t>GÄVLEBORGS LÄN</t>
        </is>
      </c>
      <c r="G423" t="inlineStr">
        <is>
          <t>SANDVIKEN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59755-2025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46241</v>
      </c>
      <c r="F424" t="inlineStr">
        <is>
          <t>GÄVLEBORGS LÄN</t>
        </is>
      </c>
      <c r="G424" t="inlineStr">
        <is>
          <t>SANDVIKEN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46241</v>
      </c>
      <c r="F425" t="inlineStr">
        <is>
          <t>GÄVLEBORGS LÄN</t>
        </is>
      </c>
      <c r="G425" t="inlineStr">
        <is>
          <t>SANDVIKEN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46241</v>
      </c>
      <c r="F426" t="inlineStr">
        <is>
          <t>GÄVLEBORGS LÄN</t>
        </is>
      </c>
      <c r="G426" t="inlineStr">
        <is>
          <t>SANDVIKEN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46241</v>
      </c>
      <c r="F427" t="inlineStr">
        <is>
          <t>GÄVLEBORGS LÄN</t>
        </is>
      </c>
      <c r="G427" t="inlineStr">
        <is>
          <t>SANDVIKEN</t>
        </is>
      </c>
      <c r="I427" t="n">
        <v>10.2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46147</v>
      </c>
      <c r="E428" s="1" t="n">
        <v>46241</v>
      </c>
      <c r="F428" t="inlineStr">
        <is>
          <t>GÄVLEBORGS LÄN</t>
        </is>
      </c>
      <c r="G428" t="inlineStr">
        <is>
          <t>SANDVIKEN</t>
        </is>
      </c>
      <c r="H428" t="inlineStr">
        <is>
          <t>Kommuner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46147</v>
      </c>
      <c r="E429" s="1" t="n">
        <v>46241</v>
      </c>
      <c r="F429" t="inlineStr">
        <is>
          <t>GÄVLEBORGS LÄN</t>
        </is>
      </c>
      <c r="G429" t="inlineStr">
        <is>
          <t>SANDVIKEN</t>
        </is>
      </c>
      <c r="H429" t="inlineStr">
        <is>
          <t>Kommuner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46147</v>
      </c>
      <c r="E430" s="1" t="n">
        <v>46241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21343-2026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46241</v>
      </c>
      <c r="F431" t="inlineStr">
        <is>
          <t>GÄVLEBORGS LÄN</t>
        </is>
      </c>
      <c r="G431" t="inlineStr">
        <is>
          <t>SANDVIKEN</t>
        </is>
      </c>
      <c r="H431" t="inlineStr">
        <is>
          <t>Kommuner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46241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45545</v>
      </c>
      <c r="E433" s="1" t="n">
        <v>46241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21773-2026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46241</v>
      </c>
      <c r="F434" t="inlineStr">
        <is>
          <t>GÄVLEBORGS LÄN</t>
        </is>
      </c>
      <c r="G434" t="inlineStr">
        <is>
          <t>SANDVIKEN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46241</v>
      </c>
      <c r="F435" t="inlineStr">
        <is>
          <t>GÄVLEBORGS LÄN</t>
        </is>
      </c>
      <c r="G435" t="inlineStr">
        <is>
          <t>SANDVIKEN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46241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46241</v>
      </c>
      <c r="F437" t="inlineStr">
        <is>
          <t>GÄVLEBORGS LÄN</t>
        </is>
      </c>
      <c r="G437" t="inlineStr">
        <is>
          <t>SANDVIKEN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46151</v>
      </c>
      <c r="E438" s="1" t="n">
        <v>46241</v>
      </c>
      <c r="F438" t="inlineStr">
        <is>
          <t>GÄVLEBORGS LÄN</t>
        </is>
      </c>
      <c r="G438" t="inlineStr">
        <is>
          <t>SANDVIKEN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46241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46241</v>
      </c>
      <c r="F440" t="inlineStr">
        <is>
          <t>GÄVLEBORGS LÄN</t>
        </is>
      </c>
      <c r="G440" t="inlineStr">
        <is>
          <t>SANDVIKEN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46241</v>
      </c>
      <c r="F441" t="inlineStr">
        <is>
          <t>GÄVLEBORGS LÄN</t>
        </is>
      </c>
      <c r="G441" t="inlineStr">
        <is>
          <t>SANDVIKEN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46241</v>
      </c>
      <c r="F442" t="inlineStr">
        <is>
          <t>GÄVLEBORGS LÄN</t>
        </is>
      </c>
      <c r="G442" t="inlineStr">
        <is>
          <t>SANDVIKEN</t>
        </is>
      </c>
      <c r="I442" t="n">
        <v>9.6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46241</v>
      </c>
      <c r="F443" t="inlineStr">
        <is>
          <t>GÄVLEBORGS LÄN</t>
        </is>
      </c>
      <c r="G443" t="inlineStr">
        <is>
          <t>SANDVIKEN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46241</v>
      </c>
      <c r="F444" t="inlineStr">
        <is>
          <t>GÄVLEBORGS LÄN</t>
        </is>
      </c>
      <c r="G444" t="inlineStr">
        <is>
          <t>SANDVIKEN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45483</v>
      </c>
      <c r="E445" s="1" t="n">
        <v>46241</v>
      </c>
      <c r="F445" t="inlineStr">
        <is>
          <t>GÄVLEBORGS LÄN</t>
        </is>
      </c>
      <c r="G445" t="inlineStr">
        <is>
          <t>SANDVIKEN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48765-2021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44452</v>
      </c>
      <c r="E446" s="1" t="n">
        <v>46241</v>
      </c>
      <c r="F446" t="inlineStr">
        <is>
          <t>GÄVLEBORGS LÄN</t>
        </is>
      </c>
      <c r="G446" t="inlineStr">
        <is>
          <t>SANDVIKEN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45343</v>
      </c>
      <c r="E447" s="1" t="n">
        <v>46241</v>
      </c>
      <c r="F447" t="inlineStr">
        <is>
          <t>GÄVLEBORGS LÄN</t>
        </is>
      </c>
      <c r="G447" t="inlineStr">
        <is>
          <t>SANDVIKEN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46241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44988</v>
      </c>
      <c r="E449" s="1" t="n">
        <v>46241</v>
      </c>
      <c r="F449" t="inlineStr">
        <is>
          <t>GÄVLEBORGS LÄN</t>
        </is>
      </c>
      <c r="G449" t="inlineStr">
        <is>
          <t>SANDVIKEN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46241</v>
      </c>
      <c r="F450" t="inlineStr">
        <is>
          <t>GÄVLEBORGS LÄN</t>
        </is>
      </c>
      <c r="G450" t="inlineStr">
        <is>
          <t>SANDVIKEN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46241</v>
      </c>
      <c r="F451" t="inlineStr">
        <is>
          <t>GÄVLEBORGS LÄN</t>
        </is>
      </c>
      <c r="G451" t="inlineStr">
        <is>
          <t>SANDVIKEN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46241</v>
      </c>
      <c r="F452" t="inlineStr">
        <is>
          <t>GÄVLEBORGS LÄN</t>
        </is>
      </c>
      <c r="G452" t="inlineStr">
        <is>
          <t>SANDVIKEN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46241</v>
      </c>
      <c r="F453" t="inlineStr">
        <is>
          <t>GÄVLEBORGS LÄN</t>
        </is>
      </c>
      <c r="G453" t="inlineStr">
        <is>
          <t>SANDVIKEN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45984</v>
      </c>
      <c r="E454" s="1" t="n">
        <v>46241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46241</v>
      </c>
      <c r="F455" t="inlineStr">
        <is>
          <t>GÄVLEBORGS LÄN</t>
        </is>
      </c>
      <c r="G455" t="inlineStr">
        <is>
          <t>SANDVIKEN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46241</v>
      </c>
      <c r="F456" t="inlineStr">
        <is>
          <t>GÄVLEBORGS LÄN</t>
        </is>
      </c>
      <c r="G456" t="inlineStr">
        <is>
          <t>SANDVIKEN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58804-2025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46241</v>
      </c>
      <c r="F457" t="inlineStr">
        <is>
          <t>GÄVLEBORGS LÄN</t>
        </is>
      </c>
      <c r="G457" t="inlineStr">
        <is>
          <t>SANDVIKEN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46241</v>
      </c>
      <c r="F458" t="inlineStr">
        <is>
          <t>GÄVLEBORGS LÄN</t>
        </is>
      </c>
      <c r="G458" t="inlineStr">
        <is>
          <t>SANDVIKEN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45999</v>
      </c>
      <c r="E459" s="1" t="n">
        <v>46241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45666</v>
      </c>
      <c r="E460" s="1" t="n">
        <v>46241</v>
      </c>
      <c r="F460" t="inlineStr">
        <is>
          <t>GÄVLEBORGS LÄN</t>
        </is>
      </c>
      <c r="G460" t="inlineStr">
        <is>
          <t>SANDVIKEN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46241</v>
      </c>
      <c r="F461" t="inlineStr">
        <is>
          <t>GÄVLEBORGS LÄN</t>
        </is>
      </c>
      <c r="G461" t="inlineStr">
        <is>
          <t>SANDVIKEN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46241</v>
      </c>
      <c r="F462" t="inlineStr">
        <is>
          <t>GÄVLEBORGS LÄN</t>
        </is>
      </c>
      <c r="G462" t="inlineStr">
        <is>
          <t>SANDVIKEN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46241</v>
      </c>
      <c r="F463" t="inlineStr">
        <is>
          <t>GÄVLEBORGS LÄN</t>
        </is>
      </c>
      <c r="G463" t="inlineStr">
        <is>
          <t>SANDVIKEN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46201</v>
      </c>
      <c r="E464" s="1" t="n">
        <v>46241</v>
      </c>
      <c r="F464" t="inlineStr">
        <is>
          <t>GÄVLEBORGS LÄN</t>
        </is>
      </c>
      <c r="G464" t="inlineStr">
        <is>
          <t>SANDVIKEN</t>
        </is>
      </c>
      <c r="H464" t="inlineStr">
        <is>
          <t>Kommuner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46241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45748</v>
      </c>
      <c r="E466" s="1" t="n">
        <v>46241</v>
      </c>
      <c r="F466" t="inlineStr">
        <is>
          <t>GÄVLEBORGS LÄN</t>
        </is>
      </c>
      <c r="G466" t="inlineStr">
        <is>
          <t>SANDVIKEN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44855</v>
      </c>
      <c r="E467" s="1" t="n">
        <v>46241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46241</v>
      </c>
      <c r="F468" t="inlineStr">
        <is>
          <t>GÄVLEBORGS LÄN</t>
        </is>
      </c>
      <c r="G468" t="inlineStr">
        <is>
          <t>SANDVIKEN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63486-2025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46241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45162</v>
      </c>
      <c r="E470" s="1" t="n">
        <v>46241</v>
      </c>
      <c r="F470" t="inlineStr">
        <is>
          <t>GÄVLEBORGS LÄN</t>
        </is>
      </c>
      <c r="G470" t="inlineStr">
        <is>
          <t>SANDVIKEN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46241</v>
      </c>
      <c r="F471" t="inlineStr">
        <is>
          <t>GÄVLEBORGS LÄN</t>
        </is>
      </c>
      <c r="G471" t="inlineStr">
        <is>
          <t>SANDVIKEN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46115</v>
      </c>
      <c r="E472" s="1" t="n">
        <v>46241</v>
      </c>
      <c r="F472" t="inlineStr">
        <is>
          <t>GÄVLEBORGS LÄN</t>
        </is>
      </c>
      <c r="G472" t="inlineStr">
        <is>
          <t>SANDVIKEN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30721-2023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45112</v>
      </c>
      <c r="E473" s="1" t="n">
        <v>46241</v>
      </c>
      <c r="F473" t="inlineStr">
        <is>
          <t>GÄVLEBORGS LÄN</t>
        </is>
      </c>
      <c r="G473" t="inlineStr">
        <is>
          <t>SANDVIKEN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46241</v>
      </c>
      <c r="F474" t="inlineStr">
        <is>
          <t>GÄVLEBORGS LÄN</t>
        </is>
      </c>
      <c r="G474" t="inlineStr">
        <is>
          <t>SANDVIKEN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44586</v>
      </c>
      <c r="E475" s="1" t="n">
        <v>46241</v>
      </c>
      <c r="F475" t="inlineStr">
        <is>
          <t>GÄVLEBORGS LÄN</t>
        </is>
      </c>
      <c r="G475" t="inlineStr">
        <is>
          <t>SANDVIKEN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45120</v>
      </c>
      <c r="E476" s="1" t="n">
        <v>46241</v>
      </c>
      <c r="F476" t="inlineStr">
        <is>
          <t>GÄVLEBORGS LÄN</t>
        </is>
      </c>
      <c r="G476" t="inlineStr">
        <is>
          <t>SANDVIKEN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45758</v>
      </c>
      <c r="E477" s="1" t="n">
        <v>46241</v>
      </c>
      <c r="F477" t="inlineStr">
        <is>
          <t>GÄVLEBORGS LÄN</t>
        </is>
      </c>
      <c r="G477" t="inlineStr">
        <is>
          <t>SANDVIKEN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46241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29661-2026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46241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46241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46241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46241</v>
      </c>
      <c r="F482" t="inlineStr">
        <is>
          <t>GÄVLEBORGS LÄN</t>
        </is>
      </c>
      <c r="G482" t="inlineStr">
        <is>
          <t>SANDVIKEN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46241</v>
      </c>
      <c r="F483" t="inlineStr">
        <is>
          <t>GÄVLEBORGS LÄN</t>
        </is>
      </c>
      <c r="G483" t="inlineStr">
        <is>
          <t>SANDVIKEN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46241</v>
      </c>
      <c r="F484" t="inlineStr">
        <is>
          <t>GÄVLEBORGS LÄN</t>
        </is>
      </c>
      <c r="G484" t="inlineStr">
        <is>
          <t>SANDVIKEN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46241</v>
      </c>
      <c r="F485" t="inlineStr">
        <is>
          <t>GÄVLEBORGS LÄN</t>
        </is>
      </c>
      <c r="G485" t="inlineStr">
        <is>
          <t>SANDVIKEN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46241</v>
      </c>
      <c r="F486" t="inlineStr">
        <is>
          <t>GÄVLEBORGS LÄN</t>
        </is>
      </c>
      <c r="G486" t="inlineStr">
        <is>
          <t>SANDVIKEN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45299-2023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46241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45639</v>
      </c>
      <c r="E488" s="1" t="n">
        <v>46241</v>
      </c>
      <c r="F488" t="inlineStr">
        <is>
          <t>GÄVLEBORGS LÄN</t>
        </is>
      </c>
      <c r="G488" t="inlineStr">
        <is>
          <t>SANDVIKEN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46241</v>
      </c>
      <c r="F489" t="inlineStr">
        <is>
          <t>GÄVLEBORGS LÄN</t>
        </is>
      </c>
      <c r="G489" t="inlineStr">
        <is>
          <t>SANDVIKEN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46241</v>
      </c>
      <c r="F490" t="inlineStr">
        <is>
          <t>GÄVLEBORGS LÄN</t>
        </is>
      </c>
      <c r="G490" t="inlineStr">
        <is>
          <t>SANDVIKEN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46241</v>
      </c>
      <c r="F491" t="inlineStr">
        <is>
          <t>GÄVLEBORGS LÄN</t>
        </is>
      </c>
      <c r="G491" t="inlineStr">
        <is>
          <t>SANDVIKEN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46241</v>
      </c>
      <c r="F492" t="inlineStr">
        <is>
          <t>GÄVLEBORGS LÄN</t>
        </is>
      </c>
      <c r="G492" t="inlineStr">
        <is>
          <t>SANDVIKEN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46241</v>
      </c>
      <c r="F493" t="inlineStr">
        <is>
          <t>GÄVLEBORGS LÄN</t>
        </is>
      </c>
      <c r="G493" t="inlineStr">
        <is>
          <t>SANDVIKEN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72997-2021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44549</v>
      </c>
      <c r="E494" s="1" t="n">
        <v>46241</v>
      </c>
      <c r="F494" t="inlineStr">
        <is>
          <t>GÄVLEBORGS LÄN</t>
        </is>
      </c>
      <c r="G494" t="inlineStr">
        <is>
          <t>SANDVIKEN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46241</v>
      </c>
      <c r="F495" t="inlineStr">
        <is>
          <t>GÄVLEBORGS LÄN</t>
        </is>
      </c>
      <c r="G495" t="inlineStr">
        <is>
          <t>SANDVIKEN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46241</v>
      </c>
      <c r="F496" t="inlineStr">
        <is>
          <t>GÄVLEBORGS LÄN</t>
        </is>
      </c>
      <c r="G496" t="inlineStr">
        <is>
          <t>SANDVIKEN</t>
        </is>
      </c>
      <c r="I496" t="n">
        <v>8.699999999999999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46241</v>
      </c>
      <c r="F497" t="inlineStr">
        <is>
          <t>GÄVLEBORGS LÄN</t>
        </is>
      </c>
      <c r="G497" t="inlineStr">
        <is>
          <t>SANDVIKEN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23144-2026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46241</v>
      </c>
      <c r="F498" t="inlineStr">
        <is>
          <t>GÄVLEBORGS LÄN</t>
        </is>
      </c>
      <c r="G498" t="inlineStr">
        <is>
          <t>SANDVIKEN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38609-2022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44813</v>
      </c>
      <c r="E499" s="1" t="n">
        <v>46241</v>
      </c>
      <c r="F499" t="inlineStr">
        <is>
          <t>GÄVLEBORGS LÄN</t>
        </is>
      </c>
      <c r="G499" t="inlineStr">
        <is>
          <t>SANDVIKEN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46241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46241</v>
      </c>
      <c r="F501" t="inlineStr">
        <is>
          <t>GÄVLEBORGS LÄN</t>
        </is>
      </c>
      <c r="G501" t="inlineStr">
        <is>
          <t>SANDVIKEN</t>
        </is>
      </c>
      <c r="H501" t="inlineStr">
        <is>
          <t>Naturvårdsverket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46241</v>
      </c>
      <c r="F502" t="inlineStr">
        <is>
          <t>GÄVLEBORGS LÄN</t>
        </is>
      </c>
      <c r="G502" t="inlineStr">
        <is>
          <t>SANDVIKEN</t>
        </is>
      </c>
      <c r="I502" t="n">
        <v>10.2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46241</v>
      </c>
      <c r="F503" t="inlineStr">
        <is>
          <t>GÄVLEBORGS LÄN</t>
        </is>
      </c>
      <c r="G503" t="inlineStr">
        <is>
          <t>SANDVIKEN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46241</v>
      </c>
      <c r="F504" t="inlineStr">
        <is>
          <t>GÄVLEBORGS LÄN</t>
        </is>
      </c>
      <c r="G504" t="inlineStr">
        <is>
          <t>SANDVIKEN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46241</v>
      </c>
      <c r="F505" t="inlineStr">
        <is>
          <t>GÄVLEBORGS LÄN</t>
        </is>
      </c>
      <c r="G505" t="inlineStr">
        <is>
          <t>SANDVIKEN</t>
        </is>
      </c>
      <c r="H505" t="inlineStr">
        <is>
          <t>Sveaskog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46241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7032-2025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45701</v>
      </c>
      <c r="E507" s="1" t="n">
        <v>46241</v>
      </c>
      <c r="F507" t="inlineStr">
        <is>
          <t>GÄVLEBORGS LÄN</t>
        </is>
      </c>
      <c r="G507" t="inlineStr">
        <is>
          <t>SANDVIKEN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46044</v>
      </c>
      <c r="E508" s="1" t="n">
        <v>46241</v>
      </c>
      <c r="F508" t="inlineStr">
        <is>
          <t>GÄVLEBORGS LÄN</t>
        </is>
      </c>
      <c r="G508" t="inlineStr">
        <is>
          <t>SANDVIKEN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46241</v>
      </c>
      <c r="F509" t="inlineStr">
        <is>
          <t>GÄVLEBORGS LÄN</t>
        </is>
      </c>
      <c r="G509" t="inlineStr">
        <is>
          <t>SANDVIKEN</t>
        </is>
      </c>
      <c r="H509" t="inlineStr">
        <is>
          <t>Naturvårdsverket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46241</v>
      </c>
      <c r="F510" t="inlineStr">
        <is>
          <t>GÄVLEBORGS LÄN</t>
        </is>
      </c>
      <c r="G510" t="inlineStr">
        <is>
          <t>SANDVIKEN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46241</v>
      </c>
      <c r="F511" t="inlineStr">
        <is>
          <t>GÄVLEBORGS LÄN</t>
        </is>
      </c>
      <c r="G511" t="inlineStr">
        <is>
          <t>SANDVIKEN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46241</v>
      </c>
      <c r="F512" t="inlineStr">
        <is>
          <t>GÄVLEBORGS LÄN</t>
        </is>
      </c>
      <c r="G512" t="inlineStr">
        <is>
          <t>SANDVIKEN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46241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46241</v>
      </c>
      <c r="F514" t="inlineStr">
        <is>
          <t>GÄVLEBORGS LÄN</t>
        </is>
      </c>
      <c r="G514" t="inlineStr">
        <is>
          <t>SANDVIKEN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46241</v>
      </c>
      <c r="F515" t="inlineStr">
        <is>
          <t>GÄVLEBORGS LÄN</t>
        </is>
      </c>
      <c r="G515" t="inlineStr">
        <is>
          <t>SANDVIKEN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46241</v>
      </c>
      <c r="F516" t="inlineStr">
        <is>
          <t>GÄVLEBORGS LÄN</t>
        </is>
      </c>
      <c r="G516" t="inlineStr">
        <is>
          <t>SANDVIKEN</t>
        </is>
      </c>
      <c r="H516" t="inlineStr">
        <is>
          <t>Övriga statliga verk och myndigheter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44566</v>
      </c>
      <c r="E517" s="1" t="n">
        <v>46241</v>
      </c>
      <c r="F517" t="inlineStr">
        <is>
          <t>GÄVLEBORGS LÄN</t>
        </is>
      </c>
      <c r="G517" t="inlineStr">
        <is>
          <t>SANDVIKEN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46241</v>
      </c>
      <c r="F518" t="inlineStr">
        <is>
          <t>GÄVLEBORGS LÄN</t>
        </is>
      </c>
      <c r="G518" t="inlineStr">
        <is>
          <t>SANDVIKEN</t>
        </is>
      </c>
      <c r="H518" t="inlineStr">
        <is>
          <t>Övriga statliga verk och myndigheter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45075</v>
      </c>
      <c r="E519" s="1" t="n">
        <v>46241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46241</v>
      </c>
      <c r="F520" t="inlineStr">
        <is>
          <t>GÄVLEBORGS LÄN</t>
        </is>
      </c>
      <c r="G520" t="inlineStr">
        <is>
          <t>SANDVIKEN</t>
        </is>
      </c>
      <c r="I520" t="n">
        <v>14.2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46241</v>
      </c>
      <c r="F521" t="inlineStr">
        <is>
          <t>GÄVLEBORGS LÄN</t>
        </is>
      </c>
      <c r="G521" t="inlineStr">
        <is>
          <t>SANDVIKEN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46241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45153</v>
      </c>
      <c r="E523" s="1" t="n">
        <v>46241</v>
      </c>
      <c r="F523" t="inlineStr">
        <is>
          <t>GÄVLEBORGS LÄN</t>
        </is>
      </c>
      <c r="G523" t="inlineStr">
        <is>
          <t>SANDVIKEN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46241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46241</v>
      </c>
      <c r="F525" t="inlineStr">
        <is>
          <t>GÄVLEBORGS LÄN</t>
        </is>
      </c>
      <c r="G525" t="inlineStr">
        <is>
          <t>SANDVIKEN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45112</v>
      </c>
      <c r="E526" s="1" t="n">
        <v>46241</v>
      </c>
      <c r="F526" t="inlineStr">
        <is>
          <t>GÄVLEBORGS LÄN</t>
        </is>
      </c>
      <c r="G526" t="inlineStr">
        <is>
          <t>SANDVIKEN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46045</v>
      </c>
      <c r="E527" s="1" t="n">
        <v>46241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45638</v>
      </c>
      <c r="E528" s="1" t="n">
        <v>46241</v>
      </c>
      <c r="F528" t="inlineStr">
        <is>
          <t>GÄVLEBORGS LÄN</t>
        </is>
      </c>
      <c r="G528" t="inlineStr">
        <is>
          <t>SANDVIKEN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46241</v>
      </c>
      <c r="F529" t="inlineStr">
        <is>
          <t>GÄVLEBORGS LÄN</t>
        </is>
      </c>
      <c r="G529" t="inlineStr">
        <is>
          <t>SANDVIKEN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46241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46241</v>
      </c>
      <c r="F531" t="inlineStr">
        <is>
          <t>GÄVLEBORGS LÄN</t>
        </is>
      </c>
      <c r="G531" t="inlineStr">
        <is>
          <t>SANDVIKEN</t>
        </is>
      </c>
      <c r="H531" t="inlineStr">
        <is>
          <t>Övriga statliga verk och myndigheter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46241</v>
      </c>
      <c r="F532" t="inlineStr">
        <is>
          <t>GÄVLEBORGS LÄN</t>
        </is>
      </c>
      <c r="G532" t="inlineStr">
        <is>
          <t>SANDVIKEN</t>
        </is>
      </c>
      <c r="H532" t="inlineStr">
        <is>
          <t>Övriga statliga verk och myndigheter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23474-2026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46163</v>
      </c>
      <c r="E533" s="1" t="n">
        <v>46241</v>
      </c>
      <c r="F533" t="inlineStr">
        <is>
          <t>GÄVLEBORGS LÄN</t>
        </is>
      </c>
      <c r="G533" t="inlineStr">
        <is>
          <t>SANDVIKEN</t>
        </is>
      </c>
      <c r="H533" t="inlineStr">
        <is>
          <t>Övriga statliga verk och myndigheter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46051</v>
      </c>
      <c r="E534" s="1" t="n">
        <v>46241</v>
      </c>
      <c r="F534" t="inlineStr">
        <is>
          <t>GÄVLEBORGS LÄN</t>
        </is>
      </c>
      <c r="G534" t="inlineStr">
        <is>
          <t>SANDVIKEN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46051</v>
      </c>
      <c r="E535" s="1" t="n">
        <v>46241</v>
      </c>
      <c r="F535" t="inlineStr">
        <is>
          <t>GÄVLEBORGS LÄN</t>
        </is>
      </c>
      <c r="G535" t="inlineStr">
        <is>
          <t>SANDVIKEN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46050</v>
      </c>
      <c r="E536" s="1" t="n">
        <v>46241</v>
      </c>
      <c r="F536" t="inlineStr">
        <is>
          <t>GÄVLEBORGS LÄN</t>
        </is>
      </c>
      <c r="G536" t="inlineStr">
        <is>
          <t>SANDVIKEN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46241</v>
      </c>
      <c r="F537" t="inlineStr">
        <is>
          <t>GÄVLEBORGS LÄN</t>
        </is>
      </c>
      <c r="G537" t="inlineStr">
        <is>
          <t>SANDVIKEN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46241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46241</v>
      </c>
      <c r="F539" t="inlineStr">
        <is>
          <t>GÄVLEBORGS LÄN</t>
        </is>
      </c>
      <c r="G539" t="inlineStr">
        <is>
          <t>SANDVIKEN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45673</v>
      </c>
      <c r="E540" s="1" t="n">
        <v>46241</v>
      </c>
      <c r="F540" t="inlineStr">
        <is>
          <t>GÄVLEBORGS LÄN</t>
        </is>
      </c>
      <c r="G540" t="inlineStr">
        <is>
          <t>SANDVIKEN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46055</v>
      </c>
      <c r="E541" s="1" t="n">
        <v>46241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46241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46241</v>
      </c>
      <c r="F543" t="inlineStr">
        <is>
          <t>GÄVLEBORGS LÄN</t>
        </is>
      </c>
      <c r="G543" t="inlineStr">
        <is>
          <t>SANDVIKEN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46241</v>
      </c>
      <c r="F544" t="inlineStr">
        <is>
          <t>GÄVLEBORGS LÄN</t>
        </is>
      </c>
      <c r="G544" t="inlineStr">
        <is>
          <t>SANDVIKEN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46058</v>
      </c>
      <c r="E545" s="1" t="n">
        <v>46241</v>
      </c>
      <c r="F545" t="inlineStr">
        <is>
          <t>GÄVLEBORGS LÄN</t>
        </is>
      </c>
      <c r="G545" t="inlineStr">
        <is>
          <t>SANDVIKEN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44810</v>
      </c>
      <c r="E546" s="1" t="n">
        <v>46241</v>
      </c>
      <c r="F546" t="inlineStr">
        <is>
          <t>GÄVLEBORGS LÄN</t>
        </is>
      </c>
      <c r="G546" t="inlineStr">
        <is>
          <t>SANDVIKEN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49706-2023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45212</v>
      </c>
      <c r="E547" s="1" t="n">
        <v>46241</v>
      </c>
      <c r="F547" t="inlineStr">
        <is>
          <t>GÄVLEBORGS LÄN</t>
        </is>
      </c>
      <c r="G547" t="inlineStr">
        <is>
          <t>SANDVIKEN</t>
        </is>
      </c>
      <c r="H547" t="inlineStr">
        <is>
          <t>Sveaskog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46241</v>
      </c>
      <c r="F548" t="inlineStr">
        <is>
          <t>GÄVLEBORGS LÄN</t>
        </is>
      </c>
      <c r="G548" t="inlineStr">
        <is>
          <t>SANDVIKEN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54443-2024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46241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46165</v>
      </c>
      <c r="E550" s="1" t="n">
        <v>46241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46241</v>
      </c>
      <c r="F551" t="inlineStr">
        <is>
          <t>GÄVLEBORGS LÄN</t>
        </is>
      </c>
      <c r="G551" t="inlineStr">
        <is>
          <t>SANDVIKEN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46241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46241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46165</v>
      </c>
      <c r="E554" s="1" t="n">
        <v>46241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7.9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46165</v>
      </c>
      <c r="E555" s="1" t="n">
        <v>46241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46241</v>
      </c>
      <c r="F556" t="inlineStr">
        <is>
          <t>GÄVLEBORGS LÄN</t>
        </is>
      </c>
      <c r="G556" t="inlineStr">
        <is>
          <t>SANDVIKEN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46241</v>
      </c>
      <c r="F557" t="inlineStr">
        <is>
          <t>GÄVLEBORGS LÄN</t>
        </is>
      </c>
      <c r="G557" t="inlineStr">
        <is>
          <t>SANDVIKEN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46241</v>
      </c>
      <c r="F558" t="inlineStr">
        <is>
          <t>GÄVLEBORGS LÄN</t>
        </is>
      </c>
      <c r="G558" t="inlineStr">
        <is>
          <t>SANDVIKEN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46165</v>
      </c>
      <c r="E559" s="1" t="n">
        <v>46241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7694-2026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46241</v>
      </c>
      <c r="F560" t="inlineStr">
        <is>
          <t>GÄVLEBORGS LÄN</t>
        </is>
      </c>
      <c r="G560" t="inlineStr">
        <is>
          <t>SANDVIKEN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48300-2023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46241</v>
      </c>
      <c r="F561" t="inlineStr">
        <is>
          <t>GÄVLEBORGS LÄN</t>
        </is>
      </c>
      <c r="G561" t="inlineStr">
        <is>
          <t>SANDVIKEN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45208</v>
      </c>
      <c r="E562" s="1" t="n">
        <v>46241</v>
      </c>
      <c r="F562" t="inlineStr">
        <is>
          <t>GÄVLEBORGS LÄN</t>
        </is>
      </c>
      <c r="G562" t="inlineStr">
        <is>
          <t>SANDVIKEN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8295-2026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46241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46165</v>
      </c>
      <c r="E564" s="1" t="n">
        <v>46241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46241</v>
      </c>
      <c r="F565" t="inlineStr">
        <is>
          <t>GÄVLEBORGS LÄN</t>
        </is>
      </c>
      <c r="G565" t="inlineStr">
        <is>
          <t>SANDVIKEN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46241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46241</v>
      </c>
      <c r="F567" t="inlineStr">
        <is>
          <t>GÄVLEBORGS LÄN</t>
        </is>
      </c>
      <c r="G567" t="inlineStr">
        <is>
          <t>SANDVIKEN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46241</v>
      </c>
      <c r="F568" t="inlineStr">
        <is>
          <t>GÄVLEBORGS LÄN</t>
        </is>
      </c>
      <c r="G568" t="inlineStr">
        <is>
          <t>SANDVIKEN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46241</v>
      </c>
      <c r="F569" t="inlineStr">
        <is>
          <t>GÄVLEBORGS LÄN</t>
        </is>
      </c>
      <c r="G569" t="inlineStr">
        <is>
          <t>SANDVIKEN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46241</v>
      </c>
      <c r="F570" t="inlineStr">
        <is>
          <t>GÄVLEBORGS LÄN</t>
        </is>
      </c>
      <c r="G570" t="inlineStr">
        <is>
          <t>SANDVIKEN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1037-2025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45666</v>
      </c>
      <c r="E571" s="1" t="n">
        <v>46241</v>
      </c>
      <c r="F571" t="inlineStr">
        <is>
          <t>GÄVLEBORGS LÄN</t>
        </is>
      </c>
      <c r="G571" t="inlineStr">
        <is>
          <t>SANDVIKEN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46064</v>
      </c>
      <c r="E572" s="1" t="n">
        <v>46241</v>
      </c>
      <c r="F572" t="inlineStr">
        <is>
          <t>GÄVLEBORGS LÄN</t>
        </is>
      </c>
      <c r="G572" t="inlineStr">
        <is>
          <t>SANDVIKEN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46241</v>
      </c>
      <c r="F573" t="inlineStr">
        <is>
          <t>GÄVLEBORGS LÄN</t>
        </is>
      </c>
      <c r="G573" t="inlineStr">
        <is>
          <t>SANDVIKEN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46063</v>
      </c>
      <c r="E574" s="1" t="n">
        <v>46241</v>
      </c>
      <c r="F574" t="inlineStr">
        <is>
          <t>GÄVLEBORGS LÄN</t>
        </is>
      </c>
      <c r="G574" t="inlineStr">
        <is>
          <t>SANDVIKEN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46063</v>
      </c>
      <c r="E575" s="1" t="n">
        <v>46241</v>
      </c>
      <c r="F575" t="inlineStr">
        <is>
          <t>GÄVLEBORGS LÄN</t>
        </is>
      </c>
      <c r="G575" t="inlineStr">
        <is>
          <t>SANDVIKEN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46241</v>
      </c>
      <c r="F576" t="inlineStr">
        <is>
          <t>GÄVLEBORGS LÄN</t>
        </is>
      </c>
      <c r="G576" t="inlineStr">
        <is>
          <t>SANDVIKEN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45698</v>
      </c>
      <c r="E577" s="1" t="n">
        <v>46241</v>
      </c>
      <c r="F577" t="inlineStr">
        <is>
          <t>GÄVLEBORGS LÄN</t>
        </is>
      </c>
      <c r="G577" t="inlineStr">
        <is>
          <t>SANDVIKEN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48799-2023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46241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46241</v>
      </c>
      <c r="F579" t="inlineStr">
        <is>
          <t>GÄVLEBORGS LÄN</t>
        </is>
      </c>
      <c r="G579" t="inlineStr">
        <is>
          <t>SANDVIKEN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46066</v>
      </c>
      <c r="E580" s="1" t="n">
        <v>46241</v>
      </c>
      <c r="F580" t="inlineStr">
        <is>
          <t>GÄVLEBORGS LÄN</t>
        </is>
      </c>
      <c r="G580" t="inlineStr">
        <is>
          <t>SANDVIKEN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46066</v>
      </c>
      <c r="E581" s="1" t="n">
        <v>46241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46241</v>
      </c>
      <c r="F582" t="inlineStr">
        <is>
          <t>GÄVLEBORGS LÄN</t>
        </is>
      </c>
      <c r="G582" t="inlineStr">
        <is>
          <t>SANDVIKEN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45240</v>
      </c>
      <c r="E583" s="1" t="n">
        <v>46241</v>
      </c>
      <c r="F583" t="inlineStr">
        <is>
          <t>GÄVLEBORGS LÄN</t>
        </is>
      </c>
      <c r="G583" t="inlineStr">
        <is>
          <t>SANDVIKEN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8574-2026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46065</v>
      </c>
      <c r="E584" s="1" t="n">
        <v>46241</v>
      </c>
      <c r="F584" t="inlineStr">
        <is>
          <t>GÄVLEBORGS LÄN</t>
        </is>
      </c>
      <c r="G584" t="inlineStr">
        <is>
          <t>SANDVIKEN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46241</v>
      </c>
      <c r="F585" t="inlineStr">
        <is>
          <t>GÄVLEBORGS LÄN</t>
        </is>
      </c>
      <c r="G585" t="inlineStr">
        <is>
          <t>SANDVIKEN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46069</v>
      </c>
      <c r="E586" s="1" t="n">
        <v>46241</v>
      </c>
      <c r="F586" t="inlineStr">
        <is>
          <t>GÄVLEBORGS LÄN</t>
        </is>
      </c>
      <c r="G586" t="inlineStr">
        <is>
          <t>SANDVIKEN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18752-2026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46128</v>
      </c>
      <c r="E587" s="1" t="n">
        <v>46241</v>
      </c>
      <c r="F587" t="inlineStr">
        <is>
          <t>GÄVLEBORGS LÄN</t>
        </is>
      </c>
      <c r="G587" t="inlineStr">
        <is>
          <t>SANDVIKEN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24297-2026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46241</v>
      </c>
      <c r="F588" t="inlineStr">
        <is>
          <t>GÄVLEBORGS LÄN</t>
        </is>
      </c>
      <c r="G588" t="inlineStr">
        <is>
          <t>SANDVIKEN</t>
        </is>
      </c>
      <c r="H588" t="inlineStr">
        <is>
          <t>Kommuner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24303-2026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46169</v>
      </c>
      <c r="E589" s="1" t="n">
        <v>46241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46069</v>
      </c>
      <c r="E590" s="1" t="n">
        <v>46241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46241</v>
      </c>
      <c r="F591" t="inlineStr">
        <is>
          <t>GÄVLEBORGS LÄN</t>
        </is>
      </c>
      <c r="G591" t="inlineStr">
        <is>
          <t>SANDVIKEN</t>
        </is>
      </c>
      <c r="H591" t="inlineStr">
        <is>
          <t>Naturvårdsverket</t>
        </is>
      </c>
      <c r="I591" t="n">
        <v>19.5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9480-2026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46241</v>
      </c>
      <c r="F592" t="inlineStr">
        <is>
          <t>GÄVLEBORGS LÄN</t>
        </is>
      </c>
      <c r="G592" t="inlineStr">
        <is>
          <t>SANDVIKEN</t>
        </is>
      </c>
      <c r="H592" t="inlineStr">
        <is>
          <t>Naturvårdsverket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46241</v>
      </c>
      <c r="F593" t="inlineStr">
        <is>
          <t>GÄVLEBORGS LÄN</t>
        </is>
      </c>
      <c r="G593" t="inlineStr">
        <is>
          <t>SANDVIKEN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24313-2026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46241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15340-2026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46105</v>
      </c>
      <c r="E595" s="1" t="n">
        <v>46241</v>
      </c>
      <c r="F595" t="inlineStr">
        <is>
          <t>GÄVLEBORGS LÄN</t>
        </is>
      </c>
      <c r="G595" t="inlineStr">
        <is>
          <t>SANDVIKEN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46169</v>
      </c>
      <c r="E596" s="1" t="n">
        <v>46241</v>
      </c>
      <c r="F596" t="inlineStr">
        <is>
          <t>GÄVLEBORGS LÄN</t>
        </is>
      </c>
      <c r="G596" t="inlineStr">
        <is>
          <t>SANDVIKEN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46241</v>
      </c>
      <c r="F597" t="inlineStr">
        <is>
          <t>GÄVLEBORGS LÄN</t>
        </is>
      </c>
      <c r="G597" t="inlineStr">
        <is>
          <t>SANDVIKEN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46169</v>
      </c>
      <c r="E598" s="1" t="n">
        <v>46241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46241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46241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61052-2024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46241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46241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46052</v>
      </c>
      <c r="E603" s="1" t="n">
        <v>46241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46074</v>
      </c>
      <c r="E604" s="1" t="n">
        <v>46241</v>
      </c>
      <c r="F604" t="inlineStr">
        <is>
          <t>GÄVLEBORGS LÄN</t>
        </is>
      </c>
      <c r="G604" t="inlineStr">
        <is>
          <t>SANDVIKEN</t>
        </is>
      </c>
      <c r="I604" t="n">
        <v>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45701</v>
      </c>
      <c r="E605" s="1" t="n">
        <v>46241</v>
      </c>
      <c r="F605" t="inlineStr">
        <is>
          <t>GÄVLEBORGS LÄN</t>
        </is>
      </c>
      <c r="G605" t="inlineStr">
        <is>
          <t>SANDVIKEN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7056-2025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45701</v>
      </c>
      <c r="E606" s="1" t="n">
        <v>46241</v>
      </c>
      <c r="F606" t="inlineStr">
        <is>
          <t>GÄVLEBORGS LÄN</t>
        </is>
      </c>
      <c r="G606" t="inlineStr">
        <is>
          <t>SANDVIKEN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10176-2026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46241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46241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46241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53867-2024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45615</v>
      </c>
      <c r="E610" s="1" t="n">
        <v>46241</v>
      </c>
      <c r="F610" t="inlineStr">
        <is>
          <t>GÄVLEBORGS LÄN</t>
        </is>
      </c>
      <c r="G610" t="inlineStr">
        <is>
          <t>SANDVIKEN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46241</v>
      </c>
      <c r="F611" t="inlineStr">
        <is>
          <t>GÄVLEBORGS LÄN</t>
        </is>
      </c>
      <c r="G611" t="inlineStr">
        <is>
          <t>SANDVIKEN</t>
        </is>
      </c>
      <c r="I611" t="n">
        <v>9.300000000000001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29620-2026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46204</v>
      </c>
      <c r="E612" s="1" t="n">
        <v>46241</v>
      </c>
      <c r="F612" t="inlineStr">
        <is>
          <t>GÄVLEBORGS LÄN</t>
        </is>
      </c>
      <c r="G612" t="inlineStr">
        <is>
          <t>SANDVIKEN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46241</v>
      </c>
      <c r="F613" t="inlineStr">
        <is>
          <t>GÄVLEBORGS LÄN</t>
        </is>
      </c>
      <c r="G613" t="inlineStr">
        <is>
          <t>SANDVIKEN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46241</v>
      </c>
      <c r="F614" t="inlineStr">
        <is>
          <t>GÄVLEBORGS LÄN</t>
        </is>
      </c>
      <c r="G614" t="inlineStr">
        <is>
          <t>SANDVIKEN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46241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46241</v>
      </c>
      <c r="F616" t="inlineStr">
        <is>
          <t>GÄVLEBORGS LÄN</t>
        </is>
      </c>
      <c r="G616" t="inlineStr">
        <is>
          <t>SANDVIKEN</t>
        </is>
      </c>
      <c r="I616" t="n">
        <v>14.5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45688</v>
      </c>
      <c r="E617" s="1" t="n">
        <v>46241</v>
      </c>
      <c r="F617" t="inlineStr">
        <is>
          <t>GÄVLEBORGS LÄN</t>
        </is>
      </c>
      <c r="G617" t="inlineStr">
        <is>
          <t>SANDVIKEN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46241</v>
      </c>
      <c r="F618" t="inlineStr">
        <is>
          <t>GÄVLEBORGS LÄN</t>
        </is>
      </c>
      <c r="G618" t="inlineStr">
        <is>
          <t>SANDVIKEN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46171</v>
      </c>
      <c r="E619" s="1" t="n">
        <v>46241</v>
      </c>
      <c r="F619" t="inlineStr">
        <is>
          <t>GÄVLEBORGS LÄN</t>
        </is>
      </c>
      <c r="G619" t="inlineStr">
        <is>
          <t>SANDVIKEN</t>
        </is>
      </c>
      <c r="I619" t="n">
        <v>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46080</v>
      </c>
      <c r="E620" s="1" t="n">
        <v>46241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46241</v>
      </c>
      <c r="F621" t="inlineStr">
        <is>
          <t>GÄVLEBORGS LÄN</t>
        </is>
      </c>
      <c r="G621" t="inlineStr">
        <is>
          <t>SANDVIKEN</t>
        </is>
      </c>
      <c r="H621" t="inlineStr">
        <is>
          <t>Naturvårdsverket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19269-2025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45769</v>
      </c>
      <c r="E622" s="1" t="n">
        <v>46241</v>
      </c>
      <c r="F622" t="inlineStr">
        <is>
          <t>GÄVLEBORGS LÄN</t>
        </is>
      </c>
      <c r="G622" t="inlineStr">
        <is>
          <t>SANDVIKEN</t>
        </is>
      </c>
      <c r="I622" t="n">
        <v>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46241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11725-2026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46241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10.5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46241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46241</v>
      </c>
      <c r="F626" t="inlineStr">
        <is>
          <t>GÄVLEBORGS LÄN</t>
        </is>
      </c>
      <c r="G626" t="inlineStr">
        <is>
          <t>SANDVIKEN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46241</v>
      </c>
      <c r="F627" t="inlineStr">
        <is>
          <t>GÄVLEBORGS LÄN</t>
        </is>
      </c>
      <c r="G627" t="inlineStr">
        <is>
          <t>SANDVIKEN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46037</v>
      </c>
      <c r="E628" s="1" t="n">
        <v>46241</v>
      </c>
      <c r="F628" t="inlineStr">
        <is>
          <t>GÄVLEBORGS LÄN</t>
        </is>
      </c>
      <c r="G628" t="inlineStr">
        <is>
          <t>SANDVIKEN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11800-2026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46241</v>
      </c>
      <c r="F629" t="inlineStr">
        <is>
          <t>GÄVLEBORGS LÄN</t>
        </is>
      </c>
      <c r="G629" t="inlineStr">
        <is>
          <t>SANDVIKEN</t>
        </is>
      </c>
      <c r="H629" t="inlineStr">
        <is>
          <t>Naturvårdsverket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46241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46084</v>
      </c>
      <c r="E631" s="1" t="n">
        <v>46241</v>
      </c>
      <c r="F631" t="inlineStr">
        <is>
          <t>GÄVLEBORGS LÄN</t>
        </is>
      </c>
      <c r="G631" t="inlineStr">
        <is>
          <t>SANDVIKEN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46086</v>
      </c>
      <c r="E632" s="1" t="n">
        <v>46241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46241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27.2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45250</v>
      </c>
      <c r="E634" s="1" t="n">
        <v>46241</v>
      </c>
      <c r="F634" t="inlineStr">
        <is>
          <t>GÄVLEBORGS LÄN</t>
        </is>
      </c>
      <c r="G634" t="inlineStr">
        <is>
          <t>SANDVIKEN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46241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46241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12064-2026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46241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46087</v>
      </c>
      <c r="E638" s="1" t="n">
        <v>46241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12098-2026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46086</v>
      </c>
      <c r="E639" s="1" t="n">
        <v>46241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46241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12208-2026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46241</v>
      </c>
      <c r="F641" t="inlineStr">
        <is>
          <t>GÄVLEBORGS LÄN</t>
        </is>
      </c>
      <c r="G641" t="inlineStr">
        <is>
          <t>SANDVIKEN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46241</v>
      </c>
      <c r="F642" t="inlineStr">
        <is>
          <t>GÄVLEBORGS LÄN</t>
        </is>
      </c>
      <c r="G642" t="inlineStr">
        <is>
          <t>SANDVIKEN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46241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46241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46241</v>
      </c>
      <c r="F645" t="inlineStr">
        <is>
          <t>GÄVLEBORGS LÄN</t>
        </is>
      </c>
      <c r="G645" t="inlineStr">
        <is>
          <t>SANDVIKEN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12132-2026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46086</v>
      </c>
      <c r="E646" s="1" t="n">
        <v>46241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46241</v>
      </c>
      <c r="F647" t="inlineStr">
        <is>
          <t>GÄVLEBORGS LÄN</t>
        </is>
      </c>
      <c r="G647" t="inlineStr">
        <is>
          <t>SANDVIKEN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45463</v>
      </c>
      <c r="E648" s="1" t="n">
        <v>46241</v>
      </c>
      <c r="F648" t="inlineStr">
        <is>
          <t>GÄVLEBORGS LÄN</t>
        </is>
      </c>
      <c r="G648" t="inlineStr">
        <is>
          <t>SANDVIKEN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46241</v>
      </c>
      <c r="F649" t="inlineStr">
        <is>
          <t>GÄVLEBORGS LÄN</t>
        </is>
      </c>
      <c r="G649" t="inlineStr">
        <is>
          <t>SANDVIKEN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46241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53007-2023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45226</v>
      </c>
      <c r="E651" s="1" t="n">
        <v>46241</v>
      </c>
      <c r="F651" t="inlineStr">
        <is>
          <t>GÄVLEBORGS LÄN</t>
        </is>
      </c>
      <c r="G651" t="inlineStr">
        <is>
          <t>SANDVIKEN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46045</v>
      </c>
      <c r="E652" s="1" t="n">
        <v>46241</v>
      </c>
      <c r="F652" t="inlineStr">
        <is>
          <t>GÄVLEBORGS LÄN</t>
        </is>
      </c>
      <c r="G652" t="inlineStr">
        <is>
          <t>SANDVIKEN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46090</v>
      </c>
      <c r="E653" s="1" t="n">
        <v>46241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44804</v>
      </c>
      <c r="E654" s="1" t="n">
        <v>46241</v>
      </c>
      <c r="F654" t="inlineStr">
        <is>
          <t>GÄVLEBORGS LÄN</t>
        </is>
      </c>
      <c r="G654" t="inlineStr">
        <is>
          <t>SANDVIKEN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46241</v>
      </c>
      <c r="F655" t="inlineStr">
        <is>
          <t>GÄVLEBORGS LÄN</t>
        </is>
      </c>
      <c r="G655" t="inlineStr">
        <is>
          <t>SANDVIKEN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25175-2026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46175</v>
      </c>
      <c r="E656" s="1" t="n">
        <v>46241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12426-2026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46241</v>
      </c>
      <c r="F657" t="inlineStr">
        <is>
          <t>GÄVLEBORGS LÄN</t>
        </is>
      </c>
      <c r="G657" t="inlineStr">
        <is>
          <t>SANDVIKEN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12641-2026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46091</v>
      </c>
      <c r="E658" s="1" t="n">
        <v>46241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12586-2026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46241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46091</v>
      </c>
      <c r="E660" s="1" t="n">
        <v>46241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46241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46241</v>
      </c>
      <c r="F662" t="inlineStr">
        <is>
          <t>GÄVLEBORGS LÄN</t>
        </is>
      </c>
      <c r="G662" t="inlineStr">
        <is>
          <t>SANDVIKEN</t>
        </is>
      </c>
      <c r="I662" t="n">
        <v>22.5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45408</v>
      </c>
      <c r="E663" s="1" t="n">
        <v>46241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väst AB</t>
        </is>
      </c>
      <c r="I663" t="n">
        <v>14.2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46241</v>
      </c>
      <c r="F664" t="inlineStr">
        <is>
          <t>GÄVLEBORGS LÄN</t>
        </is>
      </c>
      <c r="G664" t="inlineStr">
        <is>
          <t>SANDVIKEN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46241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46092</v>
      </c>
      <c r="E666" s="1" t="n">
        <v>46241</v>
      </c>
      <c r="F666" t="inlineStr">
        <is>
          <t>GÄVLEBORGS LÄN</t>
        </is>
      </c>
      <c r="G666" t="inlineStr">
        <is>
          <t>SANDVIKEN</t>
        </is>
      </c>
      <c r="H666" t="inlineStr">
        <is>
          <t>Naturvårdsverket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46093</v>
      </c>
      <c r="E667" s="1" t="n">
        <v>46241</v>
      </c>
      <c r="F667" t="inlineStr">
        <is>
          <t>GÄVLEBORGS LÄN</t>
        </is>
      </c>
      <c r="G667" t="inlineStr">
        <is>
          <t>SANDVIKEN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46241</v>
      </c>
      <c r="F668" t="inlineStr">
        <is>
          <t>GÄVLEBORGS LÄN</t>
        </is>
      </c>
      <c r="G668" t="inlineStr">
        <is>
          <t>SANDVIKEN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12893-2026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46241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6.2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46241</v>
      </c>
      <c r="F670" t="inlineStr">
        <is>
          <t>GÄVLEBORGS LÄN</t>
        </is>
      </c>
      <c r="G670" t="inlineStr">
        <is>
          <t>SANDVIKEN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46036</v>
      </c>
      <c r="E671" s="1" t="n">
        <v>46241</v>
      </c>
      <c r="F671" t="inlineStr">
        <is>
          <t>GÄVLEBORGS LÄN</t>
        </is>
      </c>
      <c r="G671" t="inlineStr">
        <is>
          <t>SANDVIKEN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46241</v>
      </c>
      <c r="F672" t="inlineStr">
        <is>
          <t>GÄVLEBORGS LÄN</t>
        </is>
      </c>
      <c r="G672" t="inlineStr">
        <is>
          <t>SANDVIKEN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46241</v>
      </c>
      <c r="F673" t="inlineStr">
        <is>
          <t>GÄVLEBORGS LÄN</t>
        </is>
      </c>
      <c r="G673" t="inlineStr">
        <is>
          <t>SANDVIKEN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46095</v>
      </c>
      <c r="E674" s="1" t="n">
        <v>46241</v>
      </c>
      <c r="F674" t="inlineStr">
        <is>
          <t>GÄVLEBORGS LÄN</t>
        </is>
      </c>
      <c r="G674" t="inlineStr">
        <is>
          <t>SANDVIKEN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13581-2026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46095</v>
      </c>
      <c r="E675" s="1" t="n">
        <v>46241</v>
      </c>
      <c r="F675" t="inlineStr">
        <is>
          <t>GÄVLEBORGS LÄN</t>
        </is>
      </c>
      <c r="G675" t="inlineStr">
        <is>
          <t>SANDVIKEN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46095</v>
      </c>
      <c r="E676" s="1" t="n">
        <v>46241</v>
      </c>
      <c r="F676" t="inlineStr">
        <is>
          <t>GÄVLEBORGS LÄN</t>
        </is>
      </c>
      <c r="G676" t="inlineStr">
        <is>
          <t>SANDVIKEN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46241</v>
      </c>
      <c r="F677" t="inlineStr">
        <is>
          <t>GÄVLEBORGS LÄN</t>
        </is>
      </c>
      <c r="G677" t="inlineStr">
        <is>
          <t>SANDVIKEN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46241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13642-2026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46097</v>
      </c>
      <c r="E679" s="1" t="n">
        <v>46241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46241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46241</v>
      </c>
      <c r="F681" t="inlineStr">
        <is>
          <t>GÄVLEBORGS LÄN</t>
        </is>
      </c>
      <c r="G681" t="inlineStr">
        <is>
          <t>SANDVIKEN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13727-2026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46097</v>
      </c>
      <c r="E682" s="1" t="n">
        <v>46241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13580-2026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46095</v>
      </c>
      <c r="E683" s="1" t="n">
        <v>46241</v>
      </c>
      <c r="F683" t="inlineStr">
        <is>
          <t>GÄVLEBORGS LÄN</t>
        </is>
      </c>
      <c r="G683" t="inlineStr">
        <is>
          <t>SANDVIKEN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13584-2026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46095</v>
      </c>
      <c r="E684" s="1" t="n">
        <v>46241</v>
      </c>
      <c r="F684" t="inlineStr">
        <is>
          <t>GÄVLEBORGS LÄN</t>
        </is>
      </c>
      <c r="G684" t="inlineStr">
        <is>
          <t>SANDVIKEN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46241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25456-2026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46241</v>
      </c>
      <c r="F686" t="inlineStr">
        <is>
          <t>GÄVLEBORGS LÄN</t>
        </is>
      </c>
      <c r="G686" t="inlineStr">
        <is>
          <t>SANDVIKEN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31314-2026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46219</v>
      </c>
      <c r="E687" s="1" t="n">
        <v>46241</v>
      </c>
      <c r="F687" t="inlineStr">
        <is>
          <t>GÄVLEBORGS LÄN</t>
        </is>
      </c>
      <c r="G687" t="inlineStr">
        <is>
          <t>SANDVIKEN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46177</v>
      </c>
      <c r="E688" s="1" t="n">
        <v>46241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46098</v>
      </c>
      <c r="E689" s="1" t="n">
        <v>46241</v>
      </c>
      <c r="F689" t="inlineStr">
        <is>
          <t>GÄVLEBORGS LÄN</t>
        </is>
      </c>
      <c r="G689" t="inlineStr">
        <is>
          <t>SANDVIKEN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14094-2026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46241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14219-2026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46099</v>
      </c>
      <c r="E691" s="1" t="n">
        <v>46241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14257-2026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46241</v>
      </c>
      <c r="F692" t="inlineStr">
        <is>
          <t>GÄVLEBORGS LÄN</t>
        </is>
      </c>
      <c r="G692" t="inlineStr">
        <is>
          <t>SANDVIKEN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46241</v>
      </c>
      <c r="F693" t="inlineStr">
        <is>
          <t>GÄVLEBORGS LÄN</t>
        </is>
      </c>
      <c r="G693" t="inlineStr">
        <is>
          <t>SANDVIKEN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46098</v>
      </c>
      <c r="E694" s="1" t="n">
        <v>46241</v>
      </c>
      <c r="F694" t="inlineStr">
        <is>
          <t>GÄVLEBORGS LÄN</t>
        </is>
      </c>
      <c r="G694" t="inlineStr">
        <is>
          <t>SANDVIKEN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46241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14119-2026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46099</v>
      </c>
      <c r="E696" s="1" t="n">
        <v>46241</v>
      </c>
      <c r="F696" t="inlineStr">
        <is>
          <t>GÄVLEBORGS LÄN</t>
        </is>
      </c>
      <c r="G696" t="inlineStr">
        <is>
          <t>SANDVIKEN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27967-2022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44744</v>
      </c>
      <c r="E697" s="1" t="n">
        <v>46241</v>
      </c>
      <c r="F697" t="inlineStr">
        <is>
          <t>GÄVLEBORGS LÄN</t>
        </is>
      </c>
      <c r="G697" t="inlineStr">
        <is>
          <t>SANDVIKEN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46241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46241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14423-2026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46100</v>
      </c>
      <c r="E700" s="1" t="n">
        <v>46241</v>
      </c>
      <c r="F700" t="inlineStr">
        <is>
          <t>GÄVLEBORGS LÄN</t>
        </is>
      </c>
      <c r="G700" t="inlineStr">
        <is>
          <t>SANDVIKEN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25412-2026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46241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46241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46241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57609-2023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46241</v>
      </c>
      <c r="F704" t="inlineStr">
        <is>
          <t>GÄVLEBORGS LÄN</t>
        </is>
      </c>
      <c r="G704" t="inlineStr">
        <is>
          <t>SANDVIKEN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46241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46241</v>
      </c>
      <c r="F706" t="inlineStr">
        <is>
          <t>GÄVLEBORGS LÄN</t>
        </is>
      </c>
      <c r="G706" t="inlineStr">
        <is>
          <t>SANDVIKEN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46241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46241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46241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3833-2024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45321</v>
      </c>
      <c r="E710" s="1" t="n">
        <v>46241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15113-2026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46241</v>
      </c>
      <c r="F711" t="inlineStr">
        <is>
          <t>GÄVLEBORGS LÄN</t>
        </is>
      </c>
      <c r="G711" t="inlineStr">
        <is>
          <t>SANDVIKEN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35252-2024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45530</v>
      </c>
      <c r="E712" s="1" t="n">
        <v>46241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46241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15131-2026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46105</v>
      </c>
      <c r="E714" s="1" t="n">
        <v>46241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46241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15778-2026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46241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15861-2026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46241</v>
      </c>
      <c r="F717" t="inlineStr">
        <is>
          <t>GÄVLEBORGS LÄN</t>
        </is>
      </c>
      <c r="G717" t="inlineStr">
        <is>
          <t>SANDVIKEN</t>
        </is>
      </c>
      <c r="H717" t="inlineStr">
        <is>
          <t>Kommuner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46241</v>
      </c>
      <c r="F718" t="inlineStr">
        <is>
          <t>GÄVLEBORGS LÄN</t>
        </is>
      </c>
      <c r="G718" t="inlineStr">
        <is>
          <t>SANDVIKEN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15529-2026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46241</v>
      </c>
      <c r="F719" t="inlineStr">
        <is>
          <t>GÄVLEBORGS LÄN</t>
        </is>
      </c>
      <c r="G719" t="inlineStr">
        <is>
          <t>SANDVIKEN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46107</v>
      </c>
      <c r="E720" s="1" t="n">
        <v>46241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16328-2026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46111</v>
      </c>
      <c r="E721" s="1" t="n">
        <v>46241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45989-2023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45196</v>
      </c>
      <c r="E722" s="1" t="n">
        <v>46241</v>
      </c>
      <c r="F722" t="inlineStr">
        <is>
          <t>GÄVLEBORGS LÄN</t>
        </is>
      </c>
      <c r="G722" t="inlineStr">
        <is>
          <t>SANDVIKEN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16019-2026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46108</v>
      </c>
      <c r="E723" s="1" t="n">
        <v>46241</v>
      </c>
      <c r="F723" t="inlineStr">
        <is>
          <t>GÄVLEBORGS LÄN</t>
        </is>
      </c>
      <c r="G723" t="inlineStr">
        <is>
          <t>SANDVIKEN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34946-2022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44796</v>
      </c>
      <c r="E724" s="1" t="n">
        <v>46241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46241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16270-2026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46241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16060-2026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46108</v>
      </c>
      <c r="E727" s="1" t="n">
        <v>46241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56017-2023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45240</v>
      </c>
      <c r="E728" s="1" t="n">
        <v>46241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46241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25691-2026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46241</v>
      </c>
      <c r="F730" t="inlineStr">
        <is>
          <t>GÄVLEBORGS LÄN</t>
        </is>
      </c>
      <c r="G730" t="inlineStr">
        <is>
          <t>SANDVIKEN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46241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45920-2022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44846</v>
      </c>
      <c r="E732" s="1" t="n">
        <v>46241</v>
      </c>
      <c r="F732" t="inlineStr">
        <is>
          <t>GÄVLEBORGS LÄN</t>
        </is>
      </c>
      <c r="G732" t="inlineStr">
        <is>
          <t>SANDVIKEN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36671-2023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45153</v>
      </c>
      <c r="E733" s="1" t="n">
        <v>46241</v>
      </c>
      <c r="F733" t="inlineStr">
        <is>
          <t>GÄVLEBORGS LÄN</t>
        </is>
      </c>
      <c r="G733" t="inlineStr">
        <is>
          <t>SANDVIKEN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29928-2024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45488</v>
      </c>
      <c r="E734" s="1" t="n">
        <v>46241</v>
      </c>
      <c r="F734" t="inlineStr">
        <is>
          <t>GÄVLEBORGS LÄN</t>
        </is>
      </c>
      <c r="G734" t="inlineStr">
        <is>
          <t>SANDVIKEN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26271-2026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46182</v>
      </c>
      <c r="E735" s="1" t="n">
        <v>46241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3679-2022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44586</v>
      </c>
      <c r="E736" s="1" t="n">
        <v>46241</v>
      </c>
      <c r="F736" t="inlineStr">
        <is>
          <t>GÄVLEBORGS LÄN</t>
        </is>
      </c>
      <c r="G736" t="inlineStr">
        <is>
          <t>SANDVIKEN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26601-2026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46241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64801-2023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45282</v>
      </c>
      <c r="E738" s="1" t="n">
        <v>46241</v>
      </c>
      <c r="F738" t="inlineStr">
        <is>
          <t>GÄVLEBORGS LÄN</t>
        </is>
      </c>
      <c r="G738" t="inlineStr">
        <is>
          <t>SANDVIKEN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46241</v>
      </c>
      <c r="F739" t="inlineStr">
        <is>
          <t>GÄVLEBORGS LÄN</t>
        </is>
      </c>
      <c r="G739" t="inlineStr">
        <is>
          <t>SANDVIKEN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61537-2023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45265</v>
      </c>
      <c r="E740" s="1" t="n">
        <v>46241</v>
      </c>
      <c r="F740" t="inlineStr">
        <is>
          <t>GÄVLEBORGS LÄN</t>
        </is>
      </c>
      <c r="G740" t="inlineStr">
        <is>
          <t>SANDVIKEN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46241</v>
      </c>
      <c r="F741" t="inlineStr">
        <is>
          <t>GÄVLEBORGS LÄN</t>
        </is>
      </c>
      <c r="G741" t="inlineStr">
        <is>
          <t>SANDVIKEN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45293</v>
      </c>
      <c r="E742" s="1" t="n">
        <v>46241</v>
      </c>
      <c r="F742" t="inlineStr">
        <is>
          <t>GÄVLEBORGS LÄN</t>
        </is>
      </c>
      <c r="G742" t="inlineStr">
        <is>
          <t>SANDVIKEN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45293</v>
      </c>
      <c r="E743" s="1" t="n">
        <v>46241</v>
      </c>
      <c r="F743" t="inlineStr">
        <is>
          <t>GÄVLEBORGS LÄN</t>
        </is>
      </c>
      <c r="G743" t="inlineStr">
        <is>
          <t>SANDVIKEN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31802-2026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46230</v>
      </c>
      <c r="E744" s="1" t="n">
        <v>46241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31807-2026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46241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46241</v>
      </c>
      <c r="F746" t="inlineStr">
        <is>
          <t>GÄVLEBORGS LÄN</t>
        </is>
      </c>
      <c r="G746" t="inlineStr">
        <is>
          <t>SANDVIKEN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46241</v>
      </c>
      <c r="F747" t="inlineStr">
        <is>
          <t>GÄVLEBORGS LÄN</t>
        </is>
      </c>
      <c r="G747" t="inlineStr">
        <is>
          <t>SANDVIKEN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46241</v>
      </c>
      <c r="F748" t="inlineStr">
        <is>
          <t>GÄVLEBORGS LÄN</t>
        </is>
      </c>
      <c r="G748" t="inlineStr">
        <is>
          <t>SANDVIKEN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45660</v>
      </c>
      <c r="E749" s="1" t="n">
        <v>46241</v>
      </c>
      <c r="F749" t="inlineStr">
        <is>
          <t>GÄVLEBORGS LÄN</t>
        </is>
      </c>
      <c r="G749" t="inlineStr">
        <is>
          <t>SANDVIKEN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26780-2026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46184</v>
      </c>
      <c r="E750" s="1" t="n">
        <v>46241</v>
      </c>
      <c r="F750" t="inlineStr">
        <is>
          <t>GÄVLEBORGS LÄN</t>
        </is>
      </c>
      <c r="G750" t="inlineStr">
        <is>
          <t>SANDVIKEN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46241</v>
      </c>
      <c r="F751" t="inlineStr">
        <is>
          <t>GÄVLEBORGS LÄN</t>
        </is>
      </c>
      <c r="G751" t="inlineStr">
        <is>
          <t>SANDVIKEN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31723-2026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46227</v>
      </c>
      <c r="E752" s="1" t="n">
        <v>46241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9.300000000000001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37458-2024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45540</v>
      </c>
      <c r="E753" s="1" t="n">
        <v>46241</v>
      </c>
      <c r="F753" t="inlineStr">
        <is>
          <t>GÄVLEBORGS LÄN</t>
        </is>
      </c>
      <c r="G753" t="inlineStr">
        <is>
          <t>SANDVIKEN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45221-2021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44439</v>
      </c>
      <c r="E754" s="1" t="n">
        <v>46241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7.6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60798-2023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45260</v>
      </c>
      <c r="E755" s="1" t="n">
        <v>46241</v>
      </c>
      <c r="F755" t="inlineStr">
        <is>
          <t>GÄVLEBORGS LÄN</t>
        </is>
      </c>
      <c r="G755" t="inlineStr">
        <is>
          <t>SANDVIKEN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71995-2021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44544</v>
      </c>
      <c r="E756" s="1" t="n">
        <v>46241</v>
      </c>
      <c r="F756" t="inlineStr">
        <is>
          <t>GÄVLEBORGS LÄN</t>
        </is>
      </c>
      <c r="G756" t="inlineStr">
        <is>
          <t>SANDVIKEN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44988</v>
      </c>
      <c r="E757" s="1" t="n">
        <v>46241</v>
      </c>
      <c r="F757" t="inlineStr">
        <is>
          <t>GÄVLEBORGS LÄN</t>
        </is>
      </c>
      <c r="G757" t="inlineStr">
        <is>
          <t>SANDVIKEN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11447-2023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44988</v>
      </c>
      <c r="E758" s="1" t="n">
        <v>46241</v>
      </c>
      <c r="F758" t="inlineStr">
        <is>
          <t>GÄVLEBORGS LÄN</t>
        </is>
      </c>
      <c r="G758" t="inlineStr">
        <is>
          <t>SANDVIKEN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14720-2026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46241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46190</v>
      </c>
      <c r="E760" s="1" t="n">
        <v>46241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45022</v>
      </c>
      <c r="E761" s="1" t="n">
        <v>46241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väst AB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27743-2026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46191</v>
      </c>
      <c r="E762" s="1" t="n">
        <v>46241</v>
      </c>
      <c r="F762" t="inlineStr">
        <is>
          <t>GÄVLEBORGS LÄN</t>
        </is>
      </c>
      <c r="G762" t="inlineStr">
        <is>
          <t>SANDVIKEN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46241</v>
      </c>
      <c r="F763" t="inlineStr">
        <is>
          <t>GÄVLEBORGS LÄN</t>
        </is>
      </c>
      <c r="G763" t="inlineStr">
        <is>
          <t>SANDVIKEN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11778-2024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45374</v>
      </c>
      <c r="E764" s="1" t="n">
        <v>46241</v>
      </c>
      <c r="F764" t="inlineStr">
        <is>
          <t>GÄVLEBORGS LÄN</t>
        </is>
      </c>
      <c r="G764" t="inlineStr">
        <is>
          <t>SANDVIKEN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11897-2024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45376</v>
      </c>
      <c r="E765" s="1" t="n">
        <v>46241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42069-2024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46241</v>
      </c>
      <c r="F766" t="inlineStr">
        <is>
          <t>GÄVLEBORGS LÄN</t>
        </is>
      </c>
      <c r="G766" t="inlineStr">
        <is>
          <t>SANDVIKEN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62642-2023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45271</v>
      </c>
      <c r="E767" s="1" t="n">
        <v>46241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27588-2026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46190</v>
      </c>
      <c r="E768" s="1" t="n">
        <v>46241</v>
      </c>
      <c r="F768" t="inlineStr">
        <is>
          <t>GÄVLEBORGS LÄN</t>
        </is>
      </c>
      <c r="G768" t="inlineStr">
        <is>
          <t>SANDVIKEN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45070</v>
      </c>
      <c r="E769" s="1" t="n">
        <v>46241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23228-2026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46162</v>
      </c>
      <c r="E770" s="1" t="n">
        <v>46241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45075</v>
      </c>
      <c r="E771" s="1" t="n">
        <v>46241</v>
      </c>
      <c r="F771" t="inlineStr">
        <is>
          <t>GÄVLEBORGS LÄN</t>
        </is>
      </c>
      <c r="G771" t="inlineStr">
        <is>
          <t>SANDVIKEN</t>
        </is>
      </c>
      <c r="I771" t="n">
        <v>8.300000000000001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28845-2026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46241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36833-2022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44805</v>
      </c>
      <c r="E773" s="1" t="n">
        <v>46241</v>
      </c>
      <c r="F773" t="inlineStr">
        <is>
          <t>GÄVLEBORGS LÄN</t>
        </is>
      </c>
      <c r="G773" t="inlineStr">
        <is>
          <t>SANDVIKEN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32158-2026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46236</v>
      </c>
      <c r="E774" s="1" t="n">
        <v>46241</v>
      </c>
      <c r="F774" t="inlineStr">
        <is>
          <t>GÄVLEBORGS LÄN</t>
        </is>
      </c>
      <c r="G774" t="inlineStr">
        <is>
          <t>SANDVIKEN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14840-2022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44656</v>
      </c>
      <c r="E775" s="1" t="n">
        <v>46241</v>
      </c>
      <c r="F775" t="inlineStr">
        <is>
          <t>GÄVLEBORGS LÄN</t>
        </is>
      </c>
      <c r="G775" t="inlineStr">
        <is>
          <t>SANDVIKEN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28340-2026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46241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26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28344-2026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46241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46241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15674-2024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45404</v>
      </c>
      <c r="E779" s="1" t="n">
        <v>46241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23217-2023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45075</v>
      </c>
      <c r="E780" s="1" t="n">
        <v>46241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56150-2023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46241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46196</v>
      </c>
      <c r="E782" s="1" t="n">
        <v>46241</v>
      </c>
      <c r="F782" t="inlineStr">
        <is>
          <t>GÄVLEBORGS LÄN</t>
        </is>
      </c>
      <c r="G782" t="inlineStr">
        <is>
          <t>SANDVIKEN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46241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39566-2022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44818</v>
      </c>
      <c r="E784" s="1" t="n">
        <v>46241</v>
      </c>
      <c r="F784" t="inlineStr">
        <is>
          <t>GÄVLEBORGS LÄN</t>
        </is>
      </c>
      <c r="G784" t="inlineStr">
        <is>
          <t>SANDVIKEN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46241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29608-2026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46241</v>
      </c>
      <c r="F786" t="inlineStr">
        <is>
          <t>GÄVLEBORGS LÄN</t>
        </is>
      </c>
      <c r="G786" t="inlineStr">
        <is>
          <t>SANDVIKEN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29613-2026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46241</v>
      </c>
      <c r="F787" t="inlineStr">
        <is>
          <t>GÄVLEBORGS LÄN</t>
        </is>
      </c>
      <c r="G787" t="inlineStr">
        <is>
          <t>SANDVIKEN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31317-2023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45103</v>
      </c>
      <c r="E788" s="1" t="n">
        <v>46241</v>
      </c>
      <c r="F788" t="inlineStr">
        <is>
          <t>GÄVLEBORGS LÄN</t>
        </is>
      </c>
      <c r="G788" t="inlineStr">
        <is>
          <t>SANDVIKEN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12417-2025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45730</v>
      </c>
      <c r="E789" s="1" t="n">
        <v>46241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12418-2025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45730</v>
      </c>
      <c r="E790" s="1" t="n">
        <v>46241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45320</v>
      </c>
      <c r="E791" s="1" t="n">
        <v>46241</v>
      </c>
      <c r="F791" t="inlineStr">
        <is>
          <t>GÄVLEBORGS LÄN</t>
        </is>
      </c>
      <c r="G791" t="inlineStr">
        <is>
          <t>SANDVIKEN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1418-2025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45668</v>
      </c>
      <c r="E792" s="1" t="n">
        <v>46241</v>
      </c>
      <c r="F792" t="inlineStr">
        <is>
          <t>GÄVLEBORGS LÄN</t>
        </is>
      </c>
      <c r="G792" t="inlineStr">
        <is>
          <t>SANDVIKEN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62459-2023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45268</v>
      </c>
      <c r="E793" s="1" t="n">
        <v>46241</v>
      </c>
      <c r="F793" t="inlineStr">
        <is>
          <t>GÄVLEBORGS LÄN</t>
        </is>
      </c>
      <c r="G793" t="inlineStr">
        <is>
          <t>SANDVIKEN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21456-2023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45063</v>
      </c>
      <c r="E794" s="1" t="n">
        <v>46241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45327</v>
      </c>
      <c r="E795" s="1" t="n">
        <v>46241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44949</v>
      </c>
      <c r="E796" s="1" t="n">
        <v>46241</v>
      </c>
      <c r="F796" t="inlineStr">
        <is>
          <t>GÄVLEBORGS LÄN</t>
        </is>
      </c>
      <c r="G796" t="inlineStr">
        <is>
          <t>SANDVIKEN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28897-2024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45480</v>
      </c>
      <c r="E797" s="1" t="n">
        <v>46241</v>
      </c>
      <c r="F797" t="inlineStr">
        <is>
          <t>GÄVLEBORGS LÄN</t>
        </is>
      </c>
      <c r="G797" t="inlineStr">
        <is>
          <t>SANDVIKEN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17498-2024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45415</v>
      </c>
      <c r="E798" s="1" t="n">
        <v>46241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45162</v>
      </c>
      <c r="E799" s="1" t="n">
        <v>46241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38431-2023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45162</v>
      </c>
      <c r="E800" s="1" t="n">
        <v>46241</v>
      </c>
      <c r="F800" t="inlineStr">
        <is>
          <t>GÄVLEBORGS LÄN</t>
        </is>
      </c>
      <c r="G800" t="inlineStr">
        <is>
          <t>SANDVIKEN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38449-2023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46241</v>
      </c>
      <c r="F801" t="inlineStr">
        <is>
          <t>GÄVLEBORGS LÄN</t>
        </is>
      </c>
      <c r="G801" t="inlineStr">
        <is>
          <t>SANDVIKEN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45331-2024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45576</v>
      </c>
      <c r="E802" s="1" t="n">
        <v>46241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25357-2023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45087</v>
      </c>
      <c r="E803" s="1" t="n">
        <v>46241</v>
      </c>
      <c r="F803" t="inlineStr">
        <is>
          <t>GÄVLEBORGS LÄN</t>
        </is>
      </c>
      <c r="G803" t="inlineStr">
        <is>
          <t>SANDVIKEN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40363-2023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45169</v>
      </c>
      <c r="E804" s="1" t="n">
        <v>46241</v>
      </c>
      <c r="F804" t="inlineStr">
        <is>
          <t>GÄVLEBORGS LÄN</t>
        </is>
      </c>
      <c r="G804" t="inlineStr">
        <is>
          <t>SANDVIKEN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49704-2023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45212</v>
      </c>
      <c r="E805" s="1" t="n">
        <v>46241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37643-2024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45541</v>
      </c>
      <c r="E806" s="1" t="n">
        <v>46241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35185-2022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44797</v>
      </c>
      <c r="E807" s="1" t="n">
        <v>46241</v>
      </c>
      <c r="F807" t="inlineStr">
        <is>
          <t>GÄVLEBORGS LÄN</t>
        </is>
      </c>
      <c r="G807" t="inlineStr">
        <is>
          <t>SANDVIKEN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11385-2023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44988</v>
      </c>
      <c r="E808" s="1" t="n">
        <v>46241</v>
      </c>
      <c r="F808" t="inlineStr">
        <is>
          <t>GÄVLEBORGS LÄN</t>
        </is>
      </c>
      <c r="G808" t="inlineStr">
        <is>
          <t>SANDVIKEN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2131-2025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45672</v>
      </c>
      <c r="E809" s="1" t="n">
        <v>46241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58916-2023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45252</v>
      </c>
      <c r="E810" s="1" t="n">
        <v>46241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64112-2023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45279</v>
      </c>
      <c r="E811" s="1" t="n">
        <v>46241</v>
      </c>
      <c r="F811" t="inlineStr">
        <is>
          <t>GÄVLEBORGS LÄN</t>
        </is>
      </c>
      <c r="G811" t="inlineStr">
        <is>
          <t>SANDVIKEN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58797-2024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45636</v>
      </c>
      <c r="E812" s="1" t="n">
        <v>46241</v>
      </c>
      <c r="F812" t="inlineStr">
        <is>
          <t>GÄVLEBORGS LÄN</t>
        </is>
      </c>
      <c r="G812" t="inlineStr">
        <is>
          <t>SANDVIKEN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37741-2023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45159</v>
      </c>
      <c r="E813" s="1" t="n">
        <v>46241</v>
      </c>
      <c r="F813" t="inlineStr">
        <is>
          <t>GÄVLEBORGS LÄN</t>
        </is>
      </c>
      <c r="G813" t="inlineStr">
        <is>
          <t>SANDVIKEN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43121-2024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46241</v>
      </c>
      <c r="F814" t="inlineStr">
        <is>
          <t>GÄVLEBORGS LÄN</t>
        </is>
      </c>
      <c r="G814" t="inlineStr">
        <is>
          <t>SANDVIKEN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22042-2023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45069</v>
      </c>
      <c r="E815" s="1" t="n">
        <v>46241</v>
      </c>
      <c r="F815" t="inlineStr">
        <is>
          <t>GÄVLEBORGS LÄN</t>
        </is>
      </c>
      <c r="G815" t="inlineStr">
        <is>
          <t>SANDVIKEN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46482-2023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45197</v>
      </c>
      <c r="E816" s="1" t="n">
        <v>46241</v>
      </c>
      <c r="F816" t="inlineStr">
        <is>
          <t>GÄVLEBORGS LÄN</t>
        </is>
      </c>
      <c r="G816" t="inlineStr">
        <is>
          <t>SANDVIKEN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37367-2024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45540</v>
      </c>
      <c r="E817" s="1" t="n">
        <v>46241</v>
      </c>
      <c r="F817" t="inlineStr">
        <is>
          <t>GÄVLEBORGS LÄN</t>
        </is>
      </c>
      <c r="G817" t="inlineStr">
        <is>
          <t>SANDVIKEN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29972-2022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44756</v>
      </c>
      <c r="E818" s="1" t="n">
        <v>46241</v>
      </c>
      <c r="F818" t="inlineStr">
        <is>
          <t>GÄVLEBORGS LÄN</t>
        </is>
      </c>
      <c r="G818" t="inlineStr">
        <is>
          <t>SANDVIKEN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45284-2023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45191</v>
      </c>
      <c r="E819" s="1" t="n">
        <v>46241</v>
      </c>
      <c r="F819" t="inlineStr">
        <is>
          <t>GÄVLEBORGS LÄN</t>
        </is>
      </c>
      <c r="G819" t="inlineStr">
        <is>
          <t>SANDVIKEN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62056-2022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44918</v>
      </c>
      <c r="E820" s="1" t="n">
        <v>46241</v>
      </c>
      <c r="F820" t="inlineStr">
        <is>
          <t>GÄVLEBORGS LÄN</t>
        </is>
      </c>
      <c r="G820" t="inlineStr">
        <is>
          <t>SANDVIKEN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1213-2025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45667</v>
      </c>
      <c r="E821" s="1" t="n">
        <v>46241</v>
      </c>
      <c r="F821" t="inlineStr">
        <is>
          <t>GÄVLEBORGS LÄN</t>
        </is>
      </c>
      <c r="G821" t="inlineStr">
        <is>
          <t>SANDVIKEN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10895-2025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45722</v>
      </c>
      <c r="E822" s="1" t="n">
        <v>46241</v>
      </c>
      <c r="F822" t="inlineStr">
        <is>
          <t>GÄVLEBORGS LÄN</t>
        </is>
      </c>
      <c r="G822" t="inlineStr">
        <is>
          <t>SANDVIKEN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27987-2024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45476</v>
      </c>
      <c r="E823" s="1" t="n">
        <v>46241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16385-2023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45022</v>
      </c>
      <c r="E824" s="1" t="n">
        <v>46241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37996-2024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45544</v>
      </c>
      <c r="E825" s="1" t="n">
        <v>46241</v>
      </c>
      <c r="F825" t="inlineStr">
        <is>
          <t>GÄVLEBORGS LÄN</t>
        </is>
      </c>
      <c r="G825" t="inlineStr">
        <is>
          <t>SANDVIKEN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61820-2024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45649</v>
      </c>
      <c r="E826" s="1" t="n">
        <v>46241</v>
      </c>
      <c r="F826" t="inlineStr">
        <is>
          <t>GÄVLEBORGS LÄN</t>
        </is>
      </c>
      <c r="G826" t="inlineStr">
        <is>
          <t>SANDVIKEN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24992-2023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46241</v>
      </c>
      <c r="F827" t="inlineStr">
        <is>
          <t>GÄVLEBORGS LÄN</t>
        </is>
      </c>
      <c r="G827" t="inlineStr">
        <is>
          <t>SANDVIKEN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21182-2025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45779</v>
      </c>
      <c r="E828" s="1" t="n">
        <v>46241</v>
      </c>
      <c r="F828" t="inlineStr">
        <is>
          <t>GÄVLEBORGS LÄN</t>
        </is>
      </c>
      <c r="G828" t="inlineStr">
        <is>
          <t>SANDVIKEN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37459-2024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45540</v>
      </c>
      <c r="E829" s="1" t="n">
        <v>46241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41284-2023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45174</v>
      </c>
      <c r="E830" s="1" t="n">
        <v>46241</v>
      </c>
      <c r="F830" t="inlineStr">
        <is>
          <t>GÄVLEBORGS LÄN</t>
        </is>
      </c>
      <c r="G830" t="inlineStr">
        <is>
          <t>SANDVIKEN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56019-2023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45240</v>
      </c>
      <c r="E831" s="1" t="n">
        <v>46241</v>
      </c>
      <c r="F831" t="inlineStr">
        <is>
          <t>GÄVLEBORGS LÄN</t>
        </is>
      </c>
      <c r="G831" t="inlineStr">
        <is>
          <t>SANDVIKEN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40460-2024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45555</v>
      </c>
      <c r="E832" s="1" t="n">
        <v>46241</v>
      </c>
      <c r="F832" t="inlineStr">
        <is>
          <t>GÄVLEBORGS LÄN</t>
        </is>
      </c>
      <c r="G832" t="inlineStr">
        <is>
          <t>SANDVIKEN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55446-2024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45622</v>
      </c>
      <c r="E833" s="1" t="n">
        <v>46241</v>
      </c>
      <c r="F833" t="inlineStr">
        <is>
          <t>GÄVLEBORGS LÄN</t>
        </is>
      </c>
      <c r="G833" t="inlineStr">
        <is>
          <t>SANDVIKEN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48319-2023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45205</v>
      </c>
      <c r="E834" s="1" t="n">
        <v>46241</v>
      </c>
      <c r="F834" t="inlineStr">
        <is>
          <t>GÄVLEBORGS LÄN</t>
        </is>
      </c>
      <c r="G834" t="inlineStr">
        <is>
          <t>SANDVIKEN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42950-2023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45178</v>
      </c>
      <c r="E835" s="1" t="n">
        <v>46241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väst AB</t>
        </is>
      </c>
      <c r="I835" t="n">
        <v>16.5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69521-2021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44531</v>
      </c>
      <c r="E836" s="1" t="n">
        <v>46241</v>
      </c>
      <c r="F836" t="inlineStr">
        <is>
          <t>GÄVLEBORGS LÄN</t>
        </is>
      </c>
      <c r="G836" t="inlineStr">
        <is>
          <t>SANDVIKEN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3256-2025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46241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33623-2024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45520</v>
      </c>
      <c r="E838" s="1" t="n">
        <v>46241</v>
      </c>
      <c r="F838" t="inlineStr">
        <is>
          <t>GÄVLEBORGS LÄN</t>
        </is>
      </c>
      <c r="G838" t="inlineStr">
        <is>
          <t>SANDVIKEN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34429-2024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45525</v>
      </c>
      <c r="E839" s="1" t="n">
        <v>46241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27872-2024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45475</v>
      </c>
      <c r="E840" s="1" t="n">
        <v>46241</v>
      </c>
      <c r="F840" t="inlineStr">
        <is>
          <t>GÄVLEBORGS LÄN</t>
        </is>
      </c>
      <c r="G840" t="inlineStr">
        <is>
          <t>SANDVIKEN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44289-2023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45188</v>
      </c>
      <c r="E841" s="1" t="n">
        <v>46241</v>
      </c>
      <c r="F841" t="inlineStr">
        <is>
          <t>GÄVLEBORGS LÄN</t>
        </is>
      </c>
      <c r="G841" t="inlineStr">
        <is>
          <t>SANDVIKEN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15682-2024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45404</v>
      </c>
      <c r="E842" s="1" t="n">
        <v>46241</v>
      </c>
      <c r="F842" t="inlineStr">
        <is>
          <t>GÄVLEBORGS LÄN</t>
        </is>
      </c>
      <c r="G842" t="inlineStr">
        <is>
          <t>SANDVIKEN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17735-2024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45418</v>
      </c>
      <c r="E843" s="1" t="n">
        <v>46241</v>
      </c>
      <c r="F843" t="inlineStr">
        <is>
          <t>GÄVLEBORGS LÄN</t>
        </is>
      </c>
      <c r="G843" t="inlineStr">
        <is>
          <t>SANDVIKEN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64000-2023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45278</v>
      </c>
      <c r="E844" s="1" t="n">
        <v>46241</v>
      </c>
      <c r="F844" t="inlineStr">
        <is>
          <t>GÄVLEBORGS LÄN</t>
        </is>
      </c>
      <c r="G844" t="inlineStr">
        <is>
          <t>SANDVIKEN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53322-2024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45614</v>
      </c>
      <c r="E845" s="1" t="n">
        <v>46241</v>
      </c>
      <c r="F845" t="inlineStr">
        <is>
          <t>GÄVLEBORGS LÄN</t>
        </is>
      </c>
      <c r="G845" t="inlineStr">
        <is>
          <t>SANDVIKEN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2358-2025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45673</v>
      </c>
      <c r="E846" s="1" t="n">
        <v>46241</v>
      </c>
      <c r="F846" t="inlineStr">
        <is>
          <t>GÄVLEBORGS LÄN</t>
        </is>
      </c>
      <c r="G846" t="inlineStr">
        <is>
          <t>SANDVIKEN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18725-2025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45763</v>
      </c>
      <c r="E847" s="1" t="n">
        <v>46241</v>
      </c>
      <c r="F847" t="inlineStr">
        <is>
          <t>GÄVLEBORGS LÄN</t>
        </is>
      </c>
      <c r="G847" t="inlineStr">
        <is>
          <t>SANDVIKEN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25300-2025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46241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25327-2025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46241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46241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24953-2025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45799</v>
      </c>
      <c r="E851" s="1" t="n">
        <v>46241</v>
      </c>
      <c r="F851" t="inlineStr">
        <is>
          <t>GÄVLEBORGS LÄN</t>
        </is>
      </c>
      <c r="G851" t="inlineStr">
        <is>
          <t>SANDVIKEN</t>
        </is>
      </c>
      <c r="I851" t="n">
        <v>10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25111-2025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45800</v>
      </c>
      <c r="E852" s="1" t="n">
        <v>46241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45799</v>
      </c>
      <c r="E853" s="1" t="n">
        <v>46241</v>
      </c>
      <c r="F853" t="inlineStr">
        <is>
          <t>GÄVLEBORGS LÄN</t>
        </is>
      </c>
      <c r="G853" t="inlineStr">
        <is>
          <t>SANDVIKEN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24948-2025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46241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33136-2023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45126</v>
      </c>
      <c r="E855" s="1" t="n">
        <v>46241</v>
      </c>
      <c r="F855" t="inlineStr">
        <is>
          <t>GÄVLEBORGS LÄN</t>
        </is>
      </c>
      <c r="G855" t="inlineStr">
        <is>
          <t>SANDVIKEN</t>
        </is>
      </c>
      <c r="I855" t="n">
        <v>4.5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26294-2025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45805</v>
      </c>
      <c r="E856" s="1" t="n">
        <v>46241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26787-2025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45810</v>
      </c>
      <c r="E857" s="1" t="n">
        <v>46241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46241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28424-2025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45819</v>
      </c>
      <c r="E859" s="1" t="n">
        <v>46241</v>
      </c>
      <c r="F859" t="inlineStr">
        <is>
          <t>GÄVLEBORGS LÄN</t>
        </is>
      </c>
      <c r="G859" t="inlineStr">
        <is>
          <t>SANDVIKEN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28468-2025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45819</v>
      </c>
      <c r="E860" s="1" t="n">
        <v>46241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29738-2025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45825</v>
      </c>
      <c r="E861" s="1" t="n">
        <v>46241</v>
      </c>
      <c r="F861" t="inlineStr">
        <is>
          <t>GÄVLEBORGS LÄN</t>
        </is>
      </c>
      <c r="G861" t="inlineStr">
        <is>
          <t>SANDVIKEN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45827</v>
      </c>
      <c r="E862" s="1" t="n">
        <v>46241</v>
      </c>
      <c r="F862" t="inlineStr">
        <is>
          <t>GÄVLEBORGS LÄN</t>
        </is>
      </c>
      <c r="G862" t="inlineStr">
        <is>
          <t>SANDVIKEN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31145-2025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45832</v>
      </c>
      <c r="E863" s="1" t="n">
        <v>46241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30843-2025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45831</v>
      </c>
      <c r="E864" s="1" t="n">
        <v>46241</v>
      </c>
      <c r="F864" t="inlineStr">
        <is>
          <t>GÄVLEBORGS LÄN</t>
        </is>
      </c>
      <c r="G864" t="inlineStr">
        <is>
          <t>SANDVIKEN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31460-2025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45833</v>
      </c>
      <c r="E865" s="1" t="n">
        <v>46241</v>
      </c>
      <c r="F865" t="inlineStr">
        <is>
          <t>GÄVLEBORGS LÄN</t>
        </is>
      </c>
      <c r="G865" t="inlineStr">
        <is>
          <t>SANDVIKEN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33015-2025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45840</v>
      </c>
      <c r="E866" s="1" t="n">
        <v>46241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33757-2025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46241</v>
      </c>
      <c r="F867" t="inlineStr">
        <is>
          <t>GÄVLEBORGS LÄN</t>
        </is>
      </c>
      <c r="G867" t="inlineStr">
        <is>
          <t>SANDVIKEN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34219-2025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45845</v>
      </c>
      <c r="E868" s="1" t="n">
        <v>46241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4.4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18357-2025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45762</v>
      </c>
      <c r="E869" s="1" t="n">
        <v>46241</v>
      </c>
      <c r="F869" t="inlineStr">
        <is>
          <t>GÄVLEBORGS LÄN</t>
        </is>
      </c>
      <c r="G869" t="inlineStr">
        <is>
          <t>SANDVIKEN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46241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46241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46241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46241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46241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46241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46241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46241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46241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46241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46241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46241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46241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46241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2026-08-07T01:58:14Z</dcterms:created>
  <dcterms:modified xmlns:dcterms="http://purl.org/dc/terms/" xmlns:xsi="http://www.w3.org/2001/XMLSchema-instance" xsi:type="dcterms:W3CDTF">2026-08-07T01:58:15Z</dcterms:modified>
</cp:coreProperties>
</file>