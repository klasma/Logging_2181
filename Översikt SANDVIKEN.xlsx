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46252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46252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46252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46252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46252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46252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46252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46252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46252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46252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46252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46252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Rödvingetrast
Törnskata
Vanlig groda</t>
        </is>
      </c>
      <c r="W23">
        <f>HYPERLINK("https://klasma.github.io/Logging_2181/artfynd/A 6378-2023 artfynd.xlsx", "A 6378-2023")</f>
        <v/>
      </c>
      <c r="X23">
        <f>HYPERLINK("https://klasma.github.io/Logging_2181/kartor/A 6378-2023 karta.png", "A 6378-2023")</f>
        <v/>
      </c>
      <c r="Y23">
        <f>HYPERLINK("https://klasma.github.io/Logging_2181/kartor_geotiff/A 6378-2023 georefererad karta.tif", "A 6378-2023")</f>
        <v/>
      </c>
      <c r="AA23">
        <f>HYPERLINK("https://klasma.github.io/Logging_2181/klagomål/A 6378-2023 FSC-klagomål.docx", "A 6378-2023")</f>
        <v/>
      </c>
      <c r="AB23">
        <f>HYPERLINK("https://klasma.github.io/Logging_2181/klagomålsmail/A 6378-2023 FSC-klagomål mail.docx", "A 6378-2023")</f>
        <v/>
      </c>
      <c r="AC23">
        <f>HYPERLINK("https://klasma.github.io/Logging_2181/tillsyn/A 6378-2023 tillsynsbegäran.docx", "A 6378-2023")</f>
        <v/>
      </c>
      <c r="AD23">
        <f>HYPERLINK("https://klasma.github.io/Logging_2181/tillsynsmail/A 6378-2023 tillsynsbegäran mail.docx", "A 6378-2023")</f>
        <v/>
      </c>
      <c r="AE23">
        <f>HYPERLINK("https://klasma.github.io/Logging_2181/fåglar/A 6378-2023 prioriterade fågelarter.docx", "A 6378-2023")</f>
        <v/>
      </c>
    </row>
    <row r="24" ht="15" customHeight="1">
      <c r="A24" t="inlineStr">
        <is>
          <t>A 26047-2026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46181</v>
      </c>
      <c r="E24" s="1" t="n">
        <v>46252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8.199999999999999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Blå taggsvamp
Talltita
Kungsfågel</t>
        </is>
      </c>
      <c r="W24">
        <f>HYPERLINK("https://klasma.github.io/Logging_2181/artfynd/A 26047-2026 artfynd.xlsx", "A 26047-2026")</f>
        <v/>
      </c>
      <c r="X24">
        <f>HYPERLINK("https://klasma.github.io/Logging_2181/kartor/A 26047-2026 karta.png", "A 26047-2026")</f>
        <v/>
      </c>
      <c r="Y24">
        <f>HYPERLINK("https://klasma.github.io/Logging_2181/kartor_geotiff/A 26047-2026 georefererad karta.tif", "A 26047-2026")</f>
        <v/>
      </c>
      <c r="AA24">
        <f>HYPERLINK("https://klasma.github.io/Logging_2181/klagomål/A 26047-2026 FSC-klagomål.docx", "A 26047-2026")</f>
        <v/>
      </c>
      <c r="AB24">
        <f>HYPERLINK("https://klasma.github.io/Logging_2181/klagomålsmail/A 26047-2026 FSC-klagomål mail.docx", "A 26047-2026")</f>
        <v/>
      </c>
      <c r="AC24">
        <f>HYPERLINK("https://klasma.github.io/Logging_2181/tillsyn/A 26047-2026 tillsynsbegäran.docx", "A 26047-2026")</f>
        <v/>
      </c>
      <c r="AD24">
        <f>HYPERLINK("https://klasma.github.io/Logging_2181/tillsynsmail/A 26047-2026 tillsynsbegäran mail.docx", "A 26047-2026")</f>
        <v/>
      </c>
      <c r="AE24">
        <f>HYPERLINK("https://klasma.github.io/Logging_2181/fåglar/A 26047-2026 prioriterade fågelarter.docx", "A 26047-2026")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46252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46252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46252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46252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6311-2026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46252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Tjäder
Vanlig groda
Vanlig padda</t>
        </is>
      </c>
      <c r="W29">
        <f>HYPERLINK("https://klasma.github.io/Logging_2181/artfynd/A 6311-2026 artfynd.xlsx", "A 6311-2026")</f>
        <v/>
      </c>
      <c r="X29">
        <f>HYPERLINK("https://klasma.github.io/Logging_2181/kartor/A 6311-2026 karta.png", "A 6311-2026")</f>
        <v/>
      </c>
      <c r="Y29">
        <f>HYPERLINK("https://klasma.github.io/Logging_2181/kartor_geotiff/A 6311-2026 georefererad karta.tif", "A 6311-2026")</f>
        <v/>
      </c>
      <c r="AA29">
        <f>HYPERLINK("https://klasma.github.io/Logging_2181/klagomål/A 6311-2026 FSC-klagomål.docx", "A 6311-2026")</f>
        <v/>
      </c>
      <c r="AB29">
        <f>HYPERLINK("https://klasma.github.io/Logging_2181/klagomålsmail/A 6311-2026 FSC-klagomål mail.docx", "A 6311-2026")</f>
        <v/>
      </c>
      <c r="AC29">
        <f>HYPERLINK("https://klasma.github.io/Logging_2181/tillsyn/A 6311-2026 tillsynsbegäran.docx", "A 6311-2026")</f>
        <v/>
      </c>
      <c r="AD29">
        <f>HYPERLINK("https://klasma.github.io/Logging_2181/tillsynsmail/A 6311-2026 tillsynsbegäran mail.docx", "A 6311-2026")</f>
        <v/>
      </c>
      <c r="AE29">
        <f>HYPERLINK("https://klasma.github.io/Logging_2181/fåglar/A 6311-2026 prioriterade fågelarter.docx", "A 6311-2026")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46252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46252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46252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46252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46252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46252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46252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46252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46252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46252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Rödgul trumpetsvamp
Vanlig padda</t>
        </is>
      </c>
      <c r="W39">
        <f>HYPERLINK("https://klasma.github.io/Logging_2181/artfynd/A 42869-2024 artfynd.xlsx", "A 42869-2024")</f>
        <v/>
      </c>
      <c r="X39">
        <f>HYPERLINK("https://klasma.github.io/Logging_2181/kartor/A 42869-2024 karta.png", "A 42869-2024")</f>
        <v/>
      </c>
      <c r="Y39">
        <f>HYPERLINK("https://klasma.github.io/Logging_2181/kartor_geotiff/A 42869-2024 georefererad karta.tif", "A 42869-2024")</f>
        <v/>
      </c>
      <c r="AA39">
        <f>HYPERLINK("https://klasma.github.io/Logging_2181/klagomål/A 42869-2024 FSC-klagomål.docx", "A 42869-2024")</f>
        <v/>
      </c>
      <c r="AB39">
        <f>HYPERLINK("https://klasma.github.io/Logging_2181/klagomålsmail/A 42869-2024 FSC-klagomål mail.docx", "A 42869-2024")</f>
        <v/>
      </c>
      <c r="AC39">
        <f>HYPERLINK("https://klasma.github.io/Logging_2181/tillsyn/A 42869-2024 tillsynsbegäran.docx", "A 42869-2024")</f>
        <v/>
      </c>
      <c r="AD39">
        <f>HYPERLINK("https://klasma.github.io/Logging_2181/tillsynsmail/A 42869-2024 tillsynsbegäran mail.docx", "A 42869-2024")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46252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46252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46252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43716-2023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46252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Dropptaggsvamp</t>
        </is>
      </c>
      <c r="W43">
        <f>HYPERLINK("https://klasma.github.io/Logging_2181/artfynd/A 43716-2023 artfynd.xlsx", "A 43716-2023")</f>
        <v/>
      </c>
      <c r="X43">
        <f>HYPERLINK("https://klasma.github.io/Logging_2181/kartor/A 43716-2023 karta.png", "A 43716-2023")</f>
        <v/>
      </c>
      <c r="Y43">
        <f>HYPERLINK("https://klasma.github.io/Logging_2181/kartor_geotiff/A 43716-2023 georefererad karta.tif", "A 43716-2023")</f>
        <v/>
      </c>
      <c r="Z43">
        <f>HYPERLINK("https://klasma.github.io/Logging_2181/knärot/A 43716-2023 karta knärot.png", "A 43716-2023")</f>
        <v/>
      </c>
      <c r="AA43">
        <f>HYPERLINK("https://klasma.github.io/Logging_2181/klagomål/A 43716-2023 FSC-klagomål.docx", "A 43716-2023")</f>
        <v/>
      </c>
      <c r="AB43">
        <f>HYPERLINK("https://klasma.github.io/Logging_2181/klagomålsmail/A 43716-2023 FSC-klagomål mail.docx", "A 43716-2023")</f>
        <v/>
      </c>
      <c r="AC43">
        <f>HYPERLINK("https://klasma.github.io/Logging_2181/tillsyn/A 43716-2023 tillsynsbegäran.docx", "A 43716-2023")</f>
        <v/>
      </c>
      <c r="AD43">
        <f>HYPERLINK("https://klasma.github.io/Logging_2181/tillsynsmail/A 43716-2023 tillsynsbegäran mail.docx", "A 43716-2023")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46252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46252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46252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46252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1179-2026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46252</v>
      </c>
      <c r="F48" t="inlineStr">
        <is>
          <t>GÄVLEBORGS LÄN</t>
        </is>
      </c>
      <c r="G48" t="inlineStr">
        <is>
          <t>SANDVIKEN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Strutbräken
Revlummer</t>
        </is>
      </c>
      <c r="W48">
        <f>HYPERLINK("https://klasma.github.io/Logging_2181/artfynd/A 1179-2026 artfynd.xlsx", "A 1179-2026")</f>
        <v/>
      </c>
      <c r="X48">
        <f>HYPERLINK("https://klasma.github.io/Logging_2181/kartor/A 1179-2026 karta.png", "A 1179-2026")</f>
        <v/>
      </c>
      <c r="Y48">
        <f>HYPERLINK("https://klasma.github.io/Logging_2181/kartor_geotiff/A 1179-2026 georefererad karta.tif", "A 1179-2026")</f>
        <v/>
      </c>
      <c r="AA48">
        <f>HYPERLINK("https://klasma.github.io/Logging_2181/klagomål/A 1179-2026 FSC-klagomål.docx", "A 1179-2026")</f>
        <v/>
      </c>
      <c r="AB48">
        <f>HYPERLINK("https://klasma.github.io/Logging_2181/klagomålsmail/A 1179-2026 FSC-klagomål mail.docx", "A 1179-2026")</f>
        <v/>
      </c>
      <c r="AC48">
        <f>HYPERLINK("https://klasma.github.io/Logging_2181/tillsyn/A 1179-2026 tillsynsbegäran.docx", "A 1179-2026")</f>
        <v/>
      </c>
      <c r="AD48">
        <f>HYPERLINK("https://klasma.github.io/Logging_2181/tillsynsmail/A 1179-2026 tillsynsbegäran mail.docx", "A 1179-2026")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46252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46252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A 63084-2021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44505</v>
      </c>
      <c r="E51" s="1" t="n">
        <v>46252</v>
      </c>
      <c r="F51" t="inlineStr">
        <is>
          <t>GÄVLEBORGS LÄN</t>
        </is>
      </c>
      <c r="G51" t="inlineStr">
        <is>
          <t>SANDVIKEN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HYPERLINK("https://klasma.github.io/Logging_2181/artfynd/A 63084-2021 artfynd.xlsx", "A 63084-2021")</f>
        <v/>
      </c>
      <c r="X51">
        <f>HYPERLINK("https://klasma.github.io/Logging_2181/kartor/A 63084-2021 karta.png", "A 63084-2021")</f>
        <v/>
      </c>
      <c r="Y51">
        <f>HYPERLINK("https://klasma.github.io/Logging_2181/kartor_geotiff/A 63084-2021 georefererad karta.tif", "A 63084-2021")</f>
        <v/>
      </c>
      <c r="AA51">
        <f>HYPERLINK("https://klasma.github.io/Logging_2181/klagomål/A 63084-2021 FSC-klagomål.docx", "A 63084-2021")</f>
        <v/>
      </c>
      <c r="AB51">
        <f>HYPERLINK("https://klasma.github.io/Logging_2181/klagomålsmail/A 63084-2021 FSC-klagomål mail.docx", "A 63084-2021")</f>
        <v/>
      </c>
      <c r="AC51">
        <f>HYPERLINK("https://klasma.github.io/Logging_2181/tillsyn/A 63084-2021 tillsynsbegäran.docx", "A 63084-2021")</f>
        <v/>
      </c>
      <c r="AD51">
        <f>HYPERLINK("https://klasma.github.io/Logging_2181/tillsynsmail/A 63084-2021 tillsynsbegäran mail.docx", "A 63084-2021")</f>
        <v/>
      </c>
    </row>
    <row r="52" ht="15" customHeight="1">
      <c r="A52" t="inlineStr">
        <is>
          <t>A 27966-2022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44744</v>
      </c>
      <c r="E52" s="1" t="n">
        <v>46252</v>
      </c>
      <c r="F52" t="inlineStr">
        <is>
          <t>GÄVLEBORGS LÄN</t>
        </is>
      </c>
      <c r="G52" t="inlineStr">
        <is>
          <t>SANDVIKEN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Kortskaftad ärgspik</t>
        </is>
      </c>
      <c r="W52">
        <f>HYPERLINK("https://klasma.github.io/Logging_2181/artfynd/A 27966-2022 artfynd.xlsx", "A 27966-2022")</f>
        <v/>
      </c>
      <c r="X52">
        <f>HYPERLINK("https://klasma.github.io/Logging_2181/kartor/A 27966-2022 karta.png", "A 27966-2022")</f>
        <v/>
      </c>
      <c r="Y52">
        <f>HYPERLINK("https://klasma.github.io/Logging_2181/kartor_geotiff/A 27966-2022 georefererad karta.tif", "A 27966-2022")</f>
        <v/>
      </c>
      <c r="AA52">
        <f>HYPERLINK("https://klasma.github.io/Logging_2181/klagomål/A 27966-2022 FSC-klagomål.docx", "A 27966-2022")</f>
        <v/>
      </c>
      <c r="AB52">
        <f>HYPERLINK("https://klasma.github.io/Logging_2181/klagomålsmail/A 27966-2022 FSC-klagomål mail.docx", "A 27966-2022")</f>
        <v/>
      </c>
      <c r="AC52">
        <f>HYPERLINK("https://klasma.github.io/Logging_2181/tillsyn/A 27966-2022 tillsynsbegäran.docx", "A 27966-2022")</f>
        <v/>
      </c>
      <c r="AD52">
        <f>HYPERLINK("https://klasma.github.io/Logging_2181/tillsynsmail/A 27966-2022 tillsynsbegäran mail.docx", "A 27966-2022")</f>
        <v/>
      </c>
    </row>
    <row r="53" ht="15" customHeight="1">
      <c r="A53" t="inlineStr">
        <is>
          <t>A 65270-2021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46252</v>
      </c>
      <c r="F53" t="inlineStr">
        <is>
          <t>GÄVLEBORGS LÄN</t>
        </is>
      </c>
      <c r="G53" t="inlineStr">
        <is>
          <t>SANDVIKEN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HYPERLINK("https://klasma.github.io/Logging_2181/artfynd/A 65270-2021 artfynd.xlsx", "A 65270-2021")</f>
        <v/>
      </c>
      <c r="X53">
        <f>HYPERLINK("https://klasma.github.io/Logging_2181/kartor/A 65270-2021 karta.png", "A 65270-2021")</f>
        <v/>
      </c>
      <c r="Y53">
        <f>HYPERLINK("https://klasma.github.io/Logging_2181/kartor_geotiff/A 65270-2021 georefererad karta.tif", "A 65270-2021")</f>
        <v/>
      </c>
      <c r="AA53">
        <f>HYPERLINK("https://klasma.github.io/Logging_2181/klagomål/A 65270-2021 FSC-klagomål.docx", "A 65270-2021")</f>
        <v/>
      </c>
      <c r="AB53">
        <f>HYPERLINK("https://klasma.github.io/Logging_2181/klagomålsmail/A 65270-2021 FSC-klagomål mail.docx", "A 65270-2021")</f>
        <v/>
      </c>
      <c r="AC53">
        <f>HYPERLINK("https://klasma.github.io/Logging_2181/tillsyn/A 65270-2021 tillsynsbegäran.docx", "A 65270-2021")</f>
        <v/>
      </c>
      <c r="AD53">
        <f>HYPERLINK("https://klasma.github.io/Logging_2181/tillsynsmail/A 65270-2021 tillsynsbegäran mail.docx", "A 65270-2021")</f>
        <v/>
      </c>
      <c r="AE53">
        <f>HYPERLINK("https://klasma.github.io/Logging_2181/fåglar/A 65270-2021 prioriterade fågelarter.docx", "A 65270-2021")</f>
        <v/>
      </c>
    </row>
    <row r="54" ht="15" customHeight="1">
      <c r="A54" t="inlineStr">
        <is>
          <t>A 35525-2022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46252</v>
      </c>
      <c r="F54" t="inlineStr">
        <is>
          <t>GÄVLEBORGS LÄN</t>
        </is>
      </c>
      <c r="G54" t="inlineStr">
        <is>
          <t>SANDVIKEN</t>
        </is>
      </c>
      <c r="I54" t="n">
        <v>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HYPERLINK("https://klasma.github.io/Logging_2181/artfynd/A 35525-2022 artfynd.xlsx", "A 35525-2022")</f>
        <v/>
      </c>
      <c r="X54">
        <f>HYPERLINK("https://klasma.github.io/Logging_2181/kartor/A 35525-2022 karta.png", "A 35525-2022")</f>
        <v/>
      </c>
      <c r="Y54">
        <f>HYPERLINK("https://klasma.github.io/Logging_2181/kartor_geotiff/A 35525-2022 georefererad karta.tif", "A 35525-2022")</f>
        <v/>
      </c>
      <c r="AA54">
        <f>HYPERLINK("https://klasma.github.io/Logging_2181/klagomål/A 35525-2022 FSC-klagomål.docx", "A 35525-2022")</f>
        <v/>
      </c>
      <c r="AB54">
        <f>HYPERLINK("https://klasma.github.io/Logging_2181/klagomålsmail/A 35525-2022 FSC-klagomål mail.docx", "A 35525-2022")</f>
        <v/>
      </c>
      <c r="AC54">
        <f>HYPERLINK("https://klasma.github.io/Logging_2181/tillsyn/A 35525-2022 tillsynsbegäran.docx", "A 35525-2022")</f>
        <v/>
      </c>
      <c r="AD54">
        <f>HYPERLINK("https://klasma.github.io/Logging_2181/tillsynsmail/A 35525-2022 tillsynsbegäran mail.docx", "A 35525-2022")</f>
        <v/>
      </c>
    </row>
    <row r="55" ht="15" customHeight="1">
      <c r="A55" t="inlineStr">
        <is>
          <t>A 41862-2022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46252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Tvåblad</t>
        </is>
      </c>
      <c r="W55">
        <f>HYPERLINK("https://klasma.github.io/Logging_2181/artfynd/A 41862-2022 artfynd.xlsx", "A 41862-2022")</f>
        <v/>
      </c>
      <c r="X55">
        <f>HYPERLINK("https://klasma.github.io/Logging_2181/kartor/A 41862-2022 karta.png", "A 41862-2022")</f>
        <v/>
      </c>
      <c r="Y55">
        <f>HYPERLINK("https://klasma.github.io/Logging_2181/kartor_geotiff/A 41862-2022 georefererad karta.tif", "A 41862-2022")</f>
        <v/>
      </c>
      <c r="AA55">
        <f>HYPERLINK("https://klasma.github.io/Logging_2181/klagomål/A 41862-2022 FSC-klagomål.docx", "A 41862-2022")</f>
        <v/>
      </c>
      <c r="AB55">
        <f>HYPERLINK("https://klasma.github.io/Logging_2181/klagomålsmail/A 41862-2022 FSC-klagomål mail.docx", "A 41862-2022")</f>
        <v/>
      </c>
      <c r="AC55">
        <f>HYPERLINK("https://klasma.github.io/Logging_2181/tillsyn/A 41862-2022 tillsynsbegäran.docx", "A 41862-2022")</f>
        <v/>
      </c>
      <c r="AD55">
        <f>HYPERLINK("https://klasma.github.io/Logging_2181/tillsynsmail/A 41862-2022 tillsynsbegäran mail.docx", "A 41862-2022")</f>
        <v/>
      </c>
    </row>
    <row r="56" ht="15" customHeight="1">
      <c r="A56" t="inlineStr">
        <is>
          <t>A 39872-2025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46252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Plattlummer</t>
        </is>
      </c>
      <c r="W56">
        <f>HYPERLINK("https://klasma.github.io/Logging_2181/artfynd/A 39872-2025 artfynd.xlsx", "A 39872-2025")</f>
        <v/>
      </c>
      <c r="X56">
        <f>HYPERLINK("https://klasma.github.io/Logging_2181/kartor/A 39872-2025 karta.png", "A 39872-2025")</f>
        <v/>
      </c>
      <c r="Y56">
        <f>HYPERLINK("https://klasma.github.io/Logging_2181/kartor_geotiff/A 39872-2025 georefererad karta.tif", "A 39872-2025")</f>
        <v/>
      </c>
      <c r="AA56">
        <f>HYPERLINK("https://klasma.github.io/Logging_2181/klagomål/A 39872-2025 FSC-klagomål.docx", "A 39872-2025")</f>
        <v/>
      </c>
      <c r="AB56">
        <f>HYPERLINK("https://klasma.github.io/Logging_2181/klagomålsmail/A 39872-2025 FSC-klagomål mail.docx", "A 39872-2025")</f>
        <v/>
      </c>
      <c r="AC56">
        <f>HYPERLINK("https://klasma.github.io/Logging_2181/tillsyn/A 39872-2025 tillsynsbegäran.docx", "A 39872-2025")</f>
        <v/>
      </c>
      <c r="AD56">
        <f>HYPERLINK("https://klasma.github.io/Logging_2181/tillsynsmail/A 39872-2025 tillsynsbegäran mail.docx", "A 39872-2025")</f>
        <v/>
      </c>
    </row>
    <row r="57" ht="15" customHeight="1">
      <c r="A57" t="inlineStr">
        <is>
          <t>A 39873-2025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46252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HYPERLINK("https://klasma.github.io/Logging_2181/artfynd/A 39873-2025 artfynd.xlsx", "A 39873-2025")</f>
        <v/>
      </c>
      <c r="X57">
        <f>HYPERLINK("https://klasma.github.io/Logging_2181/kartor/A 39873-2025 karta.png", "A 39873-2025")</f>
        <v/>
      </c>
      <c r="Y57">
        <f>HYPERLINK("https://klasma.github.io/Logging_2181/kartor_geotiff/A 39873-2025 georefererad karta.tif", "A 39873-2025")</f>
        <v/>
      </c>
      <c r="AA57">
        <f>HYPERLINK("https://klasma.github.io/Logging_2181/klagomål/A 39873-2025 FSC-klagomål.docx", "A 39873-2025")</f>
        <v/>
      </c>
      <c r="AB57">
        <f>HYPERLINK("https://klasma.github.io/Logging_2181/klagomålsmail/A 39873-2025 FSC-klagomål mail.docx", "A 39873-2025")</f>
        <v/>
      </c>
      <c r="AC57">
        <f>HYPERLINK("https://klasma.github.io/Logging_2181/tillsyn/A 39873-2025 tillsynsbegäran.docx", "A 39873-2025")</f>
        <v/>
      </c>
      <c r="AD57">
        <f>HYPERLINK("https://klasma.github.io/Logging_2181/tillsynsmail/A 39873-2025 tillsynsbegäran mail.docx", "A 39873-2025")</f>
        <v/>
      </c>
    </row>
    <row r="58" ht="15" customHeight="1">
      <c r="A58" t="inlineStr">
        <is>
          <t>A 25479-2023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46252</v>
      </c>
      <c r="F58" t="inlineStr">
        <is>
          <t>GÄVLEBORGS LÄN</t>
        </is>
      </c>
      <c r="G58" t="inlineStr">
        <is>
          <t>SANDVIKEN</t>
        </is>
      </c>
      <c r="I58" t="n">
        <v>4.1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HYPERLINK("https://klasma.github.io/Logging_2181/artfynd/A 25479-2023 artfynd.xlsx", "A 25479-2023")</f>
        <v/>
      </c>
      <c r="X58">
        <f>HYPERLINK("https://klasma.github.io/Logging_2181/kartor/A 25479-2023 karta.png", "A 25479-2023")</f>
        <v/>
      </c>
      <c r="Y58">
        <f>HYPERLINK("https://klasma.github.io/Logging_2181/kartor_geotiff/A 25479-2023 georefererad karta.tif", "A 25479-2023")</f>
        <v/>
      </c>
      <c r="AA58">
        <f>HYPERLINK("https://klasma.github.io/Logging_2181/klagomål/A 25479-2023 FSC-klagomål.docx", "A 25479-2023")</f>
        <v/>
      </c>
      <c r="AB58">
        <f>HYPERLINK("https://klasma.github.io/Logging_2181/klagomålsmail/A 25479-2023 FSC-klagomål mail.docx", "A 25479-2023")</f>
        <v/>
      </c>
      <c r="AC58">
        <f>HYPERLINK("https://klasma.github.io/Logging_2181/tillsyn/A 25479-2023 tillsynsbegäran.docx", "A 25479-2023")</f>
        <v/>
      </c>
      <c r="AD58">
        <f>HYPERLINK("https://klasma.github.io/Logging_2181/tillsynsmail/A 25479-2023 tillsynsbegäran mail.docx", "A 25479-2023")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46252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46252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46252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22275-2024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46252</v>
      </c>
      <c r="F63" t="inlineStr">
        <is>
          <t>GÄVLEBORGS LÄN</t>
        </is>
      </c>
      <c r="G63" t="inlineStr">
        <is>
          <t>SANDVIKEN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Ekorrbär</t>
        </is>
      </c>
      <c r="W63">
        <f>HYPERLINK("https://klasma.github.io/Logging_2181/artfynd/A 22275-2024 artfynd.xlsx", "A 22275-2024")</f>
        <v/>
      </c>
      <c r="X63">
        <f>HYPERLINK("https://klasma.github.io/Logging_2181/kartor/A 22275-2024 karta.png", "A 22275-2024")</f>
        <v/>
      </c>
      <c r="Y63">
        <f>HYPERLINK("https://klasma.github.io/Logging_2181/kartor_geotiff/A 22275-2024 georefererad karta.tif", "A 22275-2024")</f>
        <v/>
      </c>
      <c r="AA63">
        <f>HYPERLINK("https://klasma.github.io/Logging_2181/klagomål/A 22275-2024 FSC-klagomål.docx", "A 22275-2024")</f>
        <v/>
      </c>
      <c r="AB63">
        <f>HYPERLINK("https://klasma.github.io/Logging_2181/klagomålsmail/A 22275-2024 FSC-klagomål mail.docx", "A 22275-2024")</f>
        <v/>
      </c>
      <c r="AC63">
        <f>HYPERLINK("https://klasma.github.io/Logging_2181/tillsyn/A 22275-2024 tillsynsbegäran.docx", "A 22275-2024")</f>
        <v/>
      </c>
      <c r="AD63">
        <f>HYPERLINK("https://klasma.github.io/Logging_2181/tillsynsmail/A 22275-2024 tillsynsbegäran mail.docx", "A 22275-2024")</f>
        <v/>
      </c>
    </row>
    <row r="64" ht="15" customHeight="1">
      <c r="A64" t="inlineStr">
        <is>
          <t>A 5015-2023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44958</v>
      </c>
      <c r="E64" s="1" t="n">
        <v>46252</v>
      </c>
      <c r="F64" t="inlineStr">
        <is>
          <t>GÄVLEBORGS LÄN</t>
        </is>
      </c>
      <c r="G64" t="inlineStr">
        <is>
          <t>SANDVIKEN</t>
        </is>
      </c>
      <c r="I64" t="n">
        <v>7.8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Slåtterfibbla</t>
        </is>
      </c>
      <c r="W64">
        <f>HYPERLINK("https://klasma.github.io/Logging_2181/artfynd/A 5015-2023 artfynd.xlsx", "A 5015-2023")</f>
        <v/>
      </c>
      <c r="X64">
        <f>HYPERLINK("https://klasma.github.io/Logging_2181/kartor/A 5015-2023 karta.png", "A 5015-2023")</f>
        <v/>
      </c>
      <c r="Y64">
        <f>HYPERLINK("https://klasma.github.io/Logging_2181/kartor_geotiff/A 5015-2023 georefererad karta.tif", "A 5015-2023")</f>
        <v/>
      </c>
      <c r="AA64">
        <f>HYPERLINK("https://klasma.github.io/Logging_2181/klagomål/A 5015-2023 FSC-klagomål.docx", "A 5015-2023")</f>
        <v/>
      </c>
      <c r="AB64">
        <f>HYPERLINK("https://klasma.github.io/Logging_2181/klagomålsmail/A 5015-2023 FSC-klagomål mail.docx", "A 5015-2023")</f>
        <v/>
      </c>
      <c r="AC64">
        <f>HYPERLINK("https://klasma.github.io/Logging_2181/tillsyn/A 5015-2023 tillsynsbegäran.docx", "A 5015-2023")</f>
        <v/>
      </c>
      <c r="AD64">
        <f>HYPERLINK("https://klasma.github.io/Logging_2181/tillsynsmail/A 5015-2023 tillsynsbegäran mail.docx", "A 5015-2023")</f>
        <v/>
      </c>
    </row>
    <row r="65" ht="15" customHeight="1">
      <c r="A65" t="inlineStr">
        <is>
          <t>A 38350-2025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46252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väst AB</t>
        </is>
      </c>
      <c r="I65" t="n">
        <v>25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Brandticka</t>
        </is>
      </c>
      <c r="W65">
        <f>HYPERLINK("https://klasma.github.io/Logging_2181/artfynd/A 38350-2025 artfynd.xlsx", "A 38350-2025")</f>
        <v/>
      </c>
      <c r="X65">
        <f>HYPERLINK("https://klasma.github.io/Logging_2181/kartor/A 38350-2025 karta.png", "A 38350-2025")</f>
        <v/>
      </c>
      <c r="Y65">
        <f>HYPERLINK("https://klasma.github.io/Logging_2181/kartor_geotiff/A 38350-2025 georefererad karta.tif", "A 38350-2025")</f>
        <v/>
      </c>
      <c r="AA65">
        <f>HYPERLINK("https://klasma.github.io/Logging_2181/klagomål/A 38350-2025 FSC-klagomål.docx", "A 38350-2025")</f>
        <v/>
      </c>
      <c r="AB65">
        <f>HYPERLINK("https://klasma.github.io/Logging_2181/klagomålsmail/A 38350-2025 FSC-klagomål mail.docx", "A 38350-2025")</f>
        <v/>
      </c>
      <c r="AC65">
        <f>HYPERLINK("https://klasma.github.io/Logging_2181/tillsyn/A 38350-2025 tillsynsbegäran.docx", "A 38350-2025")</f>
        <v/>
      </c>
      <c r="AD65">
        <f>HYPERLINK("https://klasma.github.io/Logging_2181/tillsynsmail/A 38350-2025 tillsynsbegäran mail.docx", "A 38350-2025")</f>
        <v/>
      </c>
    </row>
    <row r="66" ht="15" customHeight="1">
      <c r="A66" t="inlineStr">
        <is>
          <t>A 57934-2025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45981</v>
      </c>
      <c r="E66" s="1" t="n">
        <v>46252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Grönsiska</t>
        </is>
      </c>
      <c r="W66">
        <f>HYPERLINK("https://klasma.github.io/Logging_2181/artfynd/A 57934-2025 artfynd.xlsx", "A 57934-2025")</f>
        <v/>
      </c>
      <c r="X66">
        <f>HYPERLINK("https://klasma.github.io/Logging_2181/kartor/A 57934-2025 karta.png", "A 57934-2025")</f>
        <v/>
      </c>
      <c r="Y66">
        <f>HYPERLINK("https://klasma.github.io/Logging_2181/kartor_geotiff/A 57934-2025 georefererad karta.tif", "A 57934-2025")</f>
        <v/>
      </c>
      <c r="AA66">
        <f>HYPERLINK("https://klasma.github.io/Logging_2181/klagomål/A 57934-2025 FSC-klagomål.docx", "A 57934-2025")</f>
        <v/>
      </c>
      <c r="AB66">
        <f>HYPERLINK("https://klasma.github.io/Logging_2181/klagomålsmail/A 57934-2025 FSC-klagomål mail.docx", "A 57934-2025")</f>
        <v/>
      </c>
      <c r="AC66">
        <f>HYPERLINK("https://klasma.github.io/Logging_2181/tillsyn/A 57934-2025 tillsynsbegäran.docx", "A 57934-2025")</f>
        <v/>
      </c>
      <c r="AD66">
        <f>HYPERLINK("https://klasma.github.io/Logging_2181/tillsynsmail/A 57934-2025 tillsynsbegäran mail.docx", "A 57934-2025")</f>
        <v/>
      </c>
    </row>
    <row r="67" ht="15" customHeight="1">
      <c r="A67" t="inlineStr">
        <is>
          <t>A 3316-2023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44949</v>
      </c>
      <c r="E67" s="1" t="n">
        <v>46252</v>
      </c>
      <c r="F67" t="inlineStr">
        <is>
          <t>GÄVLEBORGS LÄN</t>
        </is>
      </c>
      <c r="G67" t="inlineStr">
        <is>
          <t>SANDVIKEN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HYPERLINK("https://klasma.github.io/Logging_2181/artfynd/A 3316-2023 artfynd.xlsx", "A 3316-2023")</f>
        <v/>
      </c>
      <c r="X67">
        <f>HYPERLINK("https://klasma.github.io/Logging_2181/kartor/A 3316-2023 karta.png", "A 3316-2023")</f>
        <v/>
      </c>
      <c r="Y67">
        <f>HYPERLINK("https://klasma.github.io/Logging_2181/kartor_geotiff/A 3316-2023 georefererad karta.tif", "A 3316-2023")</f>
        <v/>
      </c>
      <c r="AA67">
        <f>HYPERLINK("https://klasma.github.io/Logging_2181/klagomål/A 3316-2023 FSC-klagomål.docx", "A 3316-2023")</f>
        <v/>
      </c>
      <c r="AB67">
        <f>HYPERLINK("https://klasma.github.io/Logging_2181/klagomålsmail/A 3316-2023 FSC-klagomål mail.docx", "A 3316-2023")</f>
        <v/>
      </c>
      <c r="AC67">
        <f>HYPERLINK("https://klasma.github.io/Logging_2181/tillsyn/A 3316-2023 tillsynsbegäran.docx", "A 3316-2023")</f>
        <v/>
      </c>
      <c r="AD67">
        <f>HYPERLINK("https://klasma.github.io/Logging_2181/tillsynsmail/A 3316-2023 tillsynsbegäran mail.docx", "A 3316-2023")</f>
        <v/>
      </c>
      <c r="AE67">
        <f>HYPERLINK("https://klasma.github.io/Logging_2181/fåglar/A 3316-2023 prioriterade fågelarter.docx", "A 3316-2023")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46252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46252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45427-2023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46252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HYPERLINK("https://klasma.github.io/Logging_2181/artfynd/A 45427-2023 artfynd.xlsx", "A 45427-2023")</f>
        <v/>
      </c>
      <c r="X70">
        <f>HYPERLINK("https://klasma.github.io/Logging_2181/kartor/A 45427-2023 karta.png", "A 45427-2023")</f>
        <v/>
      </c>
      <c r="Y70">
        <f>HYPERLINK("https://klasma.github.io/Logging_2181/kartor_geotiff/A 45427-2023 georefererad karta.tif", "A 45427-2023")</f>
        <v/>
      </c>
      <c r="AA70">
        <f>HYPERLINK("https://klasma.github.io/Logging_2181/klagomål/A 45427-2023 FSC-klagomål.docx", "A 45427-2023")</f>
        <v/>
      </c>
      <c r="AB70">
        <f>HYPERLINK("https://klasma.github.io/Logging_2181/klagomålsmail/A 45427-2023 FSC-klagomål mail.docx", "A 45427-2023")</f>
        <v/>
      </c>
      <c r="AC70">
        <f>HYPERLINK("https://klasma.github.io/Logging_2181/tillsyn/A 45427-2023 tillsynsbegäran.docx", "A 45427-2023")</f>
        <v/>
      </c>
      <c r="AD70">
        <f>HYPERLINK("https://klasma.github.io/Logging_2181/tillsynsmail/A 45427-2023 tillsynsbegäran mail.docx", "A 45427-2023")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46252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46252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HYPERLINK("https://klasma.github.io/Logging_2181/artfynd/A 1083-2026 artfynd.xlsx", "A 1083-2026")</f>
        <v/>
      </c>
      <c r="X72">
        <f>HYPERLINK("https://klasma.github.io/Logging_2181/kartor/A 1083-2026 karta.png", "A 1083-2026")</f>
        <v/>
      </c>
      <c r="Y72">
        <f>HYPERLINK("https://klasma.github.io/Logging_2181/kartor_geotiff/A 1083-2026 georefererad karta.tif", "A 1083-2026")</f>
        <v/>
      </c>
      <c r="AA72">
        <f>HYPERLINK("https://klasma.github.io/Logging_2181/klagomål/A 1083-2026 FSC-klagomål.docx", "A 1083-2026")</f>
        <v/>
      </c>
      <c r="AB72">
        <f>HYPERLINK("https://klasma.github.io/Logging_2181/klagomålsmail/A 1083-2026 FSC-klagomål mail.docx", "A 1083-2026")</f>
        <v/>
      </c>
      <c r="AC72">
        <f>HYPERLINK("https://klasma.github.io/Logging_2181/tillsyn/A 1083-2026 tillsynsbegäran.docx", "A 1083-2026")</f>
        <v/>
      </c>
      <c r="AD72">
        <f>HYPERLINK("https://klasma.github.io/Logging_2181/tillsynsmail/A 1083-2026 tillsynsbegäran mail.docx", "A 1083-2026")</f>
        <v/>
      </c>
    </row>
    <row r="73" ht="15" customHeight="1">
      <c r="A73" t="inlineStr">
        <is>
          <t>A 26212-2026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46252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HYPERLINK("https://klasma.github.io/Logging_2181/artfynd/A 26212-2026 artfynd.xlsx", "A 26212-2026")</f>
        <v/>
      </c>
      <c r="X73">
        <f>HYPERLINK("https://klasma.github.io/Logging_2181/kartor/A 26212-2026 karta.png", "A 26212-2026")</f>
        <v/>
      </c>
      <c r="Y73">
        <f>HYPERLINK("https://klasma.github.io/Logging_2181/kartor_geotiff/A 26212-2026 georefererad karta.tif", "A 26212-2026")</f>
        <v/>
      </c>
      <c r="Z73">
        <f>HYPERLINK("https://klasma.github.io/Logging_2181/knärot/A 26212-2026 karta knärot.png", "A 26212-2026")</f>
        <v/>
      </c>
      <c r="AA73">
        <f>HYPERLINK("https://klasma.github.io/Logging_2181/klagomål/A 26212-2026 FSC-klagomål.docx", "A 26212-2026")</f>
        <v/>
      </c>
      <c r="AB73">
        <f>HYPERLINK("https://klasma.github.io/Logging_2181/klagomålsmail/A 26212-2026 FSC-klagomål mail.docx", "A 26212-2026")</f>
        <v/>
      </c>
      <c r="AC73">
        <f>HYPERLINK("https://klasma.github.io/Logging_2181/tillsyn/A 26212-2026 tillsynsbegäran.docx", "A 26212-2026")</f>
        <v/>
      </c>
      <c r="AD73">
        <f>HYPERLINK("https://klasma.github.io/Logging_2181/tillsynsmail/A 26212-2026 tillsynsbegäran mail.docx", "A 26212-2026")</f>
        <v/>
      </c>
    </row>
    <row r="74" ht="15" customHeight="1">
      <c r="A74" t="inlineStr">
        <is>
          <t>A 26271-2026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46252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Fläcknycklar</t>
        </is>
      </c>
      <c r="W74">
        <f>HYPERLINK("https://klasma.github.io/Logging_2181/artfynd/A 26271-2026 artfynd.xlsx", "A 26271-2026")</f>
        <v/>
      </c>
      <c r="X74">
        <f>HYPERLINK("https://klasma.github.io/Logging_2181/kartor/A 26271-2026 karta.png", "A 26271-2026")</f>
        <v/>
      </c>
      <c r="Y74">
        <f>HYPERLINK("https://klasma.github.io/Logging_2181/kartor_geotiff/A 26271-2026 georefererad karta.tif", "A 26271-2026")</f>
        <v/>
      </c>
      <c r="AA74">
        <f>HYPERLINK("https://klasma.github.io/Logging_2181/klagomål/A 26271-2026 FSC-klagomål.docx", "A 26271-2026")</f>
        <v/>
      </c>
      <c r="AB74">
        <f>HYPERLINK("https://klasma.github.io/Logging_2181/klagomålsmail/A 26271-2026 FSC-klagomål mail.docx", "A 26271-2026")</f>
        <v/>
      </c>
      <c r="AC74">
        <f>HYPERLINK("https://klasma.github.io/Logging_2181/tillsyn/A 26271-2026 tillsynsbegäran.docx", "A 26271-2026")</f>
        <v/>
      </c>
      <c r="AD74">
        <f>HYPERLINK("https://klasma.github.io/Logging_2181/tillsynsmail/A 26271-2026 tillsynsbegäran mail.docx", "A 26271-2026")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46252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Brunklöver</t>
        </is>
      </c>
      <c r="W75">
        <f>HYPERLINK("https://klasma.github.io/Logging_2181/artfynd/A 7393-2026 artfynd.xlsx", "A 7393-2026")</f>
        <v/>
      </c>
      <c r="X75">
        <f>HYPERLINK("https://klasma.github.io/Logging_2181/kartor/A 7393-2026 karta.png", "A 7393-2026")</f>
        <v/>
      </c>
      <c r="Y75">
        <f>HYPERLINK("https://klasma.github.io/Logging_2181/kartor_geotiff/A 7393-2026 georefererad karta.tif", "A 7393-2026")</f>
        <v/>
      </c>
      <c r="AA75">
        <f>HYPERLINK("https://klasma.github.io/Logging_2181/klagomål/A 7393-2026 FSC-klagomål.docx", "A 7393-2026")</f>
        <v/>
      </c>
      <c r="AB75">
        <f>HYPERLINK("https://klasma.github.io/Logging_2181/klagomålsmail/A 7393-2026 FSC-klagomål mail.docx", "A 7393-2026")</f>
        <v/>
      </c>
      <c r="AC75">
        <f>HYPERLINK("https://klasma.github.io/Logging_2181/tillsyn/A 7393-2026 tillsynsbegäran.docx", "A 7393-2026")</f>
        <v/>
      </c>
      <c r="AD75">
        <f>HYPERLINK("https://klasma.github.io/Logging_2181/tillsynsmail/A 7393-2026 tillsynsbegäran mail.docx", "A 7393-2026")</f>
        <v/>
      </c>
    </row>
    <row r="76" ht="15" customHeight="1">
      <c r="A76" t="inlineStr">
        <is>
          <t>A 9267-2026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46252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Gullpudra</t>
        </is>
      </c>
      <c r="W76">
        <f>HYPERLINK("https://klasma.github.io/Logging_2181/artfynd/A 9267-2026 artfynd.xlsx", "A 9267-2026")</f>
        <v/>
      </c>
      <c r="X76">
        <f>HYPERLINK("https://klasma.github.io/Logging_2181/kartor/A 9267-2026 karta.png", "A 9267-2026")</f>
        <v/>
      </c>
      <c r="Y76">
        <f>HYPERLINK("https://klasma.github.io/Logging_2181/kartor_geotiff/A 9267-2026 georefererad karta.tif", "A 9267-2026")</f>
        <v/>
      </c>
      <c r="AA76">
        <f>HYPERLINK("https://klasma.github.io/Logging_2181/klagomål/A 9267-2026 FSC-klagomål.docx", "A 9267-2026")</f>
        <v/>
      </c>
      <c r="AB76">
        <f>HYPERLINK("https://klasma.github.io/Logging_2181/klagomålsmail/A 9267-2026 FSC-klagomål mail.docx", "A 9267-2026")</f>
        <v/>
      </c>
      <c r="AC76">
        <f>HYPERLINK("https://klasma.github.io/Logging_2181/tillsyn/A 9267-2026 tillsynsbegäran.docx", "A 9267-2026")</f>
        <v/>
      </c>
      <c r="AD76">
        <f>HYPERLINK("https://klasma.github.io/Logging_2181/tillsynsmail/A 9267-2026 tillsynsbegäran mail.docx", "A 9267-2026")</f>
        <v/>
      </c>
    </row>
    <row r="77" ht="15" customHeight="1">
      <c r="A77" t="inlineStr">
        <is>
          <t>A 11784-2026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46084</v>
      </c>
      <c r="E77" s="1" t="n">
        <v>46252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HYPERLINK("https://klasma.github.io/Logging_2181/artfynd/A 11784-2026 artfynd.xlsx", "A 11784-2026")</f>
        <v/>
      </c>
      <c r="X77">
        <f>HYPERLINK("https://klasma.github.io/Logging_2181/kartor/A 11784-2026 karta.png", "A 11784-2026")</f>
        <v/>
      </c>
      <c r="Y77">
        <f>HYPERLINK("https://klasma.github.io/Logging_2181/kartor_geotiff/A 11784-2026 georefererad karta.tif", "A 11784-2026")</f>
        <v/>
      </c>
      <c r="AA77">
        <f>HYPERLINK("https://klasma.github.io/Logging_2181/klagomål/A 11784-2026 FSC-klagomål.docx", "A 11784-2026")</f>
        <v/>
      </c>
      <c r="AB77">
        <f>HYPERLINK("https://klasma.github.io/Logging_2181/klagomålsmail/A 11784-2026 FSC-klagomål mail.docx", "A 11784-2026")</f>
        <v/>
      </c>
      <c r="AC77">
        <f>HYPERLINK("https://klasma.github.io/Logging_2181/tillsyn/A 11784-2026 tillsynsbegäran.docx", "A 11784-2026")</f>
        <v/>
      </c>
      <c r="AD77">
        <f>HYPERLINK("https://klasma.github.io/Logging_2181/tillsynsmail/A 11784-2026 tillsynsbegäran mail.docx", "A 11784-2026")</f>
        <v/>
      </c>
    </row>
    <row r="78" ht="15" customHeight="1">
      <c r="A78" t="inlineStr">
        <is>
          <t>A 27207-2026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46252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Kungsfågel</t>
        </is>
      </c>
      <c r="W78">
        <f>HYPERLINK("https://klasma.github.io/Logging_2181/artfynd/A 27207-2026 artfynd.xlsx", "A 27207-2026")</f>
        <v/>
      </c>
      <c r="X78">
        <f>HYPERLINK("https://klasma.github.io/Logging_2181/kartor/A 27207-2026 karta.png", "A 27207-2026")</f>
        <v/>
      </c>
      <c r="Y78">
        <f>HYPERLINK("https://klasma.github.io/Logging_2181/kartor_geotiff/A 27207-2026 georefererad karta.tif", "A 27207-2026")</f>
        <v/>
      </c>
      <c r="AA78">
        <f>HYPERLINK("https://klasma.github.io/Logging_2181/klagomål/A 27207-2026 FSC-klagomål.docx", "A 27207-2026")</f>
        <v/>
      </c>
      <c r="AB78">
        <f>HYPERLINK("https://klasma.github.io/Logging_2181/klagomålsmail/A 27207-2026 FSC-klagomål mail.docx", "A 27207-2026")</f>
        <v/>
      </c>
      <c r="AC78">
        <f>HYPERLINK("https://klasma.github.io/Logging_2181/tillsyn/A 27207-2026 tillsynsbegäran.docx", "A 27207-2026")</f>
        <v/>
      </c>
      <c r="AD78">
        <f>HYPERLINK("https://klasma.github.io/Logging_2181/tillsynsmail/A 27207-2026 tillsynsbegäran mail.docx", "A 27207-2026")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46252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HYPERLINK("https://klasma.github.io/Logging_2181/artfynd/A 13135-2026 artfynd.xlsx", "A 13135-2026")</f>
        <v/>
      </c>
      <c r="X79">
        <f>HYPERLINK("https://klasma.github.io/Logging_2181/kartor/A 13135-2026 karta.png", "A 13135-2026")</f>
        <v/>
      </c>
      <c r="Y79">
        <f>HYPERLINK("https://klasma.github.io/Logging_2181/kartor_geotiff/A 13135-2026 georefererad karta.tif", "A 13135-2026")</f>
        <v/>
      </c>
      <c r="AA79">
        <f>HYPERLINK("https://klasma.github.io/Logging_2181/klagomål/A 13135-2026 FSC-klagomål.docx", "A 13135-2026")</f>
        <v/>
      </c>
      <c r="AB79">
        <f>HYPERLINK("https://klasma.github.io/Logging_2181/klagomålsmail/A 13135-2026 FSC-klagomål mail.docx", "A 13135-2026")</f>
        <v/>
      </c>
      <c r="AC79">
        <f>HYPERLINK("https://klasma.github.io/Logging_2181/tillsyn/A 13135-2026 tillsynsbegäran.docx", "A 13135-2026")</f>
        <v/>
      </c>
      <c r="AD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46252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HYPERLINK("https://klasma.github.io/Logging_2181/artfynd/A 13645-2026 artfynd.xlsx", "A 13645-2026")</f>
        <v/>
      </c>
      <c r="X80">
        <f>HYPERLINK("https://klasma.github.io/Logging_2181/kartor/A 13645-2026 karta.png", "A 13645-2026")</f>
        <v/>
      </c>
      <c r="Y80">
        <f>HYPERLINK("https://klasma.github.io/Logging_2181/kartor_geotiff/A 13645-2026 georefererad karta.tif", "A 13645-2026")</f>
        <v/>
      </c>
      <c r="AA80">
        <f>HYPERLINK("https://klasma.github.io/Logging_2181/klagomål/A 13645-2026 FSC-klagomål.docx", "A 13645-2026")</f>
        <v/>
      </c>
      <c r="AB80">
        <f>HYPERLINK("https://klasma.github.io/Logging_2181/klagomålsmail/A 13645-2026 FSC-klagomål mail.docx", "A 13645-2026")</f>
        <v/>
      </c>
      <c r="AC80">
        <f>HYPERLINK("https://klasma.github.io/Logging_2181/tillsyn/A 13645-2026 tillsynsbegäran.docx", "A 13645-2026")</f>
        <v/>
      </c>
      <c r="AD80">
        <f>HYPERLINK("https://klasma.github.io/Logging_2181/tillsynsmail/A 13645-2026 tillsynsbegäran mail.docx", "A 13645-2026")</f>
        <v/>
      </c>
      <c r="AE80">
        <f>HYPERLINK("https://klasma.github.io/Logging_2181/fåglar/A 13645-2026 prioriterade fågelarter.docx", "A 13645-2026")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46252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46252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23225-2026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46162</v>
      </c>
      <c r="E83" s="1" t="n">
        <v>46252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1.3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Rödvingetrast</t>
        </is>
      </c>
      <c r="W83">
        <f>HYPERLINK("https://klasma.github.io/Logging_2181/artfynd/A 23225-2026 artfynd.xlsx", "A 23225-2026")</f>
        <v/>
      </c>
      <c r="X83">
        <f>HYPERLINK("https://klasma.github.io/Logging_2181/kartor/A 23225-2026 karta.png", "A 23225-2026")</f>
        <v/>
      </c>
      <c r="Y83">
        <f>HYPERLINK("https://klasma.github.io/Logging_2181/kartor_geotiff/A 23225-2026 georefererad karta.tif", "A 23225-2026")</f>
        <v/>
      </c>
      <c r="AA83">
        <f>HYPERLINK("https://klasma.github.io/Logging_2181/klagomål/A 23225-2026 FSC-klagomål.docx", "A 23225-2026")</f>
        <v/>
      </c>
      <c r="AB83">
        <f>HYPERLINK("https://klasma.github.io/Logging_2181/klagomålsmail/A 23225-2026 FSC-klagomål mail.docx", "A 23225-2026")</f>
        <v/>
      </c>
      <c r="AC83">
        <f>HYPERLINK("https://klasma.github.io/Logging_2181/tillsyn/A 23225-2026 tillsynsbegäran.docx", "A 23225-2026")</f>
        <v/>
      </c>
      <c r="AD83">
        <f>HYPERLINK("https://klasma.github.io/Logging_2181/tillsynsmail/A 23225-2026 tillsynsbegäran mail.docx", "A 23225-2026")</f>
        <v/>
      </c>
      <c r="AE83">
        <f>HYPERLINK("https://klasma.github.io/Logging_2181/fåglar/A 23225-2026 prioriterade fågelarter.docx", "A 23225-2026")</f>
        <v/>
      </c>
    </row>
    <row r="84" ht="15" customHeight="1">
      <c r="A84" t="inlineStr">
        <is>
          <t>A 17062-2026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46252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5.7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Vårärt</t>
        </is>
      </c>
      <c r="W84">
        <f>HYPERLINK("https://klasma.github.io/Logging_2181/artfynd/A 17062-2026 artfynd.xlsx", "A 17062-2026")</f>
        <v/>
      </c>
      <c r="X84">
        <f>HYPERLINK("https://klasma.github.io/Logging_2181/kartor/A 17062-2026 karta.png", "A 17062-2026")</f>
        <v/>
      </c>
      <c r="Y84">
        <f>HYPERLINK("https://klasma.github.io/Logging_2181/kartor_geotiff/A 17062-2026 georefererad karta.tif", "A 17062-2026")</f>
        <v/>
      </c>
      <c r="AA84">
        <f>HYPERLINK("https://klasma.github.io/Logging_2181/klagomål/A 17062-2026 FSC-klagomål.docx", "A 17062-2026")</f>
        <v/>
      </c>
      <c r="AB84">
        <f>HYPERLINK("https://klasma.github.io/Logging_2181/klagomålsmail/A 17062-2026 FSC-klagomål mail.docx", "A 17062-2026")</f>
        <v/>
      </c>
      <c r="AC84">
        <f>HYPERLINK("https://klasma.github.io/Logging_2181/tillsyn/A 17062-2026 tillsynsbegäran.docx", "A 17062-2026")</f>
        <v/>
      </c>
      <c r="AD84">
        <f>HYPERLINK("https://klasma.github.io/Logging_2181/tillsynsmail/A 17062-2026 tillsynsbegäran mail.docx", "A 17062-2026")</f>
        <v/>
      </c>
    </row>
    <row r="85" ht="15" customHeight="1">
      <c r="A85" t="inlineStr">
        <is>
          <t>A 17364-2026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46252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3.2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17364-2026 artfynd.xlsx", "A 17364-2026")</f>
        <v/>
      </c>
      <c r="X85">
        <f>HYPERLINK("https://klasma.github.io/Logging_2181/kartor/A 17364-2026 karta.png", "A 17364-2026")</f>
        <v/>
      </c>
      <c r="Y85">
        <f>HYPERLINK("https://klasma.github.io/Logging_2181/kartor_geotiff/A 17364-2026 georefererad karta.tif", "A 17364-2026")</f>
        <v/>
      </c>
      <c r="AA85">
        <f>HYPERLINK("https://klasma.github.io/Logging_2181/klagomål/A 17364-2026 FSC-klagomål.docx", "A 17364-2026")</f>
        <v/>
      </c>
      <c r="AB85">
        <f>HYPERLINK("https://klasma.github.io/Logging_2181/klagomålsmail/A 17364-2026 FSC-klagomål mail.docx", "A 17364-2026")</f>
        <v/>
      </c>
      <c r="AC85">
        <f>HYPERLINK("https://klasma.github.io/Logging_2181/tillsyn/A 17364-2026 tillsynsbegäran.docx", "A 17364-2026")</f>
        <v/>
      </c>
      <c r="AD85">
        <f>HYPERLINK("https://klasma.github.io/Logging_2181/tillsynsmail/A 17364-2026 tillsynsbegäran mail.docx", "A 17364-2026")</f>
        <v/>
      </c>
    </row>
    <row r="86" ht="15" customHeight="1">
      <c r="A86" t="inlineStr">
        <is>
          <t>A 32533-2026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46239</v>
      </c>
      <c r="E86" s="1" t="n">
        <v>46252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3.1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Järnsparv</t>
        </is>
      </c>
      <c r="W86">
        <f>HYPERLINK("https://klasma.github.io/Logging_2181/artfynd/A 32533-2026 artfynd.xlsx", "A 32533-2026")</f>
        <v/>
      </c>
      <c r="X86">
        <f>HYPERLINK("https://klasma.github.io/Logging_2181/kartor/A 32533-2026 karta.png", "A 32533-2026")</f>
        <v/>
      </c>
      <c r="Y86">
        <f>HYPERLINK("https://klasma.github.io/Logging_2181/kartor_geotiff/A 32533-2026 georefererad karta.tif", "A 32533-2026")</f>
        <v/>
      </c>
      <c r="AA86">
        <f>HYPERLINK("https://klasma.github.io/Logging_2181/klagomål/A 32533-2026 FSC-klagomål.docx", "A 32533-2026")</f>
        <v/>
      </c>
      <c r="AB86">
        <f>HYPERLINK("https://klasma.github.io/Logging_2181/klagomålsmail/A 32533-2026 FSC-klagomål mail.docx", "A 32533-2026")</f>
        <v/>
      </c>
      <c r="AC86">
        <f>HYPERLINK("https://klasma.github.io/Logging_2181/tillsyn/A 32533-2026 tillsynsbegäran.docx", "A 32533-2026")</f>
        <v/>
      </c>
      <c r="AD86">
        <f>HYPERLINK("https://klasma.github.io/Logging_2181/tillsynsmail/A 32533-2026 tillsynsbegäran mail.docx", "A 32533-2026")</f>
        <v/>
      </c>
      <c r="AE86">
        <f>HYPERLINK("https://klasma.github.io/Logging_2181/fåglar/A 32533-2026 prioriterade fågelarter.docx", "A 32533-2026")</f>
        <v/>
      </c>
    </row>
    <row r="87" ht="15" customHeight="1">
      <c r="A87" t="inlineStr">
        <is>
          <t>A 32539-2026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46239</v>
      </c>
      <c r="E87" s="1" t="n">
        <v>46252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Grönsiska</t>
        </is>
      </c>
      <c r="W87">
        <f>HYPERLINK("https://klasma.github.io/Logging_2181/artfynd/A 32539-2026 artfynd.xlsx", "A 32539-2026")</f>
        <v/>
      </c>
      <c r="X87">
        <f>HYPERLINK("https://klasma.github.io/Logging_2181/kartor/A 32539-2026 karta.png", "A 32539-2026")</f>
        <v/>
      </c>
      <c r="Y87">
        <f>HYPERLINK("https://klasma.github.io/Logging_2181/kartor_geotiff/A 32539-2026 georefererad karta.tif", "A 32539-2026")</f>
        <v/>
      </c>
      <c r="AA87">
        <f>HYPERLINK("https://klasma.github.io/Logging_2181/klagomål/A 32539-2026 FSC-klagomål.docx", "A 32539-2026")</f>
        <v/>
      </c>
      <c r="AB87">
        <f>HYPERLINK("https://klasma.github.io/Logging_2181/klagomålsmail/A 32539-2026 FSC-klagomål mail.docx", "A 32539-2026")</f>
        <v/>
      </c>
      <c r="AC87">
        <f>HYPERLINK("https://klasma.github.io/Logging_2181/tillsyn/A 32539-2026 tillsynsbegäran.docx", "A 32539-2026")</f>
        <v/>
      </c>
      <c r="AD87">
        <f>HYPERLINK("https://klasma.github.io/Logging_2181/tillsynsmail/A 32539-2026 tillsynsbegäran mail.docx", "A 32539-2026")</f>
        <v/>
      </c>
    </row>
    <row r="88" ht="15" customHeight="1">
      <c r="A88" t="inlineStr">
        <is>
          <t>A 32544-2026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46239</v>
      </c>
      <c r="E88" s="1" t="n">
        <v>46252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3.8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HYPERLINK("https://klasma.github.io/Logging_2181/artfynd/A 32544-2026 artfynd.xlsx", "A 32544-2026")</f>
        <v/>
      </c>
      <c r="X88">
        <f>HYPERLINK("https://klasma.github.io/Logging_2181/kartor/A 32544-2026 karta.png", "A 32544-2026")</f>
        <v/>
      </c>
      <c r="Y88">
        <f>HYPERLINK("https://klasma.github.io/Logging_2181/kartor_geotiff/A 32544-2026 georefererad karta.tif", "A 32544-2026")</f>
        <v/>
      </c>
      <c r="AA88">
        <f>HYPERLINK("https://klasma.github.io/Logging_2181/klagomål/A 32544-2026 FSC-klagomål.docx", "A 32544-2026")</f>
        <v/>
      </c>
      <c r="AB88">
        <f>HYPERLINK("https://klasma.github.io/Logging_2181/klagomålsmail/A 32544-2026 FSC-klagomål mail.docx", "A 32544-2026")</f>
        <v/>
      </c>
      <c r="AC88">
        <f>HYPERLINK("https://klasma.github.io/Logging_2181/tillsyn/A 32544-2026 tillsynsbegäran.docx", "A 32544-2026")</f>
        <v/>
      </c>
      <c r="AD88">
        <f>HYPERLINK("https://klasma.github.io/Logging_2181/tillsynsmail/A 32544-2026 tillsynsbegäran mail.docx", "A 32544-2026")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46252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4384-2023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44955</v>
      </c>
      <c r="E90" s="1" t="n">
        <v>46252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Sångsvan</t>
        </is>
      </c>
      <c r="W90">
        <f>HYPERLINK("https://klasma.github.io/Logging_2181/artfynd/A 4384-2023 artfynd.xlsx", "A 4384-2023")</f>
        <v/>
      </c>
      <c r="X90">
        <f>HYPERLINK("https://klasma.github.io/Logging_2181/kartor/A 4384-2023 karta.png", "A 4384-2023")</f>
        <v/>
      </c>
      <c r="Y90">
        <f>HYPERLINK("https://klasma.github.io/Logging_2181/kartor_geotiff/A 4384-2023 georefererad karta.tif", "A 4384-2023")</f>
        <v/>
      </c>
      <c r="AA90">
        <f>HYPERLINK("https://klasma.github.io/Logging_2181/klagomål/A 4384-2023 FSC-klagomål.docx", "A 4384-2023")</f>
        <v/>
      </c>
      <c r="AB90">
        <f>HYPERLINK("https://klasma.github.io/Logging_2181/klagomålsmail/A 4384-2023 FSC-klagomål mail.docx", "A 4384-2023")</f>
        <v/>
      </c>
      <c r="AC90">
        <f>HYPERLINK("https://klasma.github.io/Logging_2181/tillsyn/A 4384-2023 tillsynsbegäran.docx", "A 4384-2023")</f>
        <v/>
      </c>
      <c r="AD90">
        <f>HYPERLINK("https://klasma.github.io/Logging_2181/tillsynsmail/A 4384-2023 tillsynsbegäran mail.docx", "A 4384-2023")</f>
        <v/>
      </c>
      <c r="AE90">
        <f>HYPERLINK("https://klasma.github.io/Logging_2181/fåglar/A 4384-2023 prioriterade fågelarter.docx", "A 4384-2023")</f>
        <v/>
      </c>
    </row>
    <row r="91" ht="15" customHeight="1">
      <c r="A91" t="inlineStr">
        <is>
          <t>A 4324-2026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46252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11.2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Järpe</t>
        </is>
      </c>
      <c r="W91">
        <f>HYPERLINK("https://klasma.github.io/Logging_2181/artfynd/A 4324-2026 artfynd.xlsx", "A 4324-2026")</f>
        <v/>
      </c>
      <c r="X91">
        <f>HYPERLINK("https://klasma.github.io/Logging_2181/kartor/A 4324-2026 karta.png", "A 4324-2026")</f>
        <v/>
      </c>
      <c r="Y91">
        <f>HYPERLINK("https://klasma.github.io/Logging_2181/kartor_geotiff/A 4324-2026 georefererad karta.tif", "A 4324-2026")</f>
        <v/>
      </c>
      <c r="AA91">
        <f>HYPERLINK("https://klasma.github.io/Logging_2181/klagomål/A 4324-2026 FSC-klagomål.docx", "A 4324-2026")</f>
        <v/>
      </c>
      <c r="AB91">
        <f>HYPERLINK("https://klasma.github.io/Logging_2181/klagomålsmail/A 4324-2026 FSC-klagomål mail.docx", "A 4324-2026")</f>
        <v/>
      </c>
      <c r="AC91">
        <f>HYPERLINK("https://klasma.github.io/Logging_2181/tillsyn/A 4324-2026 tillsynsbegäran.docx", "A 4324-2026")</f>
        <v/>
      </c>
      <c r="AD91">
        <f>HYPERLINK("https://klasma.github.io/Logging_2181/tillsynsmail/A 4324-2026 tillsynsbegäran mail.docx", "A 4324-2026")</f>
        <v/>
      </c>
      <c r="AE91">
        <f>HYPERLINK("https://klasma.github.io/Logging_2181/fåglar/A 4324-2026 prioriterade fågelarter.docx", "A 4324-2026")</f>
        <v/>
      </c>
    </row>
    <row r="92" ht="15" customHeight="1">
      <c r="A92" t="inlineStr">
        <is>
          <t>A 42115-2023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45177</v>
      </c>
      <c r="E92" s="1" t="n">
        <v>46252</v>
      </c>
      <c r="F92" t="inlineStr">
        <is>
          <t>GÄVLEBORGS LÄN</t>
        </is>
      </c>
      <c r="G92" t="inlineStr">
        <is>
          <t>SANDVIKEN</t>
        </is>
      </c>
      <c r="H92" t="inlineStr">
        <is>
          <t>Sveaskog</t>
        </is>
      </c>
      <c r="I92" t="n">
        <v>2.4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HYPERLINK("https://klasma.github.io/Logging_2181/artfynd/A 42115-2023 artfynd.xlsx", "A 42115-2023")</f>
        <v/>
      </c>
      <c r="X92">
        <f>HYPERLINK("https://klasma.github.io/Logging_2181/kartor/A 42115-2023 karta.png", "A 42115-2023")</f>
        <v/>
      </c>
      <c r="Y92">
        <f>HYPERLINK("https://klasma.github.io/Logging_2181/kartor_geotiff/A 42115-2023 georefererad karta.tif", "A 42115-2023")</f>
        <v/>
      </c>
      <c r="AA92">
        <f>HYPERLINK("https://klasma.github.io/Logging_2181/klagomål/A 42115-2023 FSC-klagomål.docx", "A 42115-2023")</f>
        <v/>
      </c>
      <c r="AB92">
        <f>HYPERLINK("https://klasma.github.io/Logging_2181/klagomålsmail/A 42115-2023 FSC-klagomål mail.docx", "A 42115-2023")</f>
        <v/>
      </c>
      <c r="AC92">
        <f>HYPERLINK("https://klasma.github.io/Logging_2181/tillsyn/A 42115-2023 tillsynsbegäran.docx", "A 42115-2023")</f>
        <v/>
      </c>
      <c r="AD92">
        <f>HYPERLINK("https://klasma.github.io/Logging_2181/tillsynsmail/A 42115-2023 tillsynsbegäran mail.docx", "A 42115-2023")</f>
        <v/>
      </c>
      <c r="AE92">
        <f>HYPERLINK("https://klasma.github.io/Logging_2181/fåglar/A 42115-2023 prioriterade fågelarter.docx", "A 42115-2023")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46252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6972-2026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46252</v>
      </c>
      <c r="F94" t="inlineStr">
        <is>
          <t>GÄVLEBORGS LÄN</t>
        </is>
      </c>
      <c r="G94" t="inlineStr">
        <is>
          <t>SANDVIKEN</t>
        </is>
      </c>
      <c r="H94" t="inlineStr">
        <is>
          <t>Naturvårdsverket</t>
        </is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Svartvit flugsnappare</t>
        </is>
      </c>
      <c r="W94">
        <f>HYPERLINK("https://klasma.github.io/Logging_2181/artfynd/A 6972-2026 artfynd.xlsx", "A 6972-2026")</f>
        <v/>
      </c>
      <c r="X94">
        <f>HYPERLINK("https://klasma.github.io/Logging_2181/kartor/A 6972-2026 karta.png", "A 6972-2026")</f>
        <v/>
      </c>
      <c r="Y94">
        <f>HYPERLINK("https://klasma.github.io/Logging_2181/kartor_geotiff/A 6972-2026 georefererad karta.tif", "A 6972-2026")</f>
        <v/>
      </c>
      <c r="AA94">
        <f>HYPERLINK("https://klasma.github.io/Logging_2181/klagomål/A 6972-2026 FSC-klagomål.docx", "A 6972-2026")</f>
        <v/>
      </c>
      <c r="AB94">
        <f>HYPERLINK("https://klasma.github.io/Logging_2181/klagomålsmail/A 6972-2026 FSC-klagomål mail.docx", "A 6972-2026")</f>
        <v/>
      </c>
      <c r="AC94">
        <f>HYPERLINK("https://klasma.github.io/Logging_2181/tillsyn/A 6972-2026 tillsynsbegäran.docx", "A 6972-2026")</f>
        <v/>
      </c>
      <c r="AD94">
        <f>HYPERLINK("https://klasma.github.io/Logging_2181/tillsynsmail/A 6972-2026 tillsynsbegäran mail.docx", "A 6972-2026")</f>
        <v/>
      </c>
    </row>
    <row r="95" ht="15" customHeight="1">
      <c r="A95" t="inlineStr">
        <is>
          <t>A 41349-2025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45899</v>
      </c>
      <c r="E95" s="1" t="n">
        <v>46252</v>
      </c>
      <c r="F95" t="inlineStr">
        <is>
          <t>GÄVLEBORGS LÄN</t>
        </is>
      </c>
      <c r="G95" t="inlineStr">
        <is>
          <t>SANDVIKEN</t>
        </is>
      </c>
      <c r="I95" t="n">
        <v>3.7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Skogsklocka</t>
        </is>
      </c>
      <c r="W95">
        <f>HYPERLINK("https://klasma.github.io/Logging_2181/artfynd/A 41349-2025 artfynd.xlsx", "A 41349-2025")</f>
        <v/>
      </c>
      <c r="X95">
        <f>HYPERLINK("https://klasma.github.io/Logging_2181/kartor/A 41349-2025 karta.png", "A 41349-2025")</f>
        <v/>
      </c>
      <c r="Y95">
        <f>HYPERLINK("https://klasma.github.io/Logging_2181/kartor_geotiff/A 41349-2025 georefererad karta.tif", "A 41349-2025")</f>
        <v/>
      </c>
      <c r="AA95">
        <f>HYPERLINK("https://klasma.github.io/Logging_2181/klagomål/A 41349-2025 FSC-klagomål.docx", "A 41349-2025")</f>
        <v/>
      </c>
      <c r="AB95">
        <f>HYPERLINK("https://klasma.github.io/Logging_2181/klagomålsmail/A 41349-2025 FSC-klagomål mail.docx", "A 41349-2025")</f>
        <v/>
      </c>
      <c r="AC95">
        <f>HYPERLINK("https://klasma.github.io/Logging_2181/tillsyn/A 41349-2025 tillsynsbegäran.docx", "A 41349-2025")</f>
        <v/>
      </c>
      <c r="AD95">
        <f>HYPERLINK("https://klasma.github.io/Logging_2181/tillsynsmail/A 41349-2025 tillsynsbegäran mail.docx", "A 41349-2025")</f>
        <v/>
      </c>
    </row>
    <row r="96" ht="15" customHeight="1">
      <c r="A96" t="inlineStr">
        <is>
          <t>A 21532-2026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46148</v>
      </c>
      <c r="E96" s="1" t="n">
        <v>46252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Svartvit flugsnappare</t>
        </is>
      </c>
      <c r="W96">
        <f>HYPERLINK("https://klasma.github.io/Logging_2181/artfynd/A 21532-2026 artfynd.xlsx", "A 21532-2026")</f>
        <v/>
      </c>
      <c r="X96">
        <f>HYPERLINK("https://klasma.github.io/Logging_2181/kartor/A 21532-2026 karta.png", "A 21532-2026")</f>
        <v/>
      </c>
      <c r="Y96">
        <f>HYPERLINK("https://klasma.github.io/Logging_2181/kartor_geotiff/A 21532-2026 georefererad karta.tif", "A 21532-2026")</f>
        <v/>
      </c>
      <c r="AA96">
        <f>HYPERLINK("https://klasma.github.io/Logging_2181/klagomål/A 21532-2026 FSC-klagomål.docx", "A 21532-2026")</f>
        <v/>
      </c>
      <c r="AB96">
        <f>HYPERLINK("https://klasma.github.io/Logging_2181/klagomålsmail/A 21532-2026 FSC-klagomål mail.docx", "A 21532-2026")</f>
        <v/>
      </c>
      <c r="AC96">
        <f>HYPERLINK("https://klasma.github.io/Logging_2181/tillsyn/A 21532-2026 tillsynsbegäran.docx", "A 21532-2026")</f>
        <v/>
      </c>
      <c r="AD96">
        <f>HYPERLINK("https://klasma.github.io/Logging_2181/tillsynsmail/A 21532-2026 tillsynsbegäran mail.docx", "A 21532-2026")</f>
        <v/>
      </c>
    </row>
    <row r="97" ht="15" customHeight="1">
      <c r="A97" t="inlineStr">
        <is>
          <t>A 24171-2026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46168</v>
      </c>
      <c r="E97" s="1" t="n">
        <v>46252</v>
      </c>
      <c r="F97" t="inlineStr">
        <is>
          <t>GÄVLEBORGS LÄN</t>
        </is>
      </c>
      <c r="G97" t="inlineStr">
        <is>
          <t>SANDVIKEN</t>
        </is>
      </c>
      <c r="I97" t="n">
        <v>1.4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Svedjenäva</t>
        </is>
      </c>
      <c r="W97">
        <f>HYPERLINK("https://klasma.github.io/Logging_2181/artfynd/A 24171-2026 artfynd.xlsx", "A 24171-2026")</f>
        <v/>
      </c>
      <c r="X97">
        <f>HYPERLINK("https://klasma.github.io/Logging_2181/kartor/A 24171-2026 karta.png", "A 24171-2026")</f>
        <v/>
      </c>
      <c r="Y97">
        <f>HYPERLINK("https://klasma.github.io/Logging_2181/kartor_geotiff/A 24171-2026 georefererad karta.tif", "A 24171-2026")</f>
        <v/>
      </c>
      <c r="AA97">
        <f>HYPERLINK("https://klasma.github.io/Logging_2181/klagomål/A 24171-2026 FSC-klagomål.docx", "A 24171-2026")</f>
        <v/>
      </c>
      <c r="AB97">
        <f>HYPERLINK("https://klasma.github.io/Logging_2181/klagomålsmail/A 24171-2026 FSC-klagomål mail.docx", "A 24171-2026")</f>
        <v/>
      </c>
      <c r="AC97">
        <f>HYPERLINK("https://klasma.github.io/Logging_2181/tillsyn/A 24171-2026 tillsynsbegäran.docx", "A 24171-2026")</f>
        <v/>
      </c>
      <c r="AD97">
        <f>HYPERLINK("https://klasma.github.io/Logging_2181/tillsynsmail/A 24171-2026 tillsynsbegäran mail.docx", "A 24171-2026")</f>
        <v/>
      </c>
    </row>
    <row r="98" ht="15" customHeight="1">
      <c r="A98" t="inlineStr">
        <is>
          <t>A 24357-2026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46252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5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Plattlummer</t>
        </is>
      </c>
      <c r="W98">
        <f>HYPERLINK("https://klasma.github.io/Logging_2181/artfynd/A 24357-2026 artfynd.xlsx", "A 24357-2026")</f>
        <v/>
      </c>
      <c r="X98">
        <f>HYPERLINK("https://klasma.github.io/Logging_2181/kartor/A 24357-2026 karta.png", "A 24357-2026")</f>
        <v/>
      </c>
      <c r="Y98">
        <f>HYPERLINK("https://klasma.github.io/Logging_2181/kartor_geotiff/A 24357-2026 georefererad karta.tif", "A 24357-2026")</f>
        <v/>
      </c>
      <c r="AA98">
        <f>HYPERLINK("https://klasma.github.io/Logging_2181/klagomål/A 24357-2026 FSC-klagomål.docx", "A 24357-2026")</f>
        <v/>
      </c>
      <c r="AB98">
        <f>HYPERLINK("https://klasma.github.io/Logging_2181/klagomålsmail/A 24357-2026 FSC-klagomål mail.docx", "A 24357-2026")</f>
        <v/>
      </c>
      <c r="AC98">
        <f>HYPERLINK("https://klasma.github.io/Logging_2181/tillsyn/A 24357-2026 tillsynsbegäran.docx", "A 24357-2026")</f>
        <v/>
      </c>
      <c r="AD98">
        <f>HYPERLINK("https://klasma.github.io/Logging_2181/tillsynsmail/A 24357-2026 tillsynsbegäran mail.docx", "A 24357-2026")</f>
        <v/>
      </c>
    </row>
    <row r="99" ht="15" customHeight="1">
      <c r="A99" t="inlineStr">
        <is>
          <t>A 25314-2025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46252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Garnlav</t>
        </is>
      </c>
      <c r="W99">
        <f>HYPERLINK("https://klasma.github.io/Logging_2181/artfynd/A 25314-2025 artfynd.xlsx", "A 25314-2025")</f>
        <v/>
      </c>
      <c r="X99">
        <f>HYPERLINK("https://klasma.github.io/Logging_2181/kartor/A 25314-2025 karta.png", "A 25314-2025")</f>
        <v/>
      </c>
      <c r="Y99">
        <f>HYPERLINK("https://klasma.github.io/Logging_2181/kartor_geotiff/A 25314-2025 georefererad karta.tif", "A 25314-2025")</f>
        <v/>
      </c>
      <c r="AA99">
        <f>HYPERLINK("https://klasma.github.io/Logging_2181/klagomål/A 25314-2025 FSC-klagomål.docx", "A 25314-2025")</f>
        <v/>
      </c>
      <c r="AB99">
        <f>HYPERLINK("https://klasma.github.io/Logging_2181/klagomålsmail/A 25314-2025 FSC-klagomål mail.docx", "A 25314-2025")</f>
        <v/>
      </c>
      <c r="AC99">
        <f>HYPERLINK("https://klasma.github.io/Logging_2181/tillsyn/A 25314-2025 tillsynsbegäran.docx", "A 25314-2025")</f>
        <v/>
      </c>
      <c r="AD99">
        <f>HYPERLINK("https://klasma.github.io/Logging_2181/tillsynsmail/A 25314-2025 tillsynsbegäran mail.docx", "A 25314-2025")</f>
        <v/>
      </c>
    </row>
    <row r="100" ht="15" customHeight="1">
      <c r="A100" t="inlineStr">
        <is>
          <t>A 25323-2025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46252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3.8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Plattlummer</t>
        </is>
      </c>
      <c r="W100">
        <f>HYPERLINK("https://klasma.github.io/Logging_2181/artfynd/A 25323-2025 artfynd.xlsx", "A 25323-2025")</f>
        <v/>
      </c>
      <c r="X100">
        <f>HYPERLINK("https://klasma.github.io/Logging_2181/kartor/A 25323-2025 karta.png", "A 25323-2025")</f>
        <v/>
      </c>
      <c r="Y100">
        <f>HYPERLINK("https://klasma.github.io/Logging_2181/kartor_geotiff/A 25323-2025 georefererad karta.tif", "A 25323-2025")</f>
        <v/>
      </c>
      <c r="AA100">
        <f>HYPERLINK("https://klasma.github.io/Logging_2181/klagomål/A 25323-2025 FSC-klagomål.docx", "A 25323-2025")</f>
        <v/>
      </c>
      <c r="AB100">
        <f>HYPERLINK("https://klasma.github.io/Logging_2181/klagomålsmail/A 25323-2025 FSC-klagomål mail.docx", "A 25323-2025")</f>
        <v/>
      </c>
      <c r="AC100">
        <f>HYPERLINK("https://klasma.github.io/Logging_2181/tillsyn/A 25323-2025 tillsynsbegäran.docx", "A 25323-2025")</f>
        <v/>
      </c>
      <c r="AD100">
        <f>HYPERLINK("https://klasma.github.io/Logging_2181/tillsynsmail/A 25323-2025 tillsynsbegäran mail.docx", "A 25323-2025")</f>
        <v/>
      </c>
    </row>
    <row r="101" ht="15" customHeight="1">
      <c r="A101" t="inlineStr">
        <is>
          <t>A 25247-2026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46175</v>
      </c>
      <c r="E101" s="1" t="n">
        <v>46252</v>
      </c>
      <c r="F101" t="inlineStr">
        <is>
          <t>GÄVLEBORGS LÄN</t>
        </is>
      </c>
      <c r="G101" t="inlineStr">
        <is>
          <t>SANDVIKEN</t>
        </is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Skinnlav</t>
        </is>
      </c>
      <c r="W101">
        <f>HYPERLINK("https://klasma.github.io/Logging_2181/artfynd/A 25247-2026 artfynd.xlsx", "A 25247-2026")</f>
        <v/>
      </c>
      <c r="X101">
        <f>HYPERLINK("https://klasma.github.io/Logging_2181/kartor/A 25247-2026 karta.png", "A 25247-2026")</f>
        <v/>
      </c>
      <c r="Y101">
        <f>HYPERLINK("https://klasma.github.io/Logging_2181/kartor_geotiff/A 25247-2026 georefererad karta.tif", "A 25247-2026")</f>
        <v/>
      </c>
      <c r="AA101">
        <f>HYPERLINK("https://klasma.github.io/Logging_2181/klagomål/A 25247-2026 FSC-klagomål.docx", "A 25247-2026")</f>
        <v/>
      </c>
      <c r="AB101">
        <f>HYPERLINK("https://klasma.github.io/Logging_2181/klagomålsmail/A 25247-2026 FSC-klagomål mail.docx", "A 25247-2026")</f>
        <v/>
      </c>
      <c r="AC101">
        <f>HYPERLINK("https://klasma.github.io/Logging_2181/tillsyn/A 25247-2026 tillsynsbegäran.docx", "A 25247-2026")</f>
        <v/>
      </c>
      <c r="AD101">
        <f>HYPERLINK("https://klasma.github.io/Logging_2181/tillsynsmail/A 25247-2026 tillsynsbegäran mail.docx", "A 25247-2026")</f>
        <v/>
      </c>
    </row>
    <row r="102" ht="15" customHeight="1">
      <c r="A102" t="inlineStr">
        <is>
          <t>A 31311-2026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46252</v>
      </c>
      <c r="F102" t="inlineStr">
        <is>
          <t>GÄVLEBORGS LÄN</t>
        </is>
      </c>
      <c r="G102" t="inlineStr">
        <is>
          <t>SANDVIKEN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31311-2026 artfynd.xlsx", "A 31311-2026")</f>
        <v/>
      </c>
      <c r="X102">
        <f>HYPERLINK("https://klasma.github.io/Logging_2181/kartor/A 31311-2026 karta.png", "A 31311-2026")</f>
        <v/>
      </c>
      <c r="Y102">
        <f>HYPERLINK("https://klasma.github.io/Logging_2181/kartor_geotiff/A 31311-2026 georefererad karta.tif", "A 31311-2026")</f>
        <v/>
      </c>
      <c r="AA102">
        <f>HYPERLINK("https://klasma.github.io/Logging_2181/klagomål/A 31311-2026 FSC-klagomål.docx", "A 31311-2026")</f>
        <v/>
      </c>
      <c r="AB102">
        <f>HYPERLINK("https://klasma.github.io/Logging_2181/klagomålsmail/A 31311-2026 FSC-klagomål mail.docx", "A 31311-2026")</f>
        <v/>
      </c>
      <c r="AC102">
        <f>HYPERLINK("https://klasma.github.io/Logging_2181/tillsyn/A 31311-2026 tillsynsbegäran.docx", "A 31311-2026")</f>
        <v/>
      </c>
      <c r="AD102">
        <f>HYPERLINK("https://klasma.github.io/Logging_2181/tillsynsmail/A 31311-2026 tillsynsbegäran mail.docx", "A 31311-2026")</f>
        <v/>
      </c>
    </row>
    <row r="103" ht="15" customHeight="1">
      <c r="A103" t="inlineStr">
        <is>
          <t>S 242-2024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45319</v>
      </c>
      <c r="E103" s="1" t="n">
        <v>46252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51.8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Bivråk</t>
        </is>
      </c>
      <c r="W103">
        <f>HYPERLINK("https://klasma.github.io/Logging_2181/artfynd/S 242-2024 artfynd.xlsx", "S 242-2024")</f>
        <v/>
      </c>
      <c r="X103">
        <f>HYPERLINK("https://klasma.github.io/Logging_2181/kartor/S 242-2024 karta.png", "S 242-2024")</f>
        <v/>
      </c>
      <c r="Y103">
        <f>HYPERLINK("https://klasma.github.io/Logging_2181/kartor_geotiff/S 242-2024 georefererad karta.tif", "S 242-2024")</f>
        <v/>
      </c>
      <c r="AA103">
        <f>HYPERLINK("https://klasma.github.io/Logging_2181/klagomål/S 242-2024 FSC-klagomål.docx", "S 242-2024")</f>
        <v/>
      </c>
      <c r="AB103">
        <f>HYPERLINK("https://klasma.github.io/Logging_2181/klagomålsmail/S 242-2024 FSC-klagomål mail.docx", "S 242-2024")</f>
        <v/>
      </c>
      <c r="AC103">
        <f>HYPERLINK("https://klasma.github.io/Logging_2181/tillsyn/S 242-2024 tillsynsbegäran.docx", "S 242-2024")</f>
        <v/>
      </c>
      <c r="AD103">
        <f>HYPERLINK("https://klasma.github.io/Logging_2181/tillsynsmail/S 242-2024 tillsynsbegäran mail.docx", "S 242-2024")</f>
        <v/>
      </c>
      <c r="AE103">
        <f>HYPERLINK("https://klasma.github.io/Logging_2181/fåglar/S 242-2024 prioriterade fågelarter.docx", "S 242-2024")</f>
        <v/>
      </c>
    </row>
    <row r="104" ht="15" customHeight="1">
      <c r="A104" t="inlineStr">
        <is>
          <t>S 1687-2023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45064</v>
      </c>
      <c r="E104" s="1" t="n">
        <v>46252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12.6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HYPERLINK("https://klasma.github.io/Logging_2181/artfynd/S 1687-2023 artfynd.xlsx", "S 1687-2023")</f>
        <v/>
      </c>
      <c r="X104">
        <f>HYPERLINK("https://klasma.github.io/Logging_2181/kartor/S 1687-2023 karta.png", "S 1687-2023")</f>
        <v/>
      </c>
      <c r="Y104">
        <f>HYPERLINK("https://klasma.github.io/Logging_2181/kartor_geotiff/S 1687-2023 georefererad karta.tif", "S 1687-2023")</f>
        <v/>
      </c>
      <c r="AA104">
        <f>HYPERLINK("https://klasma.github.io/Logging_2181/klagomål/S 1687-2023 FSC-klagomål.docx", "S 1687-2023")</f>
        <v/>
      </c>
      <c r="AB104">
        <f>HYPERLINK("https://klasma.github.io/Logging_2181/klagomålsmail/S 1687-2023 FSC-klagomål mail.docx", "S 1687-2023")</f>
        <v/>
      </c>
      <c r="AC104">
        <f>HYPERLINK("https://klasma.github.io/Logging_2181/tillsyn/S 1687-2023 tillsynsbegäran.docx", "S 1687-2023")</f>
        <v/>
      </c>
      <c r="AD104">
        <f>HYPERLINK("https://klasma.github.io/Logging_2181/tillsynsmail/S 1687-2023 tillsynsbegäran mail.docx", "S 1687-2023")</f>
        <v/>
      </c>
    </row>
    <row r="105" ht="15" customHeight="1">
      <c r="A105" t="inlineStr">
        <is>
          <t>S 504-2025</t>
        </is>
      </c>
      <c r="B105" t="inlineStr">
        <is>
          <t>samrådsanmälan</t>
        </is>
      </c>
      <c r="C105" t="inlineStr">
        <is>
          <t>Skogsgödsling</t>
        </is>
      </c>
      <c r="D105" s="1" t="n">
        <v>45706</v>
      </c>
      <c r="E105" s="1" t="n">
        <v>46252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19.3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Fläcknycklar</t>
        </is>
      </c>
      <c r="W105">
        <f>HYPERLINK("https://klasma.github.io/Logging_2181/artfynd/S 504-2025 artfynd.xlsx", "S 504-2025")</f>
        <v/>
      </c>
      <c r="X105">
        <f>HYPERLINK("https://klasma.github.io/Logging_2181/kartor/S 504-2025 karta.png", "S 504-2025")</f>
        <v/>
      </c>
      <c r="Y105">
        <f>HYPERLINK("https://klasma.github.io/Logging_2181/kartor_geotiff/S 504-2025 georefererad karta.tif", "S 504-2025")</f>
        <v/>
      </c>
      <c r="AA105">
        <f>HYPERLINK("https://klasma.github.io/Logging_2181/klagomål/S 504-2025 FSC-klagomål.docx", "S 504-2025")</f>
        <v/>
      </c>
      <c r="AB105">
        <f>HYPERLINK("https://klasma.github.io/Logging_2181/klagomålsmail/S 504-2025 FSC-klagomål mail.docx", "S 504-2025")</f>
        <v/>
      </c>
      <c r="AC105">
        <f>HYPERLINK("https://klasma.github.io/Logging_2181/tillsyn/S 504-2025 tillsynsbegäran.docx", "S 504-2025")</f>
        <v/>
      </c>
      <c r="AD105">
        <f>HYPERLINK("https://klasma.github.io/Logging_2181/tillsynsmail/S 504-2025 tillsynsbegäran mail.docx", "S 504-2025")</f>
        <v/>
      </c>
    </row>
    <row r="106" ht="15" customHeight="1">
      <c r="A106" t="inlineStr">
        <is>
          <t>S 412-2025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45699</v>
      </c>
      <c r="E106" s="1" t="n">
        <v>46252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21.2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Aspbarkgnagare</t>
        </is>
      </c>
      <c r="W106">
        <f>HYPERLINK("https://klasma.github.io/Logging_2181/artfynd/S 412-2025 artfynd.xlsx", "S 412-2025")</f>
        <v/>
      </c>
      <c r="X106">
        <f>HYPERLINK("https://klasma.github.io/Logging_2181/kartor/S 412-2025 karta.png", "S 412-2025")</f>
        <v/>
      </c>
      <c r="Y106">
        <f>HYPERLINK("https://klasma.github.io/Logging_2181/kartor_geotiff/S 412-2025 georefererad karta.tif", "S 412-2025")</f>
        <v/>
      </c>
      <c r="AA106">
        <f>HYPERLINK("https://klasma.github.io/Logging_2181/klagomål/S 412-2025 FSC-klagomål.docx", "S 412-2025")</f>
        <v/>
      </c>
      <c r="AB106">
        <f>HYPERLINK("https://klasma.github.io/Logging_2181/klagomålsmail/S 412-2025 FSC-klagomål mail.docx", "S 412-2025")</f>
        <v/>
      </c>
      <c r="AC106">
        <f>HYPERLINK("https://klasma.github.io/Logging_2181/tillsyn/S 412-2025 tillsynsbegäran.docx", "S 412-2025")</f>
        <v/>
      </c>
      <c r="AD106">
        <f>HYPERLINK("https://klasma.github.io/Logging_2181/tillsynsmail/S 412-2025 tillsynsbegäran mail.docx", "S 412-2025")</f>
        <v/>
      </c>
    </row>
    <row r="107" ht="15" customHeight="1">
      <c r="A107" t="inlineStr">
        <is>
          <t>S 501-2025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45706</v>
      </c>
      <c r="E107" s="1" t="n">
        <v>46252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HYPERLINK("https://klasma.github.io/Logging_2181/artfynd/S 501-2025 artfynd.xlsx", "S 501-2025")</f>
        <v/>
      </c>
      <c r="X107">
        <f>HYPERLINK("https://klasma.github.io/Logging_2181/kartor/S 501-2025 karta.png", "S 501-2025")</f>
        <v/>
      </c>
      <c r="Y107">
        <f>HYPERLINK("https://klasma.github.io/Logging_2181/kartor_geotiff/S 501-2025 georefererad karta.tif", "S 501-2025")</f>
        <v/>
      </c>
      <c r="AA107">
        <f>HYPERLINK("https://klasma.github.io/Logging_2181/klagomål/S 501-2025 FSC-klagomål.docx", "S 501-2025")</f>
        <v/>
      </c>
      <c r="AB107">
        <f>HYPERLINK("https://klasma.github.io/Logging_2181/klagomålsmail/S 501-2025 FSC-klagomål mail.docx", "S 501-2025")</f>
        <v/>
      </c>
      <c r="AC107">
        <f>HYPERLINK("https://klasma.github.io/Logging_2181/tillsyn/S 501-2025 tillsynsbegäran.docx", "S 501-2025")</f>
        <v/>
      </c>
      <c r="AD107">
        <f>HYPERLINK("https://klasma.github.io/Logging_2181/tillsynsmail/S 501-2025 tillsynsbegäran mail.docx", "S 501-2025")</f>
        <v/>
      </c>
      <c r="AE107">
        <f>HYPERLINK("https://klasma.github.io/Logging_2181/fåglar/S 501-2025 prioriterade fågelarter.docx", "S 501-2025")</f>
        <v/>
      </c>
    </row>
    <row r="108" ht="15" customHeight="1">
      <c r="A108" t="inlineStr">
        <is>
          <t>S 1025-2026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46122</v>
      </c>
      <c r="E108" s="1" t="n">
        <v>46252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62.8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Bivråk</t>
        </is>
      </c>
      <c r="W108">
        <f>HYPERLINK("https://klasma.github.io/Logging_2181/artfynd/S 1025-2026 artfynd.xlsx", "S 1025-2026")</f>
        <v/>
      </c>
      <c r="X108">
        <f>HYPERLINK("https://klasma.github.io/Logging_2181/kartor/S 1025-2026 karta.png", "S 1025-2026")</f>
        <v/>
      </c>
      <c r="Y108">
        <f>HYPERLINK("https://klasma.github.io/Logging_2181/kartor_geotiff/S 1025-2026 georefererad karta.tif", "S 1025-2026")</f>
        <v/>
      </c>
      <c r="AA108">
        <f>HYPERLINK("https://klasma.github.io/Logging_2181/klagomål/S 1025-2026 FSC-klagomål.docx", "S 1025-2026")</f>
        <v/>
      </c>
      <c r="AB108">
        <f>HYPERLINK("https://klasma.github.io/Logging_2181/klagomålsmail/S 1025-2026 FSC-klagomål mail.docx", "S 1025-2026")</f>
        <v/>
      </c>
      <c r="AC108">
        <f>HYPERLINK("https://klasma.github.io/Logging_2181/tillsyn/S 1025-2026 tillsynsbegäran.docx", "S 1025-2026")</f>
        <v/>
      </c>
      <c r="AD108">
        <f>HYPERLINK("https://klasma.github.io/Logging_2181/tillsynsmail/S 1025-2026 tillsynsbegäran mail.docx", "S 1025-2026")</f>
        <v/>
      </c>
      <c r="AE108">
        <f>HYPERLINK("https://klasma.github.io/Logging_2181/fåglar/S 1025-2026 prioriterade fågelarter.docx", "S 1025-2026")</f>
        <v/>
      </c>
    </row>
    <row r="109" ht="15" customHeight="1">
      <c r="A109" t="inlineStr">
        <is>
          <t>A 51162-2022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46252</v>
      </c>
      <c r="F109" t="inlineStr">
        <is>
          <t>GÄVLEBORGS LÄN</t>
        </is>
      </c>
      <c r="G109" t="inlineStr">
        <is>
          <t>SANDVIKEN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63086-2021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46252</v>
      </c>
      <c r="F110" t="inlineStr">
        <is>
          <t>GÄVLEBORGS LÄN</t>
        </is>
      </c>
      <c r="G110" t="inlineStr">
        <is>
          <t>SANDVIKEN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46252</v>
      </c>
      <c r="F111" t="inlineStr">
        <is>
          <t>GÄVLEBORGS LÄN</t>
        </is>
      </c>
      <c r="G111" t="inlineStr">
        <is>
          <t>SANDVIKEN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46252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50876-2021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44460</v>
      </c>
      <c r="E113" s="1" t="n">
        <v>46252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64068-2021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46252</v>
      </c>
      <c r="F114" t="inlineStr">
        <is>
          <t>GÄVLEBORGS LÄN</t>
        </is>
      </c>
      <c r="G114" t="inlineStr">
        <is>
          <t>SANDVIKEN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46252</v>
      </c>
      <c r="F115" t="inlineStr">
        <is>
          <t>GÄVLEBORGS LÄN</t>
        </is>
      </c>
      <c r="G115" t="inlineStr">
        <is>
          <t>SANDVIKEN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46252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47632-2021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46252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46252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46252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44854</v>
      </c>
      <c r="E120" s="1" t="n">
        <v>46252</v>
      </c>
      <c r="F120" t="inlineStr">
        <is>
          <t>GÄVLEBORGS LÄN</t>
        </is>
      </c>
      <c r="G120" t="inlineStr">
        <is>
          <t>SANDVIKEN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46252</v>
      </c>
      <c r="F121" t="inlineStr">
        <is>
          <t>GÄVLEBORGS LÄN</t>
        </is>
      </c>
      <c r="G121" t="inlineStr">
        <is>
          <t>SANDVIKEN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44876</v>
      </c>
      <c r="E122" s="1" t="n">
        <v>46252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46252</v>
      </c>
      <c r="F123" t="inlineStr">
        <is>
          <t>GÄVLEBORGS LÄN</t>
        </is>
      </c>
      <c r="G123" t="inlineStr">
        <is>
          <t>SANDVIKEN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44596</v>
      </c>
      <c r="E124" s="1" t="n">
        <v>46252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46252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46252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46252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46252</v>
      </c>
      <c r="F128" t="inlineStr">
        <is>
          <t>GÄVLEBORGS LÄN</t>
        </is>
      </c>
      <c r="G128" t="inlineStr">
        <is>
          <t>SANDVIKEN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46252</v>
      </c>
      <c r="F129" t="inlineStr">
        <is>
          <t>GÄVLEBORGS LÄN</t>
        </is>
      </c>
      <c r="G129" t="inlineStr">
        <is>
          <t>SANDVIKEN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46252</v>
      </c>
      <c r="F130" t="inlineStr">
        <is>
          <t>GÄVLEBORGS LÄN</t>
        </is>
      </c>
      <c r="G130" t="inlineStr">
        <is>
          <t>SANDVIKEN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46252</v>
      </c>
      <c r="F131" t="inlineStr">
        <is>
          <t>GÄVLEBORGS LÄN</t>
        </is>
      </c>
      <c r="G131" t="inlineStr">
        <is>
          <t>SANDVIKEN</t>
        </is>
      </c>
      <c r="H131" t="inlineStr">
        <is>
          <t>Bergvik skog öst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46252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46252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46252</v>
      </c>
      <c r="F134" t="inlineStr">
        <is>
          <t>GÄVLEBORGS LÄN</t>
        </is>
      </c>
      <c r="G134" t="inlineStr">
        <is>
          <t>SANDVIKEN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46252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45478</v>
      </c>
      <c r="E136" s="1" t="n">
        <v>46252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46252</v>
      </c>
      <c r="F137" t="inlineStr">
        <is>
          <t>GÄVLEBORGS LÄN</t>
        </is>
      </c>
      <c r="G137" t="inlineStr">
        <is>
          <t>SANDVIKEN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6947-2022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44603</v>
      </c>
      <c r="E138" s="1" t="n">
        <v>46252</v>
      </c>
      <c r="F138" t="inlineStr">
        <is>
          <t>GÄVLEBORGS LÄN</t>
        </is>
      </c>
      <c r="G138" t="inlineStr">
        <is>
          <t>SANDVIKEN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46252</v>
      </c>
      <c r="F139" t="inlineStr">
        <is>
          <t>GÄVLEBORGS LÄN</t>
        </is>
      </c>
      <c r="G139" t="inlineStr">
        <is>
          <t>SANDVIKEN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45120</v>
      </c>
      <c r="E140" s="1" t="n">
        <v>46252</v>
      </c>
      <c r="F140" t="inlineStr">
        <is>
          <t>GÄVLEBORGS LÄN</t>
        </is>
      </c>
      <c r="G140" t="inlineStr">
        <is>
          <t>SANDVIKEN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46252</v>
      </c>
      <c r="F141" t="inlineStr">
        <is>
          <t>GÄVLEBORGS LÄN</t>
        </is>
      </c>
      <c r="G141" t="inlineStr">
        <is>
          <t>SANDVIKEN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46252</v>
      </c>
      <c r="F142" t="inlineStr">
        <is>
          <t>GÄVLEBORGS LÄN</t>
        </is>
      </c>
      <c r="G142" t="inlineStr">
        <is>
          <t>SANDVIKEN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46252</v>
      </c>
      <c r="F143" t="inlineStr">
        <is>
          <t>GÄVLEBORGS LÄN</t>
        </is>
      </c>
      <c r="G143" t="inlineStr">
        <is>
          <t>SANDVIKEN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46252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46252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46252</v>
      </c>
      <c r="F146" t="inlineStr">
        <is>
          <t>GÄVLEBORGS LÄN</t>
        </is>
      </c>
      <c r="G146" t="inlineStr">
        <is>
          <t>SANDVIKEN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46252</v>
      </c>
      <c r="F147" t="inlineStr">
        <is>
          <t>GÄVLEBORGS LÄN</t>
        </is>
      </c>
      <c r="G147" t="inlineStr">
        <is>
          <t>SANDVIKEN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46252</v>
      </c>
      <c r="F148" t="inlineStr">
        <is>
          <t>GÄVLEBORGS LÄN</t>
        </is>
      </c>
      <c r="G148" t="inlineStr">
        <is>
          <t>SANDVIKEN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46252</v>
      </c>
      <c r="F149" t="inlineStr">
        <is>
          <t>GÄVLEBORGS LÄN</t>
        </is>
      </c>
      <c r="G149" t="inlineStr">
        <is>
          <t>SANDVIKEN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46252</v>
      </c>
      <c r="F150" t="inlineStr">
        <is>
          <t>GÄVLEBORGS LÄN</t>
        </is>
      </c>
      <c r="G150" t="inlineStr">
        <is>
          <t>SANDVIKEN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46252</v>
      </c>
      <c r="F151" t="inlineStr">
        <is>
          <t>GÄVLEBORGS LÄN</t>
        </is>
      </c>
      <c r="G151" t="inlineStr">
        <is>
          <t>SANDVIKEN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46252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46252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46252</v>
      </c>
      <c r="F154" t="inlineStr">
        <is>
          <t>GÄVLEBORGS LÄN</t>
        </is>
      </c>
      <c r="G154" t="inlineStr">
        <is>
          <t>SANDVIKEN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46252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46252</v>
      </c>
      <c r="F156" t="inlineStr">
        <is>
          <t>GÄVLEBORGS LÄN</t>
        </is>
      </c>
      <c r="G156" t="inlineStr">
        <is>
          <t>SANDVIKEN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46252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öst AB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30843-2025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45831</v>
      </c>
      <c r="E158" s="1" t="n">
        <v>46252</v>
      </c>
      <c r="F158" t="inlineStr">
        <is>
          <t>GÄVLEBORGS LÄN</t>
        </is>
      </c>
      <c r="G158" t="inlineStr">
        <is>
          <t>SANDVIKEN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46252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46252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46252</v>
      </c>
      <c r="F161" t="inlineStr">
        <is>
          <t>GÄVLEBORGS LÄN</t>
        </is>
      </c>
      <c r="G161" t="inlineStr">
        <is>
          <t>SANDVIKEN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46252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45636</v>
      </c>
      <c r="E163" s="1" t="n">
        <v>46252</v>
      </c>
      <c r="F163" t="inlineStr">
        <is>
          <t>GÄVLEBORGS LÄN</t>
        </is>
      </c>
      <c r="G163" t="inlineStr">
        <is>
          <t>SANDVIKEN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45087</v>
      </c>
      <c r="E164" s="1" t="n">
        <v>46252</v>
      </c>
      <c r="F164" t="inlineStr">
        <is>
          <t>GÄVLEBORGS LÄN</t>
        </is>
      </c>
      <c r="G164" t="inlineStr">
        <is>
          <t>SANDVIKEN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46252</v>
      </c>
      <c r="F165" t="inlineStr">
        <is>
          <t>GÄVLEBORGS LÄN</t>
        </is>
      </c>
      <c r="G165" t="inlineStr">
        <is>
          <t>SANDVIKEN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45512</v>
      </c>
      <c r="E166" s="1" t="n">
        <v>46252</v>
      </c>
      <c r="F166" t="inlineStr">
        <is>
          <t>GÄVLEBORGS LÄN</t>
        </is>
      </c>
      <c r="G166" t="inlineStr">
        <is>
          <t>SANDVIKEN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46252</v>
      </c>
      <c r="F167" t="inlineStr">
        <is>
          <t>GÄVLEBORGS LÄN</t>
        </is>
      </c>
      <c r="G167" t="inlineStr">
        <is>
          <t>SANDVIKEN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46252</v>
      </c>
      <c r="F168" t="inlineStr">
        <is>
          <t>GÄVLEBORGS LÄN</t>
        </is>
      </c>
      <c r="G168" t="inlineStr">
        <is>
          <t>SANDVIKEN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46252</v>
      </c>
      <c r="F169" t="inlineStr">
        <is>
          <t>GÄVLEBORGS LÄN</t>
        </is>
      </c>
      <c r="G169" t="inlineStr">
        <is>
          <t>SANDVIKEN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45899</v>
      </c>
      <c r="E170" s="1" t="n">
        <v>46252</v>
      </c>
      <c r="F170" t="inlineStr">
        <is>
          <t>GÄVLEBORGS LÄN</t>
        </is>
      </c>
      <c r="G170" t="inlineStr">
        <is>
          <t>SANDVIKEN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46252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46252</v>
      </c>
      <c r="F172" t="inlineStr">
        <is>
          <t>GÄVLEBORGS LÄN</t>
        </is>
      </c>
      <c r="G172" t="inlineStr">
        <is>
          <t>SANDVIKEN</t>
        </is>
      </c>
      <c r="H172" t="inlineStr">
        <is>
          <t>Bergvik skog väst AB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46252</v>
      </c>
      <c r="F173" t="inlineStr">
        <is>
          <t>GÄVLEBORGS LÄN</t>
        </is>
      </c>
      <c r="G173" t="inlineStr">
        <is>
          <t>SANDVIKEN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46252</v>
      </c>
      <c r="F174" t="inlineStr">
        <is>
          <t>GÄVLEBORGS LÄN</t>
        </is>
      </c>
      <c r="G174" t="inlineStr">
        <is>
          <t>SANDVIKEN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64225-2021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44510</v>
      </c>
      <c r="E175" s="1" t="n">
        <v>46252</v>
      </c>
      <c r="F175" t="inlineStr">
        <is>
          <t>GÄVLEBORGS LÄN</t>
        </is>
      </c>
      <c r="G175" t="inlineStr">
        <is>
          <t>SANDVIKEN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46252</v>
      </c>
      <c r="F176" t="inlineStr">
        <is>
          <t>GÄVLEBORGS LÄN</t>
        </is>
      </c>
      <c r="G176" t="inlineStr">
        <is>
          <t>SANDVIKEN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46252</v>
      </c>
      <c r="F177" t="inlineStr">
        <is>
          <t>GÄVLEBORGS LÄN</t>
        </is>
      </c>
      <c r="G177" t="inlineStr">
        <is>
          <t>SANDVIKEN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46252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46252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44918</v>
      </c>
      <c r="E180" s="1" t="n">
        <v>46252</v>
      </c>
      <c r="F180" t="inlineStr">
        <is>
          <t>GÄVLEBORGS LÄN</t>
        </is>
      </c>
      <c r="G180" t="inlineStr">
        <is>
          <t>SANDVIKEN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46252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46252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46252</v>
      </c>
      <c r="F183" t="inlineStr">
        <is>
          <t>GÄVLEBORGS LÄN</t>
        </is>
      </c>
      <c r="G183" t="inlineStr">
        <is>
          <t>SANDVIKEN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45404</v>
      </c>
      <c r="E184" s="1" t="n">
        <v>46252</v>
      </c>
      <c r="F184" t="inlineStr">
        <is>
          <t>GÄVLEBORGS LÄN</t>
        </is>
      </c>
      <c r="G184" t="inlineStr">
        <is>
          <t>SANDVIKEN</t>
        </is>
      </c>
      <c r="H184" t="inlineStr">
        <is>
          <t>Bergvik skog öst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46252</v>
      </c>
      <c r="F185" t="inlineStr">
        <is>
          <t>GÄVLEBORGS LÄN</t>
        </is>
      </c>
      <c r="G185" t="inlineStr">
        <is>
          <t>SANDVIKEN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46252</v>
      </c>
      <c r="F186" t="inlineStr">
        <is>
          <t>GÄVLEBORGS LÄN</t>
        </is>
      </c>
      <c r="G186" t="inlineStr">
        <is>
          <t>SANDVIKEN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16980-2025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45755</v>
      </c>
      <c r="E187" s="1" t="n">
        <v>46252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45415</v>
      </c>
      <c r="E188" s="1" t="n">
        <v>46252</v>
      </c>
      <c r="F188" t="inlineStr">
        <is>
          <t>GÄVLEBORGS LÄN</t>
        </is>
      </c>
      <c r="G188" t="inlineStr">
        <is>
          <t>SANDVIKEN</t>
        </is>
      </c>
      <c r="H188" t="inlineStr">
        <is>
          <t>Kommuner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46252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46252</v>
      </c>
      <c r="F190" t="inlineStr">
        <is>
          <t>GÄVLEBORGS LÄN</t>
        </is>
      </c>
      <c r="G190" t="inlineStr">
        <is>
          <t>SANDVIKEN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14840-2022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44656</v>
      </c>
      <c r="E191" s="1" t="n">
        <v>46252</v>
      </c>
      <c r="F191" t="inlineStr">
        <is>
          <t>GÄVLEBORGS LÄN</t>
        </is>
      </c>
      <c r="G191" t="inlineStr">
        <is>
          <t>SANDVIKEN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45414</v>
      </c>
      <c r="E192" s="1" t="n">
        <v>46252</v>
      </c>
      <c r="F192" t="inlineStr">
        <is>
          <t>GÄVLEBORGS LÄN</t>
        </is>
      </c>
      <c r="G192" t="inlineStr">
        <is>
          <t>SANDVIKEN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45649</v>
      </c>
      <c r="E193" s="1" t="n">
        <v>46252</v>
      </c>
      <c r="F193" t="inlineStr">
        <is>
          <t>GÄVLEBORGS LÄN</t>
        </is>
      </c>
      <c r="G193" t="inlineStr">
        <is>
          <t>SANDVIKEN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46252</v>
      </c>
      <c r="F194" t="inlineStr">
        <is>
          <t>GÄVLEBORGS LÄN</t>
        </is>
      </c>
      <c r="G194" t="inlineStr">
        <is>
          <t>SANDVIKEN</t>
        </is>
      </c>
      <c r="H194" t="inlineStr">
        <is>
          <t>Bergvik skog öst AB</t>
        </is>
      </c>
      <c r="I194" t="n">
        <v>27.3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44988</v>
      </c>
      <c r="E195" s="1" t="n">
        <v>46252</v>
      </c>
      <c r="F195" t="inlineStr">
        <is>
          <t>GÄVLEBORGS LÄN</t>
        </is>
      </c>
      <c r="G195" t="inlineStr">
        <is>
          <t>SANDVIKEN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44988</v>
      </c>
      <c r="E196" s="1" t="n">
        <v>46252</v>
      </c>
      <c r="F196" t="inlineStr">
        <is>
          <t>GÄVLEBORGS LÄN</t>
        </is>
      </c>
      <c r="G196" t="inlineStr">
        <is>
          <t>SANDVIKEN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46252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44846</v>
      </c>
      <c r="E198" s="1" t="n">
        <v>46252</v>
      </c>
      <c r="F198" t="inlineStr">
        <is>
          <t>GÄVLEBORGS LÄN</t>
        </is>
      </c>
      <c r="G198" t="inlineStr">
        <is>
          <t>SANDVIKEN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45523</v>
      </c>
      <c r="E199" s="1" t="n">
        <v>46252</v>
      </c>
      <c r="F199" t="inlineStr">
        <is>
          <t>GÄVLEBORGS LÄN</t>
        </is>
      </c>
      <c r="G199" t="inlineStr">
        <is>
          <t>SANDVIKEN</t>
        </is>
      </c>
      <c r="H199" t="inlineStr">
        <is>
          <t>Bergvik skog öst AB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46252</v>
      </c>
      <c r="F200" t="inlineStr">
        <is>
          <t>GÄVLEBORGS LÄN</t>
        </is>
      </c>
      <c r="G200" t="inlineStr">
        <is>
          <t>SANDVIKEN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46252</v>
      </c>
      <c r="F201" t="inlineStr">
        <is>
          <t>GÄVLEBORGS LÄN</t>
        </is>
      </c>
      <c r="G201" t="inlineStr">
        <is>
          <t>SANDVIKEN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46252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45762</v>
      </c>
      <c r="E203" s="1" t="n">
        <v>46252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46252</v>
      </c>
      <c r="F204" t="inlineStr">
        <is>
          <t>GÄVLEBORGS LÄN</t>
        </is>
      </c>
      <c r="G204" t="inlineStr">
        <is>
          <t>SANDVIKEN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46252</v>
      </c>
      <c r="F205" t="inlineStr">
        <is>
          <t>GÄVLEBORGS LÄN</t>
        </is>
      </c>
      <c r="G205" t="inlineStr">
        <is>
          <t>SANDVIKEN</t>
        </is>
      </c>
      <c r="H205" t="inlineStr">
        <is>
          <t>Kyrkan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46252</v>
      </c>
      <c r="F206" t="inlineStr">
        <is>
          <t>GÄVLEBORGS LÄN</t>
        </is>
      </c>
      <c r="G206" t="inlineStr">
        <is>
          <t>SANDVIKEN</t>
        </is>
      </c>
      <c r="H206" t="inlineStr">
        <is>
          <t>Kyrkan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45671</v>
      </c>
      <c r="E207" s="1" t="n">
        <v>46252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46252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öst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45730</v>
      </c>
      <c r="E209" s="1" t="n">
        <v>46252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46252</v>
      </c>
      <c r="F210" t="inlineStr">
        <is>
          <t>GÄVLEBORGS LÄN</t>
        </is>
      </c>
      <c r="G210" t="inlineStr">
        <is>
          <t>SANDVIKEN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46252</v>
      </c>
      <c r="F211" t="inlineStr">
        <is>
          <t>GÄVLEBORGS LÄN</t>
        </is>
      </c>
      <c r="G211" t="inlineStr">
        <is>
          <t>SANDVIKEN</t>
        </is>
      </c>
      <c r="I211" t="n">
        <v>10.3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46252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46252</v>
      </c>
      <c r="F213" t="inlineStr">
        <is>
          <t>GÄVLEBORGS LÄN</t>
        </is>
      </c>
      <c r="G213" t="inlineStr">
        <is>
          <t>SANDVIKEN</t>
        </is>
      </c>
      <c r="H213" t="inlineStr">
        <is>
          <t>Sveaskog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46252</v>
      </c>
      <c r="F214" t="inlineStr">
        <is>
          <t>GÄVLEBORGS LÄN</t>
        </is>
      </c>
      <c r="G214" t="inlineStr">
        <is>
          <t>SANDVIKEN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46252</v>
      </c>
      <c r="F215" t="inlineStr">
        <is>
          <t>GÄVLEBORGS LÄN</t>
        </is>
      </c>
      <c r="G215" t="inlineStr">
        <is>
          <t>SANDVIKEN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45863</v>
      </c>
      <c r="E216" s="1" t="n">
        <v>46252</v>
      </c>
      <c r="F216" t="inlineStr">
        <is>
          <t>GÄVLEBORGS LÄN</t>
        </is>
      </c>
      <c r="G216" t="inlineStr">
        <is>
          <t>SANDVIKEN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46252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46252</v>
      </c>
      <c r="F218" t="inlineStr">
        <is>
          <t>GÄVLEBORGS LÄN</t>
        </is>
      </c>
      <c r="G218" t="inlineStr">
        <is>
          <t>SANDVIKEN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46252</v>
      </c>
      <c r="F219" t="inlineStr">
        <is>
          <t>GÄVLEBORGS LÄN</t>
        </is>
      </c>
      <c r="G219" t="inlineStr">
        <is>
          <t>SANDVIKEN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45866</v>
      </c>
      <c r="E220" s="1" t="n">
        <v>46252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44845</v>
      </c>
      <c r="E221" s="1" t="n">
        <v>46252</v>
      </c>
      <c r="F221" t="inlineStr">
        <is>
          <t>GÄVLEBORGS LÄN</t>
        </is>
      </c>
      <c r="G221" t="inlineStr">
        <is>
          <t>SANDVIKEN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46252</v>
      </c>
      <c r="F222" t="inlineStr">
        <is>
          <t>GÄVLEBORGS LÄN</t>
        </is>
      </c>
      <c r="G222" t="inlineStr">
        <is>
          <t>SANDVIKEN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49704-2023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45212</v>
      </c>
      <c r="E223" s="1" t="n">
        <v>46252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46252</v>
      </c>
      <c r="F224" t="inlineStr">
        <is>
          <t>GÄVLEBORGS LÄN</t>
        </is>
      </c>
      <c r="G224" t="inlineStr">
        <is>
          <t>SANDVIKEN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45866</v>
      </c>
      <c r="E225" s="1" t="n">
        <v>46252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46252</v>
      </c>
      <c r="F226" t="inlineStr">
        <is>
          <t>GÄVLEBORGS LÄN</t>
        </is>
      </c>
      <c r="G226" t="inlineStr">
        <is>
          <t>SANDVIKEN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46252</v>
      </c>
      <c r="F227" t="inlineStr">
        <is>
          <t>GÄVLEBORGS LÄN</t>
        </is>
      </c>
      <c r="G227" t="inlineStr">
        <is>
          <t>SANDVIKEN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45327</v>
      </c>
      <c r="E228" s="1" t="n">
        <v>46252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45867</v>
      </c>
      <c r="E229" s="1" t="n">
        <v>46252</v>
      </c>
      <c r="F229" t="inlineStr">
        <is>
          <t>GÄVLEBORGS LÄN</t>
        </is>
      </c>
      <c r="G229" t="inlineStr">
        <is>
          <t>SANDVIKEN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46252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46252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46252</v>
      </c>
      <c r="F232" t="inlineStr">
        <is>
          <t>GÄVLEBORGS LÄN</t>
        </is>
      </c>
      <c r="G232" t="inlineStr">
        <is>
          <t>SANDVIKEN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46252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45649</v>
      </c>
      <c r="E234" s="1" t="n">
        <v>46252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44784</v>
      </c>
      <c r="E235" s="1" t="n">
        <v>46252</v>
      </c>
      <c r="F235" t="inlineStr">
        <is>
          <t>GÄVLEBORGS LÄN</t>
        </is>
      </c>
      <c r="G235" t="inlineStr">
        <is>
          <t>SANDVIKEN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46252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väst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46252</v>
      </c>
      <c r="F237" t="inlineStr">
        <is>
          <t>GÄVLEBORGS LÄN</t>
        </is>
      </c>
      <c r="G237" t="inlineStr">
        <is>
          <t>SANDVIKEN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46252</v>
      </c>
      <c r="F238" t="inlineStr">
        <is>
          <t>GÄVLEBORGS LÄN</t>
        </is>
      </c>
      <c r="G238" t="inlineStr">
        <is>
          <t>SANDVIKEN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46252</v>
      </c>
      <c r="F239" t="inlineStr">
        <is>
          <t>GÄVLEBORGS LÄN</t>
        </is>
      </c>
      <c r="G239" t="inlineStr">
        <is>
          <t>SANDVIKEN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46252</v>
      </c>
      <c r="F240" t="inlineStr">
        <is>
          <t>GÄVLEBORGS LÄN</t>
        </is>
      </c>
      <c r="G240" t="inlineStr">
        <is>
          <t>SANDVIKEN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46252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46252</v>
      </c>
      <c r="F242" t="inlineStr">
        <is>
          <t>GÄVLEBORGS LÄN</t>
        </is>
      </c>
      <c r="G242" t="inlineStr">
        <is>
          <t>SANDVIKEN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46252</v>
      </c>
      <c r="F243" t="inlineStr">
        <is>
          <t>GÄVLEBORGS LÄN</t>
        </is>
      </c>
      <c r="G243" t="inlineStr">
        <is>
          <t>SANDVIKEN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46252</v>
      </c>
      <c r="F244" t="inlineStr">
        <is>
          <t>GÄVLEBORGS LÄN</t>
        </is>
      </c>
      <c r="G244" t="inlineStr">
        <is>
          <t>SANDVIKEN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46252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49217-2025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45938</v>
      </c>
      <c r="E246" s="1" t="n">
        <v>46252</v>
      </c>
      <c r="F246" t="inlineStr">
        <is>
          <t>GÄVLEBORGS LÄN</t>
        </is>
      </c>
      <c r="G246" t="inlineStr">
        <is>
          <t>SANDVIKEN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45870</v>
      </c>
      <c r="E247" s="1" t="n">
        <v>46252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46252</v>
      </c>
      <c r="F248" t="inlineStr">
        <is>
          <t>GÄVLEBORGS LÄN</t>
        </is>
      </c>
      <c r="G248" t="inlineStr">
        <is>
          <t>SANDVIKEN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45873</v>
      </c>
      <c r="E249" s="1" t="n">
        <v>46252</v>
      </c>
      <c r="F249" t="inlineStr">
        <is>
          <t>GÄVLEBORGS LÄN</t>
        </is>
      </c>
      <c r="G249" t="inlineStr">
        <is>
          <t>SANDVIKEN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46252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45693</v>
      </c>
      <c r="E251" s="1" t="n">
        <v>46252</v>
      </c>
      <c r="F251" t="inlineStr">
        <is>
          <t>GÄVLEBORGS LÄN</t>
        </is>
      </c>
      <c r="G251" t="inlineStr">
        <is>
          <t>SANDVIKEN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46252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46252</v>
      </c>
      <c r="F253" t="inlineStr">
        <is>
          <t>GÄVLEBORGS LÄN</t>
        </is>
      </c>
      <c r="G253" t="inlineStr">
        <is>
          <t>SANDVIKEN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46252</v>
      </c>
      <c r="F254" t="inlineStr">
        <is>
          <t>GÄVLEBORGS LÄN</t>
        </is>
      </c>
      <c r="G254" t="inlineStr">
        <is>
          <t>SANDVIKEN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46252</v>
      </c>
      <c r="F255" t="inlineStr">
        <is>
          <t>GÄVLEBORGS LÄN</t>
        </is>
      </c>
      <c r="G255" t="inlineStr">
        <is>
          <t>SANDVIKEN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46252</v>
      </c>
      <c r="F256" t="inlineStr">
        <is>
          <t>GÄVLEBORGS LÄN</t>
        </is>
      </c>
      <c r="G256" t="inlineStr">
        <is>
          <t>SANDVIKEN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46252</v>
      </c>
      <c r="F257" t="inlineStr">
        <is>
          <t>GÄVLEBORGS LÄN</t>
        </is>
      </c>
      <c r="G257" t="inlineStr">
        <is>
          <t>SANDVIKEN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50851-2025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45946</v>
      </c>
      <c r="E258" s="1" t="n">
        <v>46252</v>
      </c>
      <c r="F258" t="inlineStr">
        <is>
          <t>GÄVLEBORGS LÄN</t>
        </is>
      </c>
      <c r="G258" t="inlineStr">
        <is>
          <t>SANDVIKEN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46252</v>
      </c>
      <c r="F259" t="inlineStr">
        <is>
          <t>GÄVLEBORGS LÄN</t>
        </is>
      </c>
      <c r="G259" t="inlineStr">
        <is>
          <t>SANDVIKEN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46252</v>
      </c>
      <c r="F260" t="inlineStr">
        <is>
          <t>GÄVLEBORGS LÄN</t>
        </is>
      </c>
      <c r="G260" t="inlineStr">
        <is>
          <t>SANDVIKEN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46252</v>
      </c>
      <c r="F261" t="inlineStr">
        <is>
          <t>GÄVLEBORGS LÄN</t>
        </is>
      </c>
      <c r="G261" t="inlineStr">
        <is>
          <t>SANDVIKEN</t>
        </is>
      </c>
      <c r="H261" t="inlineStr">
        <is>
          <t>Kommuner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45873</v>
      </c>
      <c r="E262" s="1" t="n">
        <v>46252</v>
      </c>
      <c r="F262" t="inlineStr">
        <is>
          <t>GÄVLEBORGS LÄN</t>
        </is>
      </c>
      <c r="G262" t="inlineStr">
        <is>
          <t>SANDVIKEN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46252</v>
      </c>
      <c r="F263" t="inlineStr">
        <is>
          <t>GÄVLEBORGS LÄN</t>
        </is>
      </c>
      <c r="G263" t="inlineStr">
        <is>
          <t>SANDVIKEN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46252</v>
      </c>
      <c r="F264" t="inlineStr">
        <is>
          <t>GÄVLEBORGS LÄN</t>
        </is>
      </c>
      <c r="G264" t="inlineStr">
        <is>
          <t>SANDVIKEN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46252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44797</v>
      </c>
      <c r="E266" s="1" t="n">
        <v>46252</v>
      </c>
      <c r="F266" t="inlineStr">
        <is>
          <t>GÄVLEBORGS LÄN</t>
        </is>
      </c>
      <c r="G266" t="inlineStr">
        <is>
          <t>SANDVIKEN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61052-2024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46252</v>
      </c>
      <c r="F267" t="inlineStr">
        <is>
          <t>GÄVLEBORGS LÄN</t>
        </is>
      </c>
      <c r="G267" t="inlineStr">
        <is>
          <t>SANDVIKEN</t>
        </is>
      </c>
      <c r="H267" t="inlineStr">
        <is>
          <t>Naturvårdsverket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46252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46252</v>
      </c>
      <c r="F269" t="inlineStr">
        <is>
          <t>GÄVLEBORGS LÄN</t>
        </is>
      </c>
      <c r="G269" t="inlineStr">
        <is>
          <t>SANDVIKEN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46252</v>
      </c>
      <c r="F270" t="inlineStr">
        <is>
          <t>GÄVLEBORGS LÄN</t>
        </is>
      </c>
      <c r="G270" t="inlineStr">
        <is>
          <t>SANDVIKEN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46252</v>
      </c>
      <c r="F271" t="inlineStr">
        <is>
          <t>GÄVLEBORGS LÄN</t>
        </is>
      </c>
      <c r="G271" t="inlineStr">
        <is>
          <t>SANDVIKEN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45544</v>
      </c>
      <c r="E272" s="1" t="n">
        <v>46252</v>
      </c>
      <c r="F272" t="inlineStr">
        <is>
          <t>GÄVLEBORGS LÄN</t>
        </is>
      </c>
      <c r="G272" t="inlineStr">
        <is>
          <t>SANDVIKEN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71995-2021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46252</v>
      </c>
      <c r="F273" t="inlineStr">
        <is>
          <t>GÄVLEBORGS LÄN</t>
        </is>
      </c>
      <c r="G273" t="inlineStr">
        <is>
          <t>SANDVIKEN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38570-2023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45162</v>
      </c>
      <c r="E274" s="1" t="n">
        <v>46252</v>
      </c>
      <c r="F274" t="inlineStr">
        <is>
          <t>GÄVLEBORGS LÄN</t>
        </is>
      </c>
      <c r="G274" t="inlineStr">
        <is>
          <t>SANDVIKEN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56310-2021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44477</v>
      </c>
      <c r="E275" s="1" t="n">
        <v>46252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väst AB</t>
        </is>
      </c>
      <c r="I275" t="n">
        <v>18.5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44988</v>
      </c>
      <c r="E276" s="1" t="n">
        <v>46252</v>
      </c>
      <c r="F276" t="inlineStr">
        <is>
          <t>GÄVLEBORGS LÄN</t>
        </is>
      </c>
      <c r="G276" t="inlineStr">
        <is>
          <t>SANDVIKEN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45191</v>
      </c>
      <c r="E277" s="1" t="n">
        <v>46252</v>
      </c>
      <c r="F277" t="inlineStr">
        <is>
          <t>GÄVLEBORGS LÄN</t>
        </is>
      </c>
      <c r="G277" t="inlineStr">
        <is>
          <t>SANDVIKEN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45638</v>
      </c>
      <c r="E278" s="1" t="n">
        <v>46252</v>
      </c>
      <c r="F278" t="inlineStr">
        <is>
          <t>GÄVLEBORGS LÄN</t>
        </is>
      </c>
      <c r="G278" t="inlineStr">
        <is>
          <t>SANDVIKEN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45209</v>
      </c>
      <c r="E279" s="1" t="n">
        <v>46252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46252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  <c r="Z280">
        <f>HYPERLINK("https://klasma.github.io/Logging_2181/knärot/A 52786-2025 karta knärot.png", "A 52786-2025")</f>
        <v/>
      </c>
      <c r="AA280">
        <f>HYPERLINK("https://klasma.github.io/Logging_2181/klagomål/A 52786-2025 FSC-klagomål.docx", "A 52786-2025")</f>
        <v/>
      </c>
      <c r="AB280">
        <f>HYPERLINK("https://klasma.github.io/Logging_2181/klagomålsmail/A 52786-2025 FSC-klagomål mail.docx", "A 52786-2025")</f>
        <v/>
      </c>
      <c r="AC280">
        <f>HYPERLINK("https://klasma.github.io/Logging_2181/tillsyn/A 52786-2025 tillsynsbegäran.docx", "A 52786-2025")</f>
        <v/>
      </c>
      <c r="AD280">
        <f>HYPERLINK("https://klasma.github.io/Logging_2181/tillsynsmail/A 52786-2025 tillsynsbegäran mail.docx", "A 52786-2025")</f>
        <v/>
      </c>
    </row>
    <row r="281" ht="15" customHeight="1">
      <c r="A281" t="inlineStr">
        <is>
          <t>A 11393-2023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44988</v>
      </c>
      <c r="E281" s="1" t="n">
        <v>46252</v>
      </c>
      <c r="F281" t="inlineStr">
        <is>
          <t>GÄVLEBORGS LÄN</t>
        </is>
      </c>
      <c r="G281" t="inlineStr">
        <is>
          <t>SANDVIKEN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46252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46252</v>
      </c>
      <c r="F283" t="inlineStr">
        <is>
          <t>GÄVLEBORGS LÄN</t>
        </is>
      </c>
      <c r="G283" t="inlineStr">
        <is>
          <t>SANDVIKEN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46252</v>
      </c>
      <c r="F284" t="inlineStr">
        <is>
          <t>GÄVLEBORGS LÄN</t>
        </is>
      </c>
      <c r="G284" t="inlineStr">
        <is>
          <t>SANDVIKEN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46252</v>
      </c>
      <c r="F285" t="inlineStr">
        <is>
          <t>GÄVLEBORGS LÄN</t>
        </is>
      </c>
      <c r="G285" t="inlineStr">
        <is>
          <t>SANDVIKEN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44744</v>
      </c>
      <c r="E286" s="1" t="n">
        <v>46252</v>
      </c>
      <c r="F286" t="inlineStr">
        <is>
          <t>GÄVLEBORGS LÄN</t>
        </is>
      </c>
      <c r="G286" t="inlineStr">
        <is>
          <t>SANDVIKEN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46252</v>
      </c>
      <c r="F287" t="inlineStr">
        <is>
          <t>GÄVLEBORGS LÄN</t>
        </is>
      </c>
      <c r="G287" t="inlineStr">
        <is>
          <t>SANDVIKEN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46252</v>
      </c>
      <c r="F288" t="inlineStr">
        <is>
          <t>GÄVLEBORGS LÄN</t>
        </is>
      </c>
      <c r="G288" t="inlineStr">
        <is>
          <t>SANDVIKEN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46252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väst AB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46252</v>
      </c>
      <c r="F290" t="inlineStr">
        <is>
          <t>GÄVLEBORGS LÄN</t>
        </is>
      </c>
      <c r="G290" t="inlineStr">
        <is>
          <t>SANDVIKEN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46252</v>
      </c>
      <c r="F291" t="inlineStr">
        <is>
          <t>GÄVLEBORGS LÄN</t>
        </is>
      </c>
      <c r="G291" t="inlineStr">
        <is>
          <t>SANDVIKEN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46252</v>
      </c>
      <c r="F292" t="inlineStr">
        <is>
          <t>GÄVLEBORGS LÄN</t>
        </is>
      </c>
      <c r="G292" t="inlineStr">
        <is>
          <t>SANDVIKEN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46252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46252</v>
      </c>
      <c r="F294" t="inlineStr">
        <is>
          <t>GÄVLEBORGS LÄN</t>
        </is>
      </c>
      <c r="G294" t="inlineStr">
        <is>
          <t>SANDVIKEN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46252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45968</v>
      </c>
      <c r="E296" s="1" t="n">
        <v>46252</v>
      </c>
      <c r="F296" t="inlineStr">
        <is>
          <t>GÄVLEBORGS LÄN</t>
        </is>
      </c>
      <c r="G296" t="inlineStr">
        <is>
          <t>SANDVIKEN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46252</v>
      </c>
      <c r="F297" t="inlineStr">
        <is>
          <t>GÄVLEBORGS LÄN</t>
        </is>
      </c>
      <c r="G297" t="inlineStr">
        <is>
          <t>SANDVIKEN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46252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45649</v>
      </c>
      <c r="E299" s="1" t="n">
        <v>46252</v>
      </c>
      <c r="F299" t="inlineStr">
        <is>
          <t>GÄVLEBORGS LÄN</t>
        </is>
      </c>
      <c r="G299" t="inlineStr">
        <is>
          <t>SANDVIKEN</t>
        </is>
      </c>
      <c r="I299" t="n">
        <v>11.1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46252</v>
      </c>
      <c r="F300" t="inlineStr">
        <is>
          <t>GÄVLEBORGS LÄN</t>
        </is>
      </c>
      <c r="G300" t="inlineStr">
        <is>
          <t>SANDVIKEN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46252</v>
      </c>
      <c r="F301" t="inlineStr">
        <is>
          <t>GÄVLEBORGS LÄN</t>
        </is>
      </c>
      <c r="G301" t="inlineStr">
        <is>
          <t>SANDVIKEN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45330</v>
      </c>
      <c r="E302" s="1" t="n">
        <v>46252</v>
      </c>
      <c r="F302" t="inlineStr">
        <is>
          <t>GÄVLEBORGS LÄN</t>
        </is>
      </c>
      <c r="G302" t="inlineStr">
        <is>
          <t>SANDVIKEN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45666</v>
      </c>
      <c r="E303" s="1" t="n">
        <v>46252</v>
      </c>
      <c r="F303" t="inlineStr">
        <is>
          <t>GÄVLEBORGS LÄN</t>
        </is>
      </c>
      <c r="G303" t="inlineStr">
        <is>
          <t>SANDVIKEN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46252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45730</v>
      </c>
      <c r="E305" s="1" t="n">
        <v>46252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38845-2025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46252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46252</v>
      </c>
      <c r="F307" t="inlineStr">
        <is>
          <t>GÄVLEBORGS LÄN</t>
        </is>
      </c>
      <c r="G307" t="inlineStr">
        <is>
          <t>SANDVIKEN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46252</v>
      </c>
      <c r="F308" t="inlineStr">
        <is>
          <t>GÄVLEBORGS LÄN</t>
        </is>
      </c>
      <c r="G308" t="inlineStr">
        <is>
          <t>SANDVIKEN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44972</v>
      </c>
      <c r="E309" s="1" t="n">
        <v>46252</v>
      </c>
      <c r="F309" t="inlineStr">
        <is>
          <t>GÄVLEBORGS LÄN</t>
        </is>
      </c>
      <c r="G309" t="inlineStr">
        <is>
          <t>SANDVIKEN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49706-2023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45212</v>
      </c>
      <c r="E310" s="1" t="n">
        <v>46252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45977</v>
      </c>
      <c r="E311" s="1" t="n">
        <v>46252</v>
      </c>
      <c r="F311" t="inlineStr">
        <is>
          <t>GÄVLEBORGS LÄN</t>
        </is>
      </c>
      <c r="G311" t="inlineStr">
        <is>
          <t>SANDVIKEN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45721</v>
      </c>
      <c r="E312" s="1" t="n">
        <v>46252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46252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46252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46252</v>
      </c>
      <c r="F315" t="inlineStr">
        <is>
          <t>GÄVLEBORGS LÄN</t>
        </is>
      </c>
      <c r="G315" t="inlineStr">
        <is>
          <t>SANDVIKEN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57261-2025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46252</v>
      </c>
      <c r="F316" t="inlineStr">
        <is>
          <t>GÄVLEBORGS LÄN</t>
        </is>
      </c>
      <c r="G316" t="inlineStr">
        <is>
          <t>SANDVIKEN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45589</v>
      </c>
      <c r="E317" s="1" t="n">
        <v>46252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45075</v>
      </c>
      <c r="E318" s="1" t="n">
        <v>46252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46252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45983</v>
      </c>
      <c r="E320" s="1" t="n">
        <v>46252</v>
      </c>
      <c r="F320" t="inlineStr">
        <is>
          <t>GÄVLEBORGS LÄN</t>
        </is>
      </c>
      <c r="G320" t="inlineStr">
        <is>
          <t>SANDVIKEN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58197-2025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45984</v>
      </c>
      <c r="E321" s="1" t="n">
        <v>46252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45984</v>
      </c>
      <c r="E322" s="1" t="n">
        <v>46252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45984</v>
      </c>
      <c r="E323" s="1" t="n">
        <v>46252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43121-2024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45567</v>
      </c>
      <c r="E324" s="1" t="n">
        <v>46252</v>
      </c>
      <c r="F324" t="inlineStr">
        <is>
          <t>GÄVLEBORGS LÄN</t>
        </is>
      </c>
      <c r="G324" t="inlineStr">
        <is>
          <t>SANDVIKEN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46252</v>
      </c>
      <c r="F325" t="inlineStr">
        <is>
          <t>GÄVLEBORGS LÄN</t>
        </is>
      </c>
      <c r="G325" t="inlineStr">
        <is>
          <t>SANDVIKEN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46252</v>
      </c>
      <c r="F326" t="inlineStr">
        <is>
          <t>GÄVLEBORGS LÄN</t>
        </is>
      </c>
      <c r="G326" t="inlineStr">
        <is>
          <t>SANDVIKEN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46252</v>
      </c>
      <c r="F327" t="inlineStr">
        <is>
          <t>GÄVLEBORGS LÄN</t>
        </is>
      </c>
      <c r="G327" t="inlineStr">
        <is>
          <t>SANDVIKEN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46252</v>
      </c>
      <c r="F328" t="inlineStr">
        <is>
          <t>GÄVLEBORGS LÄN</t>
        </is>
      </c>
      <c r="G328" t="inlineStr">
        <is>
          <t>SANDVIKEN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58207-2025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46252</v>
      </c>
      <c r="F329" t="inlineStr">
        <is>
          <t>GÄVLEBORGS LÄN</t>
        </is>
      </c>
      <c r="G329" t="inlineStr">
        <is>
          <t>SANDVIKEN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46252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46252</v>
      </c>
      <c r="F331" t="inlineStr">
        <is>
          <t>GÄVLEBORGS LÄN</t>
        </is>
      </c>
      <c r="G331" t="inlineStr">
        <is>
          <t>SANDVIKEN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46252</v>
      </c>
      <c r="F332" t="inlineStr">
        <is>
          <t>GÄVLEBORGS LÄN</t>
        </is>
      </c>
      <c r="G332" t="inlineStr">
        <is>
          <t>SANDVIKEN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45182</v>
      </c>
      <c r="E333" s="1" t="n">
        <v>46252</v>
      </c>
      <c r="F333" t="inlineStr">
        <is>
          <t>GÄVLEBORGS LÄN</t>
        </is>
      </c>
      <c r="G333" t="inlineStr">
        <is>
          <t>SANDVIKEN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44843</v>
      </c>
      <c r="E334" s="1" t="n">
        <v>46252</v>
      </c>
      <c r="F334" t="inlineStr">
        <is>
          <t>GÄVLEBORGS LÄN</t>
        </is>
      </c>
      <c r="G334" t="inlineStr">
        <is>
          <t>SANDVIKEN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46252</v>
      </c>
      <c r="F335" t="inlineStr">
        <is>
          <t>GÄVLEBORGS LÄN</t>
        </is>
      </c>
      <c r="G335" t="inlineStr">
        <is>
          <t>SANDVIKEN</t>
        </is>
      </c>
      <c r="H335" t="inlineStr">
        <is>
          <t>Sveaskog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4502-2024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46252</v>
      </c>
      <c r="F336" t="inlineStr">
        <is>
          <t>GÄVLEBORGS LÄN</t>
        </is>
      </c>
      <c r="G336" t="inlineStr">
        <is>
          <t>SANDVIKEN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46178</v>
      </c>
      <c r="E337" s="1" t="n">
        <v>46252</v>
      </c>
      <c r="F337" t="inlineStr">
        <is>
          <t>GÄVLEBORGS LÄN</t>
        </is>
      </c>
      <c r="G337" t="inlineStr">
        <is>
          <t>SANDVIKEN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38609-2022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44813</v>
      </c>
      <c r="E338" s="1" t="n">
        <v>46252</v>
      </c>
      <c r="F338" t="inlineStr">
        <is>
          <t>GÄVLEBORGS LÄN</t>
        </is>
      </c>
      <c r="G338" t="inlineStr">
        <is>
          <t>SANDVIKEN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46252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46252</v>
      </c>
      <c r="F340" t="inlineStr">
        <is>
          <t>GÄVLEBORGS LÄN</t>
        </is>
      </c>
      <c r="G340" t="inlineStr">
        <is>
          <t>SANDVIKEN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46252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46252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46252</v>
      </c>
      <c r="F343" t="inlineStr">
        <is>
          <t>GÄVLEBORGS LÄN</t>
        </is>
      </c>
      <c r="G343" t="inlineStr">
        <is>
          <t>SANDVIKEN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46252</v>
      </c>
      <c r="F344" t="inlineStr">
        <is>
          <t>GÄVLEBORGS LÄN</t>
        </is>
      </c>
      <c r="G344" t="inlineStr">
        <is>
          <t>SANDVIKEN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59623-2025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45992</v>
      </c>
      <c r="E345" s="1" t="n">
        <v>46252</v>
      </c>
      <c r="F345" t="inlineStr">
        <is>
          <t>GÄVLEBORGS LÄN</t>
        </is>
      </c>
      <c r="G345" t="inlineStr">
        <is>
          <t>SANDVIKEN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45480</v>
      </c>
      <c r="E346" s="1" t="n">
        <v>46252</v>
      </c>
      <c r="F346" t="inlineStr">
        <is>
          <t>GÄVLEBORGS LÄN</t>
        </is>
      </c>
      <c r="G346" t="inlineStr">
        <is>
          <t>SANDVIKEN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44810</v>
      </c>
      <c r="E347" s="1" t="n">
        <v>46252</v>
      </c>
      <c r="F347" t="inlineStr">
        <is>
          <t>GÄVLEBORGS LÄN</t>
        </is>
      </c>
      <c r="G347" t="inlineStr">
        <is>
          <t>SANDVIKEN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45251</v>
      </c>
      <c r="E348" s="1" t="n">
        <v>46252</v>
      </c>
      <c r="F348" t="inlineStr">
        <is>
          <t>GÄVLEBORGS LÄN</t>
        </is>
      </c>
      <c r="G348" t="inlineStr">
        <is>
          <t>SANDVIKEN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35184-2022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44797</v>
      </c>
      <c r="E349" s="1" t="n">
        <v>46252</v>
      </c>
      <c r="F349" t="inlineStr">
        <is>
          <t>GÄVLEBORGS LÄN</t>
        </is>
      </c>
      <c r="G349" t="inlineStr">
        <is>
          <t>SANDVIKEN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46252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46252</v>
      </c>
      <c r="F351" t="inlineStr">
        <is>
          <t>GÄVLEBORGS LÄN</t>
        </is>
      </c>
      <c r="G351" t="inlineStr">
        <is>
          <t>SANDVIKEN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46252</v>
      </c>
      <c r="F352" t="inlineStr">
        <is>
          <t>GÄVLEBORGS LÄN</t>
        </is>
      </c>
      <c r="G352" t="inlineStr">
        <is>
          <t>SANDVIKEN</t>
        </is>
      </c>
      <c r="I352" t="n">
        <v>9.6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49211-2023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46252</v>
      </c>
      <c r="F353" t="inlineStr">
        <is>
          <t>GÄVLEBORGS LÄN</t>
        </is>
      </c>
      <c r="G353" t="inlineStr">
        <is>
          <t>SANDVIKEN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46252</v>
      </c>
      <c r="F354" t="inlineStr">
        <is>
          <t>GÄVLEBORGS LÄN</t>
        </is>
      </c>
      <c r="G354" t="inlineStr">
        <is>
          <t>SANDVIKEN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46252</v>
      </c>
      <c r="F355" t="inlineStr">
        <is>
          <t>GÄVLEBORGS LÄN</t>
        </is>
      </c>
      <c r="G355" t="inlineStr">
        <is>
          <t>SANDVIKEN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45984</v>
      </c>
      <c r="E356" s="1" t="n">
        <v>46252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61537-2023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45265</v>
      </c>
      <c r="E357" s="1" t="n">
        <v>46252</v>
      </c>
      <c r="F357" t="inlineStr">
        <is>
          <t>GÄVLEBORGS LÄN</t>
        </is>
      </c>
      <c r="G357" t="inlineStr">
        <is>
          <t>SANDVIKEN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46252</v>
      </c>
      <c r="F358" t="inlineStr">
        <is>
          <t>GÄVLEBORGS LÄN</t>
        </is>
      </c>
      <c r="G358" t="inlineStr">
        <is>
          <t>SANDVIKEN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44586</v>
      </c>
      <c r="E359" s="1" t="n">
        <v>46252</v>
      </c>
      <c r="F359" t="inlineStr">
        <is>
          <t>GÄVLEBORGS LÄN</t>
        </is>
      </c>
      <c r="G359" t="inlineStr">
        <is>
          <t>SANDVIKEN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46252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46252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46252</v>
      </c>
      <c r="F362" t="inlineStr">
        <is>
          <t>GÄVLEBORGS LÄN</t>
        </is>
      </c>
      <c r="G362" t="inlineStr">
        <is>
          <t>SANDVIKEN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46000</v>
      </c>
      <c r="E363" s="1" t="n">
        <v>46252</v>
      </c>
      <c r="F363" t="inlineStr">
        <is>
          <t>GÄVLEBORGS LÄN</t>
        </is>
      </c>
      <c r="G363" t="inlineStr">
        <is>
          <t>SANDVIKEN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44582</v>
      </c>
      <c r="E364" s="1" t="n">
        <v>46252</v>
      </c>
      <c r="F364" t="inlineStr">
        <is>
          <t>GÄVLEBORGS LÄN</t>
        </is>
      </c>
      <c r="G364" t="inlineStr">
        <is>
          <t>SANDVIKEN</t>
        </is>
      </c>
      <c r="H364" t="inlineStr">
        <is>
          <t>Kyrkan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45240</v>
      </c>
      <c r="E365" s="1" t="n">
        <v>46252</v>
      </c>
      <c r="F365" t="inlineStr">
        <is>
          <t>GÄVLEBORGS LÄN</t>
        </is>
      </c>
      <c r="G365" t="inlineStr">
        <is>
          <t>SANDVIKEN</t>
        </is>
      </c>
      <c r="H365" t="inlineStr">
        <is>
          <t>Sveaskog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44804</v>
      </c>
      <c r="E366" s="1" t="n">
        <v>46252</v>
      </c>
      <c r="F366" t="inlineStr">
        <is>
          <t>GÄVLEBORGS LÄN</t>
        </is>
      </c>
      <c r="G366" t="inlineStr">
        <is>
          <t>SANDVIKEN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8940-2026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46252</v>
      </c>
      <c r="F367" t="inlineStr">
        <is>
          <t>GÄVLEBORGS LÄN</t>
        </is>
      </c>
      <c r="G367" t="inlineStr">
        <is>
          <t>SANDVIKEN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45984</v>
      </c>
      <c r="E368" s="1" t="n">
        <v>46252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46252</v>
      </c>
      <c r="F369" t="inlineStr">
        <is>
          <t>GÄVLEBORGS LÄN</t>
        </is>
      </c>
      <c r="G369" t="inlineStr">
        <is>
          <t>SANDVIKEN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46252</v>
      </c>
      <c r="F370" t="inlineStr">
        <is>
          <t>GÄVLEBORGS LÄN</t>
        </is>
      </c>
      <c r="G370" t="inlineStr">
        <is>
          <t>SANDVIKEN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46252</v>
      </c>
      <c r="F371" t="inlineStr">
        <is>
          <t>GÄVLEBORGS LÄN</t>
        </is>
      </c>
      <c r="G371" t="inlineStr">
        <is>
          <t>SANDVIKEN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46252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46178</v>
      </c>
      <c r="E373" s="1" t="n">
        <v>46252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46252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46252</v>
      </c>
      <c r="F375" t="inlineStr">
        <is>
          <t>GÄVLEBORGS LÄN</t>
        </is>
      </c>
      <c r="G375" t="inlineStr">
        <is>
          <t>SANDVIKEN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46252</v>
      </c>
      <c r="F376" t="inlineStr">
        <is>
          <t>GÄVLEBORGS LÄN</t>
        </is>
      </c>
      <c r="G376" t="inlineStr">
        <is>
          <t>SANDVIKEN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46252</v>
      </c>
      <c r="F377" t="inlineStr">
        <is>
          <t>GÄVLEBORGS LÄN</t>
        </is>
      </c>
      <c r="G377" t="inlineStr">
        <is>
          <t>SANDVIKEN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46252</v>
      </c>
      <c r="F378" t="inlineStr">
        <is>
          <t>GÄVLEBORGS LÄN</t>
        </is>
      </c>
      <c r="G378" t="inlineStr">
        <is>
          <t>SANDVIKEN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45667</v>
      </c>
      <c r="E379" s="1" t="n">
        <v>46252</v>
      </c>
      <c r="F379" t="inlineStr">
        <is>
          <t>GÄVLEBORGS LÄN</t>
        </is>
      </c>
      <c r="G379" t="inlineStr">
        <is>
          <t>SANDVIKEN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45476</v>
      </c>
      <c r="E380" s="1" t="n">
        <v>46252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46021</v>
      </c>
      <c r="E381" s="1" t="n">
        <v>46252</v>
      </c>
      <c r="F381" t="inlineStr">
        <is>
          <t>GÄVLEBORGS LÄN</t>
        </is>
      </c>
      <c r="G381" t="inlineStr">
        <is>
          <t>SANDVIKEN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58885-2023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45252</v>
      </c>
      <c r="E382" s="1" t="n">
        <v>46252</v>
      </c>
      <c r="F382" t="inlineStr">
        <is>
          <t>GÄVLEBORGS LÄN</t>
        </is>
      </c>
      <c r="G382" t="inlineStr">
        <is>
          <t>SANDVIKEN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45540</v>
      </c>
      <c r="E383" s="1" t="n">
        <v>46252</v>
      </c>
      <c r="F383" t="inlineStr">
        <is>
          <t>GÄVLEBORGS LÄN</t>
        </is>
      </c>
      <c r="G383" t="inlineStr">
        <is>
          <t>SANDVIKEN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45240</v>
      </c>
      <c r="E384" s="1" t="n">
        <v>46252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45221-2021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44439</v>
      </c>
      <c r="E385" s="1" t="n">
        <v>46252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46252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46031</v>
      </c>
      <c r="E387" s="1" t="n">
        <v>46252</v>
      </c>
      <c r="F387" t="inlineStr">
        <is>
          <t>GÄVLEBORGS LÄN</t>
        </is>
      </c>
      <c r="G387" t="inlineStr">
        <is>
          <t>SANDVIKEN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46252</v>
      </c>
      <c r="F388" t="inlineStr">
        <is>
          <t>GÄVLEBORGS LÄN</t>
        </is>
      </c>
      <c r="G388" t="inlineStr">
        <is>
          <t>SANDVIKEN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45279-2023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46252</v>
      </c>
      <c r="F389" t="inlineStr">
        <is>
          <t>GÄVLEBORGS LÄN</t>
        </is>
      </c>
      <c r="G389" t="inlineStr">
        <is>
          <t>SANDVIKEN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46252</v>
      </c>
      <c r="F390" t="inlineStr">
        <is>
          <t>GÄVLEBORGS LÄN</t>
        </is>
      </c>
      <c r="G390" t="inlineStr">
        <is>
          <t>SANDVIKEN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46252</v>
      </c>
      <c r="F391" t="inlineStr">
        <is>
          <t>GÄVLEBORGS LÄN</t>
        </is>
      </c>
      <c r="G391" t="inlineStr">
        <is>
          <t>SANDVIKEN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45376</v>
      </c>
      <c r="E392" s="1" t="n">
        <v>46252</v>
      </c>
      <c r="F392" t="inlineStr">
        <is>
          <t>GÄVLEBORGS LÄN</t>
        </is>
      </c>
      <c r="G392" t="inlineStr">
        <is>
          <t>SANDVIKEN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46252</v>
      </c>
      <c r="F393" t="inlineStr">
        <is>
          <t>GÄVLEBORGS LÄN</t>
        </is>
      </c>
      <c r="G393" t="inlineStr">
        <is>
          <t>SANDVIKEN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46252</v>
      </c>
      <c r="F394" t="inlineStr">
        <is>
          <t>GÄVLEBORGS LÄN</t>
        </is>
      </c>
      <c r="G394" t="inlineStr">
        <is>
          <t>SANDVIKEN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46252</v>
      </c>
      <c r="F395" t="inlineStr">
        <is>
          <t>GÄVLEBORGS LÄN</t>
        </is>
      </c>
      <c r="G395" t="inlineStr">
        <is>
          <t>SANDVIKEN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23217-2023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45075</v>
      </c>
      <c r="E396" s="1" t="n">
        <v>46252</v>
      </c>
      <c r="F396" t="inlineStr">
        <is>
          <t>GÄVLEBORGS LÄN</t>
        </is>
      </c>
      <c r="G396" t="inlineStr">
        <is>
          <t>SANDVIKEN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46252</v>
      </c>
      <c r="F397" t="inlineStr">
        <is>
          <t>GÄVLEBORGS LÄN</t>
        </is>
      </c>
      <c r="G397" t="inlineStr">
        <is>
          <t>SANDVIKEN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46252</v>
      </c>
      <c r="F398" t="inlineStr">
        <is>
          <t>GÄVLEBORGS LÄN</t>
        </is>
      </c>
      <c r="G398" t="inlineStr">
        <is>
          <t>SANDVIKEN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46252</v>
      </c>
      <c r="F399" t="inlineStr">
        <is>
          <t>GÄVLEBORGS LÄN</t>
        </is>
      </c>
      <c r="G399" t="inlineStr">
        <is>
          <t>SANDVIKEN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46252</v>
      </c>
      <c r="F400" t="inlineStr">
        <is>
          <t>GÄVLEBORGS LÄN</t>
        </is>
      </c>
      <c r="G400" t="inlineStr">
        <is>
          <t>SANDVIKEN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46252</v>
      </c>
      <c r="F401" t="inlineStr">
        <is>
          <t>GÄVLEBORGS LÄN</t>
        </is>
      </c>
      <c r="G401" t="inlineStr">
        <is>
          <t>SANDVIKEN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46252</v>
      </c>
      <c r="F402" t="inlineStr">
        <is>
          <t>GÄVLEBORGS LÄN</t>
        </is>
      </c>
      <c r="G402" t="inlineStr">
        <is>
          <t>SANDVIKEN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46252</v>
      </c>
      <c r="F403" t="inlineStr">
        <is>
          <t>GÄVLEBORGS LÄN</t>
        </is>
      </c>
      <c r="G403" t="inlineStr">
        <is>
          <t>SANDVIKEN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46252</v>
      </c>
      <c r="F404" t="inlineStr">
        <is>
          <t>GÄVLEBORGS LÄN</t>
        </is>
      </c>
      <c r="G404" t="inlineStr">
        <is>
          <t>SANDVIKEN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46252</v>
      </c>
      <c r="F405" t="inlineStr">
        <is>
          <t>GÄVLEBORGS LÄN</t>
        </is>
      </c>
      <c r="G405" t="inlineStr">
        <is>
          <t>SANDVIKEN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46252</v>
      </c>
      <c r="F406" t="inlineStr">
        <is>
          <t>GÄVLEBORGS LÄN</t>
        </is>
      </c>
      <c r="G406" t="inlineStr">
        <is>
          <t>SANDVIKEN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45467</v>
      </c>
      <c r="E407" s="1" t="n">
        <v>46252</v>
      </c>
      <c r="F407" t="inlineStr">
        <is>
          <t>GÄVLEBORGS LÄN</t>
        </is>
      </c>
      <c r="G407" t="inlineStr">
        <is>
          <t>SANDVIKEN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46038</v>
      </c>
      <c r="E408" s="1" t="n">
        <v>46252</v>
      </c>
      <c r="F408" t="inlineStr">
        <is>
          <t>GÄVLEBORGS LÄN</t>
        </is>
      </c>
      <c r="G408" t="inlineStr">
        <is>
          <t>SANDVIKEN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46252</v>
      </c>
      <c r="F409" t="inlineStr">
        <is>
          <t>GÄVLEBORGS LÄN</t>
        </is>
      </c>
      <c r="G409" t="inlineStr">
        <is>
          <t>SANDVIKEN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46252</v>
      </c>
      <c r="F410" t="inlineStr">
        <is>
          <t>GÄVLEBORGS LÄN</t>
        </is>
      </c>
      <c r="G410" t="inlineStr">
        <is>
          <t>SANDVIKEN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46252</v>
      </c>
      <c r="F411" t="inlineStr">
        <is>
          <t>GÄVLEBORGS LÄN</t>
        </is>
      </c>
      <c r="G411" t="inlineStr">
        <is>
          <t>SANDVIKEN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46252</v>
      </c>
      <c r="F412" t="inlineStr">
        <is>
          <t>GÄVLEBORGS LÄN</t>
        </is>
      </c>
      <c r="G412" t="inlineStr">
        <is>
          <t>SANDVIKEN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36833-2022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46252</v>
      </c>
      <c r="F413" t="inlineStr">
        <is>
          <t>GÄVLEBORGS LÄN</t>
        </is>
      </c>
      <c r="G413" t="inlineStr">
        <is>
          <t>SANDVIKEN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61694-2021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44501</v>
      </c>
      <c r="E414" s="1" t="n">
        <v>46252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72997-2021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44549</v>
      </c>
      <c r="E415" s="1" t="n">
        <v>46252</v>
      </c>
      <c r="F415" t="inlineStr">
        <is>
          <t>GÄVLEBORGS LÄN</t>
        </is>
      </c>
      <c r="G415" t="inlineStr">
        <is>
          <t>SANDVIKEN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45701</v>
      </c>
      <c r="E416" s="1" t="n">
        <v>46252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46252</v>
      </c>
      <c r="F417" t="inlineStr">
        <is>
          <t>GÄVLEBORGS LÄN</t>
        </is>
      </c>
      <c r="G417" t="inlineStr">
        <is>
          <t>SANDVIKEN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46252</v>
      </c>
      <c r="F418" t="inlineStr">
        <is>
          <t>GÄVLEBORGS LÄN</t>
        </is>
      </c>
      <c r="G418" t="inlineStr">
        <is>
          <t>SANDVIKEN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46252</v>
      </c>
      <c r="F419" t="inlineStr">
        <is>
          <t>GÄVLEBORGS LÄN</t>
        </is>
      </c>
      <c r="G419" t="inlineStr">
        <is>
          <t>SANDVIKEN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45121</v>
      </c>
      <c r="E420" s="1" t="n">
        <v>46252</v>
      </c>
      <c r="F420" t="inlineStr">
        <is>
          <t>GÄVLEBORGS LÄN</t>
        </is>
      </c>
      <c r="G420" t="inlineStr">
        <is>
          <t>SANDVIKEN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46252</v>
      </c>
      <c r="F421" t="inlineStr">
        <is>
          <t>GÄVLEBORGS LÄN</t>
        </is>
      </c>
      <c r="G421" t="inlineStr">
        <is>
          <t>SANDVIKEN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46252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46252</v>
      </c>
      <c r="F423" t="inlineStr">
        <is>
          <t>GÄVLEBORGS LÄN</t>
        </is>
      </c>
      <c r="G423" t="inlineStr">
        <is>
          <t>SANDVIKEN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59738-2022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46252</v>
      </c>
      <c r="F424" t="inlineStr">
        <is>
          <t>GÄVLEBORGS LÄN</t>
        </is>
      </c>
      <c r="G424" t="inlineStr">
        <is>
          <t>SANDVIKEN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46252</v>
      </c>
      <c r="F425" t="inlineStr">
        <is>
          <t>GÄVLEBORGS LÄN</t>
        </is>
      </c>
      <c r="G425" t="inlineStr">
        <is>
          <t>SANDVIKEN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45390</v>
      </c>
      <c r="E426" s="1" t="n">
        <v>46252</v>
      </c>
      <c r="F426" t="inlineStr">
        <is>
          <t>GÄVLEBORGS LÄN</t>
        </is>
      </c>
      <c r="G426" t="inlineStr">
        <is>
          <t>SANDVIKEN</t>
        </is>
      </c>
      <c r="H426" t="inlineStr">
        <is>
          <t>Kyrkan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46252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46252</v>
      </c>
      <c r="F428" t="inlineStr">
        <is>
          <t>GÄVLEBORGS LÄN</t>
        </is>
      </c>
      <c r="G428" t="inlineStr">
        <is>
          <t>SANDVIKEN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46252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46252</v>
      </c>
      <c r="F430" t="inlineStr">
        <is>
          <t>GÄVLEBORGS LÄN</t>
        </is>
      </c>
      <c r="G430" t="inlineStr">
        <is>
          <t>SANDVIKEN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45660</v>
      </c>
      <c r="E431" s="1" t="n">
        <v>46252</v>
      </c>
      <c r="F431" t="inlineStr">
        <is>
          <t>GÄVLEBORGS LÄN</t>
        </is>
      </c>
      <c r="G431" t="inlineStr">
        <is>
          <t>SANDVIKEN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46252</v>
      </c>
      <c r="F432" t="inlineStr">
        <is>
          <t>GÄVLEBORGS LÄN</t>
        </is>
      </c>
      <c r="G432" t="inlineStr">
        <is>
          <t>SANDVIKEN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46252</v>
      </c>
      <c r="F433" t="inlineStr">
        <is>
          <t>GÄVLEBORGS LÄN</t>
        </is>
      </c>
      <c r="G433" t="inlineStr">
        <is>
          <t>SANDVIKEN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46050</v>
      </c>
      <c r="E434" s="1" t="n">
        <v>46252</v>
      </c>
      <c r="F434" t="inlineStr">
        <is>
          <t>GÄVLEBORGS LÄN</t>
        </is>
      </c>
      <c r="G434" t="inlineStr">
        <is>
          <t>SANDVIKEN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46252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46252</v>
      </c>
      <c r="F436" t="inlineStr">
        <is>
          <t>GÄVLEBORGS LÄN</t>
        </is>
      </c>
      <c r="G436" t="inlineStr">
        <is>
          <t>SANDVIKEN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45320</v>
      </c>
      <c r="E437" s="1" t="n">
        <v>46252</v>
      </c>
      <c r="F437" t="inlineStr">
        <is>
          <t>GÄVLEBORGS LÄN</t>
        </is>
      </c>
      <c r="G437" t="inlineStr">
        <is>
          <t>SANDVIKEN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46051</v>
      </c>
      <c r="E438" s="1" t="n">
        <v>46252</v>
      </c>
      <c r="F438" t="inlineStr">
        <is>
          <t>GÄVLEBORGS LÄN</t>
        </is>
      </c>
      <c r="G438" t="inlineStr">
        <is>
          <t>SANDVIKEN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46252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45246</v>
      </c>
      <c r="E440" s="1" t="n">
        <v>46252</v>
      </c>
      <c r="F440" t="inlineStr">
        <is>
          <t>GÄVLEBORGS LÄN</t>
        </is>
      </c>
      <c r="G440" t="inlineStr">
        <is>
          <t>SANDVIKEN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46252</v>
      </c>
      <c r="F441" t="inlineStr">
        <is>
          <t>GÄVLEBORGS LÄN</t>
        </is>
      </c>
      <c r="G441" t="inlineStr">
        <is>
          <t>SANDVIKEN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46252</v>
      </c>
      <c r="F442" t="inlineStr">
        <is>
          <t>GÄVLEBORGS LÄN</t>
        </is>
      </c>
      <c r="G442" t="inlineStr">
        <is>
          <t>SANDVIKEN</t>
        </is>
      </c>
      <c r="H442" t="inlineStr">
        <is>
          <t>Kommuner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46252</v>
      </c>
      <c r="F443" t="inlineStr">
        <is>
          <t>GÄVLEBORGS LÄN</t>
        </is>
      </c>
      <c r="G443" t="inlineStr">
        <is>
          <t>SANDVIKEN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46252</v>
      </c>
      <c r="F444" t="inlineStr">
        <is>
          <t>GÄVLEBORGS LÄN</t>
        </is>
      </c>
      <c r="G444" t="inlineStr">
        <is>
          <t>SANDVIKEN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46252</v>
      </c>
      <c r="F445" t="inlineStr">
        <is>
          <t>GÄVLEBORGS LÄN</t>
        </is>
      </c>
      <c r="G445" t="inlineStr">
        <is>
          <t>SANDVIKEN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46227</v>
      </c>
      <c r="E446" s="1" t="n">
        <v>46252</v>
      </c>
      <c r="F446" t="inlineStr">
        <is>
          <t>GÄVLEBORGS LÄN</t>
        </is>
      </c>
      <c r="G446" t="inlineStr">
        <is>
          <t>SANDVIKEN</t>
        </is>
      </c>
      <c r="H446" t="inlineStr">
        <is>
          <t>Kommuner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46252</v>
      </c>
      <c r="F447" t="inlineStr">
        <is>
          <t>GÄVLEBORGS LÄN</t>
        </is>
      </c>
      <c r="G447" t="inlineStr">
        <is>
          <t>SANDVIKEN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46252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46252</v>
      </c>
      <c r="F449" t="inlineStr">
        <is>
          <t>GÄVLEBORGS LÄN</t>
        </is>
      </c>
      <c r="G449" t="inlineStr">
        <is>
          <t>SANDVIKEN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46252</v>
      </c>
      <c r="F450" t="inlineStr">
        <is>
          <t>GÄVLEBORGS LÄN</t>
        </is>
      </c>
      <c r="G450" t="inlineStr">
        <is>
          <t>SANDVIKEN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46252</v>
      </c>
      <c r="F451" t="inlineStr">
        <is>
          <t>GÄVLEBORGS LÄN</t>
        </is>
      </c>
      <c r="G451" t="inlineStr">
        <is>
          <t>SANDVIKEN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46252</v>
      </c>
      <c r="F452" t="inlineStr">
        <is>
          <t>GÄVLEBORGS LÄN</t>
        </is>
      </c>
      <c r="G452" t="inlineStr">
        <is>
          <t>SANDVIKEN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46252</v>
      </c>
      <c r="F453" t="inlineStr">
        <is>
          <t>GÄVLEBORGS LÄN</t>
        </is>
      </c>
      <c r="G453" t="inlineStr">
        <is>
          <t>SANDVIKEN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46252</v>
      </c>
      <c r="F454" t="inlineStr">
        <is>
          <t>GÄVLEBORGS LÄN</t>
        </is>
      </c>
      <c r="G454" t="inlineStr">
        <is>
          <t>SANDVIKEN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46063</v>
      </c>
      <c r="E455" s="1" t="n">
        <v>46252</v>
      </c>
      <c r="F455" t="inlineStr">
        <is>
          <t>GÄVLEBORGS LÄN</t>
        </is>
      </c>
      <c r="G455" t="inlineStr">
        <is>
          <t>SANDVIKEN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7885-2026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46252</v>
      </c>
      <c r="F456" t="inlineStr">
        <is>
          <t>GÄVLEBORGS LÄN</t>
        </is>
      </c>
      <c r="G456" t="inlineStr">
        <is>
          <t>SANDVIKEN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46252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46252</v>
      </c>
      <c r="F458" t="inlineStr">
        <is>
          <t>GÄVLEBORGS LÄN</t>
        </is>
      </c>
      <c r="G458" t="inlineStr">
        <is>
          <t>SANDVIKEN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46252</v>
      </c>
      <c r="F459" t="inlineStr">
        <is>
          <t>GÄVLEBORGS LÄN</t>
        </is>
      </c>
      <c r="G459" t="inlineStr">
        <is>
          <t>SANDVIKEN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7910-2026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46252</v>
      </c>
      <c r="F460" t="inlineStr">
        <is>
          <t>GÄVLEBORGS LÄN</t>
        </is>
      </c>
      <c r="G460" t="inlineStr">
        <is>
          <t>SANDVIKEN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7914-2026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46252</v>
      </c>
      <c r="F461" t="inlineStr">
        <is>
          <t>GÄVLEBORGS LÄN</t>
        </is>
      </c>
      <c r="G461" t="inlineStr">
        <is>
          <t>SANDVIKEN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46252</v>
      </c>
      <c r="F462" t="inlineStr">
        <is>
          <t>GÄVLEBORGS LÄN</t>
        </is>
      </c>
      <c r="G462" t="inlineStr">
        <is>
          <t>SANDVIKEN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46252</v>
      </c>
      <c r="F463" t="inlineStr">
        <is>
          <t>GÄVLEBORGS LÄN</t>
        </is>
      </c>
      <c r="G463" t="inlineStr">
        <is>
          <t>SANDVIKEN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46252</v>
      </c>
      <c r="F464" t="inlineStr">
        <is>
          <t>GÄVLEBORGS LÄN</t>
        </is>
      </c>
      <c r="G464" t="inlineStr">
        <is>
          <t>SANDVIKEN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46252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8611-2026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46252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46252</v>
      </c>
      <c r="F467" t="inlineStr">
        <is>
          <t>GÄVLEBORGS LÄN</t>
        </is>
      </c>
      <c r="G467" t="inlineStr">
        <is>
          <t>SANDVIKEN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46065</v>
      </c>
      <c r="E468" s="1" t="n">
        <v>46252</v>
      </c>
      <c r="F468" t="inlineStr">
        <is>
          <t>GÄVLEBORGS LÄN</t>
        </is>
      </c>
      <c r="G468" t="inlineStr">
        <is>
          <t>SANDVIKEN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46252</v>
      </c>
      <c r="F469" t="inlineStr">
        <is>
          <t>GÄVLEBORGS LÄN</t>
        </is>
      </c>
      <c r="G469" t="inlineStr">
        <is>
          <t>SANDVIKEN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8574-2026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46252</v>
      </c>
      <c r="F470" t="inlineStr">
        <is>
          <t>GÄVLEBORGS LÄN</t>
        </is>
      </c>
      <c r="G470" t="inlineStr">
        <is>
          <t>SANDVIKEN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46252</v>
      </c>
      <c r="F471" t="inlineStr">
        <is>
          <t>GÄVLEBORGS LÄN</t>
        </is>
      </c>
      <c r="G471" t="inlineStr">
        <is>
          <t>SANDVIKEN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45374</v>
      </c>
      <c r="E472" s="1" t="n">
        <v>46252</v>
      </c>
      <c r="F472" t="inlineStr">
        <is>
          <t>GÄVLEBORGS LÄN</t>
        </is>
      </c>
      <c r="G472" t="inlineStr">
        <is>
          <t>SANDVIKEN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46252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46069</v>
      </c>
      <c r="E474" s="1" t="n">
        <v>46252</v>
      </c>
      <c r="F474" t="inlineStr">
        <is>
          <t>GÄVLEBORGS LÄN</t>
        </is>
      </c>
      <c r="G474" t="inlineStr">
        <is>
          <t>SANDVIKEN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44854</v>
      </c>
      <c r="E475" s="1" t="n">
        <v>46252</v>
      </c>
      <c r="F475" t="inlineStr">
        <is>
          <t>GÄVLEBORGS LÄN</t>
        </is>
      </c>
      <c r="G475" t="inlineStr">
        <is>
          <t>SANDVIKEN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46252</v>
      </c>
      <c r="F476" t="inlineStr">
        <is>
          <t>GÄVLEBORGS LÄN</t>
        </is>
      </c>
      <c r="G476" t="inlineStr">
        <is>
          <t>SANDVIKEN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8706-2026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46066</v>
      </c>
      <c r="E477" s="1" t="n">
        <v>46252</v>
      </c>
      <c r="F477" t="inlineStr">
        <is>
          <t>GÄVLEBORGS LÄN</t>
        </is>
      </c>
      <c r="G477" t="inlineStr">
        <is>
          <t>SANDVIKEN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46252</v>
      </c>
      <c r="F478" t="inlineStr">
        <is>
          <t>GÄVLEBORGS LÄN</t>
        </is>
      </c>
      <c r="G478" t="inlineStr">
        <is>
          <t>SANDVIKEN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46252</v>
      </c>
      <c r="F479" t="inlineStr">
        <is>
          <t>GÄVLEBORGS LÄN</t>
        </is>
      </c>
      <c r="G479" t="inlineStr">
        <is>
          <t>SANDVIKEN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46230</v>
      </c>
      <c r="E480" s="1" t="n">
        <v>46252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46230</v>
      </c>
      <c r="E481" s="1" t="n">
        <v>46252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11.2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26872-2026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46252</v>
      </c>
      <c r="F482" t="inlineStr">
        <is>
          <t>GÄVLEBORGS LÄN</t>
        </is>
      </c>
      <c r="G482" t="inlineStr">
        <is>
          <t>SANDVIKEN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45721</v>
      </c>
      <c r="E483" s="1" t="n">
        <v>46252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46252</v>
      </c>
      <c r="F484" t="inlineStr">
        <is>
          <t>GÄVLEBORGS LÄN</t>
        </is>
      </c>
      <c r="G484" t="inlineStr">
        <is>
          <t>SANDVIKEN</t>
        </is>
      </c>
      <c r="H484" t="inlineStr">
        <is>
          <t>Naturvårdsverket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46252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46073</v>
      </c>
      <c r="E486" s="1" t="n">
        <v>46252</v>
      </c>
      <c r="F486" t="inlineStr">
        <is>
          <t>GÄVLEBORGS LÄN</t>
        </is>
      </c>
      <c r="G486" t="inlineStr">
        <is>
          <t>SANDVIKEN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45483</v>
      </c>
      <c r="E487" s="1" t="n">
        <v>46252</v>
      </c>
      <c r="F487" t="inlineStr">
        <is>
          <t>GÄVLEBORGS LÄN</t>
        </is>
      </c>
      <c r="G487" t="inlineStr">
        <is>
          <t>SANDVIKEN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46252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45226</v>
      </c>
      <c r="E489" s="1" t="n">
        <v>46252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46252</v>
      </c>
      <c r="F490" t="inlineStr">
        <is>
          <t>GÄVLEBORGS LÄN</t>
        </is>
      </c>
      <c r="G490" t="inlineStr">
        <is>
          <t>SANDVIKEN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46252</v>
      </c>
      <c r="F491" t="inlineStr">
        <is>
          <t>GÄVLEBORGS LÄN</t>
        </is>
      </c>
      <c r="G491" t="inlineStr">
        <is>
          <t>SANDVIKEN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46252</v>
      </c>
      <c r="F492" t="inlineStr">
        <is>
          <t>GÄVLEBORGS LÄN</t>
        </is>
      </c>
      <c r="G492" t="inlineStr">
        <is>
          <t>SANDVIKEN</t>
        </is>
      </c>
      <c r="H492" t="inlineStr">
        <is>
          <t>Naturvårdsverket</t>
        </is>
      </c>
      <c r="I492" t="n">
        <v>19.5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46252</v>
      </c>
      <c r="F493" t="inlineStr">
        <is>
          <t>GÄVLEBORGS LÄN</t>
        </is>
      </c>
      <c r="G493" t="inlineStr">
        <is>
          <t>SANDVIKEN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46252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46252</v>
      </c>
      <c r="F495" t="inlineStr">
        <is>
          <t>GÄVLEBORGS LÄN</t>
        </is>
      </c>
      <c r="G495" t="inlineStr">
        <is>
          <t>SANDVIKEN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10107-2026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46074</v>
      </c>
      <c r="E496" s="1" t="n">
        <v>46252</v>
      </c>
      <c r="F496" t="inlineStr">
        <is>
          <t>GÄVLEBORGS LÄN</t>
        </is>
      </c>
      <c r="G496" t="inlineStr">
        <is>
          <t>SANDVIKEN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46252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46252</v>
      </c>
      <c r="F498" t="inlineStr">
        <is>
          <t>GÄVLEBORGS LÄN</t>
        </is>
      </c>
      <c r="G498" t="inlineStr">
        <is>
          <t>SANDVIKEN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44988</v>
      </c>
      <c r="E499" s="1" t="n">
        <v>46252</v>
      </c>
      <c r="F499" t="inlineStr">
        <is>
          <t>GÄVLEBORGS LÄN</t>
        </is>
      </c>
      <c r="G499" t="inlineStr">
        <is>
          <t>SANDVIKEN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46252</v>
      </c>
      <c r="F500" t="inlineStr">
        <is>
          <t>GÄVLEBORGS LÄN</t>
        </is>
      </c>
      <c r="G500" t="inlineStr">
        <is>
          <t>SANDVIKEN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10808-2026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46078</v>
      </c>
      <c r="E501" s="1" t="n">
        <v>46252</v>
      </c>
      <c r="F501" t="inlineStr">
        <is>
          <t>GÄVLEBORGS LÄN</t>
        </is>
      </c>
      <c r="G501" t="inlineStr">
        <is>
          <t>SANDVIKEN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46252</v>
      </c>
      <c r="F502" t="inlineStr">
        <is>
          <t>GÄVLEBORGS LÄN</t>
        </is>
      </c>
      <c r="G502" t="inlineStr">
        <is>
          <t>SANDVIKEN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46080</v>
      </c>
      <c r="E503" s="1" t="n">
        <v>46252</v>
      </c>
      <c r="F503" t="inlineStr">
        <is>
          <t>GÄVLEBORGS LÄN</t>
        </is>
      </c>
      <c r="G503" t="inlineStr">
        <is>
          <t>SANDVIKEN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46252</v>
      </c>
      <c r="F504" t="inlineStr">
        <is>
          <t>GÄVLEBORGS LÄN</t>
        </is>
      </c>
      <c r="G504" t="inlineStr">
        <is>
          <t>SANDVIKEN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52932-2022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44875</v>
      </c>
      <c r="E505" s="1" t="n">
        <v>46252</v>
      </c>
      <c r="F505" t="inlineStr">
        <is>
          <t>GÄVLEBORGS LÄN</t>
        </is>
      </c>
      <c r="G505" t="inlineStr">
        <is>
          <t>SANDVIKEN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46252</v>
      </c>
      <c r="F506" t="inlineStr">
        <is>
          <t>GÄVLEBORGS LÄN</t>
        </is>
      </c>
      <c r="G506" t="inlineStr">
        <is>
          <t>SANDVIKEN</t>
        </is>
      </c>
      <c r="I506" t="n">
        <v>14.5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46252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46252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46252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46037</v>
      </c>
      <c r="E510" s="1" t="n">
        <v>46252</v>
      </c>
      <c r="F510" t="inlineStr">
        <is>
          <t>GÄVLEBORGS LÄN</t>
        </is>
      </c>
      <c r="G510" t="inlineStr">
        <is>
          <t>SANDVIKEN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46084</v>
      </c>
      <c r="E511" s="1" t="n">
        <v>46252</v>
      </c>
      <c r="F511" t="inlineStr">
        <is>
          <t>GÄVLEBORGS LÄN</t>
        </is>
      </c>
      <c r="G511" t="inlineStr">
        <is>
          <t>SANDVIKEN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46252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46252</v>
      </c>
      <c r="F513" t="inlineStr">
        <is>
          <t>GÄVLEBORGS LÄN</t>
        </is>
      </c>
      <c r="G513" t="inlineStr">
        <is>
          <t>SANDVIKEN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46252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46252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46085</v>
      </c>
      <c r="E516" s="1" t="n">
        <v>46252</v>
      </c>
      <c r="F516" t="inlineStr">
        <is>
          <t>GÄVLEBORGS LÄN</t>
        </is>
      </c>
      <c r="G516" t="inlineStr">
        <is>
          <t>SANDVIKEN</t>
        </is>
      </c>
      <c r="H516" t="inlineStr">
        <is>
          <t>Naturvårdsverket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46086</v>
      </c>
      <c r="E517" s="1" t="n">
        <v>46252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11800-2026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46085</v>
      </c>
      <c r="E518" s="1" t="n">
        <v>46252</v>
      </c>
      <c r="F518" t="inlineStr">
        <is>
          <t>GÄVLEBORGS LÄN</t>
        </is>
      </c>
      <c r="G518" t="inlineStr">
        <is>
          <t>SANDVIKEN</t>
        </is>
      </c>
      <c r="H518" t="inlineStr">
        <is>
          <t>Naturvårdsverket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46252</v>
      </c>
      <c r="F519" t="inlineStr">
        <is>
          <t>GÄVLEBORGS LÄN</t>
        </is>
      </c>
      <c r="G519" t="inlineStr">
        <is>
          <t>SANDVIKEN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12089-2026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46086</v>
      </c>
      <c r="E520" s="1" t="n">
        <v>46252</v>
      </c>
      <c r="F520" t="inlineStr">
        <is>
          <t>GÄVLEBORGS LÄN</t>
        </is>
      </c>
      <c r="G520" t="inlineStr">
        <is>
          <t>SANDVIKEN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46252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12099-2026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46252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46252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46086</v>
      </c>
      <c r="E524" s="1" t="n">
        <v>46252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46086</v>
      </c>
      <c r="E525" s="1" t="n">
        <v>46252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46087</v>
      </c>
      <c r="E526" s="1" t="n">
        <v>46252</v>
      </c>
      <c r="F526" t="inlineStr">
        <is>
          <t>GÄVLEBORGS LÄN</t>
        </is>
      </c>
      <c r="G526" t="inlineStr">
        <is>
          <t>SANDVIKEN</t>
        </is>
      </c>
      <c r="I526" t="n">
        <v>9.4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46252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46252</v>
      </c>
      <c r="F528" t="inlineStr">
        <is>
          <t>GÄVLEBORGS LÄN</t>
        </is>
      </c>
      <c r="G528" t="inlineStr">
        <is>
          <t>SANDVIKEN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46087</v>
      </c>
      <c r="E529" s="1" t="n">
        <v>46252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46087</v>
      </c>
      <c r="E530" s="1" t="n">
        <v>46252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27.2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46252</v>
      </c>
      <c r="F531" t="inlineStr">
        <is>
          <t>GÄVLEBORGS LÄN</t>
        </is>
      </c>
      <c r="G531" t="inlineStr">
        <is>
          <t>SANDVIKEN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46252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44796</v>
      </c>
      <c r="E533" s="1" t="n">
        <v>46252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46252</v>
      </c>
      <c r="F534" t="inlineStr">
        <is>
          <t>GÄVLEBORGS LÄN</t>
        </is>
      </c>
      <c r="G534" t="inlineStr">
        <is>
          <t>SANDVIKEN</t>
        </is>
      </c>
      <c r="H534" t="inlineStr">
        <is>
          <t>Naturvårdsverket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46092</v>
      </c>
      <c r="E535" s="1" t="n">
        <v>46252</v>
      </c>
      <c r="F535" t="inlineStr">
        <is>
          <t>GÄVLEBORGS LÄN</t>
        </is>
      </c>
      <c r="G535" t="inlineStr">
        <is>
          <t>SANDVIKEN</t>
        </is>
      </c>
      <c r="H535" t="inlineStr">
        <is>
          <t>Naturvårdsverket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46091</v>
      </c>
      <c r="E536" s="1" t="n">
        <v>46252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46091</v>
      </c>
      <c r="E537" s="1" t="n">
        <v>46252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12847-2026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46092</v>
      </c>
      <c r="E538" s="1" t="n">
        <v>46252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46252</v>
      </c>
      <c r="F539" t="inlineStr">
        <is>
          <t>GÄVLEBORGS LÄN</t>
        </is>
      </c>
      <c r="G539" t="inlineStr">
        <is>
          <t>SANDVIKEN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46252</v>
      </c>
      <c r="F540" t="inlineStr">
        <is>
          <t>GÄVLEBORGS LÄN</t>
        </is>
      </c>
      <c r="G540" t="inlineStr">
        <is>
          <t>SANDVIKEN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46252</v>
      </c>
      <c r="F541" t="inlineStr">
        <is>
          <t>GÄVLEBORGS LÄN</t>
        </is>
      </c>
      <c r="G541" t="inlineStr">
        <is>
          <t>SANDVIKEN</t>
        </is>
      </c>
      <c r="H541" t="inlineStr">
        <is>
          <t>Sveaskog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46252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46252</v>
      </c>
      <c r="F543" t="inlineStr">
        <is>
          <t>GÄVLEBORGS LÄN</t>
        </is>
      </c>
      <c r="G543" t="inlineStr">
        <is>
          <t>SANDVIKEN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46093</v>
      </c>
      <c r="E544" s="1" t="n">
        <v>46252</v>
      </c>
      <c r="F544" t="inlineStr">
        <is>
          <t>GÄVLEBORGS LÄN</t>
        </is>
      </c>
      <c r="G544" t="inlineStr">
        <is>
          <t>SANDVIKEN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46252</v>
      </c>
      <c r="F545" t="inlineStr">
        <is>
          <t>GÄVLEBORGS LÄN</t>
        </is>
      </c>
      <c r="G545" t="inlineStr">
        <is>
          <t>SANDVIKEN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46093</v>
      </c>
      <c r="E546" s="1" t="n">
        <v>46252</v>
      </c>
      <c r="F546" t="inlineStr">
        <is>
          <t>GÄVLEBORGS LÄN</t>
        </is>
      </c>
      <c r="G546" t="inlineStr">
        <is>
          <t>SANDVIKEN</t>
        </is>
      </c>
      <c r="I546" t="n">
        <v>22.5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46252</v>
      </c>
      <c r="F547" t="inlineStr">
        <is>
          <t>GÄVLEBORGS LÄN</t>
        </is>
      </c>
      <c r="G547" t="inlineStr">
        <is>
          <t>SANDVIKEN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46252</v>
      </c>
      <c r="F548" t="inlineStr">
        <is>
          <t>GÄVLEBORGS LÄN</t>
        </is>
      </c>
      <c r="G548" t="inlineStr">
        <is>
          <t>SANDVIKEN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45070</v>
      </c>
      <c r="E549" s="1" t="n">
        <v>46252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46252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13727-2026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46097</v>
      </c>
      <c r="E551" s="1" t="n">
        <v>46252</v>
      </c>
      <c r="F551" t="inlineStr">
        <is>
          <t>GÄVLEBORGS LÄN</t>
        </is>
      </c>
      <c r="G551" t="inlineStr">
        <is>
          <t>SANDVIKEN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46095</v>
      </c>
      <c r="E552" s="1" t="n">
        <v>46252</v>
      </c>
      <c r="F552" t="inlineStr">
        <is>
          <t>GÄVLEBORGS LÄN</t>
        </is>
      </c>
      <c r="G552" t="inlineStr">
        <is>
          <t>SANDVIKEN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46095</v>
      </c>
      <c r="E553" s="1" t="n">
        <v>46252</v>
      </c>
      <c r="F553" t="inlineStr">
        <is>
          <t>GÄVLEBORGS LÄN</t>
        </is>
      </c>
      <c r="G553" t="inlineStr">
        <is>
          <t>SANDVIKEN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46095</v>
      </c>
      <c r="E554" s="1" t="n">
        <v>46252</v>
      </c>
      <c r="F554" t="inlineStr">
        <is>
          <t>GÄVLEBORGS LÄN</t>
        </is>
      </c>
      <c r="G554" t="inlineStr">
        <is>
          <t>SANDVIKEN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46095</v>
      </c>
      <c r="E555" s="1" t="n">
        <v>46252</v>
      </c>
      <c r="F555" t="inlineStr">
        <is>
          <t>GÄVLEBORGS LÄN</t>
        </is>
      </c>
      <c r="G555" t="inlineStr">
        <is>
          <t>SANDVIKEN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13580-2026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46095</v>
      </c>
      <c r="E556" s="1" t="n">
        <v>46252</v>
      </c>
      <c r="F556" t="inlineStr">
        <is>
          <t>GÄVLEBORGS LÄN</t>
        </is>
      </c>
      <c r="G556" t="inlineStr">
        <is>
          <t>SANDVIKEN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46095</v>
      </c>
      <c r="E557" s="1" t="n">
        <v>46252</v>
      </c>
      <c r="F557" t="inlineStr">
        <is>
          <t>GÄVLEBORGS LÄN</t>
        </is>
      </c>
      <c r="G557" t="inlineStr">
        <is>
          <t>SANDVIKEN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46252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46252</v>
      </c>
      <c r="F559" t="inlineStr">
        <is>
          <t>GÄVLEBORGS LÄN</t>
        </is>
      </c>
      <c r="G559" t="inlineStr">
        <is>
          <t>SANDVIKEN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46252</v>
      </c>
      <c r="F560" t="inlineStr">
        <is>
          <t>GÄVLEBORGS LÄN</t>
        </is>
      </c>
      <c r="G560" t="inlineStr">
        <is>
          <t>SANDVIKEN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46095</v>
      </c>
      <c r="E561" s="1" t="n">
        <v>46252</v>
      </c>
      <c r="F561" t="inlineStr">
        <is>
          <t>GÄVLEBORGS LÄN</t>
        </is>
      </c>
      <c r="G561" t="inlineStr">
        <is>
          <t>SANDVIKEN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46252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44956</v>
      </c>
      <c r="E563" s="1" t="n">
        <v>46252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14257-2026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46252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46252</v>
      </c>
      <c r="F565" t="inlineStr">
        <is>
          <t>GÄVLEBORGS LÄN</t>
        </is>
      </c>
      <c r="G565" t="inlineStr">
        <is>
          <t>SANDVIKEN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46100</v>
      </c>
      <c r="E566" s="1" t="n">
        <v>46252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46252</v>
      </c>
      <c r="F567" t="inlineStr">
        <is>
          <t>GÄVLEBORGS LÄN</t>
        </is>
      </c>
      <c r="G567" t="inlineStr">
        <is>
          <t>SANDVIKEN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46252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45282</v>
      </c>
      <c r="E569" s="1" t="n">
        <v>46252</v>
      </c>
      <c r="F569" t="inlineStr">
        <is>
          <t>GÄVLEBORGS LÄN</t>
        </is>
      </c>
      <c r="G569" t="inlineStr">
        <is>
          <t>SANDVIKEN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46252</v>
      </c>
      <c r="F570" t="inlineStr">
        <is>
          <t>GÄVLEBORGS LÄN</t>
        </is>
      </c>
      <c r="G570" t="inlineStr">
        <is>
          <t>SANDVIKEN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46101</v>
      </c>
      <c r="E571" s="1" t="n">
        <v>46252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46252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46252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46252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46252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46252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46252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14649-2026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46252</v>
      </c>
      <c r="F578" t="inlineStr">
        <is>
          <t>GÄVLEBORGS LÄN</t>
        </is>
      </c>
      <c r="G578" t="inlineStr">
        <is>
          <t>SANDVIKEN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46252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46252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44901</v>
      </c>
      <c r="E581" s="1" t="n">
        <v>46252</v>
      </c>
      <c r="F581" t="inlineStr">
        <is>
          <t>GÄVLEBORGS LÄN</t>
        </is>
      </c>
      <c r="G581" t="inlineStr">
        <is>
          <t>SANDVIKEN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15131-2026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46105</v>
      </c>
      <c r="E582" s="1" t="n">
        <v>46252</v>
      </c>
      <c r="F582" t="inlineStr">
        <is>
          <t>GÄVLEBORGS LÄN</t>
        </is>
      </c>
      <c r="G582" t="inlineStr">
        <is>
          <t>SANDVIKEN</t>
        </is>
      </c>
      <c r="H582" t="inlineStr">
        <is>
          <t>Sveaskog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46034</v>
      </c>
      <c r="E583" s="1" t="n">
        <v>46252</v>
      </c>
      <c r="F583" t="inlineStr">
        <is>
          <t>GÄVLEBORGS LÄN</t>
        </is>
      </c>
      <c r="G583" t="inlineStr">
        <is>
          <t>SANDVIKEN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46252</v>
      </c>
      <c r="F584" t="inlineStr">
        <is>
          <t>GÄVLEBORGS LÄN</t>
        </is>
      </c>
      <c r="G584" t="inlineStr">
        <is>
          <t>SANDVIKEN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27743-2026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46191</v>
      </c>
      <c r="E585" s="1" t="n">
        <v>46252</v>
      </c>
      <c r="F585" t="inlineStr">
        <is>
          <t>GÄVLEBORGS LÄN</t>
        </is>
      </c>
      <c r="G585" t="inlineStr">
        <is>
          <t>SANDVIKEN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46252</v>
      </c>
      <c r="F586" t="inlineStr">
        <is>
          <t>GÄVLEBORGS LÄN</t>
        </is>
      </c>
      <c r="G586" t="inlineStr">
        <is>
          <t>SANDVIKEN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58983-2023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45252</v>
      </c>
      <c r="E587" s="1" t="n">
        <v>46252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46252</v>
      </c>
      <c r="F588" t="inlineStr">
        <is>
          <t>GÄVLEBORGS LÄN</t>
        </is>
      </c>
      <c r="G588" t="inlineStr">
        <is>
          <t>SANDVIKEN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46252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46252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46252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46252</v>
      </c>
      <c r="F592" t="inlineStr">
        <is>
          <t>GÄVLEBORGS LÄN</t>
        </is>
      </c>
      <c r="G592" t="inlineStr">
        <is>
          <t>SANDVIKEN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15861-2026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46107</v>
      </c>
      <c r="E593" s="1" t="n">
        <v>46252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46252</v>
      </c>
      <c r="F594" t="inlineStr">
        <is>
          <t>GÄVLEBORGS LÄN</t>
        </is>
      </c>
      <c r="G594" t="inlineStr">
        <is>
          <t>SANDVIKEN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46252</v>
      </c>
      <c r="F595" t="inlineStr">
        <is>
          <t>GÄVLEBORGS LÄN</t>
        </is>
      </c>
      <c r="G595" t="inlineStr">
        <is>
          <t>SANDVIKEN</t>
        </is>
      </c>
      <c r="H595" t="inlineStr">
        <is>
          <t>Kommuner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32158-2026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46236</v>
      </c>
      <c r="E596" s="1" t="n">
        <v>46252</v>
      </c>
      <c r="F596" t="inlineStr">
        <is>
          <t>GÄVLEBORGS LÄN</t>
        </is>
      </c>
      <c r="G596" t="inlineStr">
        <is>
          <t>SANDVIKEN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16242-2026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46252</v>
      </c>
      <c r="F597" t="inlineStr">
        <is>
          <t>GÄVLEBORGS LÄN</t>
        </is>
      </c>
      <c r="G597" t="inlineStr">
        <is>
          <t>SANDVIKEN</t>
        </is>
      </c>
      <c r="H597" t="inlineStr">
        <is>
          <t>Kommuner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16270-2026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46252</v>
      </c>
      <c r="F598" t="inlineStr">
        <is>
          <t>GÄVLEBORGS LÄN</t>
        </is>
      </c>
      <c r="G598" t="inlineStr">
        <is>
          <t>SANDVIKEN</t>
        </is>
      </c>
      <c r="H598" t="inlineStr">
        <is>
          <t>Kommuner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16328-2026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46252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46049</v>
      </c>
      <c r="E600" s="1" t="n">
        <v>46252</v>
      </c>
      <c r="F600" t="inlineStr">
        <is>
          <t>GÄVLEBORGS LÄN</t>
        </is>
      </c>
      <c r="G600" t="inlineStr">
        <is>
          <t>SANDVIKEN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46252</v>
      </c>
      <c r="F601" t="inlineStr">
        <is>
          <t>GÄVLEBORGS LÄN</t>
        </is>
      </c>
      <c r="G601" t="inlineStr">
        <is>
          <t>SANDVIKEN</t>
        </is>
      </c>
      <c r="H601" t="inlineStr">
        <is>
          <t>Bergvik skog öst AB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46252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45668</v>
      </c>
      <c r="E603" s="1" t="n">
        <v>46252</v>
      </c>
      <c r="F603" t="inlineStr">
        <is>
          <t>GÄVLEBORGS LÄN</t>
        </is>
      </c>
      <c r="G603" t="inlineStr">
        <is>
          <t>SANDVIKEN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16958-2026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46252</v>
      </c>
      <c r="F604" t="inlineStr">
        <is>
          <t>GÄVLEBORGS LÄN</t>
        </is>
      </c>
      <c r="G604" t="inlineStr">
        <is>
          <t>SANDVIKEN</t>
        </is>
      </c>
      <c r="I604" t="n">
        <v>10.3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46115</v>
      </c>
      <c r="E605" s="1" t="n">
        <v>46252</v>
      </c>
      <c r="F605" t="inlineStr">
        <is>
          <t>GÄVLEBORGS LÄN</t>
        </is>
      </c>
      <c r="G605" t="inlineStr">
        <is>
          <t>SANDVIKEN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17182-2026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46116</v>
      </c>
      <c r="E606" s="1" t="n">
        <v>46252</v>
      </c>
      <c r="F606" t="inlineStr">
        <is>
          <t>GÄVLEBORGS LÄN</t>
        </is>
      </c>
      <c r="G606" t="inlineStr">
        <is>
          <t>SANDVIKEN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46115</v>
      </c>
      <c r="E607" s="1" t="n">
        <v>46252</v>
      </c>
      <c r="F607" t="inlineStr">
        <is>
          <t>GÄVLEBORGS LÄN</t>
        </is>
      </c>
      <c r="G607" t="inlineStr">
        <is>
          <t>SANDVIKEN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17175-2026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46115</v>
      </c>
      <c r="E608" s="1" t="n">
        <v>46252</v>
      </c>
      <c r="F608" t="inlineStr">
        <is>
          <t>GÄVLEBORGS LÄN</t>
        </is>
      </c>
      <c r="G608" t="inlineStr">
        <is>
          <t>SANDVIKEN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46116</v>
      </c>
      <c r="E609" s="1" t="n">
        <v>46252</v>
      </c>
      <c r="F609" t="inlineStr">
        <is>
          <t>GÄVLEBORGS LÄN</t>
        </is>
      </c>
      <c r="G609" t="inlineStr">
        <is>
          <t>SANDVIKEN</t>
        </is>
      </c>
      <c r="I609" t="n">
        <v>8.9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60908-2022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44914</v>
      </c>
      <c r="E610" s="1" t="n">
        <v>46252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46115</v>
      </c>
      <c r="E611" s="1" t="n">
        <v>46252</v>
      </c>
      <c r="F611" t="inlineStr">
        <is>
          <t>GÄVLEBORGS LÄN</t>
        </is>
      </c>
      <c r="G611" t="inlineStr">
        <is>
          <t>SANDVIKEN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17183-2026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46116</v>
      </c>
      <c r="E612" s="1" t="n">
        <v>46252</v>
      </c>
      <c r="F612" t="inlineStr">
        <is>
          <t>GÄVLEBORGS LÄN</t>
        </is>
      </c>
      <c r="G612" t="inlineStr">
        <is>
          <t>SANDVIKEN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17166-2026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46115</v>
      </c>
      <c r="E613" s="1" t="n">
        <v>46252</v>
      </c>
      <c r="F613" t="inlineStr">
        <is>
          <t>GÄVLEBORGS LÄN</t>
        </is>
      </c>
      <c r="G613" t="inlineStr">
        <is>
          <t>SANDVIKEN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46115</v>
      </c>
      <c r="E614" s="1" t="n">
        <v>46252</v>
      </c>
      <c r="F614" t="inlineStr">
        <is>
          <t>GÄVLEBORGS LÄN</t>
        </is>
      </c>
      <c r="G614" t="inlineStr">
        <is>
          <t>SANDVIKEN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46252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17363-2026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46252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46252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17361-2026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46252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17366-2026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46119</v>
      </c>
      <c r="E619" s="1" t="n">
        <v>46252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46252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46252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59841-2023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45257</v>
      </c>
      <c r="E622" s="1" t="n">
        <v>46252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28369-2026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46252</v>
      </c>
      <c r="F623" t="inlineStr">
        <is>
          <t>GÄVLEBORGS LÄN</t>
        </is>
      </c>
      <c r="G623" t="inlineStr">
        <is>
          <t>SANDVIKEN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17626-2026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46121</v>
      </c>
      <c r="E624" s="1" t="n">
        <v>46252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17596-2026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46121</v>
      </c>
      <c r="E625" s="1" t="n">
        <v>46252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23539-2026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46163</v>
      </c>
      <c r="E626" s="1" t="n">
        <v>46252</v>
      </c>
      <c r="F626" t="inlineStr">
        <is>
          <t>GÄVLEBORGS LÄN</t>
        </is>
      </c>
      <c r="G626" t="inlineStr">
        <is>
          <t>SANDVIKEN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46252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26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46252</v>
      </c>
      <c r="F628" t="inlineStr">
        <is>
          <t>GÄVLEBORGS LÄN</t>
        </is>
      </c>
      <c r="G628" t="inlineStr">
        <is>
          <t>SANDVIKEN</t>
        </is>
      </c>
      <c r="H628" t="inlineStr">
        <is>
          <t>Sveaskog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46252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46252</v>
      </c>
      <c r="F630" t="inlineStr">
        <is>
          <t>GÄVLEBORGS LÄN</t>
        </is>
      </c>
      <c r="G630" t="inlineStr">
        <is>
          <t>SANDVIKEN</t>
        </is>
      </c>
      <c r="H630" t="inlineStr">
        <is>
          <t>Sveaskog</t>
        </is>
      </c>
      <c r="I630" t="n">
        <v>11.9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45688</v>
      </c>
      <c r="E631" s="1" t="n">
        <v>46252</v>
      </c>
      <c r="F631" t="inlineStr">
        <is>
          <t>GÄVLEBORGS LÄN</t>
        </is>
      </c>
      <c r="G631" t="inlineStr">
        <is>
          <t>SANDVIKEN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46126</v>
      </c>
      <c r="E632" s="1" t="n">
        <v>46252</v>
      </c>
      <c r="F632" t="inlineStr">
        <is>
          <t>GÄVLEBORGS LÄN</t>
        </is>
      </c>
      <c r="G632" t="inlineStr">
        <is>
          <t>SANDVIKEN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18224-2026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46252</v>
      </c>
      <c r="F633" t="inlineStr">
        <is>
          <t>GÄVLEBORGS LÄN</t>
        </is>
      </c>
      <c r="G633" t="inlineStr">
        <is>
          <t>SANDVIKEN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46126</v>
      </c>
      <c r="E634" s="1" t="n">
        <v>46252</v>
      </c>
      <c r="F634" t="inlineStr">
        <is>
          <t>GÄVLEBORGS LÄN</t>
        </is>
      </c>
      <c r="G634" t="inlineStr">
        <is>
          <t>SANDVIKEN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45094</v>
      </c>
      <c r="E635" s="1" t="n">
        <v>46252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46177-2022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44847</v>
      </c>
      <c r="E636" s="1" t="n">
        <v>46252</v>
      </c>
      <c r="F636" t="inlineStr">
        <is>
          <t>GÄVLEBORGS LÄN</t>
        </is>
      </c>
      <c r="G636" t="inlineStr">
        <is>
          <t>SANDVIKEN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18219-2026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46126</v>
      </c>
      <c r="E637" s="1" t="n">
        <v>46252</v>
      </c>
      <c r="F637" t="inlineStr">
        <is>
          <t>GÄVLEBORGS LÄN</t>
        </is>
      </c>
      <c r="G637" t="inlineStr">
        <is>
          <t>SANDVIKEN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19346-2023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45049</v>
      </c>
      <c r="E638" s="1" t="n">
        <v>46252</v>
      </c>
      <c r="F638" t="inlineStr">
        <is>
          <t>GÄVLEBORGS LÄN</t>
        </is>
      </c>
      <c r="G638" t="inlineStr">
        <is>
          <t>SANDVIKEN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61363-2023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45264</v>
      </c>
      <c r="E639" s="1" t="n">
        <v>46252</v>
      </c>
      <c r="F639" t="inlineStr">
        <is>
          <t>GÄVLEBORGS LÄN</t>
        </is>
      </c>
      <c r="G639" t="inlineStr">
        <is>
          <t>SANDVIKEN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18988-2026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46129</v>
      </c>
      <c r="E640" s="1" t="n">
        <v>46252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46129</v>
      </c>
      <c r="E641" s="1" t="n">
        <v>46252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46252</v>
      </c>
      <c r="F642" t="inlineStr">
        <is>
          <t>GÄVLEBORGS LÄN</t>
        </is>
      </c>
      <c r="G642" t="inlineStr">
        <is>
          <t>SANDVIKEN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46252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18656-2026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46252</v>
      </c>
      <c r="F644" t="inlineStr">
        <is>
          <t>GÄVLEBORGS LÄN</t>
        </is>
      </c>
      <c r="G644" t="inlineStr">
        <is>
          <t>SANDVIKEN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18991-2026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46129</v>
      </c>
      <c r="E645" s="1" t="n">
        <v>46252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14092-2026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46252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18990-2026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46129</v>
      </c>
      <c r="E647" s="1" t="n">
        <v>46252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18987-2026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46129</v>
      </c>
      <c r="E648" s="1" t="n">
        <v>46252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46482-2023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45197</v>
      </c>
      <c r="E649" s="1" t="n">
        <v>46252</v>
      </c>
      <c r="F649" t="inlineStr">
        <is>
          <t>GÄVLEBORGS LÄN</t>
        </is>
      </c>
      <c r="G649" t="inlineStr">
        <is>
          <t>SANDVIKEN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18749-2026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46252</v>
      </c>
      <c r="F650" t="inlineStr">
        <is>
          <t>GÄVLEBORGS LÄN</t>
        </is>
      </c>
      <c r="G650" t="inlineStr">
        <is>
          <t>SANDVIKEN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46128</v>
      </c>
      <c r="E651" s="1" t="n">
        <v>46252</v>
      </c>
      <c r="F651" t="inlineStr">
        <is>
          <t>GÄVLEBORGS LÄN</t>
        </is>
      </c>
      <c r="G651" t="inlineStr">
        <is>
          <t>SANDVIKEN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15855-2026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46252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46252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46252</v>
      </c>
      <c r="F654" t="inlineStr">
        <is>
          <t>GÄVLEBORGS LÄN</t>
        </is>
      </c>
      <c r="G654" t="inlineStr">
        <is>
          <t>SANDVIKEN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46130</v>
      </c>
      <c r="E655" s="1" t="n">
        <v>46252</v>
      </c>
      <c r="F655" t="inlineStr">
        <is>
          <t>GÄVLEBORGS LÄN</t>
        </is>
      </c>
      <c r="G655" t="inlineStr">
        <is>
          <t>SANDVIKEN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19083-2026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46132</v>
      </c>
      <c r="E656" s="1" t="n">
        <v>46252</v>
      </c>
      <c r="F656" t="inlineStr">
        <is>
          <t>GÄVLEBORGS LÄN</t>
        </is>
      </c>
      <c r="G656" t="inlineStr">
        <is>
          <t>SANDVIKEN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12732-2026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46091</v>
      </c>
      <c r="E657" s="1" t="n">
        <v>46252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19467-2026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46132</v>
      </c>
      <c r="E658" s="1" t="n">
        <v>46252</v>
      </c>
      <c r="F658" t="inlineStr">
        <is>
          <t>GÄVLEBORGS LÄN</t>
        </is>
      </c>
      <c r="G658" t="inlineStr">
        <is>
          <t>SANDVIKEN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19273-2026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46252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10.1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46252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46091</v>
      </c>
      <c r="E661" s="1" t="n">
        <v>46252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46252</v>
      </c>
      <c r="F662" t="inlineStr">
        <is>
          <t>GÄVLEBORGS LÄN</t>
        </is>
      </c>
      <c r="G662" t="inlineStr">
        <is>
          <t>SANDVIKEN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46252</v>
      </c>
      <c r="F663" t="inlineStr">
        <is>
          <t>GÄVLEBORGS LÄN</t>
        </is>
      </c>
      <c r="G663" t="inlineStr">
        <is>
          <t>SANDVIKEN</t>
        </is>
      </c>
      <c r="H663" t="inlineStr">
        <is>
          <t>Sveaskog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19827-2026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46135</v>
      </c>
      <c r="E664" s="1" t="n">
        <v>46252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46086</v>
      </c>
      <c r="E665" s="1" t="n">
        <v>46252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45217</v>
      </c>
      <c r="E666" s="1" t="n">
        <v>46252</v>
      </c>
      <c r="F666" t="inlineStr">
        <is>
          <t>GÄVLEBORGS LÄN</t>
        </is>
      </c>
      <c r="G666" t="inlineStr">
        <is>
          <t>SANDVIKEN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46065</v>
      </c>
      <c r="E667" s="1" t="n">
        <v>46252</v>
      </c>
      <c r="F667" t="inlineStr">
        <is>
          <t>GÄVLEBORGS LÄN</t>
        </is>
      </c>
      <c r="G667" t="inlineStr">
        <is>
          <t>SANDVIKEN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44564</v>
      </c>
      <c r="E668" s="1" t="n">
        <v>46252</v>
      </c>
      <c r="F668" t="inlineStr">
        <is>
          <t>GÄVLEBORGS LÄN</t>
        </is>
      </c>
      <c r="G668" t="inlineStr">
        <is>
          <t>SANDVIKEN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12382-2026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46090</v>
      </c>
      <c r="E669" s="1" t="n">
        <v>46252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12776-2026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46091</v>
      </c>
      <c r="E670" s="1" t="n">
        <v>46252</v>
      </c>
      <c r="F670" t="inlineStr">
        <is>
          <t>GÄVLEBORGS LÄN</t>
        </is>
      </c>
      <c r="G670" t="inlineStr">
        <is>
          <t>SANDVIKEN</t>
        </is>
      </c>
      <c r="H670" t="inlineStr">
        <is>
          <t>Naturvårdsverket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36203-2025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45867</v>
      </c>
      <c r="E671" s="1" t="n">
        <v>46252</v>
      </c>
      <c r="F671" t="inlineStr">
        <is>
          <t>GÄVLEBORGS LÄN</t>
        </is>
      </c>
      <c r="G671" t="inlineStr">
        <is>
          <t>SANDVIKEN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45476</v>
      </c>
      <c r="E672" s="1" t="n">
        <v>46252</v>
      </c>
      <c r="F672" t="inlineStr">
        <is>
          <t>GÄVLEBORGS LÄN</t>
        </is>
      </c>
      <c r="G672" t="inlineStr">
        <is>
          <t>SANDVIKEN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46036</v>
      </c>
      <c r="E673" s="1" t="n">
        <v>46252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45303</v>
      </c>
      <c r="E674" s="1" t="n">
        <v>46252</v>
      </c>
      <c r="F674" t="inlineStr">
        <is>
          <t>GÄVLEBORGS LÄN</t>
        </is>
      </c>
      <c r="G674" t="inlineStr">
        <is>
          <t>SANDVIKEN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46252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46201</v>
      </c>
      <c r="E676" s="1" t="n">
        <v>46252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56734-2021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44481</v>
      </c>
      <c r="E677" s="1" t="n">
        <v>46252</v>
      </c>
      <c r="F677" t="inlineStr">
        <is>
          <t>GÄVLEBORGS LÄN</t>
        </is>
      </c>
      <c r="G677" t="inlineStr">
        <is>
          <t>SANDVIKEN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46252</v>
      </c>
      <c r="F678" t="inlineStr">
        <is>
          <t>GÄVLEBORGS LÄN</t>
        </is>
      </c>
      <c r="G678" t="inlineStr">
        <is>
          <t>SANDVIKEN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73331-2021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44551</v>
      </c>
      <c r="E679" s="1" t="n">
        <v>46252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49209-2024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46252</v>
      </c>
      <c r="F680" t="inlineStr">
        <is>
          <t>GÄVLEBORGS LÄN</t>
        </is>
      </c>
      <c r="G680" t="inlineStr">
        <is>
          <t>SANDVIKEN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42495-2025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46252</v>
      </c>
      <c r="F681" t="inlineStr">
        <is>
          <t>GÄVLEBORGS LÄN</t>
        </is>
      </c>
      <c r="G681" t="inlineStr">
        <is>
          <t>SANDVIKEN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41790-2024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45561</v>
      </c>
      <c r="E682" s="1" t="n">
        <v>46252</v>
      </c>
      <c r="F682" t="inlineStr">
        <is>
          <t>GÄVLEBORGS LÄN</t>
        </is>
      </c>
      <c r="G682" t="inlineStr">
        <is>
          <t>SANDVIKEN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21456-2023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45063</v>
      </c>
      <c r="E683" s="1" t="n">
        <v>46252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8379-2025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45709</v>
      </c>
      <c r="E684" s="1" t="n">
        <v>46252</v>
      </c>
      <c r="F684" t="inlineStr">
        <is>
          <t>GÄVLEBORGS LÄN</t>
        </is>
      </c>
      <c r="G684" t="inlineStr">
        <is>
          <t>SANDVIKEN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46035</v>
      </c>
      <c r="E685" s="1" t="n">
        <v>46252</v>
      </c>
      <c r="F685" t="inlineStr">
        <is>
          <t>GÄVLEBORGS LÄN</t>
        </is>
      </c>
      <c r="G685" t="inlineStr">
        <is>
          <t>SANDVIKEN</t>
        </is>
      </c>
      <c r="I685" t="n">
        <v>6.9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46030</v>
      </c>
      <c r="E686" s="1" t="n">
        <v>46252</v>
      </c>
      <c r="F686" t="inlineStr">
        <is>
          <t>GÄVLEBORGS LÄN</t>
        </is>
      </c>
      <c r="G686" t="inlineStr">
        <is>
          <t>SANDVIKEN</t>
        </is>
      </c>
      <c r="I686" t="n">
        <v>10.1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46080</v>
      </c>
      <c r="E687" s="1" t="n">
        <v>46252</v>
      </c>
      <c r="F687" t="inlineStr">
        <is>
          <t>GÄVLEBORGS LÄN</t>
        </is>
      </c>
      <c r="G687" t="inlineStr">
        <is>
          <t>SANDVIKEN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45748</v>
      </c>
      <c r="E688" s="1" t="n">
        <v>46252</v>
      </c>
      <c r="F688" t="inlineStr">
        <is>
          <t>GÄVLEBORGS LÄN</t>
        </is>
      </c>
      <c r="G688" t="inlineStr">
        <is>
          <t>SANDVIKEN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46252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19499-2026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46134</v>
      </c>
      <c r="E690" s="1" t="n">
        <v>46252</v>
      </c>
      <c r="F690" t="inlineStr">
        <is>
          <t>GÄVLEBORGS LÄN</t>
        </is>
      </c>
      <c r="G690" t="inlineStr">
        <is>
          <t>SANDVIKEN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46029</v>
      </c>
      <c r="E691" s="1" t="n">
        <v>46252</v>
      </c>
      <c r="F691" t="inlineStr">
        <is>
          <t>GÄVLEBORGS LÄN</t>
        </is>
      </c>
      <c r="G691" t="inlineStr">
        <is>
          <t>SANDVIKEN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55539-2023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45238</v>
      </c>
      <c r="E692" s="1" t="n">
        <v>46252</v>
      </c>
      <c r="F692" t="inlineStr">
        <is>
          <t>GÄVLEBORGS LÄN</t>
        </is>
      </c>
      <c r="G692" t="inlineStr">
        <is>
          <t>SANDVIKEN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7599-2026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46061</v>
      </c>
      <c r="E693" s="1" t="n">
        <v>46252</v>
      </c>
      <c r="F693" t="inlineStr">
        <is>
          <t>GÄVLEBORGS LÄN</t>
        </is>
      </c>
      <c r="G693" t="inlineStr">
        <is>
          <t>SANDVIKEN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58797-2024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46252</v>
      </c>
      <c r="F694" t="inlineStr">
        <is>
          <t>GÄVLEBORGS LÄN</t>
        </is>
      </c>
      <c r="G694" t="inlineStr">
        <is>
          <t>SANDVIKEN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46037</v>
      </c>
      <c r="E695" s="1" t="n">
        <v>46252</v>
      </c>
      <c r="F695" t="inlineStr">
        <is>
          <t>GÄVLEBORGS LÄN</t>
        </is>
      </c>
      <c r="G695" t="inlineStr">
        <is>
          <t>SANDVIKEN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24992-2023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46252</v>
      </c>
      <c r="F696" t="inlineStr">
        <is>
          <t>GÄVLEBORGS LÄN</t>
        </is>
      </c>
      <c r="G696" t="inlineStr">
        <is>
          <t>SANDVIKEN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46052</v>
      </c>
      <c r="E697" s="1" t="n">
        <v>46252</v>
      </c>
      <c r="F697" t="inlineStr">
        <is>
          <t>GÄVLEBORGS LÄN</t>
        </is>
      </c>
      <c r="G697" t="inlineStr">
        <is>
          <t>SANDVIKEN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46252</v>
      </c>
      <c r="F698" t="inlineStr">
        <is>
          <t>GÄVLEBORGS LÄN</t>
        </is>
      </c>
      <c r="G698" t="inlineStr">
        <is>
          <t>SANDVIKEN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42107-2024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46252</v>
      </c>
      <c r="F699" t="inlineStr">
        <is>
          <t>GÄVLEBORGS LÄN</t>
        </is>
      </c>
      <c r="G699" t="inlineStr">
        <is>
          <t>SANDVIKEN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46252</v>
      </c>
      <c r="F700" t="inlineStr">
        <is>
          <t>GÄVLEBORGS LÄN</t>
        </is>
      </c>
      <c r="G700" t="inlineStr">
        <is>
          <t>SANDVIKEN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32989-2026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46244</v>
      </c>
      <c r="E701" s="1" t="n">
        <v>46252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32998-2026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46252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19910-2026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46136</v>
      </c>
      <c r="E703" s="1" t="n">
        <v>46252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13258-2026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46093</v>
      </c>
      <c r="E704" s="1" t="n">
        <v>46252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6.6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8698-2024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45356</v>
      </c>
      <c r="E705" s="1" t="n">
        <v>46252</v>
      </c>
      <c r="F705" t="inlineStr">
        <is>
          <t>GÄVLEBORGS LÄN</t>
        </is>
      </c>
      <c r="G705" t="inlineStr">
        <is>
          <t>SANDVIKEN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46252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29726-2026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46252</v>
      </c>
      <c r="F707" t="inlineStr">
        <is>
          <t>GÄVLEBORGS LÄN</t>
        </is>
      </c>
      <c r="G707" t="inlineStr">
        <is>
          <t>SANDVIKEN</t>
        </is>
      </c>
      <c r="H707" t="inlineStr">
        <is>
          <t>Naturvårdsverket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4539-2026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46046</v>
      </c>
      <c r="E708" s="1" t="n">
        <v>46252</v>
      </c>
      <c r="F708" t="inlineStr">
        <is>
          <t>GÄVLEBORGS LÄN</t>
        </is>
      </c>
      <c r="G708" t="inlineStr">
        <is>
          <t>SANDVIKEN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40745-2024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45558</v>
      </c>
      <c r="E709" s="1" t="n">
        <v>46252</v>
      </c>
      <c r="F709" t="inlineStr">
        <is>
          <t>GÄVLEBORGS LÄN</t>
        </is>
      </c>
      <c r="G709" t="inlineStr">
        <is>
          <t>SANDVIKEN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46252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50900-2024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45602</v>
      </c>
      <c r="E711" s="1" t="n">
        <v>46252</v>
      </c>
      <c r="F711" t="inlineStr">
        <is>
          <t>GÄVLEBORGS LÄN</t>
        </is>
      </c>
      <c r="G711" t="inlineStr">
        <is>
          <t>SANDVIKEN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46252</v>
      </c>
      <c r="F712" t="inlineStr">
        <is>
          <t>GÄVLEBORGS LÄN</t>
        </is>
      </c>
      <c r="G712" t="inlineStr">
        <is>
          <t>SANDVIKEN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7056-2025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45701</v>
      </c>
      <c r="E713" s="1" t="n">
        <v>46252</v>
      </c>
      <c r="F713" t="inlineStr">
        <is>
          <t>GÄVLEBORGS LÄN</t>
        </is>
      </c>
      <c r="G713" t="inlineStr">
        <is>
          <t>SANDVIKEN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13194-2025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45735</v>
      </c>
      <c r="E714" s="1" t="n">
        <v>46252</v>
      </c>
      <c r="F714" t="inlineStr">
        <is>
          <t>GÄVLEBORGS LÄN</t>
        </is>
      </c>
      <c r="G714" t="inlineStr">
        <is>
          <t>SANDVIKEN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46252</v>
      </c>
      <c r="F715" t="inlineStr">
        <is>
          <t>GÄVLEBORGS LÄN</t>
        </is>
      </c>
      <c r="G715" t="inlineStr">
        <is>
          <t>SANDVIKEN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19904-2026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46252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9139-2026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46069</v>
      </c>
      <c r="E717" s="1" t="n">
        <v>46252</v>
      </c>
      <c r="F717" t="inlineStr">
        <is>
          <t>GÄVLEBORGS LÄN</t>
        </is>
      </c>
      <c r="G717" t="inlineStr">
        <is>
          <t>SANDVIKEN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46252</v>
      </c>
      <c r="F718" t="inlineStr">
        <is>
          <t>GÄVLEBORGS LÄN</t>
        </is>
      </c>
      <c r="G718" t="inlineStr">
        <is>
          <t>SANDVIKEN</t>
        </is>
      </c>
      <c r="I718" t="n">
        <v>7.1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44717-2025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45917</v>
      </c>
      <c r="E719" s="1" t="n">
        <v>46252</v>
      </c>
      <c r="F719" t="inlineStr">
        <is>
          <t>GÄVLEBORGS LÄN</t>
        </is>
      </c>
      <c r="G719" t="inlineStr">
        <is>
          <t>SANDVIKEN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47889-2022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44855</v>
      </c>
      <c r="E720" s="1" t="n">
        <v>46252</v>
      </c>
      <c r="F720" t="inlineStr">
        <is>
          <t>GÄVLEBORGS LÄN</t>
        </is>
      </c>
      <c r="G720" t="inlineStr">
        <is>
          <t>SANDVIKEN</t>
        </is>
      </c>
      <c r="H720" t="inlineStr">
        <is>
          <t>Sveaskog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29972-2022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44756</v>
      </c>
      <c r="E721" s="1" t="n">
        <v>46252</v>
      </c>
      <c r="F721" t="inlineStr">
        <is>
          <t>GÄVLEBORGS LÄN</t>
        </is>
      </c>
      <c r="G721" t="inlineStr">
        <is>
          <t>SANDVIKEN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16385-2023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45022</v>
      </c>
      <c r="E722" s="1" t="n">
        <v>46252</v>
      </c>
      <c r="F722" t="inlineStr">
        <is>
          <t>GÄVLEBORGS LÄN</t>
        </is>
      </c>
      <c r="G722" t="inlineStr">
        <is>
          <t>SANDVIKEN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46048</v>
      </c>
      <c r="E723" s="1" t="n">
        <v>46252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36656-2024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45537</v>
      </c>
      <c r="E724" s="1" t="n">
        <v>46252</v>
      </c>
      <c r="F724" t="inlineStr">
        <is>
          <t>GÄVLEBORGS LÄN</t>
        </is>
      </c>
      <c r="G724" t="inlineStr">
        <is>
          <t>SANDVIKEN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21178-2025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45779</v>
      </c>
      <c r="E725" s="1" t="n">
        <v>46252</v>
      </c>
      <c r="F725" t="inlineStr">
        <is>
          <t>GÄVLEBORGS LÄN</t>
        </is>
      </c>
      <c r="G725" t="inlineStr">
        <is>
          <t>SANDVIKEN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46252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46252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46252</v>
      </c>
      <c r="F728" t="inlineStr">
        <is>
          <t>GÄVLEBORGS LÄN</t>
        </is>
      </c>
      <c r="G728" t="inlineStr">
        <is>
          <t>SANDVIKEN</t>
        </is>
      </c>
      <c r="H728" t="inlineStr">
        <is>
          <t>Naturvårdsverket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46042</v>
      </c>
      <c r="E729" s="1" t="n">
        <v>46252</v>
      </c>
      <c r="F729" t="inlineStr">
        <is>
          <t>GÄVLEBORGS LÄN</t>
        </is>
      </c>
      <c r="G729" t="inlineStr">
        <is>
          <t>SANDVIKEN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11967-2025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45728</v>
      </c>
      <c r="E730" s="1" t="n">
        <v>46252</v>
      </c>
      <c r="F730" t="inlineStr">
        <is>
          <t>GÄVLEBORGS LÄN</t>
        </is>
      </c>
      <c r="G730" t="inlineStr">
        <is>
          <t>SANDVIKEN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46252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46252</v>
      </c>
      <c r="F732" t="inlineStr">
        <is>
          <t>GÄVLEBORGS LÄN</t>
        </is>
      </c>
      <c r="G732" t="inlineStr">
        <is>
          <t>SANDVIKEN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46252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46252</v>
      </c>
      <c r="F734" t="inlineStr">
        <is>
          <t>GÄVLEBORGS LÄN</t>
        </is>
      </c>
      <c r="G734" t="inlineStr">
        <is>
          <t>SANDVIKEN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46252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46246</v>
      </c>
      <c r="E736" s="1" t="n">
        <v>46252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25544-2024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45463</v>
      </c>
      <c r="E737" s="1" t="n">
        <v>46252</v>
      </c>
      <c r="F737" t="inlineStr">
        <is>
          <t>GÄVLEBORGS LÄN</t>
        </is>
      </c>
      <c r="G737" t="inlineStr">
        <is>
          <t>SANDVIKEN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37641-2024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45541</v>
      </c>
      <c r="E738" s="1" t="n">
        <v>46252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37643-2024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45541</v>
      </c>
      <c r="E739" s="1" t="n">
        <v>46252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9603-2026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46252</v>
      </c>
      <c r="F740" t="inlineStr">
        <is>
          <t>GÄVLEBORGS LÄN</t>
        </is>
      </c>
      <c r="G740" t="inlineStr">
        <is>
          <t>SANDVIKEN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46252</v>
      </c>
      <c r="F741" t="inlineStr">
        <is>
          <t>GÄVLEBORGS LÄN</t>
        </is>
      </c>
      <c r="G741" t="inlineStr">
        <is>
          <t>SANDVIKEN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8570-2026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46065</v>
      </c>
      <c r="E742" s="1" t="n">
        <v>46252</v>
      </c>
      <c r="F742" t="inlineStr">
        <is>
          <t>GÄVLEBORGS LÄN</t>
        </is>
      </c>
      <c r="G742" t="inlineStr">
        <is>
          <t>SANDVIKEN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46252</v>
      </c>
      <c r="F743" t="inlineStr">
        <is>
          <t>GÄVLEBORGS LÄN</t>
        </is>
      </c>
      <c r="G743" t="inlineStr">
        <is>
          <t>SANDVIKEN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7349-2026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46252</v>
      </c>
      <c r="F744" t="inlineStr">
        <is>
          <t>GÄVLEBORGS LÄN</t>
        </is>
      </c>
      <c r="G744" t="inlineStr">
        <is>
          <t>SANDVIKEN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46058</v>
      </c>
      <c r="E745" s="1" t="n">
        <v>46252</v>
      </c>
      <c r="F745" t="inlineStr">
        <is>
          <t>GÄVLEBORGS LÄN</t>
        </is>
      </c>
      <c r="G745" t="inlineStr">
        <is>
          <t>SANDVIKEN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46252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8604-2026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46065</v>
      </c>
      <c r="E747" s="1" t="n">
        <v>46252</v>
      </c>
      <c r="F747" t="inlineStr">
        <is>
          <t>GÄVLEBORGS LÄN</t>
        </is>
      </c>
      <c r="G747" t="inlineStr">
        <is>
          <t>SANDVIKEN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29613-2026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46252</v>
      </c>
      <c r="F748" t="inlineStr">
        <is>
          <t>GÄVLEBORGS LÄN</t>
        </is>
      </c>
      <c r="G748" t="inlineStr">
        <is>
          <t>SANDVIKEN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33383-2026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46247</v>
      </c>
      <c r="E749" s="1" t="n">
        <v>46252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46204</v>
      </c>
      <c r="E750" s="1" t="n">
        <v>46252</v>
      </c>
      <c r="F750" t="inlineStr">
        <is>
          <t>GÄVLEBORGS LÄN</t>
        </is>
      </c>
      <c r="G750" t="inlineStr">
        <is>
          <t>SANDVIKEN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46252</v>
      </c>
      <c r="F751" t="inlineStr">
        <is>
          <t>GÄVLEBORGS LÄN</t>
        </is>
      </c>
      <c r="G751" t="inlineStr">
        <is>
          <t>SANDVIKEN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6428-2026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46055</v>
      </c>
      <c r="E752" s="1" t="n">
        <v>46252</v>
      </c>
      <c r="F752" t="inlineStr">
        <is>
          <t>GÄVLEBORGS LÄN</t>
        </is>
      </c>
      <c r="G752" t="inlineStr">
        <is>
          <t>SANDVIKEN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46252</v>
      </c>
      <c r="F753" t="inlineStr">
        <is>
          <t>GÄVLEBORGS LÄN</t>
        </is>
      </c>
      <c r="G753" t="inlineStr">
        <is>
          <t>SANDVIKEN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7924-2026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46063</v>
      </c>
      <c r="E754" s="1" t="n">
        <v>46252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20636-2026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46141</v>
      </c>
      <c r="E755" s="1" t="n">
        <v>46252</v>
      </c>
      <c r="F755" t="inlineStr">
        <is>
          <t>GÄVLEBORGS LÄN</t>
        </is>
      </c>
      <c r="G755" t="inlineStr">
        <is>
          <t>SANDVIKEN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15340-2026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46105</v>
      </c>
      <c r="E756" s="1" t="n">
        <v>46252</v>
      </c>
      <c r="F756" t="inlineStr">
        <is>
          <t>GÄVLEBORGS LÄN</t>
        </is>
      </c>
      <c r="G756" t="inlineStr">
        <is>
          <t>SANDVIKEN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3899-2022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44587</v>
      </c>
      <c r="E757" s="1" t="n">
        <v>46252</v>
      </c>
      <c r="F757" t="inlineStr">
        <is>
          <t>GÄVLEBORGS LÄN</t>
        </is>
      </c>
      <c r="G757" t="inlineStr">
        <is>
          <t>SANDVIKEN</t>
        </is>
      </c>
      <c r="H757" t="inlineStr">
        <is>
          <t>Kyrkan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33873-2026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46251</v>
      </c>
      <c r="E758" s="1" t="n">
        <v>46252</v>
      </c>
      <c r="F758" t="inlineStr">
        <is>
          <t>GÄVLEBORGS LÄN</t>
        </is>
      </c>
      <c r="G758" t="inlineStr">
        <is>
          <t>SANDVIKEN</t>
        </is>
      </c>
      <c r="H758" t="inlineStr">
        <is>
          <t>Sveaskog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33877-2026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46251</v>
      </c>
      <c r="E759" s="1" t="n">
        <v>46252</v>
      </c>
      <c r="F759" t="inlineStr">
        <is>
          <t>GÄVLEBORGS LÄN</t>
        </is>
      </c>
      <c r="G759" t="inlineStr">
        <is>
          <t>SANDVIKEN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45327</v>
      </c>
      <c r="E760" s="1" t="n">
        <v>46252</v>
      </c>
      <c r="F760" t="inlineStr">
        <is>
          <t>GÄVLEBORGS LÄN</t>
        </is>
      </c>
      <c r="G760" t="inlineStr">
        <is>
          <t>SANDVIKEN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38319-2025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45883</v>
      </c>
      <c r="E761" s="1" t="n">
        <v>46252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46085</v>
      </c>
      <c r="E762" s="1" t="n">
        <v>46252</v>
      </c>
      <c r="F762" t="inlineStr">
        <is>
          <t>GÄVLEBORGS LÄN</t>
        </is>
      </c>
      <c r="G762" t="inlineStr">
        <is>
          <t>SANDVIKEN</t>
        </is>
      </c>
      <c r="I762" t="n">
        <v>8.199999999999999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46043</v>
      </c>
      <c r="E763" s="1" t="n">
        <v>46252</v>
      </c>
      <c r="F763" t="inlineStr">
        <is>
          <t>GÄVLEBORGS LÄN</t>
        </is>
      </c>
      <c r="G763" t="inlineStr">
        <is>
          <t>SANDVIKEN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46031</v>
      </c>
      <c r="E764" s="1" t="n">
        <v>46252</v>
      </c>
      <c r="F764" t="inlineStr">
        <is>
          <t>GÄVLEBORGS LÄN</t>
        </is>
      </c>
      <c r="G764" t="inlineStr">
        <is>
          <t>SANDVIKEN</t>
        </is>
      </c>
      <c r="I764" t="n">
        <v>11.2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12427-2026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46252</v>
      </c>
      <c r="F765" t="inlineStr">
        <is>
          <t>GÄVLEBORGS LÄN</t>
        </is>
      </c>
      <c r="G765" t="inlineStr">
        <is>
          <t>SANDVIKEN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46030</v>
      </c>
      <c r="E766" s="1" t="n">
        <v>46252</v>
      </c>
      <c r="F766" t="inlineStr">
        <is>
          <t>GÄVLEBORGS LÄN</t>
        </is>
      </c>
      <c r="G766" t="inlineStr">
        <is>
          <t>SANDVIKEN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46038</v>
      </c>
      <c r="E767" s="1" t="n">
        <v>46252</v>
      </c>
      <c r="F767" t="inlineStr">
        <is>
          <t>GÄVLEBORGS LÄN</t>
        </is>
      </c>
      <c r="G767" t="inlineStr">
        <is>
          <t>SANDVIKEN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19269-2025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46252</v>
      </c>
      <c r="F768" t="inlineStr">
        <is>
          <t>GÄVLEBORGS LÄN</t>
        </is>
      </c>
      <c r="G768" t="inlineStr">
        <is>
          <t>SANDVIKEN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46252</v>
      </c>
      <c r="F769" t="inlineStr">
        <is>
          <t>GÄVLEBORGS LÄN</t>
        </is>
      </c>
      <c r="G769" t="inlineStr">
        <is>
          <t>SANDVIKEN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20917-2026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46142</v>
      </c>
      <c r="E770" s="1" t="n">
        <v>46252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46072</v>
      </c>
      <c r="E771" s="1" t="n">
        <v>46252</v>
      </c>
      <c r="F771" t="inlineStr">
        <is>
          <t>GÄVLEBORGS LÄN</t>
        </is>
      </c>
      <c r="G771" t="inlineStr">
        <is>
          <t>SANDVIKEN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46065</v>
      </c>
      <c r="E772" s="1" t="n">
        <v>46252</v>
      </c>
      <c r="F772" t="inlineStr">
        <is>
          <t>GÄVLEBORGS LÄN</t>
        </is>
      </c>
      <c r="G772" t="inlineStr">
        <is>
          <t>SANDVIKEN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15671-2024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45404</v>
      </c>
      <c r="E773" s="1" t="n">
        <v>46252</v>
      </c>
      <c r="F773" t="inlineStr">
        <is>
          <t>GÄVLEBORGS LÄN</t>
        </is>
      </c>
      <c r="G773" t="inlineStr">
        <is>
          <t>SANDVIKEN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21377-2026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46147</v>
      </c>
      <c r="E774" s="1" t="n">
        <v>46252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46251</v>
      </c>
      <c r="E775" s="1" t="n">
        <v>46252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21288-2026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46147</v>
      </c>
      <c r="E776" s="1" t="n">
        <v>46252</v>
      </c>
      <c r="F776" t="inlineStr">
        <is>
          <t>GÄVLEBORGS LÄN</t>
        </is>
      </c>
      <c r="G776" t="inlineStr">
        <is>
          <t>SANDVIKEN</t>
        </is>
      </c>
      <c r="H776" t="inlineStr">
        <is>
          <t>Kommuner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48435-2024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45590</v>
      </c>
      <c r="E777" s="1" t="n">
        <v>46252</v>
      </c>
      <c r="F777" t="inlineStr">
        <is>
          <t>GÄVLEBORGS LÄN</t>
        </is>
      </c>
      <c r="G777" t="inlineStr">
        <is>
          <t>SANDVIKEN</t>
        </is>
      </c>
      <c r="I777" t="n">
        <v>6.7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46252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2131-2025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45672</v>
      </c>
      <c r="E779" s="1" t="n">
        <v>46252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17177-2026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46115</v>
      </c>
      <c r="E780" s="1" t="n">
        <v>46252</v>
      </c>
      <c r="F780" t="inlineStr">
        <is>
          <t>GÄVLEBORGS LÄN</t>
        </is>
      </c>
      <c r="G780" t="inlineStr">
        <is>
          <t>SANDVIKEN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21295-2026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46147</v>
      </c>
      <c r="E781" s="1" t="n">
        <v>46252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46147</v>
      </c>
      <c r="E782" s="1" t="n">
        <v>46252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46038</v>
      </c>
      <c r="E783" s="1" t="n">
        <v>46252</v>
      </c>
      <c r="F783" t="inlineStr">
        <is>
          <t>GÄVLEBORGS LÄN</t>
        </is>
      </c>
      <c r="G783" t="inlineStr">
        <is>
          <t>SANDVIKEN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49518-2023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45211</v>
      </c>
      <c r="E784" s="1" t="n">
        <v>46252</v>
      </c>
      <c r="F784" t="inlineStr">
        <is>
          <t>GÄVLEBORGS LÄN</t>
        </is>
      </c>
      <c r="G784" t="inlineStr">
        <is>
          <t>SANDVIKEN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44566</v>
      </c>
      <c r="E785" s="1" t="n">
        <v>46252</v>
      </c>
      <c r="F785" t="inlineStr">
        <is>
          <t>GÄVLEBORGS LÄN</t>
        </is>
      </c>
      <c r="G785" t="inlineStr">
        <is>
          <t>SANDVIKEN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45153</v>
      </c>
      <c r="E786" s="1" t="n">
        <v>46252</v>
      </c>
      <c r="F786" t="inlineStr">
        <is>
          <t>GÄVLEBORGS LÄN</t>
        </is>
      </c>
      <c r="G786" t="inlineStr">
        <is>
          <t>SANDVIKEN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46160</v>
      </c>
      <c r="E787" s="1" t="n">
        <v>46252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16258-2023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46252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väst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21576-2026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46148</v>
      </c>
      <c r="E789" s="1" t="n">
        <v>46252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21951-2026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46151</v>
      </c>
      <c r="E790" s="1" t="n">
        <v>46252</v>
      </c>
      <c r="F790" t="inlineStr">
        <is>
          <t>GÄVLEBORGS LÄN</t>
        </is>
      </c>
      <c r="G790" t="inlineStr">
        <is>
          <t>SANDVIKEN</t>
        </is>
      </c>
      <c r="I790" t="n">
        <v>11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46252</v>
      </c>
      <c r="F791" t="inlineStr">
        <is>
          <t>GÄVLEBORGS LÄN</t>
        </is>
      </c>
      <c r="G791" t="inlineStr">
        <is>
          <t>SANDVIKEN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46252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46050</v>
      </c>
      <c r="E793" s="1" t="n">
        <v>46252</v>
      </c>
      <c r="F793" t="inlineStr">
        <is>
          <t>GÄVLEBORGS LÄN</t>
        </is>
      </c>
      <c r="G793" t="inlineStr">
        <is>
          <t>SANDVIKEN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46035</v>
      </c>
      <c r="E794" s="1" t="n">
        <v>46252</v>
      </c>
      <c r="F794" t="inlineStr">
        <is>
          <t>GÄVLEBORGS LÄN</t>
        </is>
      </c>
      <c r="G794" t="inlineStr">
        <is>
          <t>SANDVIKEN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45779</v>
      </c>
      <c r="E795" s="1" t="n">
        <v>46252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21773-2026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46150</v>
      </c>
      <c r="E796" s="1" t="n">
        <v>46252</v>
      </c>
      <c r="F796" t="inlineStr">
        <is>
          <t>GÄVLEBORGS LÄN</t>
        </is>
      </c>
      <c r="G796" t="inlineStr">
        <is>
          <t>SANDVIKEN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46252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37459-2024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45540</v>
      </c>
      <c r="E798" s="1" t="n">
        <v>46252</v>
      </c>
      <c r="F798" t="inlineStr">
        <is>
          <t>GÄVLEBORGS LÄN</t>
        </is>
      </c>
      <c r="G798" t="inlineStr">
        <is>
          <t>SANDVIKEN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48765-2021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44452</v>
      </c>
      <c r="E799" s="1" t="n">
        <v>46252</v>
      </c>
      <c r="F799" t="inlineStr">
        <is>
          <t>GÄVLEBORGS LÄN</t>
        </is>
      </c>
      <c r="G799" t="inlineStr">
        <is>
          <t>SANDVIKEN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48319-2023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45205</v>
      </c>
      <c r="E800" s="1" t="n">
        <v>46252</v>
      </c>
      <c r="F800" t="inlineStr">
        <is>
          <t>GÄVLEBORGS LÄN</t>
        </is>
      </c>
      <c r="G800" t="inlineStr">
        <is>
          <t>SANDVIKEN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22068-2026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46153</v>
      </c>
      <c r="E801" s="1" t="n">
        <v>46252</v>
      </c>
      <c r="F801" t="inlineStr">
        <is>
          <t>GÄVLEBORGS LÄN</t>
        </is>
      </c>
      <c r="G801" t="inlineStr">
        <is>
          <t>SANDVIKEN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55446-2024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45622</v>
      </c>
      <c r="E802" s="1" t="n">
        <v>46252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3256-2025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45679</v>
      </c>
      <c r="E803" s="1" t="n">
        <v>46252</v>
      </c>
      <c r="F803" t="inlineStr">
        <is>
          <t>GÄVLEBORGS LÄN</t>
        </is>
      </c>
      <c r="G803" t="inlineStr">
        <is>
          <t>SANDVIKEN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33007-2026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46244</v>
      </c>
      <c r="E804" s="1" t="n">
        <v>46252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40460-2024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45555</v>
      </c>
      <c r="E805" s="1" t="n">
        <v>46252</v>
      </c>
      <c r="F805" t="inlineStr">
        <is>
          <t>GÄVLEBORGS LÄN</t>
        </is>
      </c>
      <c r="G805" t="inlineStr">
        <is>
          <t>SANDVIKEN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16012-2026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46108</v>
      </c>
      <c r="E806" s="1" t="n">
        <v>46252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11089-2026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46079</v>
      </c>
      <c r="E807" s="1" t="n">
        <v>46252</v>
      </c>
      <c r="F807" t="inlineStr">
        <is>
          <t>GÄVLEBORGS LÄN</t>
        </is>
      </c>
      <c r="G807" t="inlineStr">
        <is>
          <t>SANDVIKEN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41284-2023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45174</v>
      </c>
      <c r="E808" s="1" t="n">
        <v>46252</v>
      </c>
      <c r="F808" t="inlineStr">
        <is>
          <t>GÄVLEBORGS LÄN</t>
        </is>
      </c>
      <c r="G808" t="inlineStr">
        <is>
          <t>SANDVIKEN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46252</v>
      </c>
      <c r="F809" t="inlineStr">
        <is>
          <t>GÄVLEBORGS LÄN</t>
        </is>
      </c>
      <c r="G809" t="inlineStr">
        <is>
          <t>SANDVIKEN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69521-2021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44531</v>
      </c>
      <c r="E810" s="1" t="n">
        <v>46252</v>
      </c>
      <c r="F810" t="inlineStr">
        <is>
          <t>GÄVLEBORGS LÄN</t>
        </is>
      </c>
      <c r="G810" t="inlineStr">
        <is>
          <t>SANDVIKEN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56019-2023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46252</v>
      </c>
      <c r="F811" t="inlineStr">
        <is>
          <t>GÄVLEBORGS LÄN</t>
        </is>
      </c>
      <c r="G811" t="inlineStr">
        <is>
          <t>SANDVIKEN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42950-2023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45178</v>
      </c>
      <c r="E812" s="1" t="n">
        <v>46252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väst AB</t>
        </is>
      </c>
      <c r="I812" t="n">
        <v>16.5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12149-2026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46086</v>
      </c>
      <c r="E813" s="1" t="n">
        <v>46252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12120-2026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46086</v>
      </c>
      <c r="E814" s="1" t="n">
        <v>46252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46252</v>
      </c>
      <c r="F815" t="inlineStr">
        <is>
          <t>GÄVLEBORGS LÄN</t>
        </is>
      </c>
      <c r="G815" t="inlineStr">
        <is>
          <t>SANDVIKEN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33623-2024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45520</v>
      </c>
      <c r="E816" s="1" t="n">
        <v>46252</v>
      </c>
      <c r="F816" t="inlineStr">
        <is>
          <t>GÄVLEBORGS LÄN</t>
        </is>
      </c>
      <c r="G816" t="inlineStr">
        <is>
          <t>SANDVIKEN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14867-2026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46104</v>
      </c>
      <c r="E817" s="1" t="n">
        <v>46252</v>
      </c>
      <c r="F817" t="inlineStr">
        <is>
          <t>GÄVLEBORGS LÄN</t>
        </is>
      </c>
      <c r="G817" t="inlineStr">
        <is>
          <t>SANDVIKEN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16102-2026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46108</v>
      </c>
      <c r="E818" s="1" t="n">
        <v>46252</v>
      </c>
      <c r="F818" t="inlineStr">
        <is>
          <t>GÄVLEBORGS LÄN</t>
        </is>
      </c>
      <c r="G818" t="inlineStr">
        <is>
          <t>SANDVIKEN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34429-2024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45525</v>
      </c>
      <c r="E819" s="1" t="n">
        <v>46252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23144-2026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46161</v>
      </c>
      <c r="E820" s="1" t="n">
        <v>46252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15769-2026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46107</v>
      </c>
      <c r="E821" s="1" t="n">
        <v>46252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17164-2026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46115</v>
      </c>
      <c r="E822" s="1" t="n">
        <v>46252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46034</v>
      </c>
      <c r="E823" s="1" t="n">
        <v>46252</v>
      </c>
      <c r="F823" t="inlineStr">
        <is>
          <t>GÄVLEBORGS LÄN</t>
        </is>
      </c>
      <c r="G823" t="inlineStr">
        <is>
          <t>SANDVIKEN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23465-2026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46252</v>
      </c>
      <c r="F824" t="inlineStr">
        <is>
          <t>GÄVLEBORGS LÄN</t>
        </is>
      </c>
      <c r="G824" t="inlineStr">
        <is>
          <t>SANDVIKEN</t>
        </is>
      </c>
      <c r="H824" t="inlineStr">
        <is>
          <t>Övriga statliga verk och myndigheter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23429-2026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46163</v>
      </c>
      <c r="E825" s="1" t="n">
        <v>46252</v>
      </c>
      <c r="F825" t="inlineStr">
        <is>
          <t>GÄVLEBORGS LÄN</t>
        </is>
      </c>
      <c r="G825" t="inlineStr">
        <is>
          <t>SANDVIKEN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23493-2026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46163</v>
      </c>
      <c r="E826" s="1" t="n">
        <v>46252</v>
      </c>
      <c r="F826" t="inlineStr">
        <is>
          <t>GÄVLEBORGS LÄN</t>
        </is>
      </c>
      <c r="G826" t="inlineStr">
        <is>
          <t>SANDVIKEN</t>
        </is>
      </c>
      <c r="H826" t="inlineStr">
        <is>
          <t>Övriga statliga verk och myndigheter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955-2026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46030</v>
      </c>
      <c r="E827" s="1" t="n">
        <v>46252</v>
      </c>
      <c r="F827" t="inlineStr">
        <is>
          <t>GÄVLEBORGS LÄN</t>
        </is>
      </c>
      <c r="G827" t="inlineStr">
        <is>
          <t>SANDVIKEN</t>
        </is>
      </c>
      <c r="I827" t="n">
        <v>14.2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23474-2026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46163</v>
      </c>
      <c r="E828" s="1" t="n">
        <v>46252</v>
      </c>
      <c r="F828" t="inlineStr">
        <is>
          <t>GÄVLEBORGS LÄN</t>
        </is>
      </c>
      <c r="G828" t="inlineStr">
        <is>
          <t>SANDVIKEN</t>
        </is>
      </c>
      <c r="H828" t="inlineStr">
        <is>
          <t>Övriga statliga verk och myndigheter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23471-2026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46163</v>
      </c>
      <c r="E829" s="1" t="n">
        <v>46252</v>
      </c>
      <c r="F829" t="inlineStr">
        <is>
          <t>GÄVLEBORGS LÄN</t>
        </is>
      </c>
      <c r="G829" t="inlineStr">
        <is>
          <t>SANDVIKEN</t>
        </is>
      </c>
      <c r="H829" t="inlineStr">
        <is>
          <t>Övriga statliga verk och myndigheter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23459-2026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46163</v>
      </c>
      <c r="E830" s="1" t="n">
        <v>46252</v>
      </c>
      <c r="F830" t="inlineStr">
        <is>
          <t>GÄVLEBORGS LÄN</t>
        </is>
      </c>
      <c r="G830" t="inlineStr">
        <is>
          <t>SANDVIKEN</t>
        </is>
      </c>
      <c r="H830" t="inlineStr">
        <is>
          <t>Övriga statliga verk och myndigheter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23821-2026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46165</v>
      </c>
      <c r="E831" s="1" t="n">
        <v>46252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15682-2024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45404</v>
      </c>
      <c r="E832" s="1" t="n">
        <v>46252</v>
      </c>
      <c r="F832" t="inlineStr">
        <is>
          <t>GÄVLEBORGS LÄN</t>
        </is>
      </c>
      <c r="G832" t="inlineStr">
        <is>
          <t>SANDVIKEN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44289-2023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45188</v>
      </c>
      <c r="E833" s="1" t="n">
        <v>46252</v>
      </c>
      <c r="F833" t="inlineStr">
        <is>
          <t>GÄVLEBORGS LÄN</t>
        </is>
      </c>
      <c r="G833" t="inlineStr">
        <is>
          <t>SANDVIKEN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27872-2024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45475</v>
      </c>
      <c r="E834" s="1" t="n">
        <v>46252</v>
      </c>
      <c r="F834" t="inlineStr">
        <is>
          <t>GÄVLEBORGS LÄN</t>
        </is>
      </c>
      <c r="G834" t="inlineStr">
        <is>
          <t>SANDVIKEN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46252</v>
      </c>
      <c r="F835" t="inlineStr">
        <is>
          <t>GÄVLEBORGS LÄN</t>
        </is>
      </c>
      <c r="G835" t="inlineStr">
        <is>
          <t>SANDVIKEN</t>
        </is>
      </c>
      <c r="I835" t="n">
        <v>5.4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23820-2026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46165</v>
      </c>
      <c r="E836" s="1" t="n">
        <v>46252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46165</v>
      </c>
      <c r="E837" s="1" t="n">
        <v>46252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23823-2026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46165</v>
      </c>
      <c r="E838" s="1" t="n">
        <v>46252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5.8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23824-2026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46165</v>
      </c>
      <c r="E839" s="1" t="n">
        <v>46252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45673</v>
      </c>
      <c r="E840" s="1" t="n">
        <v>46252</v>
      </c>
      <c r="F840" t="inlineStr">
        <is>
          <t>GÄVLEBORGS LÄN</t>
        </is>
      </c>
      <c r="G840" t="inlineStr">
        <is>
          <t>SANDVIKEN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18725-2025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45763</v>
      </c>
      <c r="E841" s="1" t="n">
        <v>46252</v>
      </c>
      <c r="F841" t="inlineStr">
        <is>
          <t>GÄVLEBORGS LÄN</t>
        </is>
      </c>
      <c r="G841" t="inlineStr">
        <is>
          <t>SANDVIKEN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64000-2023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46252</v>
      </c>
      <c r="F842" t="inlineStr">
        <is>
          <t>GÄVLEBORGS LÄN</t>
        </is>
      </c>
      <c r="G842" t="inlineStr">
        <is>
          <t>SANDVIKEN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24261-2026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46169</v>
      </c>
      <c r="E843" s="1" t="n">
        <v>46252</v>
      </c>
      <c r="F843" t="inlineStr">
        <is>
          <t>GÄVLEBORGS LÄN</t>
        </is>
      </c>
      <c r="G843" t="inlineStr">
        <is>
          <t>SANDVIKEN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24313-2026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46169</v>
      </c>
      <c r="E844" s="1" t="n">
        <v>46252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17735-2024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45418</v>
      </c>
      <c r="E845" s="1" t="n">
        <v>46252</v>
      </c>
      <c r="F845" t="inlineStr">
        <is>
          <t>GÄVLEBORGS LÄN</t>
        </is>
      </c>
      <c r="G845" t="inlineStr">
        <is>
          <t>SANDVIKEN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24149-2026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46168</v>
      </c>
      <c r="E846" s="1" t="n">
        <v>46252</v>
      </c>
      <c r="F846" t="inlineStr">
        <is>
          <t>GÄVLEBORGS LÄN</t>
        </is>
      </c>
      <c r="G846" t="inlineStr">
        <is>
          <t>SANDVIKEN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24177-2026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46168</v>
      </c>
      <c r="E847" s="1" t="n">
        <v>46252</v>
      </c>
      <c r="F847" t="inlineStr">
        <is>
          <t>GÄVLEBORGS LÄN</t>
        </is>
      </c>
      <c r="G847" t="inlineStr">
        <is>
          <t>SANDVIKEN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24355-2026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46169</v>
      </c>
      <c r="E848" s="1" t="n">
        <v>46252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8.9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24356-2026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46169</v>
      </c>
      <c r="E849" s="1" t="n">
        <v>46252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24297-2026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46169</v>
      </c>
      <c r="E850" s="1" t="n">
        <v>46252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24303-2026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46169</v>
      </c>
      <c r="E851" s="1" t="n">
        <v>46252</v>
      </c>
      <c r="F851" t="inlineStr">
        <is>
          <t>GÄVLEBORGS LÄN</t>
        </is>
      </c>
      <c r="G851" t="inlineStr">
        <is>
          <t>SANDVIKEN</t>
        </is>
      </c>
      <c r="H851" t="inlineStr">
        <is>
          <t>Kommuner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53322-2024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45614</v>
      </c>
      <c r="E852" s="1" t="n">
        <v>46252</v>
      </c>
      <c r="F852" t="inlineStr">
        <is>
          <t>GÄVLEBORGS LÄN</t>
        </is>
      </c>
      <c r="G852" t="inlineStr">
        <is>
          <t>SANDVIKEN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18752-2026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46252</v>
      </c>
      <c r="F853" t="inlineStr">
        <is>
          <t>GÄVLEBORGS LÄN</t>
        </is>
      </c>
      <c r="G853" t="inlineStr">
        <is>
          <t>SANDVIKEN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24940-2025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46252</v>
      </c>
      <c r="F854" t="inlineStr">
        <is>
          <t>GÄVLEBORGS LÄN</t>
        </is>
      </c>
      <c r="G854" t="inlineStr">
        <is>
          <t>SANDVIKEN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24948-2025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46252</v>
      </c>
      <c r="F855" t="inlineStr">
        <is>
          <t>GÄVLEBORGS LÄN</t>
        </is>
      </c>
      <c r="G855" t="inlineStr">
        <is>
          <t>SANDVIKEN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24953-2025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45799</v>
      </c>
      <c r="E856" s="1" t="n">
        <v>46252</v>
      </c>
      <c r="F856" t="inlineStr">
        <is>
          <t>GÄVLEBORGS LÄN</t>
        </is>
      </c>
      <c r="G856" t="inlineStr">
        <is>
          <t>SANDVIKEN</t>
        </is>
      </c>
      <c r="I856" t="n">
        <v>10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33136-2023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45126</v>
      </c>
      <c r="E857" s="1" t="n">
        <v>46252</v>
      </c>
      <c r="F857" t="inlineStr">
        <is>
          <t>GÄVLEBORGS LÄN</t>
        </is>
      </c>
      <c r="G857" t="inlineStr">
        <is>
          <t>SANDVIKEN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25300-2025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45800</v>
      </c>
      <c r="E858" s="1" t="n">
        <v>46252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25327-2025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45800</v>
      </c>
      <c r="E859" s="1" t="n">
        <v>46252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25111-2025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45800</v>
      </c>
      <c r="E860" s="1" t="n">
        <v>46252</v>
      </c>
      <c r="F860" t="inlineStr">
        <is>
          <t>GÄVLEBORGS LÄN</t>
        </is>
      </c>
      <c r="G860" t="inlineStr">
        <is>
          <t>SANDVIKEN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24650-2026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46171</v>
      </c>
      <c r="E861" s="1" t="n">
        <v>46252</v>
      </c>
      <c r="F861" t="inlineStr">
        <is>
          <t>GÄVLEBORGS LÄN</t>
        </is>
      </c>
      <c r="G861" t="inlineStr">
        <is>
          <t>SANDVIKEN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25317-2025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45800</v>
      </c>
      <c r="E862" s="1" t="n">
        <v>46252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26294-2025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45805</v>
      </c>
      <c r="E863" s="1" t="n">
        <v>46252</v>
      </c>
      <c r="F863" t="inlineStr">
        <is>
          <t>GÄVLEBORGS LÄN</t>
        </is>
      </c>
      <c r="G863" t="inlineStr">
        <is>
          <t>SANDVIKEN</t>
        </is>
      </c>
      <c r="H863" t="inlineStr">
        <is>
          <t>Sveaskog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24627-2026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46171</v>
      </c>
      <c r="E864" s="1" t="n">
        <v>46252</v>
      </c>
      <c r="F864" t="inlineStr">
        <is>
          <t>GÄVLEBORGS LÄN</t>
        </is>
      </c>
      <c r="G864" t="inlineStr">
        <is>
          <t>SANDVIKEN</t>
        </is>
      </c>
      <c r="I864" t="n">
        <v>6.9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4483-2026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46045</v>
      </c>
      <c r="E865" s="1" t="n">
        <v>46252</v>
      </c>
      <c r="F865" t="inlineStr">
        <is>
          <t>GÄVLEBORGS LÄN</t>
        </is>
      </c>
      <c r="G865" t="inlineStr">
        <is>
          <t>SANDVIKEN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46045</v>
      </c>
      <c r="E866" s="1" t="n">
        <v>46252</v>
      </c>
      <c r="F866" t="inlineStr">
        <is>
          <t>GÄVLEBORGS LÄN</t>
        </is>
      </c>
      <c r="G866" t="inlineStr">
        <is>
          <t>SANDVIKEN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46052</v>
      </c>
      <c r="E867" s="1" t="n">
        <v>46252</v>
      </c>
      <c r="F867" t="inlineStr">
        <is>
          <t>GÄVLEBORGS LÄN</t>
        </is>
      </c>
      <c r="G867" t="inlineStr">
        <is>
          <t>SANDVIKEN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31314-2026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46219</v>
      </c>
      <c r="E868" s="1" t="n">
        <v>46252</v>
      </c>
      <c r="F868" t="inlineStr">
        <is>
          <t>GÄVLEBORGS LÄN</t>
        </is>
      </c>
      <c r="G868" t="inlineStr">
        <is>
          <t>SANDVIKEN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25249-2026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46175</v>
      </c>
      <c r="E869" s="1" t="n">
        <v>46252</v>
      </c>
      <c r="F869" t="inlineStr">
        <is>
          <t>GÄVLEBORGS LÄN</t>
        </is>
      </c>
      <c r="G869" t="inlineStr">
        <is>
          <t>SANDVIKEN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25220-2026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46175</v>
      </c>
      <c r="E870" s="1" t="n">
        <v>46252</v>
      </c>
      <c r="F870" t="inlineStr">
        <is>
          <t>GÄVLEBORGS LÄN</t>
        </is>
      </c>
      <c r="G870" t="inlineStr">
        <is>
          <t>SANDVIKEN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25412-2026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46176</v>
      </c>
      <c r="E871" s="1" t="n">
        <v>46252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25413-2026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46176</v>
      </c>
      <c r="E872" s="1" t="n">
        <v>46252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25175-2026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46175</v>
      </c>
      <c r="E873" s="1" t="n">
        <v>46252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2071-2020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44102</v>
      </c>
      <c r="E874" s="1" t="n">
        <v>46252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42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219-2024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45316</v>
      </c>
      <c r="E875" s="1" t="n">
        <v>46252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21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198-2024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45315</v>
      </c>
      <c r="E876" s="1" t="n">
        <v>46252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64.59999999999999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46252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46252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10363-2021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44550</v>
      </c>
      <c r="E879" s="1" t="n">
        <v>46252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73.3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513-2025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45706</v>
      </c>
      <c r="E880" s="1" t="n">
        <v>46252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706-2025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45720</v>
      </c>
      <c r="E881" s="1" t="n">
        <v>46252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väst AB</t>
        </is>
      </c>
      <c r="I881" t="n">
        <v>24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531-2025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45707</v>
      </c>
      <c r="E882" s="1" t="n">
        <v>46252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530-2025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45707</v>
      </c>
      <c r="E883" s="1" t="n">
        <v>46252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23.1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318-2026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46059</v>
      </c>
      <c r="E884" s="1" t="n">
        <v>46252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14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320-2026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46059</v>
      </c>
      <c r="E885" s="1" t="n">
        <v>46252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36.3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664-2026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46089</v>
      </c>
      <c r="E886" s="1" t="n">
        <v>46252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677-2026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46089</v>
      </c>
      <c r="E887" s="1" t="n">
        <v>46252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61.3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2026-08-18T01:48:01Z</dcterms:created>
  <dcterms:modified xmlns:dcterms="http://purl.org/dc/terms/" xmlns:xsi="http://www.w3.org/2001/XMLSchema-instance" xsi:type="dcterms:W3CDTF">2026-08-18T01:48:02Z</dcterms:modified>
</cp:coreProperties>
</file>