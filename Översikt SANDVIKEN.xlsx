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45630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45630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45630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45630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45630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45630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45630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45630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45630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45630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45630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45630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45630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45630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45630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45630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45630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48805-2021</t>
        </is>
      </c>
      <c r="B19" s="1" t="n">
        <v>44452</v>
      </c>
      <c r="C19" s="1" t="n">
        <v>45630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48805-2021 artfynd.xlsx", "A 48805-2021")</f>
        <v/>
      </c>
      <c r="T19">
        <f>HYPERLINK("https://klasma.github.io/Logging_2181/kartor/A 48805-2021 karta.png", "A 48805-2021")</f>
        <v/>
      </c>
      <c r="U19">
        <f>HYPERLINK("https://klasma.github.io/Logging_2181/knärot/A 48805-2021 karta knärot.png", "A 48805-2021")</f>
        <v/>
      </c>
      <c r="V19">
        <f>HYPERLINK("https://klasma.github.io/Logging_2181/klagomål/A 48805-2021 FSC-klagomål.docx", "A 48805-2021")</f>
        <v/>
      </c>
      <c r="W19">
        <f>HYPERLINK("https://klasma.github.io/Logging_2181/klagomålsmail/A 48805-2021 FSC-klagomål mail.docx", "A 48805-2021")</f>
        <v/>
      </c>
      <c r="X19">
        <f>HYPERLINK("https://klasma.github.io/Logging_2181/tillsyn/A 48805-2021 tillsynsbegäran.docx", "A 48805-2021")</f>
        <v/>
      </c>
      <c r="Y19">
        <f>HYPERLINK("https://klasma.github.io/Logging_2181/tillsynsmail/A 48805-2021 tillsynsbegäran mail.docx", "A 48805-2021")</f>
        <v/>
      </c>
    </row>
    <row r="20" ht="15" customHeight="1">
      <c r="A20" t="inlineStr">
        <is>
          <t>A 6942-2022</t>
        </is>
      </c>
      <c r="B20" s="1" t="n">
        <v>44603</v>
      </c>
      <c r="C20" s="1" t="n">
        <v>45630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HYPERLINK("https://klasma.github.io/Logging_2181/artfynd/A 6942-2022 artfynd.xlsx", "A 6942-2022")</f>
        <v/>
      </c>
      <c r="T20">
        <f>HYPERLINK("https://klasma.github.io/Logging_2181/kartor/A 6942-2022 karta.png", "A 6942-2022")</f>
        <v/>
      </c>
      <c r="V20">
        <f>HYPERLINK("https://klasma.github.io/Logging_2181/klagomål/A 6942-2022 FSC-klagomål.docx", "A 6942-2022")</f>
        <v/>
      </c>
      <c r="W20">
        <f>HYPERLINK("https://klasma.github.io/Logging_2181/klagomålsmail/A 6942-2022 FSC-klagomål mail.docx", "A 6942-2022")</f>
        <v/>
      </c>
      <c r="X20">
        <f>HYPERLINK("https://klasma.github.io/Logging_2181/tillsyn/A 6942-2022 tillsynsbegäran.docx", "A 6942-2022")</f>
        <v/>
      </c>
      <c r="Y20">
        <f>HYPERLINK("https://klasma.github.io/Logging_2181/tillsynsmail/A 6942-2022 tillsynsbegäran mail.docx", "A 6942-2022")</f>
        <v/>
      </c>
      <c r="Z20">
        <f>HYPERLINK("https://klasma.github.io/Logging_2181/fåglar/A 6942-2022 prioriterade fågelarter.docx", "A 6942-2022")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45630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24698-2022</t>
        </is>
      </c>
      <c r="B22" s="1" t="n">
        <v>44727</v>
      </c>
      <c r="C22" s="1" t="n">
        <v>45630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HYPERLINK("https://klasma.github.io/Logging_2181/artfynd/A 24698-2022 artfynd.xlsx", "A 24698-2022")</f>
        <v/>
      </c>
      <c r="T22">
        <f>HYPERLINK("https://klasma.github.io/Logging_2181/kartor/A 24698-2022 karta.png", "A 24698-2022")</f>
        <v/>
      </c>
      <c r="V22">
        <f>HYPERLINK("https://klasma.github.io/Logging_2181/klagomål/A 24698-2022 FSC-klagomål.docx", "A 24698-2022")</f>
        <v/>
      </c>
      <c r="W22">
        <f>HYPERLINK("https://klasma.github.io/Logging_2181/klagomålsmail/A 24698-2022 FSC-klagomål mail.docx", "A 24698-2022")</f>
        <v/>
      </c>
      <c r="X22">
        <f>HYPERLINK("https://klasma.github.io/Logging_2181/tillsyn/A 24698-2022 tillsynsbegäran.docx", "A 24698-2022")</f>
        <v/>
      </c>
      <c r="Y22">
        <f>HYPERLINK("https://klasma.github.io/Logging_2181/tillsynsmail/A 24698-2022 tillsynsbegäran mail.docx", "A 24698-2022")</f>
        <v/>
      </c>
    </row>
    <row r="23" ht="15" customHeight="1">
      <c r="A23" t="inlineStr">
        <is>
          <t>A 25688-2022</t>
        </is>
      </c>
      <c r="B23" s="1" t="n">
        <v>44733</v>
      </c>
      <c r="C23" s="1" t="n">
        <v>45630</v>
      </c>
      <c r="D23" t="inlineStr">
        <is>
          <t>GÄVLEBORGS LÄN</t>
        </is>
      </c>
      <c r="E23" t="inlineStr">
        <is>
          <t>SANDVIKEN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HYPERLINK("https://klasma.github.io/Logging_2181/artfynd/A 25688-2022 artfynd.xlsx", "A 25688-2022")</f>
        <v/>
      </c>
      <c r="T23">
        <f>HYPERLINK("https://klasma.github.io/Logging_2181/kartor/A 25688-2022 karta.png", "A 25688-2022")</f>
        <v/>
      </c>
      <c r="V23">
        <f>HYPERLINK("https://klasma.github.io/Logging_2181/klagomål/A 25688-2022 FSC-klagomål.docx", "A 25688-2022")</f>
        <v/>
      </c>
      <c r="W23">
        <f>HYPERLINK("https://klasma.github.io/Logging_2181/klagomålsmail/A 25688-2022 FSC-klagomål mail.docx", "A 25688-2022")</f>
        <v/>
      </c>
      <c r="X23">
        <f>HYPERLINK("https://klasma.github.io/Logging_2181/tillsyn/A 25688-2022 tillsynsbegäran.docx", "A 25688-2022")</f>
        <v/>
      </c>
      <c r="Y23">
        <f>HYPERLINK("https://klasma.github.io/Logging_2181/tillsynsmail/A 25688-2022 tillsynsbegäran mail.docx", "A 25688-2022")</f>
        <v/>
      </c>
    </row>
    <row r="24" ht="15" customHeight="1">
      <c r="A24" t="inlineStr">
        <is>
          <t>A 27966-2022</t>
        </is>
      </c>
      <c r="B24" s="1" t="n">
        <v>44744</v>
      </c>
      <c r="C24" s="1" t="n">
        <v>45630</v>
      </c>
      <c r="D24" t="inlineStr">
        <is>
          <t>GÄVLEBORGS LÄN</t>
        </is>
      </c>
      <c r="E24" t="inlineStr">
        <is>
          <t>SANDVIKEN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HYPERLINK("https://klasma.github.io/Logging_2181/artfynd/A 27966-2022 artfynd.xlsx", "A 27966-2022")</f>
        <v/>
      </c>
      <c r="T24">
        <f>HYPERLINK("https://klasma.github.io/Logging_2181/kartor/A 27966-2022 karta.png", "A 27966-2022")</f>
        <v/>
      </c>
      <c r="V24">
        <f>HYPERLINK("https://klasma.github.io/Logging_2181/klagomål/A 27966-2022 FSC-klagomål.docx", "A 27966-2022")</f>
        <v/>
      </c>
      <c r="W24">
        <f>HYPERLINK("https://klasma.github.io/Logging_2181/klagomålsmail/A 27966-2022 FSC-klagomål mail.docx", "A 27966-2022")</f>
        <v/>
      </c>
      <c r="X24">
        <f>HYPERLINK("https://klasma.github.io/Logging_2181/tillsyn/A 27966-2022 tillsynsbegäran.docx", "A 27966-2022")</f>
        <v/>
      </c>
      <c r="Y24">
        <f>HYPERLINK("https://klasma.github.io/Logging_2181/tillsynsmail/A 27966-2022 tillsynsbegäran mail.docx", "A 27966-2022")</f>
        <v/>
      </c>
    </row>
    <row r="25" ht="15" customHeight="1">
      <c r="A25" t="inlineStr">
        <is>
          <t>A 29671-2022</t>
        </is>
      </c>
      <c r="B25" s="1" t="n">
        <v>44754</v>
      </c>
      <c r="C25" s="1" t="n">
        <v>45630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29671-2022 artfynd.xlsx", "A 29671-2022")</f>
        <v/>
      </c>
      <c r="T25">
        <f>HYPERLINK("https://klasma.github.io/Logging_2181/kartor/A 29671-2022 karta.png", "A 29671-2022")</f>
        <v/>
      </c>
      <c r="V25">
        <f>HYPERLINK("https://klasma.github.io/Logging_2181/klagomål/A 29671-2022 FSC-klagomål.docx", "A 29671-2022")</f>
        <v/>
      </c>
      <c r="W25">
        <f>HYPERLINK("https://klasma.github.io/Logging_2181/klagomålsmail/A 29671-2022 FSC-klagomål mail.docx", "A 29671-2022")</f>
        <v/>
      </c>
      <c r="X25">
        <f>HYPERLINK("https://klasma.github.io/Logging_2181/tillsyn/A 29671-2022 tillsynsbegäran.docx", "A 29671-2022")</f>
        <v/>
      </c>
      <c r="Y25">
        <f>HYPERLINK("https://klasma.github.io/Logging_2181/tillsynsmail/A 29671-2022 tillsynsbegäran mail.docx", "A 29671-2022")</f>
        <v/>
      </c>
    </row>
    <row r="26" ht="15" customHeight="1">
      <c r="A26" t="inlineStr">
        <is>
          <t>A 31023-2022</t>
        </is>
      </c>
      <c r="B26" s="1" t="n">
        <v>44768</v>
      </c>
      <c r="C26" s="1" t="n">
        <v>45630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HYPERLINK("https://klasma.github.io/Logging_2181/artfynd/A 31023-2022 artfynd.xlsx", "A 31023-2022")</f>
        <v/>
      </c>
      <c r="T26">
        <f>HYPERLINK("https://klasma.github.io/Logging_2181/kartor/A 31023-2022 karta.png", "A 31023-2022")</f>
        <v/>
      </c>
      <c r="V26">
        <f>HYPERLINK("https://klasma.github.io/Logging_2181/klagomål/A 31023-2022 FSC-klagomål.docx", "A 31023-2022")</f>
        <v/>
      </c>
      <c r="W26">
        <f>HYPERLINK("https://klasma.github.io/Logging_2181/klagomålsmail/A 31023-2022 FSC-klagomål mail.docx", "A 31023-2022")</f>
        <v/>
      </c>
      <c r="X26">
        <f>HYPERLINK("https://klasma.github.io/Logging_2181/tillsyn/A 31023-2022 tillsynsbegäran.docx", "A 31023-2022")</f>
        <v/>
      </c>
      <c r="Y26">
        <f>HYPERLINK("https://klasma.github.io/Logging_2181/tillsynsmail/A 31023-2022 tillsynsbegäran mail.docx", "A 31023-2022")</f>
        <v/>
      </c>
    </row>
    <row r="27" ht="15" customHeight="1">
      <c r="A27" t="inlineStr">
        <is>
          <t>A 35525-2022</t>
        </is>
      </c>
      <c r="B27" s="1" t="n">
        <v>44799</v>
      </c>
      <c r="C27" s="1" t="n">
        <v>45630</v>
      </c>
      <c r="D27" t="inlineStr">
        <is>
          <t>GÄVLEBORGS LÄN</t>
        </is>
      </c>
      <c r="E27" t="inlineStr">
        <is>
          <t>SANDVIKEN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HYPERLINK("https://klasma.github.io/Logging_2181/artfynd/A 35525-2022 artfynd.xlsx", "A 35525-2022")</f>
        <v/>
      </c>
      <c r="T27">
        <f>HYPERLINK("https://klasma.github.io/Logging_2181/kartor/A 35525-2022 karta.png", "A 35525-2022")</f>
        <v/>
      </c>
      <c r="V27">
        <f>HYPERLINK("https://klasma.github.io/Logging_2181/klagomål/A 35525-2022 FSC-klagomål.docx", "A 35525-2022")</f>
        <v/>
      </c>
      <c r="W27">
        <f>HYPERLINK("https://klasma.github.io/Logging_2181/klagomålsmail/A 35525-2022 FSC-klagomål mail.docx", "A 35525-2022")</f>
        <v/>
      </c>
      <c r="X27">
        <f>HYPERLINK("https://klasma.github.io/Logging_2181/tillsyn/A 35525-2022 tillsynsbegäran.docx", "A 35525-2022")</f>
        <v/>
      </c>
      <c r="Y27">
        <f>HYPERLINK("https://klasma.github.io/Logging_2181/tillsynsmail/A 35525-2022 tillsynsbegäran mail.docx", "A 35525-2022")</f>
        <v/>
      </c>
    </row>
    <row r="28" ht="15" customHeight="1">
      <c r="A28" t="inlineStr">
        <is>
          <t>A 45909-2022</t>
        </is>
      </c>
      <c r="B28" s="1" t="n">
        <v>44846</v>
      </c>
      <c r="C28" s="1" t="n">
        <v>45630</v>
      </c>
      <c r="D28" t="inlineStr">
        <is>
          <t>GÄVLEBORGS LÄN</t>
        </is>
      </c>
      <c r="E28" t="inlineStr">
        <is>
          <t>SANDVIKEN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HYPERLINK("https://klasma.github.io/Logging_2181/artfynd/A 45909-2022 artfynd.xlsx", "A 45909-2022")</f>
        <v/>
      </c>
      <c r="T28">
        <f>HYPERLINK("https://klasma.github.io/Logging_2181/kartor/A 45909-2022 karta.png", "A 45909-2022")</f>
        <v/>
      </c>
      <c r="V28">
        <f>HYPERLINK("https://klasma.github.io/Logging_2181/klagomål/A 45909-2022 FSC-klagomål.docx", "A 45909-2022")</f>
        <v/>
      </c>
      <c r="W28">
        <f>HYPERLINK("https://klasma.github.io/Logging_2181/klagomålsmail/A 45909-2022 FSC-klagomål mail.docx", "A 45909-2022")</f>
        <v/>
      </c>
      <c r="X28">
        <f>HYPERLINK("https://klasma.github.io/Logging_2181/tillsyn/A 45909-2022 tillsynsbegäran.docx", "A 45909-2022")</f>
        <v/>
      </c>
      <c r="Y28">
        <f>HYPERLINK("https://klasma.github.io/Logging_2181/tillsynsmail/A 45909-2022 tillsynsbegäran mail.docx", "A 45909-2022")</f>
        <v/>
      </c>
    </row>
    <row r="29" ht="15" customHeight="1">
      <c r="A29" t="inlineStr">
        <is>
          <t>A 53259-2022</t>
        </is>
      </c>
      <c r="B29" s="1" t="n">
        <v>44876</v>
      </c>
      <c r="C29" s="1" t="n">
        <v>45630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53259-2022 artfynd.xlsx", "A 53259-2022")</f>
        <v/>
      </c>
      <c r="T29">
        <f>HYPERLINK("https://klasma.github.io/Logging_2181/kartor/A 53259-2022 karta.png", "A 53259-2022")</f>
        <v/>
      </c>
      <c r="U29">
        <f>HYPERLINK("https://klasma.github.io/Logging_2181/knärot/A 53259-2022 karta knärot.png", "A 53259-2022")</f>
        <v/>
      </c>
      <c r="V29">
        <f>HYPERLINK("https://klasma.github.io/Logging_2181/klagomål/A 53259-2022 FSC-klagomål.docx", "A 53259-2022")</f>
        <v/>
      </c>
      <c r="W29">
        <f>HYPERLINK("https://klasma.github.io/Logging_2181/klagomålsmail/A 53259-2022 FSC-klagomål mail.docx", "A 53259-2022")</f>
        <v/>
      </c>
      <c r="X29">
        <f>HYPERLINK("https://klasma.github.io/Logging_2181/tillsyn/A 53259-2022 tillsynsbegäran.docx", "A 53259-2022")</f>
        <v/>
      </c>
      <c r="Y29">
        <f>HYPERLINK("https://klasma.github.io/Logging_2181/tillsynsmail/A 53259-2022 tillsynsbegäran mail.docx", "A 53259-2022")</f>
        <v/>
      </c>
    </row>
    <row r="30" ht="15" customHeight="1">
      <c r="A30" t="inlineStr">
        <is>
          <t>A 58774-2022</t>
        </is>
      </c>
      <c r="B30" s="1" t="n">
        <v>44903</v>
      </c>
      <c r="C30" s="1" t="n">
        <v>45630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HYPERLINK("https://klasma.github.io/Logging_2181/artfynd/A 58774-2022 artfynd.xlsx", "A 58774-2022")</f>
        <v/>
      </c>
      <c r="T30">
        <f>HYPERLINK("https://klasma.github.io/Logging_2181/kartor/A 58774-2022 karta.png", "A 58774-2022")</f>
        <v/>
      </c>
      <c r="V30">
        <f>HYPERLINK("https://klasma.github.io/Logging_2181/klagomål/A 58774-2022 FSC-klagomål.docx", "A 58774-2022")</f>
        <v/>
      </c>
      <c r="W30">
        <f>HYPERLINK("https://klasma.github.io/Logging_2181/klagomålsmail/A 58774-2022 FSC-klagomål mail.docx", "A 58774-2022")</f>
        <v/>
      </c>
      <c r="X30">
        <f>HYPERLINK("https://klasma.github.io/Logging_2181/tillsyn/A 58774-2022 tillsynsbegäran.docx", "A 58774-2022")</f>
        <v/>
      </c>
      <c r="Y30">
        <f>HYPERLINK("https://klasma.github.io/Logging_2181/tillsynsmail/A 58774-2022 tillsynsbegäran mail.docx", "A 58774-2022")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45630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45630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42115-2023</t>
        </is>
      </c>
      <c r="B33" s="1" t="n">
        <v>45177</v>
      </c>
      <c r="C33" s="1" t="n">
        <v>45630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42115-2023 artfynd.xlsx", "A 42115-2023")</f>
        <v/>
      </c>
      <c r="T33">
        <f>HYPERLINK("https://klasma.github.io/Logging_2181/kartor/A 42115-2023 karta.png", "A 42115-2023")</f>
        <v/>
      </c>
      <c r="V33">
        <f>HYPERLINK("https://klasma.github.io/Logging_2181/klagomål/A 42115-2023 FSC-klagomål.docx", "A 42115-2023")</f>
        <v/>
      </c>
      <c r="W33">
        <f>HYPERLINK("https://klasma.github.io/Logging_2181/klagomålsmail/A 42115-2023 FSC-klagomål mail.docx", "A 42115-2023")</f>
        <v/>
      </c>
      <c r="X33">
        <f>HYPERLINK("https://klasma.github.io/Logging_2181/tillsyn/A 42115-2023 tillsynsbegäran.docx", "A 42115-2023")</f>
        <v/>
      </c>
      <c r="Y33">
        <f>HYPERLINK("https://klasma.github.io/Logging_2181/tillsynsmail/A 42115-2023 tillsynsbegäran mail.docx", "A 42115-2023")</f>
        <v/>
      </c>
      <c r="Z33">
        <f>HYPERLINK("https://klasma.github.io/Logging_2181/fåglar/A 42115-2023 prioriterade fågelarter.docx", "A 42115-2023")</f>
        <v/>
      </c>
    </row>
    <row r="34" ht="15" customHeight="1">
      <c r="A34" t="inlineStr">
        <is>
          <t>A 45427-2023</t>
        </is>
      </c>
      <c r="B34" s="1" t="n">
        <v>45194</v>
      </c>
      <c r="C34" s="1" t="n">
        <v>45630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57086-2023</t>
        </is>
      </c>
      <c r="B35" s="1" t="n">
        <v>45245</v>
      </c>
      <c r="C35" s="1" t="n">
        <v>45630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57086-2023 artfynd.xlsx", "A 57086-2023")</f>
        <v/>
      </c>
      <c r="T35">
        <f>HYPERLINK("https://klasma.github.io/Logging_2181/kartor/A 57086-2023 karta.png", "A 57086-2023")</f>
        <v/>
      </c>
      <c r="V35">
        <f>HYPERLINK("https://klasma.github.io/Logging_2181/klagomål/A 57086-2023 FSC-klagomål.docx", "A 57086-2023")</f>
        <v/>
      </c>
      <c r="W35">
        <f>HYPERLINK("https://klasma.github.io/Logging_2181/klagomålsmail/A 57086-2023 FSC-klagomål mail.docx", "A 57086-2023")</f>
        <v/>
      </c>
      <c r="X35">
        <f>HYPERLINK("https://klasma.github.io/Logging_2181/tillsyn/A 57086-2023 tillsynsbegäran.docx", "A 57086-2023")</f>
        <v/>
      </c>
      <c r="Y35">
        <f>HYPERLINK("https://klasma.github.io/Logging_2181/tillsynsmail/A 57086-2023 tillsynsbegäran mail.docx", "A 57086-2023")</f>
        <v/>
      </c>
    </row>
    <row r="36" ht="15" customHeight="1">
      <c r="A36" t="inlineStr">
        <is>
          <t>A 58785-2023</t>
        </is>
      </c>
      <c r="B36" s="1" t="n">
        <v>45252</v>
      </c>
      <c r="C36" s="1" t="n">
        <v>45630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58785-2023 artfynd.xlsx", "A 58785-2023")</f>
        <v/>
      </c>
      <c r="T36">
        <f>HYPERLINK("https://klasma.github.io/Logging_2181/kartor/A 58785-2023 karta.png", "A 58785-2023")</f>
        <v/>
      </c>
      <c r="V36">
        <f>HYPERLINK("https://klasma.github.io/Logging_2181/klagomål/A 58785-2023 FSC-klagomål.docx", "A 58785-2023")</f>
        <v/>
      </c>
      <c r="W36">
        <f>HYPERLINK("https://klasma.github.io/Logging_2181/klagomålsmail/A 58785-2023 FSC-klagomål mail.docx", "A 58785-2023")</f>
        <v/>
      </c>
      <c r="X36">
        <f>HYPERLINK("https://klasma.github.io/Logging_2181/tillsyn/A 58785-2023 tillsynsbegäran.docx", "A 58785-2023")</f>
        <v/>
      </c>
      <c r="Y36">
        <f>HYPERLINK("https://klasma.github.io/Logging_2181/tillsynsmail/A 58785-2023 tillsynsbegäran mail.docx", "A 58785-2023")</f>
        <v/>
      </c>
    </row>
    <row r="37" ht="15" customHeight="1">
      <c r="A37" t="inlineStr">
        <is>
          <t>A 58845-2023</t>
        </is>
      </c>
      <c r="B37" s="1" t="n">
        <v>45252</v>
      </c>
      <c r="C37" s="1" t="n">
        <v>45630</v>
      </c>
      <c r="D37" t="inlineStr">
        <is>
          <t>GÄVLEBORGS LÄN</t>
        </is>
      </c>
      <c r="E37" t="inlineStr">
        <is>
          <t>SANDVIKEN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HYPERLINK("https://klasma.github.io/Logging_2181/artfynd/A 58845-2023 artfynd.xlsx", "A 58845-2023")</f>
        <v/>
      </c>
      <c r="T37">
        <f>HYPERLINK("https://klasma.github.io/Logging_2181/kartor/A 58845-2023 karta.png", "A 58845-2023")</f>
        <v/>
      </c>
      <c r="V37">
        <f>HYPERLINK("https://klasma.github.io/Logging_2181/klagomål/A 58845-2023 FSC-klagomål.docx", "A 58845-2023")</f>
        <v/>
      </c>
      <c r="W37">
        <f>HYPERLINK("https://klasma.github.io/Logging_2181/klagomålsmail/A 58845-2023 FSC-klagomål mail.docx", "A 58845-2023")</f>
        <v/>
      </c>
      <c r="X37">
        <f>HYPERLINK("https://klasma.github.io/Logging_2181/tillsyn/A 58845-2023 tillsynsbegäran.docx", "A 58845-2023")</f>
        <v/>
      </c>
      <c r="Y37">
        <f>HYPERLINK("https://klasma.github.io/Logging_2181/tillsynsmail/A 58845-2023 tillsynsbegäran mail.docx", "A 58845-2023")</f>
        <v/>
      </c>
    </row>
    <row r="38" ht="15" customHeight="1">
      <c r="A38" t="inlineStr">
        <is>
          <t>A 311-2024</t>
        </is>
      </c>
      <c r="B38" s="1" t="n">
        <v>45295</v>
      </c>
      <c r="C38" s="1" t="n">
        <v>45630</v>
      </c>
      <c r="D38" t="inlineStr">
        <is>
          <t>GÄVLEBORGS LÄN</t>
        </is>
      </c>
      <c r="E38" t="inlineStr">
        <is>
          <t>SANDVIKEN</t>
        </is>
      </c>
      <c r="G38" t="n">
        <v>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311-2024 artfynd.xlsx", "A 311-2024")</f>
        <v/>
      </c>
      <c r="T38">
        <f>HYPERLINK("https://klasma.github.io/Logging_2181/kartor/A 311-2024 karta.png", "A 311-2024")</f>
        <v/>
      </c>
      <c r="V38">
        <f>HYPERLINK("https://klasma.github.io/Logging_2181/klagomål/A 311-2024 FSC-klagomål.docx", "A 311-2024")</f>
        <v/>
      </c>
      <c r="W38">
        <f>HYPERLINK("https://klasma.github.io/Logging_2181/klagomålsmail/A 311-2024 FSC-klagomål mail.docx", "A 311-2024")</f>
        <v/>
      </c>
      <c r="X38">
        <f>HYPERLINK("https://klasma.github.io/Logging_2181/tillsyn/A 311-2024 tillsynsbegäran.docx", "A 311-2024")</f>
        <v/>
      </c>
      <c r="Y38">
        <f>HYPERLINK("https://klasma.github.io/Logging_2181/tillsynsmail/A 311-2024 tillsynsbegäran mail.docx", "A 311-2024")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45630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21196-2024</t>
        </is>
      </c>
      <c r="B40" s="1" t="n">
        <v>45440</v>
      </c>
      <c r="C40" s="1" t="n">
        <v>45630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45.5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HYPERLINK("https://klasma.github.io/Logging_2181/artfynd/A 21196-2024 artfynd.xlsx", "A 21196-2024")</f>
        <v/>
      </c>
      <c r="T40">
        <f>HYPERLINK("https://klasma.github.io/Logging_2181/kartor/A 21196-2024 karta.png", "A 21196-2024")</f>
        <v/>
      </c>
      <c r="V40">
        <f>HYPERLINK("https://klasma.github.io/Logging_2181/klagomål/A 21196-2024 FSC-klagomål.docx", "A 21196-2024")</f>
        <v/>
      </c>
      <c r="W40">
        <f>HYPERLINK("https://klasma.github.io/Logging_2181/klagomålsmail/A 21196-2024 FSC-klagomål mail.docx", "A 21196-2024")</f>
        <v/>
      </c>
      <c r="X40">
        <f>HYPERLINK("https://klasma.github.io/Logging_2181/tillsyn/A 21196-2024 tillsynsbegäran.docx", "A 21196-2024")</f>
        <v/>
      </c>
      <c r="Y40">
        <f>HYPERLINK("https://klasma.github.io/Logging_2181/tillsynsmail/A 21196-2024 tillsynsbegäran mail.docx", "A 21196-2024")</f>
        <v/>
      </c>
      <c r="Z40">
        <f>HYPERLINK("https://klasma.github.io/Logging_2181/fåglar/A 21196-2024 prioriterade fågelarter.docx", "A 21196-2024")</f>
        <v/>
      </c>
    </row>
    <row r="41" ht="15" customHeight="1">
      <c r="A41" t="inlineStr">
        <is>
          <t>A 30541-2024</t>
        </is>
      </c>
      <c r="B41" s="1" t="n">
        <v>45492</v>
      </c>
      <c r="C41" s="1" t="n">
        <v>45630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30541-2024 artfynd.xlsx", "A 30541-2024")</f>
        <v/>
      </c>
      <c r="T41">
        <f>HYPERLINK("https://klasma.github.io/Logging_2181/kartor/A 30541-2024 karta.png", "A 30541-2024")</f>
        <v/>
      </c>
      <c r="V41">
        <f>HYPERLINK("https://klasma.github.io/Logging_2181/klagomål/A 30541-2024 FSC-klagomål.docx", "A 30541-2024")</f>
        <v/>
      </c>
      <c r="W41">
        <f>HYPERLINK("https://klasma.github.io/Logging_2181/klagomålsmail/A 30541-2024 FSC-klagomål mail.docx", "A 30541-2024")</f>
        <v/>
      </c>
      <c r="X41">
        <f>HYPERLINK("https://klasma.github.io/Logging_2181/tillsyn/A 30541-2024 tillsynsbegäran.docx", "A 30541-2024")</f>
        <v/>
      </c>
      <c r="Y41">
        <f>HYPERLINK("https://klasma.github.io/Logging_2181/tillsynsmail/A 30541-2024 tillsynsbegäran mail.docx", "A 30541-2024")</f>
        <v/>
      </c>
    </row>
    <row r="42" ht="15" customHeight="1">
      <c r="A42" t="inlineStr">
        <is>
          <t>A 30497-2024</t>
        </is>
      </c>
      <c r="B42" s="1" t="n">
        <v>45492</v>
      </c>
      <c r="C42" s="1" t="n">
        <v>45630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30497-2024 artfynd.xlsx", "A 30497-2024")</f>
        <v/>
      </c>
      <c r="T42">
        <f>HYPERLINK("https://klasma.github.io/Logging_2181/kartor/A 30497-2024 karta.png", "A 30497-2024")</f>
        <v/>
      </c>
      <c r="V42">
        <f>HYPERLINK("https://klasma.github.io/Logging_2181/klagomål/A 30497-2024 FSC-klagomål.docx", "A 30497-2024")</f>
        <v/>
      </c>
      <c r="W42">
        <f>HYPERLINK("https://klasma.github.io/Logging_2181/klagomålsmail/A 30497-2024 FSC-klagomål mail.docx", "A 30497-2024")</f>
        <v/>
      </c>
      <c r="X42">
        <f>HYPERLINK("https://klasma.github.io/Logging_2181/tillsyn/A 30497-2024 tillsynsbegäran.docx", "A 30497-2024")</f>
        <v/>
      </c>
      <c r="Y42">
        <f>HYPERLINK("https://klasma.github.io/Logging_2181/tillsynsmail/A 30497-2024 tillsynsbegäran mail.docx", "A 30497-2024")</f>
        <v/>
      </c>
    </row>
    <row r="43" ht="15" customHeight="1">
      <c r="A43" t="inlineStr">
        <is>
          <t>A 35623-2024</t>
        </is>
      </c>
      <c r="B43" s="1" t="n">
        <v>45531</v>
      </c>
      <c r="C43" s="1" t="n">
        <v>45630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HYPERLINK("https://klasma.github.io/Logging_2181/artfynd/A 35623-2024 artfynd.xlsx", "A 35623-2024")</f>
        <v/>
      </c>
      <c r="T43">
        <f>HYPERLINK("https://klasma.github.io/Logging_2181/kartor/A 35623-2024 karta.png", "A 35623-2024")</f>
        <v/>
      </c>
      <c r="V43">
        <f>HYPERLINK("https://klasma.github.io/Logging_2181/klagomål/A 35623-2024 FSC-klagomål.docx", "A 35623-2024")</f>
        <v/>
      </c>
      <c r="W43">
        <f>HYPERLINK("https://klasma.github.io/Logging_2181/klagomålsmail/A 35623-2024 FSC-klagomål mail.docx", "A 35623-2024")</f>
        <v/>
      </c>
      <c r="X43">
        <f>HYPERLINK("https://klasma.github.io/Logging_2181/tillsyn/A 35623-2024 tillsynsbegäran.docx", "A 35623-2024")</f>
        <v/>
      </c>
      <c r="Y43">
        <f>HYPERLINK("https://klasma.github.io/Logging_2181/tillsynsmail/A 35623-2024 tillsynsbegäran mail.docx", "A 35623-2024")</f>
        <v/>
      </c>
    </row>
    <row r="44" ht="15" customHeight="1">
      <c r="A44" t="inlineStr">
        <is>
          <t>A 37525-2024</t>
        </is>
      </c>
      <c r="B44" s="1" t="n">
        <v>45541</v>
      </c>
      <c r="C44" s="1" t="n">
        <v>45630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37525-2024 artfynd.xlsx", "A 37525-2024")</f>
        <v/>
      </c>
      <c r="T44">
        <f>HYPERLINK("https://klasma.github.io/Logging_2181/kartor/A 37525-2024 karta.png", "A 37525-2024")</f>
        <v/>
      </c>
      <c r="V44">
        <f>HYPERLINK("https://klasma.github.io/Logging_2181/klagomål/A 37525-2024 FSC-klagomål.docx", "A 37525-2024")</f>
        <v/>
      </c>
      <c r="W44">
        <f>HYPERLINK("https://klasma.github.io/Logging_2181/klagomålsmail/A 37525-2024 FSC-klagomål mail.docx", "A 37525-2024")</f>
        <v/>
      </c>
      <c r="X44">
        <f>HYPERLINK("https://klasma.github.io/Logging_2181/tillsyn/A 37525-2024 tillsynsbegäran.docx", "A 37525-2024")</f>
        <v/>
      </c>
      <c r="Y44">
        <f>HYPERLINK("https://klasma.github.io/Logging_2181/tillsynsmail/A 37525-2024 tillsynsbegäran mail.docx", "A 37525-2024")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45630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38960-2024</t>
        </is>
      </c>
      <c r="B46" s="1" t="n">
        <v>45548</v>
      </c>
      <c r="C46" s="1" t="n">
        <v>45630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38960-2024 artfynd.xlsx", "A 38960-2024")</f>
        <v/>
      </c>
      <c r="T46">
        <f>HYPERLINK("https://klasma.github.io/Logging_2181/kartor/A 38960-2024 karta.png", "A 38960-2024")</f>
        <v/>
      </c>
      <c r="U46">
        <f>HYPERLINK("https://klasma.github.io/Logging_2181/knärot/A 38960-2024 karta knärot.png", "A 38960-2024")</f>
        <v/>
      </c>
      <c r="V46">
        <f>HYPERLINK("https://klasma.github.io/Logging_2181/klagomål/A 38960-2024 FSC-klagomål.docx", "A 38960-2024")</f>
        <v/>
      </c>
      <c r="W46">
        <f>HYPERLINK("https://klasma.github.io/Logging_2181/klagomålsmail/A 38960-2024 FSC-klagomål mail.docx", "A 38960-2024")</f>
        <v/>
      </c>
      <c r="X46">
        <f>HYPERLINK("https://klasma.github.io/Logging_2181/tillsyn/A 38960-2024 tillsynsbegäran.docx", "A 38960-2024")</f>
        <v/>
      </c>
      <c r="Y46">
        <f>HYPERLINK("https://klasma.github.io/Logging_2181/tillsynsmail/A 38960-2024 tillsynsbegäran mail.docx", "A 38960-2024")</f>
        <v/>
      </c>
    </row>
    <row r="47" ht="15" customHeight="1">
      <c r="A47" t="inlineStr">
        <is>
          <t>A 39793-2024</t>
        </is>
      </c>
      <c r="B47" s="1" t="n">
        <v>45553</v>
      </c>
      <c r="C47" s="1" t="n">
        <v>45630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HYPERLINK("https://klasma.github.io/Logging_2181/artfynd/A 39793-2024 artfynd.xlsx", "A 39793-2024")</f>
        <v/>
      </c>
      <c r="T47">
        <f>HYPERLINK("https://klasma.github.io/Logging_2181/kartor/A 39793-2024 karta.png", "A 39793-2024")</f>
        <v/>
      </c>
      <c r="V47">
        <f>HYPERLINK("https://klasma.github.io/Logging_2181/klagomål/A 39793-2024 FSC-klagomål.docx", "A 39793-2024")</f>
        <v/>
      </c>
      <c r="W47">
        <f>HYPERLINK("https://klasma.github.io/Logging_2181/klagomålsmail/A 39793-2024 FSC-klagomål mail.docx", "A 39793-2024")</f>
        <v/>
      </c>
      <c r="X47">
        <f>HYPERLINK("https://klasma.github.io/Logging_2181/tillsyn/A 39793-2024 tillsynsbegäran.docx", "A 39793-2024")</f>
        <v/>
      </c>
      <c r="Y47">
        <f>HYPERLINK("https://klasma.github.io/Logging_2181/tillsynsmail/A 39793-2024 tillsynsbegäran mail.docx", "A 39793-2024")</f>
        <v/>
      </c>
    </row>
    <row r="48" ht="15" customHeight="1">
      <c r="A48" t="inlineStr">
        <is>
          <t>A 47971-2024</t>
        </is>
      </c>
      <c r="B48" s="1" t="n">
        <v>45589</v>
      </c>
      <c r="C48" s="1" t="n">
        <v>45630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HYPERLINK("https://klasma.github.io/Logging_2181/artfynd/A 47971-2024 artfynd.xlsx", "A 47971-2024")</f>
        <v/>
      </c>
      <c r="T48">
        <f>HYPERLINK("https://klasma.github.io/Logging_2181/kartor/A 47971-2024 karta.png", "A 47971-2024")</f>
        <v/>
      </c>
      <c r="V48">
        <f>HYPERLINK("https://klasma.github.io/Logging_2181/klagomål/A 47971-2024 FSC-klagomål.docx", "A 47971-2024")</f>
        <v/>
      </c>
      <c r="W48">
        <f>HYPERLINK("https://klasma.github.io/Logging_2181/klagomålsmail/A 47971-2024 FSC-klagomål mail.docx", "A 47971-2024")</f>
        <v/>
      </c>
      <c r="X48">
        <f>HYPERLINK("https://klasma.github.io/Logging_2181/tillsyn/A 47971-2024 tillsynsbegäran.docx", "A 47971-2024")</f>
        <v/>
      </c>
      <c r="Y48">
        <f>HYPERLINK("https://klasma.github.io/Logging_2181/tillsynsmail/A 47971-2024 tillsynsbegäran mail.docx", "A 47971-2024")</f>
        <v/>
      </c>
    </row>
    <row r="49" ht="15" customHeight="1">
      <c r="A49" t="inlineStr">
        <is>
          <t>A 49365-2024</t>
        </is>
      </c>
      <c r="B49" s="1" t="n">
        <v>45595</v>
      </c>
      <c r="C49" s="1" t="n">
        <v>45630</v>
      </c>
      <c r="D49" t="inlineStr">
        <is>
          <t>GÄVLEBORGS LÄN</t>
        </is>
      </c>
      <c r="E49" t="inlineStr">
        <is>
          <t>SANDVIKEN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49365-2024 artfynd.xlsx", "A 49365-2024")</f>
        <v/>
      </c>
      <c r="T49">
        <f>HYPERLINK("https://klasma.github.io/Logging_2181/kartor/A 49365-2024 karta.png", "A 49365-2024")</f>
        <v/>
      </c>
      <c r="U49">
        <f>HYPERLINK("https://klasma.github.io/Logging_2181/knärot/A 49365-2024 karta knärot.png", "A 49365-2024")</f>
        <v/>
      </c>
      <c r="V49">
        <f>HYPERLINK("https://klasma.github.io/Logging_2181/klagomål/A 49365-2024 FSC-klagomål.docx", "A 49365-2024")</f>
        <v/>
      </c>
      <c r="W49">
        <f>HYPERLINK("https://klasma.github.io/Logging_2181/klagomålsmail/A 49365-2024 FSC-klagomål mail.docx", "A 49365-2024")</f>
        <v/>
      </c>
      <c r="X49">
        <f>HYPERLINK("https://klasma.github.io/Logging_2181/tillsyn/A 49365-2024 tillsynsbegäran.docx", "A 49365-2024")</f>
        <v/>
      </c>
      <c r="Y49">
        <f>HYPERLINK("https://klasma.github.io/Logging_2181/tillsynsmail/A 49365-2024 tillsynsbegäran mail.docx", "A 49365-2024")</f>
        <v/>
      </c>
    </row>
    <row r="50" ht="15" customHeight="1">
      <c r="A50" t="inlineStr">
        <is>
          <t>A 54335-2024</t>
        </is>
      </c>
      <c r="B50" s="1" t="n">
        <v>45617</v>
      </c>
      <c r="C50" s="1" t="n">
        <v>45630</v>
      </c>
      <c r="D50" t="inlineStr">
        <is>
          <t>GÄVLEBORGS LÄN</t>
        </is>
      </c>
      <c r="E50" t="inlineStr">
        <is>
          <t>SANDVIKEN</t>
        </is>
      </c>
      <c r="G50" t="n">
        <v>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HYPERLINK("https://klasma.github.io/Logging_2181/artfynd/A 54335-2024 artfynd.xlsx", "A 54335-2024")</f>
        <v/>
      </c>
      <c r="T50">
        <f>HYPERLINK("https://klasma.github.io/Logging_2181/kartor/A 54335-2024 karta.png", "A 54335-2024")</f>
        <v/>
      </c>
      <c r="V50">
        <f>HYPERLINK("https://klasma.github.io/Logging_2181/klagomål/A 54335-2024 FSC-klagomål.docx", "A 54335-2024")</f>
        <v/>
      </c>
      <c r="W50">
        <f>HYPERLINK("https://klasma.github.io/Logging_2181/klagomålsmail/A 54335-2024 FSC-klagomål mail.docx", "A 54335-2024")</f>
        <v/>
      </c>
      <c r="X50">
        <f>HYPERLINK("https://klasma.github.io/Logging_2181/tillsyn/A 54335-2024 tillsynsbegäran.docx", "A 54335-2024")</f>
        <v/>
      </c>
      <c r="Y50">
        <f>HYPERLINK("https://klasma.github.io/Logging_2181/tillsynsmail/A 54335-2024 tillsynsbegäran mail.docx", "A 54335-2024")</f>
        <v/>
      </c>
    </row>
    <row r="51" ht="15" customHeight="1">
      <c r="A51" t="inlineStr">
        <is>
          <t>A 19293-2019</t>
        </is>
      </c>
      <c r="B51" s="1" t="n">
        <v>43565</v>
      </c>
      <c r="C51" s="1" t="n">
        <v>45630</v>
      </c>
      <c r="D51" t="inlineStr">
        <is>
          <t>GÄVLEBORGS LÄN</t>
        </is>
      </c>
      <c r="E51" t="inlineStr">
        <is>
          <t>SANDVIKEN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19442-2019</t>
        </is>
      </c>
      <c r="B52" s="1" t="n">
        <v>43565</v>
      </c>
      <c r="C52" s="1" t="n">
        <v>45630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21172-2019</t>
        </is>
      </c>
      <c r="B53" s="1" t="n">
        <v>43579</v>
      </c>
      <c r="C53" s="1" t="n">
        <v>45630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21582-2019</t>
        </is>
      </c>
      <c r="B54" s="1" t="n">
        <v>43580</v>
      </c>
      <c r="C54" s="1" t="n">
        <v>45630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21581-2019</t>
        </is>
      </c>
      <c r="B55" s="1" t="n">
        <v>43580</v>
      </c>
      <c r="C55" s="1" t="n">
        <v>45630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22222-2019</t>
        </is>
      </c>
      <c r="B56" s="1" t="n">
        <v>43585</v>
      </c>
      <c r="C56" s="1" t="n">
        <v>45630</v>
      </c>
      <c r="D56" t="inlineStr">
        <is>
          <t>GÄVLEBORGS LÄN</t>
        </is>
      </c>
      <c r="E56" t="inlineStr">
        <is>
          <t>SANDVIKEN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23381-2019</t>
        </is>
      </c>
      <c r="B57" s="1" t="n">
        <v>43593</v>
      </c>
      <c r="C57" s="1" t="n">
        <v>45630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23876-2019</t>
        </is>
      </c>
      <c r="B58" s="1" t="n">
        <v>43595</v>
      </c>
      <c r="C58" s="1" t="n">
        <v>45630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23848-2019</t>
        </is>
      </c>
      <c r="B59" s="1" t="n">
        <v>43595</v>
      </c>
      <c r="C59" s="1" t="n">
        <v>45630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23982-2019</t>
        </is>
      </c>
      <c r="B60" s="1" t="n">
        <v>43598</v>
      </c>
      <c r="C60" s="1" t="n">
        <v>45630</v>
      </c>
      <c r="D60" t="inlineStr">
        <is>
          <t>GÄVLEBORGS LÄN</t>
        </is>
      </c>
      <c r="E60" t="inlineStr">
        <is>
          <t>SANDVIKEN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24915-2019</t>
        </is>
      </c>
      <c r="B61" s="1" t="n">
        <v>43602</v>
      </c>
      <c r="C61" s="1" t="n">
        <v>45630</v>
      </c>
      <c r="D61" t="inlineStr">
        <is>
          <t>GÄVLEBORGS LÄN</t>
        </is>
      </c>
      <c r="E61" t="inlineStr">
        <is>
          <t>SANDVIKEN</t>
        </is>
      </c>
      <c r="F61" t="inlineStr">
        <is>
          <t>Naturvårdsverket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27152-2019</t>
        </is>
      </c>
      <c r="B62" s="1" t="n">
        <v>43614</v>
      </c>
      <c r="C62" s="1" t="n">
        <v>45630</v>
      </c>
      <c r="D62" t="inlineStr">
        <is>
          <t>GÄVLEBORGS LÄN</t>
        </is>
      </c>
      <c r="E62" t="inlineStr">
        <is>
          <t>SANDVIKEN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27900-2019</t>
        </is>
      </c>
      <c r="B63" s="1" t="n">
        <v>43620</v>
      </c>
      <c r="C63" s="1" t="n">
        <v>45630</v>
      </c>
      <c r="D63" t="inlineStr">
        <is>
          <t>GÄVLEBORGS LÄN</t>
        </is>
      </c>
      <c r="E63" t="inlineStr">
        <is>
          <t>SANDVIKEN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29050-2019</t>
        </is>
      </c>
      <c r="B64" s="1" t="n">
        <v>43628</v>
      </c>
      <c r="C64" s="1" t="n">
        <v>45630</v>
      </c>
      <c r="D64" t="inlineStr">
        <is>
          <t>GÄVLEBORGS LÄN</t>
        </is>
      </c>
      <c r="E64" t="inlineStr">
        <is>
          <t>SANDVIKEN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29333-2019</t>
        </is>
      </c>
      <c r="B65" s="1" t="n">
        <v>43629</v>
      </c>
      <c r="C65" s="1" t="n">
        <v>45630</v>
      </c>
      <c r="D65" t="inlineStr">
        <is>
          <t>GÄVLEBORGS LÄN</t>
        </is>
      </c>
      <c r="E65" t="inlineStr">
        <is>
          <t>SANDVIKEN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29967-2019</t>
        </is>
      </c>
      <c r="B66" s="1" t="n">
        <v>43633</v>
      </c>
      <c r="C66" s="1" t="n">
        <v>45630</v>
      </c>
      <c r="D66" t="inlineStr">
        <is>
          <t>GÄVLEBORGS LÄN</t>
        </is>
      </c>
      <c r="E66" t="inlineStr">
        <is>
          <t>SANDVIKEN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30484-2019</t>
        </is>
      </c>
      <c r="B67" s="1" t="n">
        <v>43635</v>
      </c>
      <c r="C67" s="1" t="n">
        <v>45630</v>
      </c>
      <c r="D67" t="inlineStr">
        <is>
          <t>GÄVLEBORGS LÄN</t>
        </is>
      </c>
      <c r="E67" t="inlineStr">
        <is>
          <t>SANDVIKEN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30741-2019</t>
        </is>
      </c>
      <c r="B68" s="1" t="n">
        <v>43636</v>
      </c>
      <c r="C68" s="1" t="n">
        <v>45630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32130-2019</t>
        </is>
      </c>
      <c r="B69" s="1" t="n">
        <v>43643</v>
      </c>
      <c r="C69" s="1" t="n">
        <v>45630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32007-2019</t>
        </is>
      </c>
      <c r="B70" s="1" t="n">
        <v>43643</v>
      </c>
      <c r="C70" s="1" t="n">
        <v>45630</v>
      </c>
      <c r="D70" t="inlineStr">
        <is>
          <t>GÄVLEBORGS LÄN</t>
        </is>
      </c>
      <c r="E70" t="inlineStr">
        <is>
          <t>SANDVIKEN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33154-2019</t>
        </is>
      </c>
      <c r="B71" s="1" t="n">
        <v>43649</v>
      </c>
      <c r="C71" s="1" t="n">
        <v>45630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33629-2019</t>
        </is>
      </c>
      <c r="B72" s="1" t="n">
        <v>43651</v>
      </c>
      <c r="C72" s="1" t="n">
        <v>45630</v>
      </c>
      <c r="D72" t="inlineStr">
        <is>
          <t>GÄVLEBORGS LÄN</t>
        </is>
      </c>
      <c r="E72" t="inlineStr">
        <is>
          <t>SANDVIKEN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35316-2019</t>
        </is>
      </c>
      <c r="B73" s="1" t="n">
        <v>43651</v>
      </c>
      <c r="C73" s="1" t="n">
        <v>45630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35651-2019</t>
        </is>
      </c>
      <c r="B74" s="1" t="n">
        <v>43655</v>
      </c>
      <c r="C74" s="1" t="n">
        <v>45630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34547-2019</t>
        </is>
      </c>
      <c r="B75" s="1" t="n">
        <v>43657</v>
      </c>
      <c r="C75" s="1" t="n">
        <v>45630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34564-2019</t>
        </is>
      </c>
      <c r="B76" s="1" t="n">
        <v>43657</v>
      </c>
      <c r="C76" s="1" t="n">
        <v>45630</v>
      </c>
      <c r="D76" t="inlineStr">
        <is>
          <t>GÄVLEBORGS LÄN</t>
        </is>
      </c>
      <c r="E76" t="inlineStr">
        <is>
          <t>SANDVIKEN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34989-2019</t>
        </is>
      </c>
      <c r="B77" s="1" t="n">
        <v>43659</v>
      </c>
      <c r="C77" s="1" t="n">
        <v>45630</v>
      </c>
      <c r="D77" t="inlineStr">
        <is>
          <t>GÄVLEBORGS LÄN</t>
        </is>
      </c>
      <c r="E77" t="inlineStr">
        <is>
          <t>SANDVIKEN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37102-2019</t>
        </is>
      </c>
      <c r="B78" s="1" t="n">
        <v>43676</v>
      </c>
      <c r="C78" s="1" t="n">
        <v>45630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38883-2019</t>
        </is>
      </c>
      <c r="B79" s="1" t="n">
        <v>43689</v>
      </c>
      <c r="C79" s="1" t="n">
        <v>45630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39275-2019</t>
        </is>
      </c>
      <c r="B80" s="1" t="n">
        <v>43690</v>
      </c>
      <c r="C80" s="1" t="n">
        <v>45630</v>
      </c>
      <c r="D80" t="inlineStr">
        <is>
          <t>GÄVLEBORGS LÄN</t>
        </is>
      </c>
      <c r="E80" t="inlineStr">
        <is>
          <t>SANDVIKEN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39310-2019</t>
        </is>
      </c>
      <c r="B81" s="1" t="n">
        <v>43690</v>
      </c>
      <c r="C81" s="1" t="n">
        <v>45630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40380-2019</t>
        </is>
      </c>
      <c r="B82" s="1" t="n">
        <v>43696</v>
      </c>
      <c r="C82" s="1" t="n">
        <v>45630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43095-2019</t>
        </is>
      </c>
      <c r="B83" s="1" t="n">
        <v>43705</v>
      </c>
      <c r="C83" s="1" t="n">
        <v>45630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44801-2019</t>
        </is>
      </c>
      <c r="B84" s="1" t="n">
        <v>43707</v>
      </c>
      <c r="C84" s="1" t="n">
        <v>45630</v>
      </c>
      <c r="D84" t="inlineStr">
        <is>
          <t>GÄVLEBORGS LÄN</t>
        </is>
      </c>
      <c r="E84" t="inlineStr">
        <is>
          <t>SANDVIKEN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44717-2019</t>
        </is>
      </c>
      <c r="B85" s="1" t="n">
        <v>43712</v>
      </c>
      <c r="C85" s="1" t="n">
        <v>45630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44974-2019</t>
        </is>
      </c>
      <c r="B86" s="1" t="n">
        <v>43713</v>
      </c>
      <c r="C86" s="1" t="n">
        <v>45630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45207-2019</t>
        </is>
      </c>
      <c r="B87" s="1" t="n">
        <v>43713</v>
      </c>
      <c r="C87" s="1" t="n">
        <v>45630</v>
      </c>
      <c r="D87" t="inlineStr">
        <is>
          <t>GÄVLEBORGS LÄN</t>
        </is>
      </c>
      <c r="E87" t="inlineStr">
        <is>
          <t>SANDVIKEN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45019-2019</t>
        </is>
      </c>
      <c r="B88" s="1" t="n">
        <v>43713</v>
      </c>
      <c r="C88" s="1" t="n">
        <v>45630</v>
      </c>
      <c r="D88" t="inlineStr">
        <is>
          <t>GÄVLEBORGS LÄN</t>
        </is>
      </c>
      <c r="E88" t="inlineStr">
        <is>
          <t>SANDVIKEN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46113-2019</t>
        </is>
      </c>
      <c r="B89" s="1" t="n">
        <v>43718</v>
      </c>
      <c r="C89" s="1" t="n">
        <v>45630</v>
      </c>
      <c r="D89" t="inlineStr">
        <is>
          <t>GÄVLEBORGS LÄN</t>
        </is>
      </c>
      <c r="E89" t="inlineStr">
        <is>
          <t>SANDVIKEN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46262-2019</t>
        </is>
      </c>
      <c r="B90" s="1" t="n">
        <v>43718</v>
      </c>
      <c r="C90" s="1" t="n">
        <v>45630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46949-2019</t>
        </is>
      </c>
      <c r="B91" s="1" t="n">
        <v>43719</v>
      </c>
      <c r="C91" s="1" t="n">
        <v>45630</v>
      </c>
      <c r="D91" t="inlineStr">
        <is>
          <t>GÄVLEBORGS LÄN</t>
        </is>
      </c>
      <c r="E91" t="inlineStr">
        <is>
          <t>SANDVIKEN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47286-2019</t>
        </is>
      </c>
      <c r="B92" s="1" t="n">
        <v>43721</v>
      </c>
      <c r="C92" s="1" t="n">
        <v>45630</v>
      </c>
      <c r="D92" t="inlineStr">
        <is>
          <t>GÄVLEBORGS LÄN</t>
        </is>
      </c>
      <c r="E92" t="inlineStr">
        <is>
          <t>SANDVIKEN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48772-2019</t>
        </is>
      </c>
      <c r="B93" s="1" t="n">
        <v>43727</v>
      </c>
      <c r="C93" s="1" t="n">
        <v>45630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48781-2019</t>
        </is>
      </c>
      <c r="B94" s="1" t="n">
        <v>43727</v>
      </c>
      <c r="C94" s="1" t="n">
        <v>45630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48765-2019</t>
        </is>
      </c>
      <c r="B95" s="1" t="n">
        <v>43727</v>
      </c>
      <c r="C95" s="1" t="n">
        <v>45630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48764-2019</t>
        </is>
      </c>
      <c r="B96" s="1" t="n">
        <v>43727</v>
      </c>
      <c r="C96" s="1" t="n">
        <v>45630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48773-2019</t>
        </is>
      </c>
      <c r="B97" s="1" t="n">
        <v>43727</v>
      </c>
      <c r="C97" s="1" t="n">
        <v>45630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48787-2019</t>
        </is>
      </c>
      <c r="B98" s="1" t="n">
        <v>43727</v>
      </c>
      <c r="C98" s="1" t="n">
        <v>45630</v>
      </c>
      <c r="D98" t="inlineStr">
        <is>
          <t>GÄVLEBORGS LÄN</t>
        </is>
      </c>
      <c r="E98" t="inlineStr">
        <is>
          <t>SANDVIKEN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48766-2019</t>
        </is>
      </c>
      <c r="B99" s="1" t="n">
        <v>43727</v>
      </c>
      <c r="C99" s="1" t="n">
        <v>45630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49528-2019</t>
        </is>
      </c>
      <c r="B100" s="1" t="n">
        <v>43732</v>
      </c>
      <c r="C100" s="1" t="n">
        <v>45630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52458-2019</t>
        </is>
      </c>
      <c r="B101" s="1" t="n">
        <v>43745</v>
      </c>
      <c r="C101" s="1" t="n">
        <v>45630</v>
      </c>
      <c r="D101" t="inlineStr">
        <is>
          <t>GÄVLEBORGS LÄN</t>
        </is>
      </c>
      <c r="E101" t="inlineStr">
        <is>
          <t>SANDVIKEN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53520-2019</t>
        </is>
      </c>
      <c r="B102" s="1" t="n">
        <v>43749</v>
      </c>
      <c r="C102" s="1" t="n">
        <v>45630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55791-2019</t>
        </is>
      </c>
      <c r="B103" s="1" t="n">
        <v>43759</v>
      </c>
      <c r="C103" s="1" t="n">
        <v>45630</v>
      </c>
      <c r="D103" t="inlineStr">
        <is>
          <t>GÄVLEBORGS LÄN</t>
        </is>
      </c>
      <c r="E103" t="inlineStr">
        <is>
          <t>SANDVIKEN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56142-2019</t>
        </is>
      </c>
      <c r="B104" s="1" t="n">
        <v>43761</v>
      </c>
      <c r="C104" s="1" t="n">
        <v>45630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55883-2019</t>
        </is>
      </c>
      <c r="B105" s="1" t="n">
        <v>43761</v>
      </c>
      <c r="C105" s="1" t="n">
        <v>45630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57226-2019</t>
        </is>
      </c>
      <c r="B106" s="1" t="n">
        <v>43767</v>
      </c>
      <c r="C106" s="1" t="n">
        <v>45630</v>
      </c>
      <c r="D106" t="inlineStr">
        <is>
          <t>GÄVLEBORGS LÄN</t>
        </is>
      </c>
      <c r="E106" t="inlineStr">
        <is>
          <t>SANDVIKEN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57626-2019</t>
        </is>
      </c>
      <c r="B107" s="1" t="n">
        <v>43768</v>
      </c>
      <c r="C107" s="1" t="n">
        <v>45630</v>
      </c>
      <c r="D107" t="inlineStr">
        <is>
          <t>GÄVLEBORGS LÄN</t>
        </is>
      </c>
      <c r="E107" t="inlineStr">
        <is>
          <t>SANDVIKEN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58148-2019</t>
        </is>
      </c>
      <c r="B108" s="1" t="n">
        <v>43769</v>
      </c>
      <c r="C108" s="1" t="n">
        <v>45630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59269-2019</t>
        </is>
      </c>
      <c r="B109" s="1" t="n">
        <v>43770</v>
      </c>
      <c r="C109" s="1" t="n">
        <v>45630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58714-2019</t>
        </is>
      </c>
      <c r="B110" s="1" t="n">
        <v>43773</v>
      </c>
      <c r="C110" s="1" t="n">
        <v>45630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59956-2019</t>
        </is>
      </c>
      <c r="B111" s="1" t="n">
        <v>43777</v>
      </c>
      <c r="C111" s="1" t="n">
        <v>45630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59838-2019</t>
        </is>
      </c>
      <c r="B112" s="1" t="n">
        <v>43777</v>
      </c>
      <c r="C112" s="1" t="n">
        <v>45630</v>
      </c>
      <c r="D112" t="inlineStr">
        <is>
          <t>GÄVLEBORGS LÄN</t>
        </is>
      </c>
      <c r="E112" t="inlineStr">
        <is>
          <t>SANDVIKEN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62085-2019</t>
        </is>
      </c>
      <c r="B113" s="1" t="n">
        <v>43782</v>
      </c>
      <c r="C113" s="1" t="n">
        <v>45630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62088-2019</t>
        </is>
      </c>
      <c r="B114" s="1" t="n">
        <v>43782</v>
      </c>
      <c r="C114" s="1" t="n">
        <v>45630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61481-2019</t>
        </is>
      </c>
      <c r="B115" s="1" t="n">
        <v>43783</v>
      </c>
      <c r="C115" s="1" t="n">
        <v>45630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61675-2019</t>
        </is>
      </c>
      <c r="B116" s="1" t="n">
        <v>43784</v>
      </c>
      <c r="C116" s="1" t="n">
        <v>45630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62439-2019</t>
        </is>
      </c>
      <c r="B117" s="1" t="n">
        <v>43788</v>
      </c>
      <c r="C117" s="1" t="n">
        <v>45630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62615-2019</t>
        </is>
      </c>
      <c r="B118" s="1" t="n">
        <v>43789</v>
      </c>
      <c r="C118" s="1" t="n">
        <v>45630</v>
      </c>
      <c r="D118" t="inlineStr">
        <is>
          <t>GÄVLEBORGS LÄN</t>
        </is>
      </c>
      <c r="E118" t="inlineStr">
        <is>
          <t>SANDVIKEN</t>
        </is>
      </c>
      <c r="F118" t="inlineStr">
        <is>
          <t>Naturvårdsverket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64264-2019</t>
        </is>
      </c>
      <c r="B119" s="1" t="n">
        <v>43797</v>
      </c>
      <c r="C119" s="1" t="n">
        <v>45630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68010-2019</t>
        </is>
      </c>
      <c r="B120" s="1" t="n">
        <v>43816</v>
      </c>
      <c r="C120" s="1" t="n">
        <v>45630</v>
      </c>
      <c r="D120" t="inlineStr">
        <is>
          <t>GÄVLEBORGS LÄN</t>
        </is>
      </c>
      <c r="E120" t="inlineStr">
        <is>
          <t>SANDVIKEN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68015-2019</t>
        </is>
      </c>
      <c r="B121" s="1" t="n">
        <v>43816</v>
      </c>
      <c r="C121" s="1" t="n">
        <v>45630</v>
      </c>
      <c r="D121" t="inlineStr">
        <is>
          <t>GÄVLEBORGS LÄN</t>
        </is>
      </c>
      <c r="E121" t="inlineStr">
        <is>
          <t>SANDVIKEN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68961-2019</t>
        </is>
      </c>
      <c r="B122" s="1" t="n">
        <v>43822</v>
      </c>
      <c r="C122" s="1" t="n">
        <v>45630</v>
      </c>
      <c r="D122" t="inlineStr">
        <is>
          <t>GÄVLEBORGS LÄN</t>
        </is>
      </c>
      <c r="E122" t="inlineStr">
        <is>
          <t>SANDVIKEN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69096-2019</t>
        </is>
      </c>
      <c r="B123" s="1" t="n">
        <v>43829</v>
      </c>
      <c r="C123" s="1" t="n">
        <v>45630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977-2020</t>
        </is>
      </c>
      <c r="B124" s="1" t="n">
        <v>43839</v>
      </c>
      <c r="C124" s="1" t="n">
        <v>45630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1916-2020</t>
        </is>
      </c>
      <c r="B125" s="1" t="n">
        <v>43845</v>
      </c>
      <c r="C125" s="1" t="n">
        <v>45630</v>
      </c>
      <c r="D125" t="inlineStr">
        <is>
          <t>GÄVLEBORGS LÄN</t>
        </is>
      </c>
      <c r="E125" t="inlineStr">
        <is>
          <t>SANDVIKEN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3210-2020</t>
        </is>
      </c>
      <c r="B126" s="1" t="n">
        <v>43851</v>
      </c>
      <c r="C126" s="1" t="n">
        <v>45630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4697-2020</t>
        </is>
      </c>
      <c r="B127" s="1" t="n">
        <v>43858</v>
      </c>
      <c r="C127" s="1" t="n">
        <v>45630</v>
      </c>
      <c r="D127" t="inlineStr">
        <is>
          <t>GÄVLEBORGS LÄN</t>
        </is>
      </c>
      <c r="E127" t="inlineStr">
        <is>
          <t>SANDVIKEN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4696-2020</t>
        </is>
      </c>
      <c r="B128" s="1" t="n">
        <v>43858</v>
      </c>
      <c r="C128" s="1" t="n">
        <v>45630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5809-2020</t>
        </is>
      </c>
      <c r="B129" s="1" t="n">
        <v>43864</v>
      </c>
      <c r="C129" s="1" t="n">
        <v>45630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6190-2020</t>
        </is>
      </c>
      <c r="B130" s="1" t="n">
        <v>43865</v>
      </c>
      <c r="C130" s="1" t="n">
        <v>45630</v>
      </c>
      <c r="D130" t="inlineStr">
        <is>
          <t>GÄVLEBORGS LÄN</t>
        </is>
      </c>
      <c r="E130" t="inlineStr">
        <is>
          <t>SANDVIKEN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6626-2020</t>
        </is>
      </c>
      <c r="B131" s="1" t="n">
        <v>43867</v>
      </c>
      <c r="C131" s="1" t="n">
        <v>45630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7205-2020</t>
        </is>
      </c>
      <c r="B132" s="1" t="n">
        <v>43871</v>
      </c>
      <c r="C132" s="1" t="n">
        <v>45630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7348-2020</t>
        </is>
      </c>
      <c r="B133" s="1" t="n">
        <v>43871</v>
      </c>
      <c r="C133" s="1" t="n">
        <v>45630</v>
      </c>
      <c r="D133" t="inlineStr">
        <is>
          <t>GÄVLEBORGS LÄN</t>
        </is>
      </c>
      <c r="E133" t="inlineStr">
        <is>
          <t>SANDVIKEN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7208-2020</t>
        </is>
      </c>
      <c r="B134" s="1" t="n">
        <v>43871</v>
      </c>
      <c r="C134" s="1" t="n">
        <v>45630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7202-2020</t>
        </is>
      </c>
      <c r="B135" s="1" t="n">
        <v>43871</v>
      </c>
      <c r="C135" s="1" t="n">
        <v>45630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8237-2020</t>
        </is>
      </c>
      <c r="B136" s="1" t="n">
        <v>43874</v>
      </c>
      <c r="C136" s="1" t="n">
        <v>45630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8143-2020</t>
        </is>
      </c>
      <c r="B137" s="1" t="n">
        <v>43874</v>
      </c>
      <c r="C137" s="1" t="n">
        <v>45630</v>
      </c>
      <c r="D137" t="inlineStr">
        <is>
          <t>GÄVLEBORGS LÄN</t>
        </is>
      </c>
      <c r="E137" t="inlineStr">
        <is>
          <t>SANDVIKEN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9095-2020</t>
        </is>
      </c>
      <c r="B138" s="1" t="n">
        <v>43879</v>
      </c>
      <c r="C138" s="1" t="n">
        <v>45630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9098-2020</t>
        </is>
      </c>
      <c r="B139" s="1" t="n">
        <v>43879</v>
      </c>
      <c r="C139" s="1" t="n">
        <v>45630</v>
      </c>
      <c r="D139" t="inlineStr">
        <is>
          <t>GÄVLEBORGS LÄN</t>
        </is>
      </c>
      <c r="E139" t="inlineStr">
        <is>
          <t>SANDVIKEN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10052-2020</t>
        </is>
      </c>
      <c r="B140" s="1" t="n">
        <v>43882</v>
      </c>
      <c r="C140" s="1" t="n">
        <v>45630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10440-2020</t>
        </is>
      </c>
      <c r="B141" s="1" t="n">
        <v>43886</v>
      </c>
      <c r="C141" s="1" t="n">
        <v>45630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11338-2020</t>
        </is>
      </c>
      <c r="B142" s="1" t="n">
        <v>43892</v>
      </c>
      <c r="C142" s="1" t="n">
        <v>45630</v>
      </c>
      <c r="D142" t="inlineStr">
        <is>
          <t>GÄVLEBORGS LÄN</t>
        </is>
      </c>
      <c r="E142" t="inlineStr">
        <is>
          <t>SANDVIKEN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11763-2020</t>
        </is>
      </c>
      <c r="B143" s="1" t="n">
        <v>43894</v>
      </c>
      <c r="C143" s="1" t="n">
        <v>45630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13062-2020</t>
        </is>
      </c>
      <c r="B144" s="1" t="n">
        <v>43900</v>
      </c>
      <c r="C144" s="1" t="n">
        <v>45630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15438-2020</t>
        </is>
      </c>
      <c r="B145" s="1" t="n">
        <v>43914</v>
      </c>
      <c r="C145" s="1" t="n">
        <v>45630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16108-2020</t>
        </is>
      </c>
      <c r="B146" s="1" t="n">
        <v>43916</v>
      </c>
      <c r="C146" s="1" t="n">
        <v>45630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16274-2020</t>
        </is>
      </c>
      <c r="B147" s="1" t="n">
        <v>43917</v>
      </c>
      <c r="C147" s="1" t="n">
        <v>45630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16611-2020</t>
        </is>
      </c>
      <c r="B148" s="1" t="n">
        <v>43920</v>
      </c>
      <c r="C148" s="1" t="n">
        <v>45630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16559-2020</t>
        </is>
      </c>
      <c r="B149" s="1" t="n">
        <v>43920</v>
      </c>
      <c r="C149" s="1" t="n">
        <v>45630</v>
      </c>
      <c r="D149" t="inlineStr">
        <is>
          <t>GÄVLEBORGS LÄN</t>
        </is>
      </c>
      <c r="E149" t="inlineStr">
        <is>
          <t>SANDVIKEN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17642-2020</t>
        </is>
      </c>
      <c r="B150" s="1" t="n">
        <v>43923</v>
      </c>
      <c r="C150" s="1" t="n">
        <v>45630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17648-2020</t>
        </is>
      </c>
      <c r="B151" s="1" t="n">
        <v>43923</v>
      </c>
      <c r="C151" s="1" t="n">
        <v>45630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17650-2020</t>
        </is>
      </c>
      <c r="B152" s="1" t="n">
        <v>43923</v>
      </c>
      <c r="C152" s="1" t="n">
        <v>45630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17645-2020</t>
        </is>
      </c>
      <c r="B153" s="1" t="n">
        <v>43923</v>
      </c>
      <c r="C153" s="1" t="n">
        <v>45630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17643-2020</t>
        </is>
      </c>
      <c r="B154" s="1" t="n">
        <v>43923</v>
      </c>
      <c r="C154" s="1" t="n">
        <v>45630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18535-2020</t>
        </is>
      </c>
      <c r="B155" s="1" t="n">
        <v>43929</v>
      </c>
      <c r="C155" s="1" t="n">
        <v>45630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19293-2020</t>
        </is>
      </c>
      <c r="B156" s="1" t="n">
        <v>43937</v>
      </c>
      <c r="C156" s="1" t="n">
        <v>45630</v>
      </c>
      <c r="D156" t="inlineStr">
        <is>
          <t>GÄVLEBORGS LÄN</t>
        </is>
      </c>
      <c r="E156" t="inlineStr">
        <is>
          <t>SANDVIKEN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20409-2020</t>
        </is>
      </c>
      <c r="B157" s="1" t="n">
        <v>43945</v>
      </c>
      <c r="C157" s="1" t="n">
        <v>45630</v>
      </c>
      <c r="D157" t="inlineStr">
        <is>
          <t>GÄVLEBORGS LÄN</t>
        </is>
      </c>
      <c r="E157" t="inlineStr">
        <is>
          <t>SANDVIKEN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21898-2020</t>
        </is>
      </c>
      <c r="B158" s="1" t="n">
        <v>43958</v>
      </c>
      <c r="C158" s="1" t="n">
        <v>45630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22000-2020</t>
        </is>
      </c>
      <c r="B159" s="1" t="n">
        <v>43959</v>
      </c>
      <c r="C159" s="1" t="n">
        <v>45630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22440-2020</t>
        </is>
      </c>
      <c r="B160" s="1" t="n">
        <v>43963</v>
      </c>
      <c r="C160" s="1" t="n">
        <v>45630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25242-2020</t>
        </is>
      </c>
      <c r="B161" s="1" t="n">
        <v>43980</v>
      </c>
      <c r="C161" s="1" t="n">
        <v>45630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27146-2020</t>
        </is>
      </c>
      <c r="B162" s="1" t="n">
        <v>43991</v>
      </c>
      <c r="C162" s="1" t="n">
        <v>45630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27444-2020</t>
        </is>
      </c>
      <c r="B163" s="1" t="n">
        <v>43993</v>
      </c>
      <c r="C163" s="1" t="n">
        <v>45630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27728-2020</t>
        </is>
      </c>
      <c r="B164" s="1" t="n">
        <v>43994</v>
      </c>
      <c r="C164" s="1" t="n">
        <v>45630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28525-2020</t>
        </is>
      </c>
      <c r="B165" s="1" t="n">
        <v>43999</v>
      </c>
      <c r="C165" s="1" t="n">
        <v>45630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28564-2020</t>
        </is>
      </c>
      <c r="B166" s="1" t="n">
        <v>43999</v>
      </c>
      <c r="C166" s="1" t="n">
        <v>45630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29665-2020</t>
        </is>
      </c>
      <c r="B167" s="1" t="n">
        <v>44005</v>
      </c>
      <c r="C167" s="1" t="n">
        <v>45630</v>
      </c>
      <c r="D167" t="inlineStr">
        <is>
          <t>GÄVLEBORGS LÄN</t>
        </is>
      </c>
      <c r="E167" t="inlineStr">
        <is>
          <t>SANDVIKEN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30185-2020</t>
        </is>
      </c>
      <c r="B168" s="1" t="n">
        <v>44007</v>
      </c>
      <c r="C168" s="1" t="n">
        <v>45630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30134-2020</t>
        </is>
      </c>
      <c r="B169" s="1" t="n">
        <v>44007</v>
      </c>
      <c r="C169" s="1" t="n">
        <v>45630</v>
      </c>
      <c r="D169" t="inlineStr">
        <is>
          <t>GÄVLEBORGS LÄN</t>
        </is>
      </c>
      <c r="E169" t="inlineStr">
        <is>
          <t>SANDVIKEN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30242-2020</t>
        </is>
      </c>
      <c r="B170" s="1" t="n">
        <v>44007</v>
      </c>
      <c r="C170" s="1" t="n">
        <v>45630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30452-2020</t>
        </is>
      </c>
      <c r="B171" s="1" t="n">
        <v>44007</v>
      </c>
      <c r="C171" s="1" t="n">
        <v>45630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30359-2020</t>
        </is>
      </c>
      <c r="B172" s="1" t="n">
        <v>44007</v>
      </c>
      <c r="C172" s="1" t="n">
        <v>45630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30225-2020</t>
        </is>
      </c>
      <c r="B173" s="1" t="n">
        <v>44007</v>
      </c>
      <c r="C173" s="1" t="n">
        <v>45630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32796-2020</t>
        </is>
      </c>
      <c r="B174" s="1" t="n">
        <v>44020</v>
      </c>
      <c r="C174" s="1" t="n">
        <v>45630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32795-2020</t>
        </is>
      </c>
      <c r="B175" s="1" t="n">
        <v>44020</v>
      </c>
      <c r="C175" s="1" t="n">
        <v>45630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33414-2020</t>
        </is>
      </c>
      <c r="B176" s="1" t="n">
        <v>44022</v>
      </c>
      <c r="C176" s="1" t="n">
        <v>45630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33863-2020</t>
        </is>
      </c>
      <c r="B177" s="1" t="n">
        <v>44027</v>
      </c>
      <c r="C177" s="1" t="n">
        <v>45630</v>
      </c>
      <c r="D177" t="inlineStr">
        <is>
          <t>GÄVLEBORGS LÄN</t>
        </is>
      </c>
      <c r="E177" t="inlineStr">
        <is>
          <t>SANDVIKEN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34496-2020</t>
        </is>
      </c>
      <c r="B178" s="1" t="n">
        <v>44029</v>
      </c>
      <c r="C178" s="1" t="n">
        <v>45630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35205-2020</t>
        </is>
      </c>
      <c r="B179" s="1" t="n">
        <v>44040</v>
      </c>
      <c r="C179" s="1" t="n">
        <v>45630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35335-2020</t>
        </is>
      </c>
      <c r="B180" s="1" t="n">
        <v>44041</v>
      </c>
      <c r="C180" s="1" t="n">
        <v>45630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35333-2020</t>
        </is>
      </c>
      <c r="B181" s="1" t="n">
        <v>44041</v>
      </c>
      <c r="C181" s="1" t="n">
        <v>45630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35332-2020</t>
        </is>
      </c>
      <c r="B182" s="1" t="n">
        <v>44041</v>
      </c>
      <c r="C182" s="1" t="n">
        <v>45630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35337-2020</t>
        </is>
      </c>
      <c r="B183" s="1" t="n">
        <v>44041</v>
      </c>
      <c r="C183" s="1" t="n">
        <v>45630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35486-2020</t>
        </is>
      </c>
      <c r="B184" s="1" t="n">
        <v>44042</v>
      </c>
      <c r="C184" s="1" t="n">
        <v>45630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36576-2020</t>
        </is>
      </c>
      <c r="B185" s="1" t="n">
        <v>44050</v>
      </c>
      <c r="C185" s="1" t="n">
        <v>45630</v>
      </c>
      <c r="D185" t="inlineStr">
        <is>
          <t>GÄVLEBORGS LÄN</t>
        </is>
      </c>
      <c r="E185" t="inlineStr">
        <is>
          <t>SANDVIKEN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37110-2020</t>
        </is>
      </c>
      <c r="B186" s="1" t="n">
        <v>44054</v>
      </c>
      <c r="C186" s="1" t="n">
        <v>45630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38743-2020</t>
        </is>
      </c>
      <c r="B187" s="1" t="n">
        <v>44061</v>
      </c>
      <c r="C187" s="1" t="n">
        <v>45630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39469-2020</t>
        </is>
      </c>
      <c r="B188" s="1" t="n">
        <v>44064</v>
      </c>
      <c r="C188" s="1" t="n">
        <v>45630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39808-2020</t>
        </is>
      </c>
      <c r="B189" s="1" t="n">
        <v>44067</v>
      </c>
      <c r="C189" s="1" t="n">
        <v>45630</v>
      </c>
      <c r="D189" t="inlineStr">
        <is>
          <t>GÄVLEBORGS LÄN</t>
        </is>
      </c>
      <c r="E189" t="inlineStr">
        <is>
          <t>SANDVIKEN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40027-2020</t>
        </is>
      </c>
      <c r="B190" s="1" t="n">
        <v>44067</v>
      </c>
      <c r="C190" s="1" t="n">
        <v>45630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40034-2020</t>
        </is>
      </c>
      <c r="B191" s="1" t="n">
        <v>44067</v>
      </c>
      <c r="C191" s="1" t="n">
        <v>45630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41633-2020</t>
        </is>
      </c>
      <c r="B192" s="1" t="n">
        <v>44074</v>
      </c>
      <c r="C192" s="1" t="n">
        <v>45630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42792-2020</t>
        </is>
      </c>
      <c r="B193" s="1" t="n">
        <v>44078</v>
      </c>
      <c r="C193" s="1" t="n">
        <v>45630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43030-2020</t>
        </is>
      </c>
      <c r="B194" s="1" t="n">
        <v>44078</v>
      </c>
      <c r="C194" s="1" t="n">
        <v>45630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46787-2020</t>
        </is>
      </c>
      <c r="B195" s="1" t="n">
        <v>44096</v>
      </c>
      <c r="C195" s="1" t="n">
        <v>45630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46940-2020</t>
        </is>
      </c>
      <c r="B196" s="1" t="n">
        <v>44096</v>
      </c>
      <c r="C196" s="1" t="n">
        <v>45630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47452-2020</t>
        </is>
      </c>
      <c r="B197" s="1" t="n">
        <v>44097</v>
      </c>
      <c r="C197" s="1" t="n">
        <v>45630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48401-2020</t>
        </is>
      </c>
      <c r="B198" s="1" t="n">
        <v>44102</v>
      </c>
      <c r="C198" s="1" t="n">
        <v>45630</v>
      </c>
      <c r="D198" t="inlineStr">
        <is>
          <t>GÄVLEBORGS LÄN</t>
        </is>
      </c>
      <c r="E198" t="inlineStr">
        <is>
          <t>SANDVIKEN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50888-2020</t>
        </is>
      </c>
      <c r="B199" s="1" t="n">
        <v>44111</v>
      </c>
      <c r="C199" s="1" t="n">
        <v>45630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50890-2020</t>
        </is>
      </c>
      <c r="B200" s="1" t="n">
        <v>44111</v>
      </c>
      <c r="C200" s="1" t="n">
        <v>45630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50877-2020</t>
        </is>
      </c>
      <c r="B201" s="1" t="n">
        <v>44111</v>
      </c>
      <c r="C201" s="1" t="n">
        <v>45630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51356-2020</t>
        </is>
      </c>
      <c r="B202" s="1" t="n">
        <v>44112</v>
      </c>
      <c r="C202" s="1" t="n">
        <v>45630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51573-2020</t>
        </is>
      </c>
      <c r="B203" s="1" t="n">
        <v>44113</v>
      </c>
      <c r="C203" s="1" t="n">
        <v>45630</v>
      </c>
      <c r="D203" t="inlineStr">
        <is>
          <t>GÄVLEBORGS LÄN</t>
        </is>
      </c>
      <c r="E203" t="inlineStr">
        <is>
          <t>SANDVIKEN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51828-2020</t>
        </is>
      </c>
      <c r="B204" s="1" t="n">
        <v>44116</v>
      </c>
      <c r="C204" s="1" t="n">
        <v>45630</v>
      </c>
      <c r="D204" t="inlineStr">
        <is>
          <t>GÄVLEBORGS LÄN</t>
        </is>
      </c>
      <c r="E204" t="inlineStr">
        <is>
          <t>SANDVIKEN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51868-2020</t>
        </is>
      </c>
      <c r="B205" s="1" t="n">
        <v>44116</v>
      </c>
      <c r="C205" s="1" t="n">
        <v>45630</v>
      </c>
      <c r="D205" t="inlineStr">
        <is>
          <t>GÄVLEBORGS LÄN</t>
        </is>
      </c>
      <c r="E205" t="inlineStr">
        <is>
          <t>SANDVIKEN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53492-2020</t>
        </is>
      </c>
      <c r="B206" s="1" t="n">
        <v>44123</v>
      </c>
      <c r="C206" s="1" t="n">
        <v>45630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55848-2020</t>
        </is>
      </c>
      <c r="B207" s="1" t="n">
        <v>44132</v>
      </c>
      <c r="C207" s="1" t="n">
        <v>45630</v>
      </c>
      <c r="D207" t="inlineStr">
        <is>
          <t>GÄVLEBORGS LÄN</t>
        </is>
      </c>
      <c r="E207" t="inlineStr">
        <is>
          <t>SANDVIKEN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56667-2020</t>
        </is>
      </c>
      <c r="B208" s="1" t="n">
        <v>44137</v>
      </c>
      <c r="C208" s="1" t="n">
        <v>45630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59065-2020</t>
        </is>
      </c>
      <c r="B209" s="1" t="n">
        <v>44147</v>
      </c>
      <c r="C209" s="1" t="n">
        <v>45630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61760-2020</t>
        </is>
      </c>
      <c r="B210" s="1" t="n">
        <v>44158</v>
      </c>
      <c r="C210" s="1" t="n">
        <v>45630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64387-2020</t>
        </is>
      </c>
      <c r="B211" s="1" t="n">
        <v>44168</v>
      </c>
      <c r="C211" s="1" t="n">
        <v>45630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64860-2020</t>
        </is>
      </c>
      <c r="B212" s="1" t="n">
        <v>44171</v>
      </c>
      <c r="C212" s="1" t="n">
        <v>45630</v>
      </c>
      <c r="D212" t="inlineStr">
        <is>
          <t>GÄVLEBORGS LÄN</t>
        </is>
      </c>
      <c r="E212" t="inlineStr">
        <is>
          <t>SANDVIKEN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65025-2020</t>
        </is>
      </c>
      <c r="B213" s="1" t="n">
        <v>44172</v>
      </c>
      <c r="C213" s="1" t="n">
        <v>45630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66902-2020</t>
        </is>
      </c>
      <c r="B214" s="1" t="n">
        <v>44180</v>
      </c>
      <c r="C214" s="1" t="n">
        <v>45630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68791-2020</t>
        </is>
      </c>
      <c r="B215" s="1" t="n">
        <v>44187</v>
      </c>
      <c r="C215" s="1" t="n">
        <v>45630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68787-2020</t>
        </is>
      </c>
      <c r="B216" s="1" t="n">
        <v>44187</v>
      </c>
      <c r="C216" s="1" t="n">
        <v>45630</v>
      </c>
      <c r="D216" t="inlineStr">
        <is>
          <t>GÄVLEBORGS LÄN</t>
        </is>
      </c>
      <c r="E216" t="inlineStr">
        <is>
          <t>SANDVIKEN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220-2021</t>
        </is>
      </c>
      <c r="B217" s="1" t="n">
        <v>44200</v>
      </c>
      <c r="C217" s="1" t="n">
        <v>45630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5533-2021</t>
        </is>
      </c>
      <c r="B218" s="1" t="n">
        <v>44230</v>
      </c>
      <c r="C218" s="1" t="n">
        <v>45630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6349-2021</t>
        </is>
      </c>
      <c r="B219" s="1" t="n">
        <v>44235</v>
      </c>
      <c r="C219" s="1" t="n">
        <v>45630</v>
      </c>
      <c r="D219" t="inlineStr">
        <is>
          <t>GÄVLEBORGS LÄN</t>
        </is>
      </c>
      <c r="E219" t="inlineStr">
        <is>
          <t>SANDVIKEN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6673-2021</t>
        </is>
      </c>
      <c r="B220" s="1" t="n">
        <v>44236</v>
      </c>
      <c r="C220" s="1" t="n">
        <v>45630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6678-2021</t>
        </is>
      </c>
      <c r="B221" s="1" t="n">
        <v>44236</v>
      </c>
      <c r="C221" s="1" t="n">
        <v>45630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8881-2021</t>
        </is>
      </c>
      <c r="B222" s="1" t="n">
        <v>44247</v>
      </c>
      <c r="C222" s="1" t="n">
        <v>45630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9736-2021</t>
        </is>
      </c>
      <c r="B223" s="1" t="n">
        <v>44252</v>
      </c>
      <c r="C223" s="1" t="n">
        <v>45630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11828-2021</t>
        </is>
      </c>
      <c r="B224" s="1" t="n">
        <v>44265</v>
      </c>
      <c r="C224" s="1" t="n">
        <v>45630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12971-2021</t>
        </is>
      </c>
      <c r="B225" s="1" t="n">
        <v>44271</v>
      </c>
      <c r="C225" s="1" t="n">
        <v>45630</v>
      </c>
      <c r="D225" t="inlineStr">
        <is>
          <t>GÄVLEBORGS LÄN</t>
        </is>
      </c>
      <c r="E225" t="inlineStr">
        <is>
          <t>SANDVIKEN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13084-2021</t>
        </is>
      </c>
      <c r="B226" s="1" t="n">
        <v>44272</v>
      </c>
      <c r="C226" s="1" t="n">
        <v>45630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13348-2021</t>
        </is>
      </c>
      <c r="B227" s="1" t="n">
        <v>44273</v>
      </c>
      <c r="C227" s="1" t="n">
        <v>45630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13531-2021</t>
        </is>
      </c>
      <c r="B228" s="1" t="n">
        <v>44273</v>
      </c>
      <c r="C228" s="1" t="n">
        <v>45630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14277-2021</t>
        </is>
      </c>
      <c r="B229" s="1" t="n">
        <v>44278</v>
      </c>
      <c r="C229" s="1" t="n">
        <v>45630</v>
      </c>
      <c r="D229" t="inlineStr">
        <is>
          <t>GÄVLEBORGS LÄN</t>
        </is>
      </c>
      <c r="E229" t="inlineStr">
        <is>
          <t>SANDVIKEN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14498-2021</t>
        </is>
      </c>
      <c r="B230" s="1" t="n">
        <v>44279</v>
      </c>
      <c r="C230" s="1" t="n">
        <v>45630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16584-2021</t>
        </is>
      </c>
      <c r="B231" s="1" t="n">
        <v>44293</v>
      </c>
      <c r="C231" s="1" t="n">
        <v>45630</v>
      </c>
      <c r="D231" t="inlineStr">
        <is>
          <t>GÄVLEBORGS LÄN</t>
        </is>
      </c>
      <c r="E231" t="inlineStr">
        <is>
          <t>SANDVIKEN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17544-2021</t>
        </is>
      </c>
      <c r="B232" s="1" t="n">
        <v>44299</v>
      </c>
      <c r="C232" s="1" t="n">
        <v>45630</v>
      </c>
      <c r="D232" t="inlineStr">
        <is>
          <t>GÄVLEBORGS LÄN</t>
        </is>
      </c>
      <c r="E232" t="inlineStr">
        <is>
          <t>SANDVIKEN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18483-2021</t>
        </is>
      </c>
      <c r="B233" s="1" t="n">
        <v>44306</v>
      </c>
      <c r="C233" s="1" t="n">
        <v>45630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18496-2021</t>
        </is>
      </c>
      <c r="B234" s="1" t="n">
        <v>44306</v>
      </c>
      <c r="C234" s="1" t="n">
        <v>45630</v>
      </c>
      <c r="D234" t="inlineStr">
        <is>
          <t>GÄVLEBORGS LÄN</t>
        </is>
      </c>
      <c r="E234" t="inlineStr">
        <is>
          <t>SANDVIKEN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19279-2021</t>
        </is>
      </c>
      <c r="B235" s="1" t="n">
        <v>44309</v>
      </c>
      <c r="C235" s="1" t="n">
        <v>45630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20780-2021</t>
        </is>
      </c>
      <c r="B236" s="1" t="n">
        <v>44316</v>
      </c>
      <c r="C236" s="1" t="n">
        <v>45630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20934-2021</t>
        </is>
      </c>
      <c r="B237" s="1" t="n">
        <v>44319</v>
      </c>
      <c r="C237" s="1" t="n">
        <v>45630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21610-2021</t>
        </is>
      </c>
      <c r="B238" s="1" t="n">
        <v>44321</v>
      </c>
      <c r="C238" s="1" t="n">
        <v>45630</v>
      </c>
      <c r="D238" t="inlineStr">
        <is>
          <t>GÄVLEBORGS LÄN</t>
        </is>
      </c>
      <c r="E238" t="inlineStr">
        <is>
          <t>SANDVIKEN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21697-2021</t>
        </is>
      </c>
      <c r="B239" s="1" t="n">
        <v>44322</v>
      </c>
      <c r="C239" s="1" t="n">
        <v>45630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23854-2021</t>
        </is>
      </c>
      <c r="B240" s="1" t="n">
        <v>44335</v>
      </c>
      <c r="C240" s="1" t="n">
        <v>45630</v>
      </c>
      <c r="D240" t="inlineStr">
        <is>
          <t>GÄVLEBORGS LÄN</t>
        </is>
      </c>
      <c r="E240" t="inlineStr">
        <is>
          <t>SANDVIKEN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24088-2021</t>
        </is>
      </c>
      <c r="B241" s="1" t="n">
        <v>44336</v>
      </c>
      <c r="C241" s="1" t="n">
        <v>45630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25056-2021</t>
        </is>
      </c>
      <c r="B242" s="1" t="n">
        <v>44341</v>
      </c>
      <c r="C242" s="1" t="n">
        <v>45630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25304-2021</t>
        </is>
      </c>
      <c r="B243" s="1" t="n">
        <v>44342</v>
      </c>
      <c r="C243" s="1" t="n">
        <v>45630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26355-2021</t>
        </is>
      </c>
      <c r="B244" s="1" t="n">
        <v>44347</v>
      </c>
      <c r="C244" s="1" t="n">
        <v>45630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26373-2021</t>
        </is>
      </c>
      <c r="B245" s="1" t="n">
        <v>44347</v>
      </c>
      <c r="C245" s="1" t="n">
        <v>45630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28722-2021</t>
        </is>
      </c>
      <c r="B246" s="1" t="n">
        <v>44357</v>
      </c>
      <c r="C246" s="1" t="n">
        <v>45630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28739-2021</t>
        </is>
      </c>
      <c r="B247" s="1" t="n">
        <v>44357</v>
      </c>
      <c r="C247" s="1" t="n">
        <v>45630</v>
      </c>
      <c r="D247" t="inlineStr">
        <is>
          <t>GÄVLEBORGS LÄN</t>
        </is>
      </c>
      <c r="E247" t="inlineStr">
        <is>
          <t>SANDVIKEN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29254-2021</t>
        </is>
      </c>
      <c r="B248" s="1" t="n">
        <v>44358</v>
      </c>
      <c r="C248" s="1" t="n">
        <v>45630</v>
      </c>
      <c r="D248" t="inlineStr">
        <is>
          <t>GÄVLEBORGS LÄN</t>
        </is>
      </c>
      <c r="E248" t="inlineStr">
        <is>
          <t>SANDVIKEN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30309-2021</t>
        </is>
      </c>
      <c r="B249" s="1" t="n">
        <v>44364</v>
      </c>
      <c r="C249" s="1" t="n">
        <v>45630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31083-2021</t>
        </is>
      </c>
      <c r="B250" s="1" t="n">
        <v>44368</v>
      </c>
      <c r="C250" s="1" t="n">
        <v>45630</v>
      </c>
      <c r="D250" t="inlineStr">
        <is>
          <t>GÄVLEBORGS LÄN</t>
        </is>
      </c>
      <c r="E250" t="inlineStr">
        <is>
          <t>SANDVIKEN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33410-2021</t>
        </is>
      </c>
      <c r="B251" s="1" t="n">
        <v>44377</v>
      </c>
      <c r="C251" s="1" t="n">
        <v>45630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34242-2021</t>
        </is>
      </c>
      <c r="B252" s="1" t="n">
        <v>44379</v>
      </c>
      <c r="C252" s="1" t="n">
        <v>45630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34312-2021</t>
        </is>
      </c>
      <c r="B253" s="1" t="n">
        <v>44379</v>
      </c>
      <c r="C253" s="1" t="n">
        <v>45630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34930-2021</t>
        </is>
      </c>
      <c r="B254" s="1" t="n">
        <v>44383</v>
      </c>
      <c r="C254" s="1" t="n">
        <v>45630</v>
      </c>
      <c r="D254" t="inlineStr">
        <is>
          <t>GÄVLEBORGS LÄN</t>
        </is>
      </c>
      <c r="E254" t="inlineStr">
        <is>
          <t>SANDVIKEN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40926-2021</t>
        </is>
      </c>
      <c r="B255" s="1" t="n">
        <v>44421</v>
      </c>
      <c r="C255" s="1" t="n">
        <v>45630</v>
      </c>
      <c r="D255" t="inlineStr">
        <is>
          <t>GÄVLEBORGS LÄN</t>
        </is>
      </c>
      <c r="E255" t="inlineStr">
        <is>
          <t>SANDVIKEN</t>
        </is>
      </c>
      <c r="F255" t="inlineStr">
        <is>
          <t>Naturvårdsverket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42287-2021</t>
        </is>
      </c>
      <c r="B256" s="1" t="n">
        <v>44427</v>
      </c>
      <c r="C256" s="1" t="n">
        <v>45630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43465-2021</t>
        </is>
      </c>
      <c r="B257" s="1" t="n">
        <v>44432</v>
      </c>
      <c r="C257" s="1" t="n">
        <v>45630</v>
      </c>
      <c r="D257" t="inlineStr">
        <is>
          <t>GÄVLEBORGS LÄN</t>
        </is>
      </c>
      <c r="E257" t="inlineStr">
        <is>
          <t>SANDVIKEN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44045-2021</t>
        </is>
      </c>
      <c r="B258" s="1" t="n">
        <v>44434</v>
      </c>
      <c r="C258" s="1" t="n">
        <v>45630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45221-2021</t>
        </is>
      </c>
      <c r="B259" s="1" t="n">
        <v>44439</v>
      </c>
      <c r="C259" s="1" t="n">
        <v>45630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45828-2021</t>
        </is>
      </c>
      <c r="B260" s="1" t="n">
        <v>44441</v>
      </c>
      <c r="C260" s="1" t="n">
        <v>45630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45985-2021</t>
        </is>
      </c>
      <c r="B261" s="1" t="n">
        <v>44441</v>
      </c>
      <c r="C261" s="1" t="n">
        <v>45630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45992-2021</t>
        </is>
      </c>
      <c r="B262" s="1" t="n">
        <v>44441</v>
      </c>
      <c r="C262" s="1" t="n">
        <v>45630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46854-2021</t>
        </is>
      </c>
      <c r="B263" s="1" t="n">
        <v>44446</v>
      </c>
      <c r="C263" s="1" t="n">
        <v>45630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47628-2021</t>
        </is>
      </c>
      <c r="B264" s="1" t="n">
        <v>44448</v>
      </c>
      <c r="C264" s="1" t="n">
        <v>45630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47632-2021</t>
        </is>
      </c>
      <c r="B265" s="1" t="n">
        <v>44448</v>
      </c>
      <c r="C265" s="1" t="n">
        <v>45630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47637-2021</t>
        </is>
      </c>
      <c r="B266" s="1" t="n">
        <v>44448</v>
      </c>
      <c r="C266" s="1" t="n">
        <v>45630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47792-2021</t>
        </is>
      </c>
      <c r="B267" s="1" t="n">
        <v>44448</v>
      </c>
      <c r="C267" s="1" t="n">
        <v>45630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48765-2021</t>
        </is>
      </c>
      <c r="B268" s="1" t="n">
        <v>44452</v>
      </c>
      <c r="C268" s="1" t="n">
        <v>45630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48804-2021</t>
        </is>
      </c>
      <c r="B269" s="1" t="n">
        <v>44452</v>
      </c>
      <c r="C269" s="1" t="n">
        <v>45630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50409-2021</t>
        </is>
      </c>
      <c r="B270" s="1" t="n">
        <v>44459</v>
      </c>
      <c r="C270" s="1" t="n">
        <v>45630</v>
      </c>
      <c r="D270" t="inlineStr">
        <is>
          <t>GÄVLEBORGS LÄN</t>
        </is>
      </c>
      <c r="E270" t="inlineStr">
        <is>
          <t>SANDVIKEN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50876-2021</t>
        </is>
      </c>
      <c r="B271" s="1" t="n">
        <v>44460</v>
      </c>
      <c r="C271" s="1" t="n">
        <v>45630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52096-2021</t>
        </is>
      </c>
      <c r="B272" s="1" t="n">
        <v>44463</v>
      </c>
      <c r="C272" s="1" t="n">
        <v>45630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53306-2021</t>
        </is>
      </c>
      <c r="B273" s="1" t="n">
        <v>44468</v>
      </c>
      <c r="C273" s="1" t="n">
        <v>45630</v>
      </c>
      <c r="D273" t="inlineStr">
        <is>
          <t>GÄVLEBORGS LÄN</t>
        </is>
      </c>
      <c r="E273" t="inlineStr">
        <is>
          <t>SANDVIKEN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55082-2021</t>
        </is>
      </c>
      <c r="B274" s="1" t="n">
        <v>44474</v>
      </c>
      <c r="C274" s="1" t="n">
        <v>45630</v>
      </c>
      <c r="D274" t="inlineStr">
        <is>
          <t>GÄVLEBORGS LÄN</t>
        </is>
      </c>
      <c r="E274" t="inlineStr">
        <is>
          <t>SANDVIKEN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56310-2021</t>
        </is>
      </c>
      <c r="B275" s="1" t="n">
        <v>44477</v>
      </c>
      <c r="C275" s="1" t="n">
        <v>45630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väst AB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56734-2021</t>
        </is>
      </c>
      <c r="B276" s="1" t="n">
        <v>44481</v>
      </c>
      <c r="C276" s="1" t="n">
        <v>45630</v>
      </c>
      <c r="D276" t="inlineStr">
        <is>
          <t>GÄVLEBORGS LÄN</t>
        </is>
      </c>
      <c r="E276" t="inlineStr">
        <is>
          <t>SANDVIKEN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60405-2021</t>
        </is>
      </c>
      <c r="B277" s="1" t="n">
        <v>44496</v>
      </c>
      <c r="C277" s="1" t="n">
        <v>45630</v>
      </c>
      <c r="D277" t="inlineStr">
        <is>
          <t>GÄVLEBORGS LÄN</t>
        </is>
      </c>
      <c r="E277" t="inlineStr">
        <is>
          <t>SANDVIKEN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61694-2021</t>
        </is>
      </c>
      <c r="B278" s="1" t="n">
        <v>44501</v>
      </c>
      <c r="C278" s="1" t="n">
        <v>45630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61616-2021</t>
        </is>
      </c>
      <c r="B279" s="1" t="n">
        <v>44501</v>
      </c>
      <c r="C279" s="1" t="n">
        <v>45630</v>
      </c>
      <c r="D279" t="inlineStr">
        <is>
          <t>GÄVLEBORGS LÄN</t>
        </is>
      </c>
      <c r="E279" t="inlineStr">
        <is>
          <t>SANDVIKEN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61729-2021</t>
        </is>
      </c>
      <c r="B280" s="1" t="n">
        <v>44501</v>
      </c>
      <c r="C280" s="1" t="n">
        <v>45630</v>
      </c>
      <c r="D280" t="inlineStr">
        <is>
          <t>GÄVLEBORGS LÄN</t>
        </is>
      </c>
      <c r="E280" t="inlineStr">
        <is>
          <t>SANDVIKEN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63084-2021</t>
        </is>
      </c>
      <c r="B281" s="1" t="n">
        <v>44505</v>
      </c>
      <c r="C281" s="1" t="n">
        <v>45630</v>
      </c>
      <c r="D281" t="inlineStr">
        <is>
          <t>GÄVLEBORGS LÄN</t>
        </is>
      </c>
      <c r="E281" t="inlineStr">
        <is>
          <t>SANDVIKEN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63033-2021</t>
        </is>
      </c>
      <c r="B282" s="1" t="n">
        <v>44505</v>
      </c>
      <c r="C282" s="1" t="n">
        <v>45630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45630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45630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45630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45630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45630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45630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45630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45630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45630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45630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45630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45630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45630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45630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45630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45630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45630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45630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45630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45630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45630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45630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45630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45630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45630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45630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45630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45630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45630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45630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45630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45630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45630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45630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45630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45630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45630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45630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45630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45630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45630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45630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45630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45630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45630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45630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45630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45630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45630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45630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45630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45630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45630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45630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45630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45630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45630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45630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45630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45630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45630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45630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45630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45630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45630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45630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45630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45630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45630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45630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45630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45630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45630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45630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45630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45630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45630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45630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45630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45630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45630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45630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45630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45630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45630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45630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45630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45630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45630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45630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45630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45630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45630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45630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45630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45630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45630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45630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45630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45630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45630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45630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45630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45630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45630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45630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45630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45630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45630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45630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45630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45630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45630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45630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45630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45630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45630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45630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45630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45630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45630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45630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45630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45630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45630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45630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45630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45630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45630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45630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45630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45630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45630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45630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45630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45630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45630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45630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45630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45630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45630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45630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45630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45630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45630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45630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45630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45630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45630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45630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45630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45630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45630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45630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45630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45630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45630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45630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45630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45630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45630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45630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45630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45630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45630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45630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45630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45630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45630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45630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45630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45630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45630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45630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45630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45630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45630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45630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45630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45630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45630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45630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45630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45630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45630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45630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45630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45630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45630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45630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45630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45630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45630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45630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45630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45630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45630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45630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45630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45630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45630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45630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45630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45630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45630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45630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45630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45630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45630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45630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45630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45630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45630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45630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45630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45630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45630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45630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45630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45630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45630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45630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45630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45630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45630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45630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45630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45630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45630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45630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45630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45630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45630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45630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45630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45630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45630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45630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45630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45630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45630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45630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45630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45630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45630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45630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45630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45630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45630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45630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45630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45630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45630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45630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45630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45630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45630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45630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45630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45630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45630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45630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45630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45630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45630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45630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45630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45630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45630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45630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45630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45630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45630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45630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45630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45630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45630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45630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45630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45630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45630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45630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45630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45630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45630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45630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45630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45630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45630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45630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45630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45630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45630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45630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45630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45630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45630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45630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45630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45630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45630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45630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45630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45630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45630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45630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45630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45630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45630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45630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45630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45630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45630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45630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45630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45630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45630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45630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45630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45630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45630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45630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45630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45630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45630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45630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45630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45630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45630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45630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45630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45630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45630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45630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45630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45630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45630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45630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45630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45630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45630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45630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45630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45630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45630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45630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45630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45630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45630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45630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45630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45630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45630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45630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45630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45630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45630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45630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45630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45630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45630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45630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45630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45630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45630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45630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45630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45630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45630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45630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45630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45630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45630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45630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45630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45630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45630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45630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45630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45630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45630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45630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45630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45630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45630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45630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45630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45630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45630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45630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45630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45630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45630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45630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45630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45630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45630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45630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45630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45630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45630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45630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45630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45630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45630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45630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45630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45630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45630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45630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45630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45630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45630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45630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45630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45630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45630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45630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45630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45630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45630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45630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45630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45630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45630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45630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45630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45630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45630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45630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45630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45630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45630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45630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45630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45630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45630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45630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45630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45630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45630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45630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45630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45630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45630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45630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45630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45630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45630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45630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45630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45630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45630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45630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45630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45630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45630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45630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45630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45630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45630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45630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45630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45630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45630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45630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45630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45630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45630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45630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45630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45630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45630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45630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45630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45630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45630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45630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45630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45630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45630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45630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45630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45630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45630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45630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45630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45630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45630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45630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45630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45630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45630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45630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45630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45630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45630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45630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45630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45630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45630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45630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45630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45630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45630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45630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45630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45630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45630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45630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45630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45630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45630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45630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45630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45630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45630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45630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45630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45630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45630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45630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45630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45630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45630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45630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45630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45630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45630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45630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45630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45630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45630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45630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45630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45630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45630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45630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45630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45630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45630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45630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45630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45630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45630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45630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45630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45630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45630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45630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45630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45630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45630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45630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45630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45630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45630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45630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45630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45630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45630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45630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45630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45630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45630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45630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45630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45630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45630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45630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45630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45630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45630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45630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45630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45630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45630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45630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45630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45630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45630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45630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45630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45630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45630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45630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45630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45630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45630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45630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45630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45630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45630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45630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45630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45630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45630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45630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45630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45630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45630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45630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45630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45630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45630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45630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45630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45630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45630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45630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45630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45630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45630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45630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45630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45630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45630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45630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45630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45630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45630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45630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45630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45630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45630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45630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45630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45630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45630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45630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45630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45630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45630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45630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45630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45630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45630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45630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45630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45630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45630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45630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45630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45630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45630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45630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45630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45630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45630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45630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45630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45630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45630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45630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45630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45630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45630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45630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45630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45630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45630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45630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45630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45630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45630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45630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45630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45630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45630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45630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45630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45630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45630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45630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45630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45630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45630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45630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45630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45630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45630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45630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45630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45630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45630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45630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45630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45630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45630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45630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45630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45630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45630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45630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45630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45630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50905-2024</t>
        </is>
      </c>
      <c r="B979" s="1" t="n">
        <v>45602</v>
      </c>
      <c r="C979" s="1" t="n">
        <v>45630</v>
      </c>
      <c r="D979" t="inlineStr">
        <is>
          <t>GÄVLEBORGS LÄN</t>
        </is>
      </c>
      <c r="E979" t="inlineStr">
        <is>
          <t>SANDVIKEN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45630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45630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50704-2024</t>
        </is>
      </c>
      <c r="B982" s="1" t="n">
        <v>45602</v>
      </c>
      <c r="C982" s="1" t="n">
        <v>45630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50941-2024</t>
        </is>
      </c>
      <c r="B983" s="1" t="n">
        <v>45602</v>
      </c>
      <c r="C983" s="1" t="n">
        <v>45630</v>
      </c>
      <c r="D983" t="inlineStr">
        <is>
          <t>GÄVLEBORGS LÄN</t>
        </is>
      </c>
      <c r="E983" t="inlineStr">
        <is>
          <t>SANDVIKEN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50930-2024</t>
        </is>
      </c>
      <c r="B984" s="1" t="n">
        <v>45602</v>
      </c>
      <c r="C984" s="1" t="n">
        <v>45630</v>
      </c>
      <c r="D984" t="inlineStr">
        <is>
          <t>GÄVLEBORGS LÄN</t>
        </is>
      </c>
      <c r="E984" t="inlineStr">
        <is>
          <t>SANDVIKEN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45630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45630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45630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45630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53245-2024</t>
        </is>
      </c>
      <c r="B989" s="1" t="n">
        <v>45614</v>
      </c>
      <c r="C989" s="1" t="n">
        <v>45630</v>
      </c>
      <c r="D989" t="inlineStr">
        <is>
          <t>GÄVLEBORGS LÄN</t>
        </is>
      </c>
      <c r="E989" t="inlineStr">
        <is>
          <t>SANDVIKEN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45630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53322-2024</t>
        </is>
      </c>
      <c r="B991" s="1" t="n">
        <v>45614</v>
      </c>
      <c r="C991" s="1" t="n">
        <v>45630</v>
      </c>
      <c r="D991" t="inlineStr">
        <is>
          <t>GÄVLEBORGS LÄN</t>
        </is>
      </c>
      <c r="E991" t="inlineStr">
        <is>
          <t>SANDVIKEN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45630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53324-2024</t>
        </is>
      </c>
      <c r="B993" s="1" t="n">
        <v>45614</v>
      </c>
      <c r="C993" s="1" t="n">
        <v>45630</v>
      </c>
      <c r="D993" t="inlineStr">
        <is>
          <t>GÄVLEBORGS LÄN</t>
        </is>
      </c>
      <c r="E993" t="inlineStr">
        <is>
          <t>SANDVIKEN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45630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45630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53719-2024</t>
        </is>
      </c>
      <c r="B996" s="1" t="n">
        <v>45615</v>
      </c>
      <c r="C996" s="1" t="n">
        <v>45630</v>
      </c>
      <c r="D996" t="inlineStr">
        <is>
          <t>GÄVLEBORGS LÄN</t>
        </is>
      </c>
      <c r="E996" t="inlineStr">
        <is>
          <t>SANDVIKEN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45630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45630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54015-2024</t>
        </is>
      </c>
      <c r="B999" s="1" t="n">
        <v>45616</v>
      </c>
      <c r="C999" s="1" t="n">
        <v>45630</v>
      </c>
      <c r="D999" t="inlineStr">
        <is>
          <t>GÄVLEBORGS LÄN</t>
        </is>
      </c>
      <c r="E999" t="inlineStr">
        <is>
          <t>SANDVIKEN</t>
        </is>
      </c>
      <c r="F999" t="inlineStr">
        <is>
          <t>Kyrkan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45630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54521-2024</t>
        </is>
      </c>
      <c r="B1001" s="1" t="n">
        <v>45617</v>
      </c>
      <c r="C1001" s="1" t="n">
        <v>45630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Bergvik skog öst AB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54525-2024</t>
        </is>
      </c>
      <c r="B1002" s="1" t="n">
        <v>45617</v>
      </c>
      <c r="C1002" s="1" t="n">
        <v>45630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45630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54337-2024</t>
        </is>
      </c>
      <c r="B1004" s="1" t="n">
        <v>45617</v>
      </c>
      <c r="C1004" s="1" t="n">
        <v>45630</v>
      </c>
      <c r="D1004" t="inlineStr">
        <is>
          <t>GÄVLEBORGS LÄN</t>
        </is>
      </c>
      <c r="E1004" t="inlineStr">
        <is>
          <t>SANDVIKEN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54443-2024</t>
        </is>
      </c>
      <c r="B1005" s="1" t="n">
        <v>45617</v>
      </c>
      <c r="C1005" s="1" t="n">
        <v>45630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54495-2024</t>
        </is>
      </c>
      <c r="B1006" s="1" t="n">
        <v>45617</v>
      </c>
      <c r="C1006" s="1" t="n">
        <v>45630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14.8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45630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45630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45630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45630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45630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56851-2024</t>
        </is>
      </c>
      <c r="B1012" s="1" t="n">
        <v>45628</v>
      </c>
      <c r="C1012" s="1" t="n">
        <v>45630</v>
      </c>
      <c r="D1012" t="inlineStr">
        <is>
          <t>GÄVLEBORGS LÄN</t>
        </is>
      </c>
      <c r="E1012" t="inlineStr">
        <is>
          <t>SANDVIKEN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45630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57302-2024</t>
        </is>
      </c>
      <c r="B1014" s="1" t="n">
        <v>45629</v>
      </c>
      <c r="C1014" s="1" t="n">
        <v>45630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2024-12-04T15:17:19Z</dcterms:created>
  <dcterms:modified xmlns:dcterms="http://purl.org/dc/terms/" xmlns:xsi="http://www.w3.org/2001/XMLSchema-instance" xsi:type="dcterms:W3CDTF">2024-12-04T15:17:20Z</dcterms:modified>
</cp:coreProperties>
</file>