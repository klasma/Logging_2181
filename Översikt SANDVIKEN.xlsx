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46276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46276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46276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46276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46276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46276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46276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46276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46276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46276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46276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46276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46276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46276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46276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46276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46276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46276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46276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46276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46276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46276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46276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46276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46276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46276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46276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46276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46276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46276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46276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46276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46276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46276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46276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46276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46276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29111-2026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46201</v>
      </c>
      <c r="E47" s="1" t="n">
        <v>46276</v>
      </c>
      <c r="F47" t="inlineStr">
        <is>
          <t>GÄVLEBORGS LÄN</t>
        </is>
      </c>
      <c r="G47" t="inlineStr">
        <is>
          <t>SANDVIKEN</t>
        </is>
      </c>
      <c r="H47" t="inlineStr">
        <is>
          <t>Kommuner</t>
        </is>
      </c>
      <c r="I47" t="n">
        <v>4.1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Tallticka</t>
        </is>
      </c>
      <c r="W47">
        <f>HYPERLINK("https://klasma.github.io/Logging_2181/artfynd/A 29111-2026 artfynd.xlsx", "A 29111-2026")</f>
        <v/>
      </c>
      <c r="X47">
        <f>HYPERLINK("https://klasma.github.io/Logging_2181/kartor/A 29111-2026 karta.png", "A 29111-2026")</f>
        <v/>
      </c>
      <c r="Y47">
        <f>HYPERLINK("https://klasma.github.io/Logging_2181/kartor_geotiff/A 29111-2026 georefererad karta.tif", "A 29111-2026")</f>
        <v/>
      </c>
      <c r="Z47">
        <f>HYPERLINK("https://klasma.github.io/Logging_2181/knärot/A 29111-2026 karta knärot.png", "A 29111-2026")</f>
        <v/>
      </c>
      <c r="AA47">
        <f>HYPERLINK("https://klasma.github.io/Logging_2181/klagomål/A 29111-2026 FSC-klagomål.docx", "A 29111-2026")</f>
        <v/>
      </c>
      <c r="AB47">
        <f>HYPERLINK("https://klasma.github.io/Logging_2181/klagomålsmail/A 29111-2026 FSC-klagomål mail.docx", "A 29111-2026")</f>
        <v/>
      </c>
      <c r="AC47">
        <f>HYPERLINK("https://klasma.github.io/Logging_2181/tillsyn/A 29111-2026 tillsynsbegäran.docx", "A 29111-2026")</f>
        <v/>
      </c>
      <c r="AD47">
        <f>HYPERLINK("https://klasma.github.io/Logging_2181/tillsynsmail/A 29111-2026 tillsynsbegäran mail.docx", "A 29111-2026")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46276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46276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46276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46276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46276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46276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46276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46276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46276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46276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46276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46276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Dvärghäxört</t>
        </is>
      </c>
      <c r="W59">
        <f>HYPERLINK("https://klasma.github.io/Logging_2181/artfynd/A 448-2026 artfynd.xlsx", "A 448-2026")</f>
        <v/>
      </c>
      <c r="X59">
        <f>HYPERLINK("https://klasma.github.io/Logging_2181/kartor/A 448-2026 karta.png", "A 448-2026")</f>
        <v/>
      </c>
      <c r="Y59">
        <f>HYPERLINK("https://klasma.github.io/Logging_2181/kartor_geotiff/A 448-2026 georefererad karta.tif", "A 448-2026")</f>
        <v/>
      </c>
      <c r="AA59">
        <f>HYPERLINK("https://klasma.github.io/Logging_2181/klagomål/A 448-2026 FSC-klagomål.docx", "A 448-2026")</f>
        <v/>
      </c>
      <c r="AB59">
        <f>HYPERLINK("https://klasma.github.io/Logging_2181/klagomålsmail/A 448-2026 FSC-klagomål mail.docx", "A 448-2026")</f>
        <v/>
      </c>
      <c r="AC59">
        <f>HYPERLINK("https://klasma.github.io/Logging_2181/tillsyn/A 448-2026 tillsynsbegäran.docx", "A 448-2026")</f>
        <v/>
      </c>
      <c r="AD59">
        <f>HYPERLINK("https://klasma.github.io/Logging_2181/tillsynsmail/A 448-2026 tillsynsbegäran mail.docx", "A 448-2026")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46276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46276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46276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46276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1083-2026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46276</v>
      </c>
      <c r="F64" t="inlineStr">
        <is>
          <t>GÄVLEBORGS LÄN</t>
        </is>
      </c>
      <c r="G64" t="inlineStr">
        <is>
          <t>SANDVIKEN</t>
        </is>
      </c>
      <c r="I64" t="n">
        <v>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Vanlig padda</t>
        </is>
      </c>
      <c r="W64">
        <f>HYPERLINK("https://klasma.github.io/Logging_2181/artfynd/A 1083-2026 artfynd.xlsx", "A 1083-2026")</f>
        <v/>
      </c>
      <c r="X64">
        <f>HYPERLINK("https://klasma.github.io/Logging_2181/kartor/A 1083-2026 karta.png", "A 1083-2026")</f>
        <v/>
      </c>
      <c r="Y64">
        <f>HYPERLINK("https://klasma.github.io/Logging_2181/kartor_geotiff/A 1083-2026 georefererad karta.tif", "A 1083-2026")</f>
        <v/>
      </c>
      <c r="AA64">
        <f>HYPERLINK("https://klasma.github.io/Logging_2181/klagomål/A 1083-2026 FSC-klagomål.docx", "A 1083-2026")</f>
        <v/>
      </c>
      <c r="AB64">
        <f>HYPERLINK("https://klasma.github.io/Logging_2181/klagomålsmail/A 1083-2026 FSC-klagomål mail.docx", "A 1083-2026")</f>
        <v/>
      </c>
      <c r="AC64">
        <f>HYPERLINK("https://klasma.github.io/Logging_2181/tillsyn/A 1083-2026 tillsynsbegäran.docx", "A 1083-2026")</f>
        <v/>
      </c>
      <c r="AD64">
        <f>HYPERLINK("https://klasma.github.io/Logging_2181/tillsynsmail/A 1083-2026 tillsynsbegäran mail.docx", "A 1083-2026")</f>
        <v/>
      </c>
    </row>
    <row r="65" ht="15" customHeight="1">
      <c r="A65" t="inlineStr">
        <is>
          <t>A 3316-2023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44949</v>
      </c>
      <c r="E65" s="1" t="n">
        <v>46276</v>
      </c>
      <c r="F65" t="inlineStr">
        <is>
          <t>GÄVLEBORGS LÄN</t>
        </is>
      </c>
      <c r="G65" t="inlineStr">
        <is>
          <t>SANDVIKEN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Orre</t>
        </is>
      </c>
      <c r="W65">
        <f>HYPERLINK("https://klasma.github.io/Logging_2181/artfynd/A 3316-2023 artfynd.xlsx", "A 3316-2023")</f>
        <v/>
      </c>
      <c r="X65">
        <f>HYPERLINK("https://klasma.github.io/Logging_2181/kartor/A 3316-2023 karta.png", "A 3316-2023")</f>
        <v/>
      </c>
      <c r="Y65">
        <f>HYPERLINK("https://klasma.github.io/Logging_2181/kartor_geotiff/A 3316-2023 georefererad karta.tif", "A 3316-2023")</f>
        <v/>
      </c>
      <c r="AA65">
        <f>HYPERLINK("https://klasma.github.io/Logging_2181/klagomål/A 3316-2023 FSC-klagomål.docx", "A 3316-2023")</f>
        <v/>
      </c>
      <c r="AB65">
        <f>HYPERLINK("https://klasma.github.io/Logging_2181/klagomålsmail/A 3316-2023 FSC-klagomål mail.docx", "A 3316-2023")</f>
        <v/>
      </c>
      <c r="AC65">
        <f>HYPERLINK("https://klasma.github.io/Logging_2181/tillsyn/A 3316-2023 tillsynsbegäran.docx", "A 3316-2023")</f>
        <v/>
      </c>
      <c r="AD65">
        <f>HYPERLINK("https://klasma.github.io/Logging_2181/tillsynsmail/A 3316-2023 tillsynsbegäran mail.docx", "A 3316-2023")</f>
        <v/>
      </c>
      <c r="AE65">
        <f>HYPERLINK("https://klasma.github.io/Logging_2181/fåglar/A 3316-2023 prioriterade fågelarter.docx", "A 3316-2023")</f>
        <v/>
      </c>
    </row>
    <row r="66" ht="15" customHeight="1">
      <c r="A66" t="inlineStr">
        <is>
          <t>A 36417-2025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45868</v>
      </c>
      <c r="E66" s="1" t="n">
        <v>46276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HYPERLINK("https://klasma.github.io/Logging_2181/artfynd/A 36417-2025 artfynd.xlsx", "A 36417-2025")</f>
        <v/>
      </c>
      <c r="X66">
        <f>HYPERLINK("https://klasma.github.io/Logging_2181/kartor/A 36417-2025 karta.png", "A 36417-2025")</f>
        <v/>
      </c>
      <c r="Y66">
        <f>HYPERLINK("https://klasma.github.io/Logging_2181/kartor_geotiff/A 36417-2025 georefererad karta.tif", "A 36417-2025")</f>
        <v/>
      </c>
      <c r="Z66">
        <f>HYPERLINK("https://klasma.github.io/Logging_2181/knärot/A 36417-2025 karta knärot.png", "A 36417-2025")</f>
        <v/>
      </c>
      <c r="AA66">
        <f>HYPERLINK("https://klasma.github.io/Logging_2181/klagomål/A 36417-2025 FSC-klagomål.docx", "A 36417-2025")</f>
        <v/>
      </c>
      <c r="AB66">
        <f>HYPERLINK("https://klasma.github.io/Logging_2181/klagomålsmail/A 36417-2025 FSC-klagomål mail.docx", "A 36417-2025")</f>
        <v/>
      </c>
      <c r="AC66">
        <f>HYPERLINK("https://klasma.github.io/Logging_2181/tillsyn/A 36417-2025 tillsynsbegäran.docx", "A 36417-2025")</f>
        <v/>
      </c>
      <c r="AD66">
        <f>HYPERLINK("https://klasma.github.io/Logging_2181/tillsynsmail/A 36417-2025 tillsynsbegäran mail.docx", "A 36417-2025")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46276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15729-2022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46276</v>
      </c>
      <c r="F68" t="inlineStr">
        <is>
          <t>GÄVLEBORGS LÄN</t>
        </is>
      </c>
      <c r="G68" t="inlineStr">
        <is>
          <t>SANDVIKEN</t>
        </is>
      </c>
      <c r="I68" t="n">
        <v>2.1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HYPERLINK("https://klasma.github.io/Logging_2181/artfynd/A 15729-2022 artfynd.xlsx", "A 15729-2022")</f>
        <v/>
      </c>
      <c r="X68">
        <f>HYPERLINK("https://klasma.github.io/Logging_2181/kartor/A 15729-2022 karta.png", "A 15729-2022")</f>
        <v/>
      </c>
      <c r="Y68">
        <f>HYPERLINK("https://klasma.github.io/Logging_2181/kartor_geotiff/A 15729-2022 georefererad karta.tif", "A 15729-2022")</f>
        <v/>
      </c>
      <c r="Z68">
        <f>HYPERLINK("https://klasma.github.io/Logging_2181/knärot/A 15729-2022 karta knärot.png", "A 15729-2022")</f>
        <v/>
      </c>
      <c r="AA68">
        <f>HYPERLINK("https://klasma.github.io/Logging_2181/klagomål/A 15729-2022 FSC-klagomål.docx", "A 15729-2022")</f>
        <v/>
      </c>
      <c r="AB68">
        <f>HYPERLINK("https://klasma.github.io/Logging_2181/klagomålsmail/A 15729-2022 FSC-klagomål mail.docx", "A 15729-2022")</f>
        <v/>
      </c>
      <c r="AC68">
        <f>HYPERLINK("https://klasma.github.io/Logging_2181/tillsyn/A 15729-2022 tillsynsbegäran.docx", "A 15729-2022")</f>
        <v/>
      </c>
      <c r="AD68">
        <f>HYPERLINK("https://klasma.github.io/Logging_2181/tillsynsmail/A 15729-2022 tillsynsbegäran mail.docx", "A 15729-2022")</f>
        <v/>
      </c>
    </row>
    <row r="69" ht="15" customHeight="1">
      <c r="A69" t="inlineStr">
        <is>
          <t>A 38350-2025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46276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väst AB</t>
        </is>
      </c>
      <c r="I69" t="n">
        <v>25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Brandticka</t>
        </is>
      </c>
      <c r="W69">
        <f>HYPERLINK("https://klasma.github.io/Logging_2181/artfynd/A 38350-2025 artfynd.xlsx", "A 38350-2025")</f>
        <v/>
      </c>
      <c r="X69">
        <f>HYPERLINK("https://klasma.github.io/Logging_2181/kartor/A 38350-2025 karta.png", "A 38350-2025")</f>
        <v/>
      </c>
      <c r="Y69">
        <f>HYPERLINK("https://klasma.github.io/Logging_2181/kartor_geotiff/A 38350-2025 georefererad karta.tif", "A 38350-2025")</f>
        <v/>
      </c>
      <c r="AA69">
        <f>HYPERLINK("https://klasma.github.io/Logging_2181/klagomål/A 38350-2025 FSC-klagomål.docx", "A 38350-2025")</f>
        <v/>
      </c>
      <c r="AB69">
        <f>HYPERLINK("https://klasma.github.io/Logging_2181/klagomålsmail/A 38350-2025 FSC-klagomål mail.docx", "A 38350-2025")</f>
        <v/>
      </c>
      <c r="AC69">
        <f>HYPERLINK("https://klasma.github.io/Logging_2181/tillsyn/A 38350-2025 tillsynsbegäran.docx", "A 38350-2025")</f>
        <v/>
      </c>
      <c r="AD69">
        <f>HYPERLINK("https://klasma.github.io/Logging_2181/tillsynsmail/A 38350-2025 tillsynsbegäran mail.docx", "A 38350-2025")</f>
        <v/>
      </c>
    </row>
    <row r="70" ht="15" customHeight="1">
      <c r="A70" t="inlineStr">
        <is>
          <t>A 46610-2025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45926</v>
      </c>
      <c r="E70" s="1" t="n">
        <v>46276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16.3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HYPERLINK("https://klasma.github.io/Logging_2181/artfynd/A 46610-2025 artfynd.xlsx", "A 46610-2025")</f>
        <v/>
      </c>
      <c r="X70">
        <f>HYPERLINK("https://klasma.github.io/Logging_2181/kartor/A 46610-2025 karta.png", "A 46610-2025")</f>
        <v/>
      </c>
      <c r="Y70">
        <f>HYPERLINK("https://klasma.github.io/Logging_2181/kartor_geotiff/A 46610-2025 georefererad karta.tif", "A 46610-2025")</f>
        <v/>
      </c>
      <c r="AA70">
        <f>HYPERLINK("https://klasma.github.io/Logging_2181/klagomål/A 46610-2025 FSC-klagomål.docx", "A 46610-2025")</f>
        <v/>
      </c>
      <c r="AB70">
        <f>HYPERLINK("https://klasma.github.io/Logging_2181/klagomålsmail/A 46610-2025 FSC-klagomål mail.docx", "A 46610-2025")</f>
        <v/>
      </c>
      <c r="AC70">
        <f>HYPERLINK("https://klasma.github.io/Logging_2181/tillsyn/A 46610-2025 tillsynsbegäran.docx", "A 46610-2025")</f>
        <v/>
      </c>
      <c r="AD70">
        <f>HYPERLINK("https://klasma.github.io/Logging_2181/tillsynsmail/A 46610-2025 tillsynsbegäran mail.docx", "A 46610-2025")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46276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47174-2025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45930</v>
      </c>
      <c r="E72" s="1" t="n">
        <v>46276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Garnlav</t>
        </is>
      </c>
      <c r="W72">
        <f>HYPERLINK("https://klasma.github.io/Logging_2181/artfynd/A 47174-2025 artfynd.xlsx", "A 47174-2025")</f>
        <v/>
      </c>
      <c r="X72">
        <f>HYPERLINK("https://klasma.github.io/Logging_2181/kartor/A 47174-2025 karta.png", "A 47174-2025")</f>
        <v/>
      </c>
      <c r="Y72">
        <f>HYPERLINK("https://klasma.github.io/Logging_2181/kartor_geotiff/A 47174-2025 georefererad karta.tif", "A 47174-2025")</f>
        <v/>
      </c>
      <c r="AA72">
        <f>HYPERLINK("https://klasma.github.io/Logging_2181/klagomål/A 47174-2025 FSC-klagomål.docx", "A 47174-2025")</f>
        <v/>
      </c>
      <c r="AB72">
        <f>HYPERLINK("https://klasma.github.io/Logging_2181/klagomålsmail/A 47174-2025 FSC-klagomål mail.docx", "A 47174-2025")</f>
        <v/>
      </c>
      <c r="AC72">
        <f>HYPERLINK("https://klasma.github.io/Logging_2181/tillsyn/A 47174-2025 tillsynsbegäran.docx", "A 47174-2025")</f>
        <v/>
      </c>
      <c r="AD72">
        <f>HYPERLINK("https://klasma.github.io/Logging_2181/tillsynsmail/A 47174-2025 tillsynsbegäran mail.docx", "A 47174-2025")</f>
        <v/>
      </c>
    </row>
    <row r="73" ht="15" customHeight="1">
      <c r="A73" t="inlineStr">
        <is>
          <t>A 7393-2026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46276</v>
      </c>
      <c r="F73" t="inlineStr">
        <is>
          <t>GÄVLEBORGS LÄN</t>
        </is>
      </c>
      <c r="G73" t="inlineStr">
        <is>
          <t>SANDVIKEN</t>
        </is>
      </c>
      <c r="I73" t="n">
        <v>6.7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Brunklöver</t>
        </is>
      </c>
      <c r="W73">
        <f>HYPERLINK("https://klasma.github.io/Logging_2181/artfynd/A 7393-2026 artfynd.xlsx", "A 7393-2026")</f>
        <v/>
      </c>
      <c r="X73">
        <f>HYPERLINK("https://klasma.github.io/Logging_2181/kartor/A 7393-2026 karta.png", "A 7393-2026")</f>
        <v/>
      </c>
      <c r="Y73">
        <f>HYPERLINK("https://klasma.github.io/Logging_2181/kartor_geotiff/A 7393-2026 georefererad karta.tif", "A 7393-2026")</f>
        <v/>
      </c>
      <c r="AA73">
        <f>HYPERLINK("https://klasma.github.io/Logging_2181/klagomål/A 7393-2026 FSC-klagomål.docx", "A 7393-2026")</f>
        <v/>
      </c>
      <c r="AB73">
        <f>HYPERLINK("https://klasma.github.io/Logging_2181/klagomålsmail/A 7393-2026 FSC-klagomål mail.docx", "A 7393-2026")</f>
        <v/>
      </c>
      <c r="AC73">
        <f>HYPERLINK("https://klasma.github.io/Logging_2181/tillsyn/A 7393-2026 tillsynsbegäran.docx", "A 7393-2026")</f>
        <v/>
      </c>
      <c r="AD73">
        <f>HYPERLINK("https://klasma.github.io/Logging_2181/tillsynsmail/A 7393-2026 tillsynsbegäran mail.docx", "A 7393-2026")</f>
        <v/>
      </c>
    </row>
    <row r="74" ht="15" customHeight="1">
      <c r="A74" t="inlineStr">
        <is>
          <t>A 9267-2026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46276</v>
      </c>
      <c r="F74" t="inlineStr">
        <is>
          <t>GÄVLEBORGS LÄN</t>
        </is>
      </c>
      <c r="G74" t="inlineStr">
        <is>
          <t>SANDVIKEN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Gullpudra</t>
        </is>
      </c>
      <c r="W74">
        <f>HYPERLINK("https://klasma.github.io/Logging_2181/artfynd/A 9267-2026 artfynd.xlsx", "A 9267-2026")</f>
        <v/>
      </c>
      <c r="X74">
        <f>HYPERLINK("https://klasma.github.io/Logging_2181/kartor/A 9267-2026 karta.png", "A 9267-2026")</f>
        <v/>
      </c>
      <c r="Y74">
        <f>HYPERLINK("https://klasma.github.io/Logging_2181/kartor_geotiff/A 9267-2026 georefererad karta.tif", "A 9267-2026")</f>
        <v/>
      </c>
      <c r="AA74">
        <f>HYPERLINK("https://klasma.github.io/Logging_2181/klagomål/A 9267-2026 FSC-klagomål.docx", "A 9267-2026")</f>
        <v/>
      </c>
      <c r="AB74">
        <f>HYPERLINK("https://klasma.github.io/Logging_2181/klagomålsmail/A 9267-2026 FSC-klagomål mail.docx", "A 9267-2026")</f>
        <v/>
      </c>
      <c r="AC74">
        <f>HYPERLINK("https://klasma.github.io/Logging_2181/tillsyn/A 9267-2026 tillsynsbegäran.docx", "A 9267-2026")</f>
        <v/>
      </c>
      <c r="AD74">
        <f>HYPERLINK("https://klasma.github.io/Logging_2181/tillsynsmail/A 9267-2026 tillsynsbegäran mail.docx", "A 9267-2026")</f>
        <v/>
      </c>
    </row>
    <row r="75" ht="15" customHeight="1">
      <c r="A75" t="inlineStr">
        <is>
          <t>A 11784-2026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46276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HYPERLINK("https://klasma.github.io/Logging_2181/artfynd/A 11784-2026 artfynd.xlsx", "A 11784-2026")</f>
        <v/>
      </c>
      <c r="X75">
        <f>HYPERLINK("https://klasma.github.io/Logging_2181/kartor/A 11784-2026 karta.png", "A 11784-2026")</f>
        <v/>
      </c>
      <c r="Y75">
        <f>HYPERLINK("https://klasma.github.io/Logging_2181/kartor_geotiff/A 11784-2026 georefererad karta.tif", "A 11784-2026")</f>
        <v/>
      </c>
      <c r="AA75">
        <f>HYPERLINK("https://klasma.github.io/Logging_2181/klagomål/A 11784-2026 FSC-klagomål.docx", "A 11784-2026")</f>
        <v/>
      </c>
      <c r="AB75">
        <f>HYPERLINK("https://klasma.github.io/Logging_2181/klagomålsmail/A 11784-2026 FSC-klagomål mail.docx", "A 11784-2026")</f>
        <v/>
      </c>
      <c r="AC75">
        <f>HYPERLINK("https://klasma.github.io/Logging_2181/tillsyn/A 11784-2026 tillsynsbegäran.docx", "A 11784-2026")</f>
        <v/>
      </c>
      <c r="AD75">
        <f>HYPERLINK("https://klasma.github.io/Logging_2181/tillsynsmail/A 11784-2026 tillsynsbegäran mail.docx", "A 11784-2026")</f>
        <v/>
      </c>
    </row>
    <row r="76" ht="15" customHeight="1">
      <c r="A76" t="inlineStr">
        <is>
          <t>A 13135-2026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46276</v>
      </c>
      <c r="F76" t="inlineStr">
        <is>
          <t>GÄVLEBORGS LÄN</t>
        </is>
      </c>
      <c r="G76" t="inlineStr">
        <is>
          <t>SANDVIKEN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HYPERLINK("https://klasma.github.io/Logging_2181/artfynd/A 13135-2026 artfynd.xlsx", "A 13135-2026")</f>
        <v/>
      </c>
      <c r="X76">
        <f>HYPERLINK("https://klasma.github.io/Logging_2181/kartor/A 13135-2026 karta.png", "A 13135-2026")</f>
        <v/>
      </c>
      <c r="Y76">
        <f>HYPERLINK("https://klasma.github.io/Logging_2181/kartor_geotiff/A 13135-2026 georefererad karta.tif", "A 13135-2026")</f>
        <v/>
      </c>
      <c r="AA76">
        <f>HYPERLINK("https://klasma.github.io/Logging_2181/klagomål/A 13135-2026 FSC-klagomål.docx", "A 13135-2026")</f>
        <v/>
      </c>
      <c r="AB76">
        <f>HYPERLINK("https://klasma.github.io/Logging_2181/klagomålsmail/A 13135-2026 FSC-klagomål mail.docx", "A 13135-2026")</f>
        <v/>
      </c>
      <c r="AC76">
        <f>HYPERLINK("https://klasma.github.io/Logging_2181/tillsyn/A 13135-2026 tillsynsbegäran.docx", "A 13135-2026")</f>
        <v/>
      </c>
      <c r="AD76">
        <f>HYPERLINK("https://klasma.github.io/Logging_2181/tillsynsmail/A 13135-2026 tillsynsbegäran mail.docx", "A 13135-2026")</f>
        <v/>
      </c>
    </row>
    <row r="77" ht="15" customHeight="1">
      <c r="A77" t="inlineStr">
        <is>
          <t>A 13645-2026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46097</v>
      </c>
      <c r="E77" s="1" t="n">
        <v>46276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HYPERLINK("https://klasma.github.io/Logging_2181/artfynd/A 13645-2026 artfynd.xlsx", "A 13645-2026")</f>
        <v/>
      </c>
      <c r="X77">
        <f>HYPERLINK("https://klasma.github.io/Logging_2181/kartor/A 13645-2026 karta.png", "A 13645-2026")</f>
        <v/>
      </c>
      <c r="Y77">
        <f>HYPERLINK("https://klasma.github.io/Logging_2181/kartor_geotiff/A 13645-2026 georefererad karta.tif", "A 13645-2026")</f>
        <v/>
      </c>
      <c r="AA77">
        <f>HYPERLINK("https://klasma.github.io/Logging_2181/klagomål/A 13645-2026 FSC-klagomål.docx", "A 13645-2026")</f>
        <v/>
      </c>
      <c r="AB77">
        <f>HYPERLINK("https://klasma.github.io/Logging_2181/klagomålsmail/A 13645-2026 FSC-klagomål mail.docx", "A 13645-2026")</f>
        <v/>
      </c>
      <c r="AC77">
        <f>HYPERLINK("https://klasma.github.io/Logging_2181/tillsyn/A 13645-2026 tillsynsbegäran.docx", "A 13645-2026")</f>
        <v/>
      </c>
      <c r="AD77">
        <f>HYPERLINK("https://klasma.github.io/Logging_2181/tillsynsmail/A 13645-2026 tillsynsbegäran mail.docx", "A 13645-2026")</f>
        <v/>
      </c>
      <c r="AE77">
        <f>HYPERLINK("https://klasma.github.io/Logging_2181/fåglar/A 13645-2026 prioriterade fågelarter.docx", "A 13645-2026")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46276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25479-2023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45089</v>
      </c>
      <c r="E79" s="1" t="n">
        <v>46276</v>
      </c>
      <c r="F79" t="inlineStr">
        <is>
          <t>GÄVLEBORGS LÄN</t>
        </is>
      </c>
      <c r="G79" t="inlineStr">
        <is>
          <t>SANDVIKEN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HYPERLINK("https://klasma.github.io/Logging_2181/artfynd/A 25479-2023 artfynd.xlsx", "A 25479-2023")</f>
        <v/>
      </c>
      <c r="X79">
        <f>HYPERLINK("https://klasma.github.io/Logging_2181/kartor/A 25479-2023 karta.png", "A 25479-2023")</f>
        <v/>
      </c>
      <c r="Y79">
        <f>HYPERLINK("https://klasma.github.io/Logging_2181/kartor_geotiff/A 25479-2023 georefererad karta.tif", "A 25479-2023")</f>
        <v/>
      </c>
      <c r="AA79">
        <f>HYPERLINK("https://klasma.github.io/Logging_2181/klagomål/A 25479-2023 FSC-klagomål.docx", "A 25479-2023")</f>
        <v/>
      </c>
      <c r="AB79">
        <f>HYPERLINK("https://klasma.github.io/Logging_2181/klagomålsmail/A 25479-2023 FSC-klagomål mail.docx", "A 25479-2023")</f>
        <v/>
      </c>
      <c r="AC79">
        <f>HYPERLINK("https://klasma.github.io/Logging_2181/tillsyn/A 25479-2023 tillsynsbegäran.docx", "A 25479-2023")</f>
        <v/>
      </c>
      <c r="AD79">
        <f>HYPERLINK("https://klasma.github.io/Logging_2181/tillsynsmail/A 25479-2023 tillsynsbegäran mail.docx", "A 25479-2023")</f>
        <v/>
      </c>
    </row>
    <row r="80" ht="15" customHeight="1">
      <c r="A80" t="inlineStr">
        <is>
          <t>A 14835-2026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46104</v>
      </c>
      <c r="E80" s="1" t="n">
        <v>46276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2.5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14835-2026 artfynd.xlsx", "A 14835-2026")</f>
        <v/>
      </c>
      <c r="X80">
        <f>HYPERLINK("https://klasma.github.io/Logging_2181/kartor/A 14835-2026 karta.png", "A 14835-2026")</f>
        <v/>
      </c>
      <c r="Y80">
        <f>HYPERLINK("https://klasma.github.io/Logging_2181/kartor_geotiff/A 14835-2026 georefererad karta.tif", "A 14835-2026")</f>
        <v/>
      </c>
      <c r="AA80">
        <f>HYPERLINK("https://klasma.github.io/Logging_2181/klagomål/A 14835-2026 FSC-klagomål.docx", "A 14835-2026")</f>
        <v/>
      </c>
      <c r="AB80">
        <f>HYPERLINK("https://klasma.github.io/Logging_2181/klagomålsmail/A 14835-2026 FSC-klagomål mail.docx", "A 14835-2026")</f>
        <v/>
      </c>
      <c r="AC80">
        <f>HYPERLINK("https://klasma.github.io/Logging_2181/tillsyn/A 14835-2026 tillsynsbegäran.docx", "A 14835-2026")</f>
        <v/>
      </c>
      <c r="AD80">
        <f>HYPERLINK("https://klasma.github.io/Logging_2181/tillsynsmail/A 14835-2026 tillsynsbegäran mail.docx", "A 14835-2026")</f>
        <v/>
      </c>
    </row>
    <row r="81" ht="15" customHeight="1">
      <c r="A81" t="inlineStr">
        <is>
          <t>A 15121-2026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46276</v>
      </c>
      <c r="F81" t="inlineStr">
        <is>
          <t>GÄVLEBORGS LÄN</t>
        </is>
      </c>
      <c r="G81" t="inlineStr">
        <is>
          <t>SANDVIKEN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Brandticka</t>
        </is>
      </c>
      <c r="W81">
        <f>HYPERLINK("https://klasma.github.io/Logging_2181/artfynd/A 15121-2026 artfynd.xlsx", "A 15121-2026")</f>
        <v/>
      </c>
      <c r="X81">
        <f>HYPERLINK("https://klasma.github.io/Logging_2181/kartor/A 15121-2026 karta.png", "A 15121-2026")</f>
        <v/>
      </c>
      <c r="Y81">
        <f>HYPERLINK("https://klasma.github.io/Logging_2181/kartor_geotiff/A 15121-2026 georefererad karta.tif", "A 15121-2026")</f>
        <v/>
      </c>
      <c r="AA81">
        <f>HYPERLINK("https://klasma.github.io/Logging_2181/klagomål/A 15121-2026 FSC-klagomål.docx", "A 15121-2026")</f>
        <v/>
      </c>
      <c r="AB81">
        <f>HYPERLINK("https://klasma.github.io/Logging_2181/klagomålsmail/A 15121-2026 FSC-klagomål mail.docx", "A 15121-2026")</f>
        <v/>
      </c>
      <c r="AC81">
        <f>HYPERLINK("https://klasma.github.io/Logging_2181/tillsyn/A 15121-2026 tillsynsbegäran.docx", "A 15121-2026")</f>
        <v/>
      </c>
      <c r="AD81">
        <f>HYPERLINK("https://klasma.github.io/Logging_2181/tillsynsmail/A 15121-2026 tillsynsbegäran mail.docx", "A 15121-2026")</f>
        <v/>
      </c>
    </row>
    <row r="82" ht="15" customHeight="1">
      <c r="A82" t="inlineStr">
        <is>
          <t>A 17062-2026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46276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5.7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Vårärt</t>
        </is>
      </c>
      <c r="W82">
        <f>HYPERLINK("https://klasma.github.io/Logging_2181/artfynd/A 17062-2026 artfynd.xlsx", "A 17062-2026")</f>
        <v/>
      </c>
      <c r="X82">
        <f>HYPERLINK("https://klasma.github.io/Logging_2181/kartor/A 17062-2026 karta.png", "A 17062-2026")</f>
        <v/>
      </c>
      <c r="Y82">
        <f>HYPERLINK("https://klasma.github.io/Logging_2181/kartor_geotiff/A 17062-2026 georefererad karta.tif", "A 17062-2026")</f>
        <v/>
      </c>
      <c r="AA82">
        <f>HYPERLINK("https://klasma.github.io/Logging_2181/klagomål/A 17062-2026 FSC-klagomål.docx", "A 17062-2026")</f>
        <v/>
      </c>
      <c r="AB82">
        <f>HYPERLINK("https://klasma.github.io/Logging_2181/klagomålsmail/A 17062-2026 FSC-klagomål mail.docx", "A 17062-2026")</f>
        <v/>
      </c>
      <c r="AC82">
        <f>HYPERLINK("https://klasma.github.io/Logging_2181/tillsyn/A 17062-2026 tillsynsbegäran.docx", "A 17062-2026")</f>
        <v/>
      </c>
      <c r="AD82">
        <f>HYPERLINK("https://klasma.github.io/Logging_2181/tillsynsmail/A 17062-2026 tillsynsbegäran mail.docx", "A 17062-2026")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46276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17364-2026 artfynd.xlsx", "A 17364-2026")</f>
        <v/>
      </c>
      <c r="X83">
        <f>HYPERLINK("https://klasma.github.io/Logging_2181/kartor/A 17364-2026 karta.png", "A 17364-2026")</f>
        <v/>
      </c>
      <c r="Y83">
        <f>HYPERLINK("https://klasma.github.io/Logging_2181/kartor_geotiff/A 17364-2026 georefererad karta.tif", "A 17364-2026")</f>
        <v/>
      </c>
      <c r="AA83">
        <f>HYPERLINK("https://klasma.github.io/Logging_2181/klagomål/A 17364-2026 FSC-klagomål.docx", "A 17364-2026")</f>
        <v/>
      </c>
      <c r="AB83">
        <f>HYPERLINK("https://klasma.github.io/Logging_2181/klagomålsmail/A 17364-2026 FSC-klagomål mail.docx", "A 17364-2026")</f>
        <v/>
      </c>
      <c r="AC83">
        <f>HYPERLINK("https://klasma.github.io/Logging_2181/tillsyn/A 17364-2026 tillsynsbegäran.docx", "A 17364-2026")</f>
        <v/>
      </c>
      <c r="AD83">
        <f>HYPERLINK("https://klasma.github.io/Logging_2181/tillsynsmail/A 17364-2026 tillsynsbegäran mail.docx", "A 17364-2026")</f>
        <v/>
      </c>
    </row>
    <row r="84" ht="15" customHeight="1">
      <c r="A84" t="inlineStr">
        <is>
          <t>A 19272-2026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46276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9.4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HYPERLINK("https://klasma.github.io/Logging_2181/artfynd/A 19272-2026 artfynd.xlsx", "A 19272-2026")</f>
        <v/>
      </c>
      <c r="X84">
        <f>HYPERLINK("https://klasma.github.io/Logging_2181/kartor/A 19272-2026 karta.png", "A 19272-2026")</f>
        <v/>
      </c>
      <c r="Y84">
        <f>HYPERLINK("https://klasma.github.io/Logging_2181/kartor_geotiff/A 19272-2026 georefererad karta.tif", "A 19272-2026")</f>
        <v/>
      </c>
      <c r="AA84">
        <f>HYPERLINK("https://klasma.github.io/Logging_2181/klagomål/A 19272-2026 FSC-klagomål.docx", "A 19272-2026")</f>
        <v/>
      </c>
      <c r="AB84">
        <f>HYPERLINK("https://klasma.github.io/Logging_2181/klagomålsmail/A 19272-2026 FSC-klagomål mail.docx", "A 19272-2026")</f>
        <v/>
      </c>
      <c r="AC84">
        <f>HYPERLINK("https://klasma.github.io/Logging_2181/tillsyn/A 19272-2026 tillsynsbegäran.docx", "A 19272-2026")</f>
        <v/>
      </c>
      <c r="AD84">
        <f>HYPERLINK("https://klasma.github.io/Logging_2181/tillsynsmail/A 19272-2026 tillsynsbegäran mail.docx", "A 19272-2026")</f>
        <v/>
      </c>
    </row>
    <row r="85" ht="15" customHeight="1">
      <c r="A85" t="inlineStr">
        <is>
          <t>A 22275-2024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46276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Ekorrbär</t>
        </is>
      </c>
      <c r="W85">
        <f>HYPERLINK("https://klasma.github.io/Logging_2181/artfynd/A 22275-2024 artfynd.xlsx", "A 22275-2024")</f>
        <v/>
      </c>
      <c r="X85">
        <f>HYPERLINK("https://klasma.github.io/Logging_2181/kartor/A 22275-2024 karta.png", "A 22275-2024")</f>
        <v/>
      </c>
      <c r="Y85">
        <f>HYPERLINK("https://klasma.github.io/Logging_2181/kartor_geotiff/A 22275-2024 georefererad karta.tif", "A 22275-2024")</f>
        <v/>
      </c>
      <c r="AA85">
        <f>HYPERLINK("https://klasma.github.io/Logging_2181/klagomål/A 22275-2024 FSC-klagomål.docx", "A 22275-2024")</f>
        <v/>
      </c>
      <c r="AB85">
        <f>HYPERLINK("https://klasma.github.io/Logging_2181/klagomålsmail/A 22275-2024 FSC-klagomål mail.docx", "A 22275-2024")</f>
        <v/>
      </c>
      <c r="AC85">
        <f>HYPERLINK("https://klasma.github.io/Logging_2181/tillsyn/A 22275-2024 tillsynsbegäran.docx", "A 22275-2024")</f>
        <v/>
      </c>
      <c r="AD85">
        <f>HYPERLINK("https://klasma.github.io/Logging_2181/tillsynsmail/A 22275-2024 tillsynsbegäran mail.docx", "A 22275-2024")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46276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4324-2026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46276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11.2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HYPERLINK("https://klasma.github.io/Logging_2181/artfynd/A 4324-2026 artfynd.xlsx", "A 4324-2026")</f>
        <v/>
      </c>
      <c r="X87">
        <f>HYPERLINK("https://klasma.github.io/Logging_2181/kartor/A 4324-2026 karta.png", "A 4324-2026")</f>
        <v/>
      </c>
      <c r="Y87">
        <f>HYPERLINK("https://klasma.github.io/Logging_2181/kartor_geotiff/A 4324-2026 georefererad karta.tif", "A 4324-2026")</f>
        <v/>
      </c>
      <c r="AA87">
        <f>HYPERLINK("https://klasma.github.io/Logging_2181/klagomål/A 4324-2026 FSC-klagomål.docx", "A 4324-2026")</f>
        <v/>
      </c>
      <c r="AB87">
        <f>HYPERLINK("https://klasma.github.io/Logging_2181/klagomålsmail/A 4324-2026 FSC-klagomål mail.docx", "A 4324-2026")</f>
        <v/>
      </c>
      <c r="AC87">
        <f>HYPERLINK("https://klasma.github.io/Logging_2181/tillsyn/A 4324-2026 tillsynsbegäran.docx", "A 4324-2026")</f>
        <v/>
      </c>
      <c r="AD87">
        <f>HYPERLINK("https://klasma.github.io/Logging_2181/tillsynsmail/A 4324-2026 tillsynsbegäran mail.docx", "A 4324-2026")</f>
        <v/>
      </c>
      <c r="AE87">
        <f>HYPERLINK("https://klasma.github.io/Logging_2181/fåglar/A 4324-2026 prioriterade fågelarter.docx", "A 4324-2026")</f>
        <v/>
      </c>
    </row>
    <row r="88" ht="15" customHeight="1">
      <c r="A88" t="inlineStr">
        <is>
          <t>A 42115-2023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45177</v>
      </c>
      <c r="E88" s="1" t="n">
        <v>46276</v>
      </c>
      <c r="F88" t="inlineStr">
        <is>
          <t>GÄVLEBORGS LÄN</t>
        </is>
      </c>
      <c r="G88" t="inlineStr">
        <is>
          <t>SANDVIKEN</t>
        </is>
      </c>
      <c r="H88" t="inlineStr">
        <is>
          <t>Sveaskog</t>
        </is>
      </c>
      <c r="I88" t="n">
        <v>2.4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HYPERLINK("https://klasma.github.io/Logging_2181/artfynd/A 42115-2023 artfynd.xlsx", "A 42115-2023")</f>
        <v/>
      </c>
      <c r="X88">
        <f>HYPERLINK("https://klasma.github.io/Logging_2181/kartor/A 42115-2023 karta.png", "A 42115-2023")</f>
        <v/>
      </c>
      <c r="Y88">
        <f>HYPERLINK("https://klasma.github.io/Logging_2181/kartor_geotiff/A 42115-2023 georefererad karta.tif", "A 42115-2023")</f>
        <v/>
      </c>
      <c r="AA88">
        <f>HYPERLINK("https://klasma.github.io/Logging_2181/klagomål/A 42115-2023 FSC-klagomål.docx", "A 42115-2023")</f>
        <v/>
      </c>
      <c r="AB88">
        <f>HYPERLINK("https://klasma.github.io/Logging_2181/klagomålsmail/A 42115-2023 FSC-klagomål mail.docx", "A 42115-2023")</f>
        <v/>
      </c>
      <c r="AC88">
        <f>HYPERLINK("https://klasma.github.io/Logging_2181/tillsyn/A 42115-2023 tillsynsbegäran.docx", "A 42115-2023")</f>
        <v/>
      </c>
      <c r="AD88">
        <f>HYPERLINK("https://klasma.github.io/Logging_2181/tillsynsmail/A 42115-2023 tillsynsbegäran mail.docx", "A 42115-2023")</f>
        <v/>
      </c>
      <c r="AE88">
        <f>HYPERLINK("https://klasma.github.io/Logging_2181/fåglar/A 42115-2023 prioriterade fågelarter.docx", "A 42115-2023")</f>
        <v/>
      </c>
    </row>
    <row r="89" ht="15" customHeight="1">
      <c r="A89" t="inlineStr">
        <is>
          <t>A 6972-2026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46057</v>
      </c>
      <c r="E89" s="1" t="n">
        <v>46276</v>
      </c>
      <c r="F89" t="inlineStr">
        <is>
          <t>GÄVLEBORGS LÄN</t>
        </is>
      </c>
      <c r="G89" t="inlineStr">
        <is>
          <t>SANDVIKEN</t>
        </is>
      </c>
      <c r="H89" t="inlineStr">
        <is>
          <t>Naturvårdsverket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6972-2026 artfynd.xlsx", "A 6972-2026")</f>
        <v/>
      </c>
      <c r="X89">
        <f>HYPERLINK("https://klasma.github.io/Logging_2181/kartor/A 6972-2026 karta.png", "A 6972-2026")</f>
        <v/>
      </c>
      <c r="Y89">
        <f>HYPERLINK("https://klasma.github.io/Logging_2181/kartor_geotiff/A 6972-2026 georefererad karta.tif", "A 6972-2026")</f>
        <v/>
      </c>
      <c r="AA89">
        <f>HYPERLINK("https://klasma.github.io/Logging_2181/klagomål/A 6972-2026 FSC-klagomål.docx", "A 6972-2026")</f>
        <v/>
      </c>
      <c r="AB89">
        <f>HYPERLINK("https://klasma.github.io/Logging_2181/klagomålsmail/A 6972-2026 FSC-klagomål mail.docx", "A 6972-2026")</f>
        <v/>
      </c>
      <c r="AC89">
        <f>HYPERLINK("https://klasma.github.io/Logging_2181/tillsyn/A 6972-2026 tillsynsbegäran.docx", "A 6972-2026")</f>
        <v/>
      </c>
      <c r="AD89">
        <f>HYPERLINK("https://klasma.github.io/Logging_2181/tillsynsmail/A 6972-2026 tillsynsbegäran mail.docx", "A 6972-2026")</f>
        <v/>
      </c>
    </row>
    <row r="90" ht="15" customHeight="1">
      <c r="A90" t="inlineStr">
        <is>
          <t>A 41349-2025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46276</v>
      </c>
      <c r="F90" t="inlineStr">
        <is>
          <t>GÄVLEBORGS LÄN</t>
        </is>
      </c>
      <c r="G90" t="inlineStr">
        <is>
          <t>SANDVIKEN</t>
        </is>
      </c>
      <c r="I90" t="n">
        <v>3.7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HYPERLINK("https://klasma.github.io/Logging_2181/artfynd/A 41349-2025 artfynd.xlsx", "A 41349-2025")</f>
        <v/>
      </c>
      <c r="X90">
        <f>HYPERLINK("https://klasma.github.io/Logging_2181/kartor/A 41349-2025 karta.png", "A 41349-2025")</f>
        <v/>
      </c>
      <c r="Y90">
        <f>HYPERLINK("https://klasma.github.io/Logging_2181/kartor_geotiff/A 41349-2025 georefererad karta.tif", "A 41349-2025")</f>
        <v/>
      </c>
      <c r="AA90">
        <f>HYPERLINK("https://klasma.github.io/Logging_2181/klagomål/A 41349-2025 FSC-klagomål.docx", "A 41349-2025")</f>
        <v/>
      </c>
      <c r="AB90">
        <f>HYPERLINK("https://klasma.github.io/Logging_2181/klagomålsmail/A 41349-2025 FSC-klagomål mail.docx", "A 41349-2025")</f>
        <v/>
      </c>
      <c r="AC90">
        <f>HYPERLINK("https://klasma.github.io/Logging_2181/tillsyn/A 41349-2025 tillsynsbegäran.docx", "A 41349-2025")</f>
        <v/>
      </c>
      <c r="AD90">
        <f>HYPERLINK("https://klasma.github.io/Logging_2181/tillsynsmail/A 41349-2025 tillsynsbegäran mail.docx", "A 41349-2025")</f>
        <v/>
      </c>
    </row>
    <row r="91" ht="15" customHeight="1">
      <c r="A91" t="inlineStr">
        <is>
          <t>A 21532-2026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46148</v>
      </c>
      <c r="E91" s="1" t="n">
        <v>46276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21532-2026 artfynd.xlsx", "A 21532-2026")</f>
        <v/>
      </c>
      <c r="X91">
        <f>HYPERLINK("https://klasma.github.io/Logging_2181/kartor/A 21532-2026 karta.png", "A 21532-2026")</f>
        <v/>
      </c>
      <c r="Y91">
        <f>HYPERLINK("https://klasma.github.io/Logging_2181/kartor_geotiff/A 21532-2026 georefererad karta.tif", "A 21532-2026")</f>
        <v/>
      </c>
      <c r="AA91">
        <f>HYPERLINK("https://klasma.github.io/Logging_2181/klagomål/A 21532-2026 FSC-klagomål.docx", "A 21532-2026")</f>
        <v/>
      </c>
      <c r="AB91">
        <f>HYPERLINK("https://klasma.github.io/Logging_2181/klagomålsmail/A 21532-2026 FSC-klagomål mail.docx", "A 21532-2026")</f>
        <v/>
      </c>
      <c r="AC91">
        <f>HYPERLINK("https://klasma.github.io/Logging_2181/tillsyn/A 21532-2026 tillsynsbegäran.docx", "A 21532-2026")</f>
        <v/>
      </c>
      <c r="AD91">
        <f>HYPERLINK("https://klasma.github.io/Logging_2181/tillsynsmail/A 21532-2026 tillsynsbegäran mail.docx", "A 21532-2026")</f>
        <v/>
      </c>
    </row>
    <row r="92" ht="15" customHeight="1">
      <c r="A92" t="inlineStr">
        <is>
          <t>A 24171-2026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46276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Svedjenäva</t>
        </is>
      </c>
      <c r="W92">
        <f>HYPERLINK("https://klasma.github.io/Logging_2181/artfynd/A 24171-2026 artfynd.xlsx", "A 24171-2026")</f>
        <v/>
      </c>
      <c r="X92">
        <f>HYPERLINK("https://klasma.github.io/Logging_2181/kartor/A 24171-2026 karta.png", "A 24171-2026")</f>
        <v/>
      </c>
      <c r="Y92">
        <f>HYPERLINK("https://klasma.github.io/Logging_2181/kartor_geotiff/A 24171-2026 georefererad karta.tif", "A 24171-2026")</f>
        <v/>
      </c>
      <c r="AA92">
        <f>HYPERLINK("https://klasma.github.io/Logging_2181/klagomål/A 24171-2026 FSC-klagomål.docx", "A 24171-2026")</f>
        <v/>
      </c>
      <c r="AB92">
        <f>HYPERLINK("https://klasma.github.io/Logging_2181/klagomålsmail/A 24171-2026 FSC-klagomål mail.docx", "A 24171-2026")</f>
        <v/>
      </c>
      <c r="AC92">
        <f>HYPERLINK("https://klasma.github.io/Logging_2181/tillsyn/A 24171-2026 tillsynsbegäran.docx", "A 24171-2026")</f>
        <v/>
      </c>
      <c r="AD92">
        <f>HYPERLINK("https://klasma.github.io/Logging_2181/tillsynsmail/A 24171-2026 tillsynsbegäran mail.docx", "A 24171-2026")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46276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HYPERLINK("https://klasma.github.io/Logging_2181/artfynd/A 24357-2026 artfynd.xlsx", "A 24357-2026")</f>
        <v/>
      </c>
      <c r="X93">
        <f>HYPERLINK("https://klasma.github.io/Logging_2181/kartor/A 24357-2026 karta.png", "A 24357-2026")</f>
        <v/>
      </c>
      <c r="Y93">
        <f>HYPERLINK("https://klasma.github.io/Logging_2181/kartor_geotiff/A 24357-2026 georefererad karta.tif", "A 24357-2026")</f>
        <v/>
      </c>
      <c r="AA93">
        <f>HYPERLINK("https://klasma.github.io/Logging_2181/klagomål/A 24357-2026 FSC-klagomål.docx", "A 24357-2026")</f>
        <v/>
      </c>
      <c r="AB93">
        <f>HYPERLINK("https://klasma.github.io/Logging_2181/klagomålsmail/A 24357-2026 FSC-klagomål mail.docx", "A 24357-2026")</f>
        <v/>
      </c>
      <c r="AC93">
        <f>HYPERLINK("https://klasma.github.io/Logging_2181/tillsyn/A 24357-2026 tillsynsbegäran.docx", "A 24357-2026")</f>
        <v/>
      </c>
      <c r="AD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46276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46276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46276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46276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46276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1.3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Rödvingetrast</t>
        </is>
      </c>
      <c r="W98">
        <f>HYPERLINK("https://klasma.github.io/Logging_2181/artfynd/A 23225-2026 artfynd.xlsx", "A 23225-2026")</f>
        <v/>
      </c>
      <c r="X98">
        <f>HYPERLINK("https://klasma.github.io/Logging_2181/kartor/A 23225-2026 karta.png", "A 23225-2026")</f>
        <v/>
      </c>
      <c r="Y98">
        <f>HYPERLINK("https://klasma.github.io/Logging_2181/kartor_geotiff/A 23225-2026 georefererad karta.tif", "A 23225-2026")</f>
        <v/>
      </c>
      <c r="AA98">
        <f>HYPERLINK("https://klasma.github.io/Logging_2181/klagomål/A 23225-2026 FSC-klagomål.docx", "A 23225-2026")</f>
        <v/>
      </c>
      <c r="AB98">
        <f>HYPERLINK("https://klasma.github.io/Logging_2181/klagomålsmail/A 23225-2026 FSC-klagomål mail.docx", "A 23225-2026")</f>
        <v/>
      </c>
      <c r="AC98">
        <f>HYPERLINK("https://klasma.github.io/Logging_2181/tillsyn/A 23225-2026 tillsynsbegäran.docx", "A 23225-2026")</f>
        <v/>
      </c>
      <c r="AD98">
        <f>HYPERLINK("https://klasma.github.io/Logging_2181/tillsynsmail/A 23225-2026 tillsynsbegäran mail.docx", "A 23225-2026")</f>
        <v/>
      </c>
      <c r="AE98">
        <f>HYPERLINK("https://klasma.github.io/Logging_2181/fåglar/A 23225-2026 prioriterade fågelarter.docx", "A 23225-2026")</f>
        <v/>
      </c>
    </row>
    <row r="99" ht="15" customHeight="1">
      <c r="A99" t="inlineStr">
        <is>
          <t>A 32533-2026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46276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Järnsparv</t>
        </is>
      </c>
      <c r="W99">
        <f>HYPERLINK("https://klasma.github.io/Logging_2181/artfynd/A 32533-2026 artfynd.xlsx", "A 32533-2026")</f>
        <v/>
      </c>
      <c r="X99">
        <f>HYPERLINK("https://klasma.github.io/Logging_2181/kartor/A 32533-2026 karta.png", "A 32533-2026")</f>
        <v/>
      </c>
      <c r="Y99">
        <f>HYPERLINK("https://klasma.github.io/Logging_2181/kartor_geotiff/A 32533-2026 georefererad karta.tif", "A 32533-2026")</f>
        <v/>
      </c>
      <c r="AA99">
        <f>HYPERLINK("https://klasma.github.io/Logging_2181/klagomål/A 32533-2026 FSC-klagomål.docx", "A 32533-2026")</f>
        <v/>
      </c>
      <c r="AB99">
        <f>HYPERLINK("https://klasma.github.io/Logging_2181/klagomålsmail/A 32533-2026 FSC-klagomål mail.docx", "A 32533-2026")</f>
        <v/>
      </c>
      <c r="AC99">
        <f>HYPERLINK("https://klasma.github.io/Logging_2181/tillsyn/A 32533-2026 tillsynsbegäran.docx", "A 32533-2026")</f>
        <v/>
      </c>
      <c r="AD99">
        <f>HYPERLINK("https://klasma.github.io/Logging_2181/tillsynsmail/A 32533-2026 tillsynsbegäran mail.docx", "A 32533-2026")</f>
        <v/>
      </c>
      <c r="AE99">
        <f>HYPERLINK("https://klasma.github.io/Logging_2181/fåglar/A 32533-2026 prioriterade fågelarter.docx", "A 32533-2026")</f>
        <v/>
      </c>
    </row>
    <row r="100" ht="15" customHeight="1">
      <c r="A100" t="inlineStr">
        <is>
          <t>A 32539-2026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46276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Grönsiska</t>
        </is>
      </c>
      <c r="W100">
        <f>HYPERLINK("https://klasma.github.io/Logging_2181/artfynd/A 32539-2026 artfynd.xlsx", "A 32539-2026")</f>
        <v/>
      </c>
      <c r="X100">
        <f>HYPERLINK("https://klasma.github.io/Logging_2181/kartor/A 32539-2026 karta.png", "A 32539-2026")</f>
        <v/>
      </c>
      <c r="Y100">
        <f>HYPERLINK("https://klasma.github.io/Logging_2181/kartor_geotiff/A 32539-2026 georefererad karta.tif", "A 32539-2026")</f>
        <v/>
      </c>
      <c r="AA100">
        <f>HYPERLINK("https://klasma.github.io/Logging_2181/klagomål/A 32539-2026 FSC-klagomål.docx", "A 32539-2026")</f>
        <v/>
      </c>
      <c r="AB100">
        <f>HYPERLINK("https://klasma.github.io/Logging_2181/klagomålsmail/A 32539-2026 FSC-klagomål mail.docx", "A 32539-2026")</f>
        <v/>
      </c>
      <c r="AC100">
        <f>HYPERLINK("https://klasma.github.io/Logging_2181/tillsyn/A 32539-2026 tillsynsbegäran.docx", "A 32539-2026")</f>
        <v/>
      </c>
      <c r="AD100">
        <f>HYPERLINK("https://klasma.github.io/Logging_2181/tillsynsmail/A 32539-2026 tillsynsbegäran mail.docx", "A 32539-2026")</f>
        <v/>
      </c>
    </row>
    <row r="101" ht="15" customHeight="1">
      <c r="A101" t="inlineStr">
        <is>
          <t>A 32544-2026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46276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HYPERLINK("https://klasma.github.io/Logging_2181/artfynd/A 32544-2026 artfynd.xlsx", "A 32544-2026")</f>
        <v/>
      </c>
      <c r="X101">
        <f>HYPERLINK("https://klasma.github.io/Logging_2181/kartor/A 32544-2026 karta.png", "A 32544-2026")</f>
        <v/>
      </c>
      <c r="Y101">
        <f>HYPERLINK("https://klasma.github.io/Logging_2181/kartor_geotiff/A 32544-2026 georefererad karta.tif", "A 32544-2026")</f>
        <v/>
      </c>
      <c r="AA101">
        <f>HYPERLINK("https://klasma.github.io/Logging_2181/klagomål/A 32544-2026 FSC-klagomål.docx", "A 32544-2026")</f>
        <v/>
      </c>
      <c r="AB101">
        <f>HYPERLINK("https://klasma.github.io/Logging_2181/klagomålsmail/A 32544-2026 FSC-klagomål mail.docx", "A 32544-2026")</f>
        <v/>
      </c>
      <c r="AC101">
        <f>HYPERLINK("https://klasma.github.io/Logging_2181/tillsyn/A 32544-2026 tillsynsbegäran.docx", "A 32544-2026")</f>
        <v/>
      </c>
      <c r="AD101">
        <f>HYPERLINK("https://klasma.github.io/Logging_2181/tillsynsmail/A 32544-2026 tillsynsbegäran mail.docx", "A 32544-2026")</f>
        <v/>
      </c>
    </row>
    <row r="102" ht="15" customHeight="1">
      <c r="A102" t="inlineStr">
        <is>
          <t>A 4384-2023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44955</v>
      </c>
      <c r="E102" s="1" t="n">
        <v>46276</v>
      </c>
      <c r="F102" t="inlineStr">
        <is>
          <t>GÄVLEBORGS LÄN</t>
        </is>
      </c>
      <c r="G102" t="inlineStr">
        <is>
          <t>SANDVIKEN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Sångsvan</t>
        </is>
      </c>
      <c r="W102">
        <f>HYPERLINK("https://klasma.github.io/Logging_2181/artfynd/A 4384-2023 artfynd.xlsx", "A 4384-2023")</f>
        <v/>
      </c>
      <c r="X102">
        <f>HYPERLINK("https://klasma.github.io/Logging_2181/kartor/A 4384-2023 karta.png", "A 4384-2023")</f>
        <v/>
      </c>
      <c r="Y102">
        <f>HYPERLINK("https://klasma.github.io/Logging_2181/kartor_geotiff/A 4384-2023 georefererad karta.tif", "A 4384-2023")</f>
        <v/>
      </c>
      <c r="AA102">
        <f>HYPERLINK("https://klasma.github.io/Logging_2181/klagomål/A 4384-2023 FSC-klagomål.docx", "A 4384-2023")</f>
        <v/>
      </c>
      <c r="AB102">
        <f>HYPERLINK("https://klasma.github.io/Logging_2181/klagomålsmail/A 4384-2023 FSC-klagomål mail.docx", "A 4384-2023")</f>
        <v/>
      </c>
      <c r="AC102">
        <f>HYPERLINK("https://klasma.github.io/Logging_2181/tillsyn/A 4384-2023 tillsynsbegäran.docx", "A 4384-2023")</f>
        <v/>
      </c>
      <c r="AD102">
        <f>HYPERLINK("https://klasma.github.io/Logging_2181/tillsynsmail/A 4384-2023 tillsynsbegäran mail.docx", "A 4384-2023")</f>
        <v/>
      </c>
      <c r="AE102">
        <f>HYPERLINK("https://klasma.github.io/Logging_2181/fåglar/A 4384-2023 prioriterade fågelarter.docx", "A 4384-2023")</f>
        <v/>
      </c>
    </row>
    <row r="103" ht="15" customHeight="1">
      <c r="A103" t="inlineStr">
        <is>
          <t>A 23289-2024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46276</v>
      </c>
      <c r="F103" t="inlineStr">
        <is>
          <t>GÄVLEBORGS LÄN</t>
        </is>
      </c>
      <c r="G103" t="inlineStr">
        <is>
          <t>SANDVIKEN</t>
        </is>
      </c>
      <c r="H103" t="inlineStr">
        <is>
          <t>Kyrkan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Skogsödla</t>
        </is>
      </c>
      <c r="W103">
        <f>HYPERLINK("https://klasma.github.io/Logging_2181/artfynd/A 23289-2024 artfynd.xlsx", "A 23289-2024")</f>
        <v/>
      </c>
      <c r="X103">
        <f>HYPERLINK("https://klasma.github.io/Logging_2181/kartor/A 23289-2024 karta.png", "A 23289-2024")</f>
        <v/>
      </c>
      <c r="Y103">
        <f>HYPERLINK("https://klasma.github.io/Logging_2181/kartor_geotiff/A 23289-2024 georefererad karta.tif", "A 23289-2024")</f>
        <v/>
      </c>
      <c r="AA103">
        <f>HYPERLINK("https://klasma.github.io/Logging_2181/klagomål/A 23289-2024 FSC-klagomål.docx", "A 23289-2024")</f>
        <v/>
      </c>
      <c r="AB103">
        <f>HYPERLINK("https://klasma.github.io/Logging_2181/klagomålsmail/A 23289-2024 FSC-klagomål mail.docx", "A 23289-2024")</f>
        <v/>
      </c>
      <c r="AC103">
        <f>HYPERLINK("https://klasma.github.io/Logging_2181/tillsyn/A 23289-2024 tillsynsbegäran.docx", "A 23289-2024")</f>
        <v/>
      </c>
      <c r="AD103">
        <f>HYPERLINK("https://klasma.github.io/Logging_2181/tillsynsmail/A 23289-2024 tillsynsbegäran mail.docx", "A 23289-2024")</f>
        <v/>
      </c>
    </row>
    <row r="104" ht="15" customHeight="1">
      <c r="A104" t="inlineStr">
        <is>
          <t>A 35419-2026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46276</v>
      </c>
      <c r="F104" t="inlineStr">
        <is>
          <t>GÄVLEBORGS LÄN</t>
        </is>
      </c>
      <c r="G104" t="inlineStr">
        <is>
          <t>SANDVIKEN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HYPERLINK("https://klasma.github.io/Logging_2181/artfynd/A 35419-2026 artfynd.xlsx", "A 35419-2026")</f>
        <v/>
      </c>
      <c r="X104">
        <f>HYPERLINK("https://klasma.github.io/Logging_2181/kartor/A 35419-2026 karta.png", "A 35419-2026")</f>
        <v/>
      </c>
      <c r="Y104">
        <f>HYPERLINK("https://klasma.github.io/Logging_2181/kartor_geotiff/A 35419-2026 georefererad karta.tif", "A 35419-2026")</f>
        <v/>
      </c>
      <c r="AA104">
        <f>HYPERLINK("https://klasma.github.io/Logging_2181/klagomål/A 35419-2026 FSC-klagomål.docx", "A 35419-2026")</f>
        <v/>
      </c>
      <c r="AB104">
        <f>HYPERLINK("https://klasma.github.io/Logging_2181/klagomålsmail/A 35419-2026 FSC-klagomål mail.docx", "A 35419-2026")</f>
        <v/>
      </c>
      <c r="AC104">
        <f>HYPERLINK("https://klasma.github.io/Logging_2181/tillsyn/A 35419-2026 tillsynsbegäran.docx", "A 35419-2026")</f>
        <v/>
      </c>
      <c r="AD104">
        <f>HYPERLINK("https://klasma.github.io/Logging_2181/tillsynsmail/A 35419-2026 tillsynsbegäran mail.docx", "A 35419-2026")</f>
        <v/>
      </c>
    </row>
    <row r="105" ht="15" customHeight="1">
      <c r="A105" t="inlineStr">
        <is>
          <t>A 31311-2026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46276</v>
      </c>
      <c r="F105" t="inlineStr">
        <is>
          <t>GÄVLEBORGS LÄN</t>
        </is>
      </c>
      <c r="G105" t="inlineStr">
        <is>
          <t>SANDVIKEN</t>
        </is>
      </c>
      <c r="I105" t="n">
        <v>1.7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31311-2026 artfynd.xlsx", "A 31311-2026")</f>
        <v/>
      </c>
      <c r="X105">
        <f>HYPERLINK("https://klasma.github.io/Logging_2181/kartor/A 31311-2026 karta.png", "A 31311-2026")</f>
        <v/>
      </c>
      <c r="Y105">
        <f>HYPERLINK("https://klasma.github.io/Logging_2181/kartor_geotiff/A 31311-2026 georefererad karta.tif", "A 31311-2026")</f>
        <v/>
      </c>
      <c r="AA105">
        <f>HYPERLINK("https://klasma.github.io/Logging_2181/klagomål/A 31311-2026 FSC-klagomål.docx", "A 31311-2026")</f>
        <v/>
      </c>
      <c r="AB105">
        <f>HYPERLINK("https://klasma.github.io/Logging_2181/klagomålsmail/A 31311-2026 FSC-klagomål mail.docx", "A 31311-2026")</f>
        <v/>
      </c>
      <c r="AC105">
        <f>HYPERLINK("https://klasma.github.io/Logging_2181/tillsyn/A 31311-2026 tillsynsbegäran.docx", "A 31311-2026")</f>
        <v/>
      </c>
      <c r="AD105">
        <f>HYPERLINK("https://klasma.github.io/Logging_2181/tillsynsmail/A 31311-2026 tillsynsbegäran mail.docx", "A 31311-2026")</f>
        <v/>
      </c>
    </row>
    <row r="106" ht="15" customHeight="1">
      <c r="A106" t="inlineStr">
        <is>
          <t>A 35540-2026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46262</v>
      </c>
      <c r="E106" s="1" t="n">
        <v>46276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Lopplummer (aggregat)</t>
        </is>
      </c>
      <c r="W106">
        <f>HYPERLINK("https://klasma.github.io/Logging_2181/artfynd/A 35540-2026 artfynd.xlsx", "A 35540-2026")</f>
        <v/>
      </c>
      <c r="X106">
        <f>HYPERLINK("https://klasma.github.io/Logging_2181/kartor/A 35540-2026 karta.png", "A 35540-2026")</f>
        <v/>
      </c>
      <c r="Y106">
        <f>HYPERLINK("https://klasma.github.io/Logging_2181/kartor_geotiff/A 35540-2026 georefererad karta.tif", "A 35540-2026")</f>
        <v/>
      </c>
      <c r="AA106">
        <f>HYPERLINK("https://klasma.github.io/Logging_2181/klagomål/A 35540-2026 FSC-klagomål.docx", "A 35540-2026")</f>
        <v/>
      </c>
      <c r="AB106">
        <f>HYPERLINK("https://klasma.github.io/Logging_2181/klagomålsmail/A 35540-2026 FSC-klagomål mail.docx", "A 35540-2026")</f>
        <v/>
      </c>
      <c r="AC106">
        <f>HYPERLINK("https://klasma.github.io/Logging_2181/tillsyn/A 35540-2026 tillsynsbegäran.docx", "A 35540-2026")</f>
        <v/>
      </c>
      <c r="AD106">
        <f>HYPERLINK("https://klasma.github.io/Logging_2181/tillsynsmail/A 35540-2026 tillsynsbegäran mail.docx", "A 35540-2026")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46276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34406-2026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46254</v>
      </c>
      <c r="E108" s="1" t="n">
        <v>46276</v>
      </c>
      <c r="F108" t="inlineStr">
        <is>
          <t>GÄVLEBORGS LÄN</t>
        </is>
      </c>
      <c r="G108" t="inlineStr">
        <is>
          <t>SANDVIKEN</t>
        </is>
      </c>
      <c r="I108" t="n">
        <v>15.1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Loppstarr</t>
        </is>
      </c>
      <c r="W108">
        <f>HYPERLINK("https://klasma.github.io/Logging_2181/artfynd/A 34406-2026 artfynd.xlsx", "A 34406-2026")</f>
        <v/>
      </c>
      <c r="X108">
        <f>HYPERLINK("https://klasma.github.io/Logging_2181/kartor/A 34406-2026 karta.png", "A 34406-2026")</f>
        <v/>
      </c>
      <c r="Y108">
        <f>HYPERLINK("https://klasma.github.io/Logging_2181/kartor_geotiff/A 34406-2026 georefererad karta.tif", "A 34406-2026")</f>
        <v/>
      </c>
      <c r="AA108">
        <f>HYPERLINK("https://klasma.github.io/Logging_2181/klagomål/A 34406-2026 FSC-klagomål.docx", "A 34406-2026")</f>
        <v/>
      </c>
      <c r="AB108">
        <f>HYPERLINK("https://klasma.github.io/Logging_2181/klagomålsmail/A 34406-2026 FSC-klagomål mail.docx", "A 34406-2026")</f>
        <v/>
      </c>
      <c r="AC108">
        <f>HYPERLINK("https://klasma.github.io/Logging_2181/tillsyn/A 34406-2026 tillsynsbegäran.docx", "A 34406-2026")</f>
        <v/>
      </c>
      <c r="AD108">
        <f>HYPERLINK("https://klasma.github.io/Logging_2181/tillsynsmail/A 34406-2026 tillsynsbegäran mail.docx", "A 34406-2026")</f>
        <v/>
      </c>
    </row>
    <row r="109" ht="15" customHeight="1">
      <c r="A109" t="inlineStr">
        <is>
          <t>A 36596-2026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46269</v>
      </c>
      <c r="E109" s="1" t="n">
        <v>46276</v>
      </c>
      <c r="F109" t="inlineStr">
        <is>
          <t>GÄVLEBORGS LÄN</t>
        </is>
      </c>
      <c r="G109" t="inlineStr">
        <is>
          <t>SANDVIKEN</t>
        </is>
      </c>
      <c r="I109" t="n">
        <v>10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Vanlig padda</t>
        </is>
      </c>
      <c r="W109">
        <f>HYPERLINK("https://klasma.github.io/Logging_2181/artfynd/A 36596-2026 artfynd.xlsx", "A 36596-2026")</f>
        <v/>
      </c>
      <c r="X109">
        <f>HYPERLINK("https://klasma.github.io/Logging_2181/kartor/A 36596-2026 karta.png", "A 36596-2026")</f>
        <v/>
      </c>
      <c r="Y109">
        <f>HYPERLINK("https://klasma.github.io/Logging_2181/kartor_geotiff/A 36596-2026 georefererad karta.tif", "A 36596-2026")</f>
        <v/>
      </c>
      <c r="AA109">
        <f>HYPERLINK("https://klasma.github.io/Logging_2181/klagomål/A 36596-2026 FSC-klagomål.docx", "A 36596-2026")</f>
        <v/>
      </c>
      <c r="AB109">
        <f>HYPERLINK("https://klasma.github.io/Logging_2181/klagomålsmail/A 36596-2026 FSC-klagomål mail.docx", "A 36596-2026")</f>
        <v/>
      </c>
      <c r="AC109">
        <f>HYPERLINK("https://klasma.github.io/Logging_2181/tillsyn/A 36596-2026 tillsynsbegäran.docx", "A 36596-2026")</f>
        <v/>
      </c>
      <c r="AD109">
        <f>HYPERLINK("https://klasma.github.io/Logging_2181/tillsynsmail/A 36596-2026 tillsynsbegäran mail.docx", "A 36596-2026")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46276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46276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46276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46276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46276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46276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46276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46276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46276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46276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46276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46276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46276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46276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46276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46276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46276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46276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46276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46276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46276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46276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46276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46276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46276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46276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46276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46276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46276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46276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46276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46276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46276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46276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46276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46276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46276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46276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46276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46276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46276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46276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46276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46276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46276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46276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46276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46276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45265</v>
      </c>
      <c r="E158" s="1" t="n">
        <v>46276</v>
      </c>
      <c r="F158" t="inlineStr">
        <is>
          <t>GÄVLEBORGS LÄN</t>
        </is>
      </c>
      <c r="G158" t="inlineStr">
        <is>
          <t>SANDVIKEN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46276</v>
      </c>
      <c r="F159" t="inlineStr">
        <is>
          <t>GÄVLEBORGS LÄN</t>
        </is>
      </c>
      <c r="G159" t="inlineStr">
        <is>
          <t>SANDVIKEN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46276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46276</v>
      </c>
      <c r="F161" t="inlineStr">
        <is>
          <t>GÄVLEBORGS LÄN</t>
        </is>
      </c>
      <c r="G161" t="inlineStr">
        <is>
          <t>SANDVIKEN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46276</v>
      </c>
      <c r="F162" t="inlineStr">
        <is>
          <t>GÄVLEBORGS LÄN</t>
        </is>
      </c>
      <c r="G162" t="inlineStr">
        <is>
          <t>SANDVIKEN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46276</v>
      </c>
      <c r="F163" t="inlineStr">
        <is>
          <t>GÄVLEBORGS LÄN</t>
        </is>
      </c>
      <c r="G163" t="inlineStr">
        <is>
          <t>SANDVIKEN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45693</v>
      </c>
      <c r="E164" s="1" t="n">
        <v>46276</v>
      </c>
      <c r="F164" t="inlineStr">
        <is>
          <t>GÄVLEBORGS LÄN</t>
        </is>
      </c>
      <c r="G164" t="inlineStr">
        <is>
          <t>SANDVIKEN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46276</v>
      </c>
      <c r="F165" t="inlineStr">
        <is>
          <t>GÄVLEBORGS LÄN</t>
        </is>
      </c>
      <c r="G165" t="inlineStr">
        <is>
          <t>SANDVIKEN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45418</v>
      </c>
      <c r="E166" s="1" t="n">
        <v>46276</v>
      </c>
      <c r="F166" t="inlineStr">
        <is>
          <t>GÄVLEBORGS LÄN</t>
        </is>
      </c>
      <c r="G166" t="inlineStr">
        <is>
          <t>SANDVIKEN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46276</v>
      </c>
      <c r="F167" t="inlineStr">
        <is>
          <t>GÄVLEBORGS LÄN</t>
        </is>
      </c>
      <c r="G167" t="inlineStr">
        <is>
          <t>SANDVIKEN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53322-2024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45614</v>
      </c>
      <c r="E168" s="1" t="n">
        <v>46276</v>
      </c>
      <c r="F168" t="inlineStr">
        <is>
          <t>GÄVLEBORGS LÄN</t>
        </is>
      </c>
      <c r="G168" t="inlineStr">
        <is>
          <t>SANDVIKEN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46276</v>
      </c>
      <c r="F169" t="inlineStr">
        <is>
          <t>GÄVLEBORGS LÄN</t>
        </is>
      </c>
      <c r="G169" t="inlineStr">
        <is>
          <t>SANDVIKEN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46276</v>
      </c>
      <c r="F170" t="inlineStr">
        <is>
          <t>GÄVLEBORGS LÄN</t>
        </is>
      </c>
      <c r="G170" t="inlineStr">
        <is>
          <t>SANDVIKEN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46276</v>
      </c>
      <c r="F171" t="inlineStr">
        <is>
          <t>GÄVLEBORGS LÄN</t>
        </is>
      </c>
      <c r="G171" t="inlineStr">
        <is>
          <t>SANDVIKEN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46276</v>
      </c>
      <c r="F172" t="inlineStr">
        <is>
          <t>GÄVLEBORGS LÄN</t>
        </is>
      </c>
      <c r="G172" t="inlineStr">
        <is>
          <t>SANDVIKEN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46276</v>
      </c>
      <c r="F173" t="inlineStr">
        <is>
          <t>GÄVLEBORGS LÄN</t>
        </is>
      </c>
      <c r="G173" t="inlineStr">
        <is>
          <t>SANDVIKEN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46276</v>
      </c>
      <c r="F174" t="inlineStr">
        <is>
          <t>GÄVLEBORGS LÄN</t>
        </is>
      </c>
      <c r="G174" t="inlineStr">
        <is>
          <t>SANDVIKEN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56310-2021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46276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väst AB</t>
        </is>
      </c>
      <c r="I175" t="n">
        <v>18.5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46021</v>
      </c>
      <c r="E176" s="1" t="n">
        <v>46276</v>
      </c>
      <c r="F176" t="inlineStr">
        <is>
          <t>GÄVLEBORGS LÄN</t>
        </is>
      </c>
      <c r="G176" t="inlineStr">
        <is>
          <t>SANDVIKEN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46276</v>
      </c>
      <c r="F177" t="inlineStr">
        <is>
          <t>GÄVLEBORGS LÄN</t>
        </is>
      </c>
      <c r="G177" t="inlineStr">
        <is>
          <t>SANDVIKEN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46276</v>
      </c>
      <c r="F178" t="inlineStr">
        <is>
          <t>GÄVLEBORGS LÄN</t>
        </is>
      </c>
      <c r="G178" t="inlineStr">
        <is>
          <t>SANDVIKEN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45126</v>
      </c>
      <c r="E179" s="1" t="n">
        <v>46276</v>
      </c>
      <c r="F179" t="inlineStr">
        <is>
          <t>GÄVLEBORGS LÄN</t>
        </is>
      </c>
      <c r="G179" t="inlineStr">
        <is>
          <t>SANDVIKEN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46276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46276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46276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46276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46276</v>
      </c>
      <c r="F184" t="inlineStr">
        <is>
          <t>GÄVLEBORGS LÄN</t>
        </is>
      </c>
      <c r="G184" t="inlineStr">
        <is>
          <t>SANDVIKEN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46276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46276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46276</v>
      </c>
      <c r="F187" t="inlineStr">
        <is>
          <t>GÄVLEBORGS LÄN</t>
        </is>
      </c>
      <c r="G187" t="inlineStr">
        <is>
          <t>SANDVIKEN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46276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38677-2025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46276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46276</v>
      </c>
      <c r="F190" t="inlineStr">
        <is>
          <t>GÄVLEBORGS LÄN</t>
        </is>
      </c>
      <c r="G190" t="inlineStr">
        <is>
          <t>SANDVIKEN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46276</v>
      </c>
      <c r="F191" t="inlineStr">
        <is>
          <t>GÄVLEBORGS LÄN</t>
        </is>
      </c>
      <c r="G191" t="inlineStr">
        <is>
          <t>SANDVIKEN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27967-2022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44744</v>
      </c>
      <c r="E192" s="1" t="n">
        <v>46276</v>
      </c>
      <c r="F192" t="inlineStr">
        <is>
          <t>GÄVLEBORGS LÄN</t>
        </is>
      </c>
      <c r="G192" t="inlineStr">
        <is>
          <t>SANDVIKEN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45810</v>
      </c>
      <c r="E193" s="1" t="n">
        <v>46276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46276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46276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46276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46276</v>
      </c>
      <c r="F197" t="inlineStr">
        <is>
          <t>GÄVLEBORGS LÄN</t>
        </is>
      </c>
      <c r="G197" t="inlineStr">
        <is>
          <t>SANDVIKEN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46276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46276</v>
      </c>
      <c r="F199" t="inlineStr">
        <is>
          <t>GÄVLEBORGS LÄN</t>
        </is>
      </c>
      <c r="G199" t="inlineStr">
        <is>
          <t>SANDVIKEN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38428-2023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46276</v>
      </c>
      <c r="F200" t="inlineStr">
        <is>
          <t>GÄVLEBORGS LÄN</t>
        </is>
      </c>
      <c r="G200" t="inlineStr">
        <is>
          <t>SANDVIKEN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46276</v>
      </c>
      <c r="F201" t="inlineStr">
        <is>
          <t>GÄVLEBORGS LÄN</t>
        </is>
      </c>
      <c r="G201" t="inlineStr">
        <is>
          <t>SANDVIKEN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46276</v>
      </c>
      <c r="F202" t="inlineStr">
        <is>
          <t>GÄVLEBORGS LÄN</t>
        </is>
      </c>
      <c r="G202" t="inlineStr">
        <is>
          <t>SANDVIKEN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46276</v>
      </c>
      <c r="F203" t="inlineStr">
        <is>
          <t>GÄVLEBORGS LÄN</t>
        </is>
      </c>
      <c r="G203" t="inlineStr">
        <is>
          <t>SANDVIKEN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45899</v>
      </c>
      <c r="E204" s="1" t="n">
        <v>46276</v>
      </c>
      <c r="F204" t="inlineStr">
        <is>
          <t>GÄVLEBORGS LÄN</t>
        </is>
      </c>
      <c r="G204" t="inlineStr">
        <is>
          <t>SANDVIKEN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46276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46276</v>
      </c>
      <c r="F206" t="inlineStr">
        <is>
          <t>GÄVLEBORGS LÄN</t>
        </is>
      </c>
      <c r="G206" t="inlineStr">
        <is>
          <t>SANDVIKEN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46276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väst AB</t>
        </is>
      </c>
      <c r="I207" t="n">
        <v>8.1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46276</v>
      </c>
      <c r="F208" t="inlineStr">
        <is>
          <t>GÄVLEBORGS LÄN</t>
        </is>
      </c>
      <c r="G208" t="inlineStr">
        <is>
          <t>SANDVIKEN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61820-2024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45649</v>
      </c>
      <c r="E209" s="1" t="n">
        <v>46276</v>
      </c>
      <c r="F209" t="inlineStr">
        <is>
          <t>GÄVLEBORGS LÄN</t>
        </is>
      </c>
      <c r="G209" t="inlineStr">
        <is>
          <t>SANDVIKEN</t>
        </is>
      </c>
      <c r="I209" t="n">
        <v>11.1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45208</v>
      </c>
      <c r="E210" s="1" t="n">
        <v>46276</v>
      </c>
      <c r="F210" t="inlineStr">
        <is>
          <t>GÄVLEBORGS LÄN</t>
        </is>
      </c>
      <c r="G210" t="inlineStr">
        <is>
          <t>SANDVIKEN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46276</v>
      </c>
      <c r="F211" t="inlineStr">
        <is>
          <t>GÄVLEBORGS LÄN</t>
        </is>
      </c>
      <c r="G211" t="inlineStr">
        <is>
          <t>SANDVIKEN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46276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45730</v>
      </c>
      <c r="E213" s="1" t="n">
        <v>46276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öst AB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45649</v>
      </c>
      <c r="E214" s="1" t="n">
        <v>46276</v>
      </c>
      <c r="F214" t="inlineStr">
        <is>
          <t>GÄVLEBORGS LÄN</t>
        </is>
      </c>
      <c r="G214" t="inlineStr">
        <is>
          <t>SANDVIKEN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46276</v>
      </c>
      <c r="F215" t="inlineStr">
        <is>
          <t>GÄVLEBORGS LÄN</t>
        </is>
      </c>
      <c r="G215" t="inlineStr">
        <is>
          <t>SANDVIKEN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46276</v>
      </c>
      <c r="F216" t="inlineStr">
        <is>
          <t>GÄVLEBORGS LÄN</t>
        </is>
      </c>
      <c r="G216" t="inlineStr">
        <is>
          <t>SANDVIKEN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46276</v>
      </c>
      <c r="F217" t="inlineStr">
        <is>
          <t>GÄVLEBORGS LÄN</t>
        </is>
      </c>
      <c r="G217" t="inlineStr">
        <is>
          <t>SANDVIKEN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46276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30843-2025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45831</v>
      </c>
      <c r="E219" s="1" t="n">
        <v>46276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46276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46276</v>
      </c>
      <c r="F221" t="inlineStr">
        <is>
          <t>GÄVLEBORGS LÄN</t>
        </is>
      </c>
      <c r="G221" t="inlineStr">
        <is>
          <t>SANDVIKEN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46276</v>
      </c>
      <c r="F222" t="inlineStr">
        <is>
          <t>GÄVLEBORGS LÄN</t>
        </is>
      </c>
      <c r="G222" t="inlineStr">
        <is>
          <t>SANDVIKEN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46276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47974-2024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45589</v>
      </c>
      <c r="E224" s="1" t="n">
        <v>46276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väst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46276</v>
      </c>
      <c r="F225" t="inlineStr">
        <is>
          <t>GÄVLEBORGS LÄN</t>
        </is>
      </c>
      <c r="G225" t="inlineStr">
        <is>
          <t>SANDVIKEN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46276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46276</v>
      </c>
      <c r="F227" t="inlineStr">
        <is>
          <t>GÄVLEBORGS LÄN</t>
        </is>
      </c>
      <c r="G227" t="inlineStr">
        <is>
          <t>SANDVIKEN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46276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27.3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46276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46276</v>
      </c>
      <c r="F230" t="inlineStr">
        <is>
          <t>GÄVLEBORGS LÄN</t>
        </is>
      </c>
      <c r="G230" t="inlineStr">
        <is>
          <t>SANDVIKEN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46276</v>
      </c>
      <c r="F231" t="inlineStr">
        <is>
          <t>GÄVLEBORGS LÄN</t>
        </is>
      </c>
      <c r="G231" t="inlineStr">
        <is>
          <t>SANDVIKEN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46276</v>
      </c>
      <c r="F232" t="inlineStr">
        <is>
          <t>GÄVLEBORGS LÄN</t>
        </is>
      </c>
      <c r="G232" t="inlineStr">
        <is>
          <t>SANDVIKEN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60798-2023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45260</v>
      </c>
      <c r="E233" s="1" t="n">
        <v>46276</v>
      </c>
      <c r="F233" t="inlineStr">
        <is>
          <t>GÄVLEBORGS LÄN</t>
        </is>
      </c>
      <c r="G233" t="inlineStr">
        <is>
          <t>SANDVIKEN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46276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45762</v>
      </c>
      <c r="E235" s="1" t="n">
        <v>46276</v>
      </c>
      <c r="F235" t="inlineStr">
        <is>
          <t>GÄVLEBORGS LÄN</t>
        </is>
      </c>
      <c r="G235" t="inlineStr">
        <is>
          <t>SANDVIKEN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45842</v>
      </c>
      <c r="E236" s="1" t="n">
        <v>46276</v>
      </c>
      <c r="F236" t="inlineStr">
        <is>
          <t>GÄVLEBORGS LÄN</t>
        </is>
      </c>
      <c r="G236" t="inlineStr">
        <is>
          <t>SANDVIKEN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46038</v>
      </c>
      <c r="E237" s="1" t="n">
        <v>46276</v>
      </c>
      <c r="F237" t="inlineStr">
        <is>
          <t>GÄVLEBORGS LÄN</t>
        </is>
      </c>
      <c r="G237" t="inlineStr">
        <is>
          <t>SANDVIKEN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46276</v>
      </c>
      <c r="F238" t="inlineStr">
        <is>
          <t>GÄVLEBORGS LÄN</t>
        </is>
      </c>
      <c r="G238" t="inlineStr">
        <is>
          <t>SANDVIKEN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45615</v>
      </c>
      <c r="E239" s="1" t="n">
        <v>46276</v>
      </c>
      <c r="F239" t="inlineStr">
        <is>
          <t>GÄVLEBORGS LÄN</t>
        </is>
      </c>
      <c r="G239" t="inlineStr">
        <is>
          <t>SANDVIKEN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46276</v>
      </c>
      <c r="F240" t="inlineStr">
        <is>
          <t>GÄVLEBORGS LÄN</t>
        </is>
      </c>
      <c r="G240" t="inlineStr">
        <is>
          <t>SANDVIKEN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46276</v>
      </c>
      <c r="F241" t="inlineStr">
        <is>
          <t>GÄVLEBORGS LÄN</t>
        </is>
      </c>
      <c r="G241" t="inlineStr">
        <is>
          <t>SANDVIKEN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46276</v>
      </c>
      <c r="F242" t="inlineStr">
        <is>
          <t>GÄVLEBORGS LÄN</t>
        </is>
      </c>
      <c r="G242" t="inlineStr">
        <is>
          <t>SANDVIKEN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38609-2022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44813</v>
      </c>
      <c r="E243" s="1" t="n">
        <v>46276</v>
      </c>
      <c r="F243" t="inlineStr">
        <is>
          <t>GÄVLEBORGS LÄN</t>
        </is>
      </c>
      <c r="G243" t="inlineStr">
        <is>
          <t>SANDVIKEN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46276</v>
      </c>
      <c r="F244" t="inlineStr">
        <is>
          <t>GÄVLEBORGS LÄN</t>
        </is>
      </c>
      <c r="G244" t="inlineStr">
        <is>
          <t>SANDVIKEN</t>
        </is>
      </c>
      <c r="H244" t="inlineStr">
        <is>
          <t>Bergvik skog öst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46276</v>
      </c>
      <c r="F245" t="inlineStr">
        <is>
          <t>GÄVLEBORGS LÄN</t>
        </is>
      </c>
      <c r="G245" t="inlineStr">
        <is>
          <t>SANDVIKEN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46044</v>
      </c>
      <c r="E246" s="1" t="n">
        <v>46276</v>
      </c>
      <c r="F246" t="inlineStr">
        <is>
          <t>GÄVLEBORGS LÄN</t>
        </is>
      </c>
      <c r="G246" t="inlineStr">
        <is>
          <t>SANDVIKEN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46276</v>
      </c>
      <c r="F247" t="inlineStr">
        <is>
          <t>GÄVLEBORGS LÄN</t>
        </is>
      </c>
      <c r="G247" t="inlineStr">
        <is>
          <t>SANDVIKEN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45863</v>
      </c>
      <c r="E248" s="1" t="n">
        <v>46276</v>
      </c>
      <c r="F248" t="inlineStr">
        <is>
          <t>GÄVLEBORGS LÄN</t>
        </is>
      </c>
      <c r="G248" t="inlineStr">
        <is>
          <t>SANDVIKEN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45866</v>
      </c>
      <c r="E249" s="1" t="n">
        <v>46276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36091-2025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45866</v>
      </c>
      <c r="E250" s="1" t="n">
        <v>46276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28897-2024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45480</v>
      </c>
      <c r="E251" s="1" t="n">
        <v>46276</v>
      </c>
      <c r="F251" t="inlineStr">
        <is>
          <t>GÄVLEBORGS LÄN</t>
        </is>
      </c>
      <c r="G251" t="inlineStr">
        <is>
          <t>SANDVIKEN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46276</v>
      </c>
      <c r="F252" t="inlineStr">
        <is>
          <t>GÄVLEBORGS LÄN</t>
        </is>
      </c>
      <c r="G252" t="inlineStr">
        <is>
          <t>SANDVIKEN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46276</v>
      </c>
      <c r="F253" t="inlineStr">
        <is>
          <t>GÄVLEBORGS LÄN</t>
        </is>
      </c>
      <c r="G253" t="inlineStr">
        <is>
          <t>SANDVIKEN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44797</v>
      </c>
      <c r="E254" s="1" t="n">
        <v>46276</v>
      </c>
      <c r="F254" t="inlineStr">
        <is>
          <t>GÄVLEBORGS LÄN</t>
        </is>
      </c>
      <c r="G254" t="inlineStr">
        <is>
          <t>SANDVIKEN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46276</v>
      </c>
      <c r="F255" t="inlineStr">
        <is>
          <t>GÄVLEBORGS LÄN</t>
        </is>
      </c>
      <c r="G255" t="inlineStr">
        <is>
          <t>SANDVIKEN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32849-2022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46276</v>
      </c>
      <c r="F256" t="inlineStr">
        <is>
          <t>GÄVLEBORGS LÄN</t>
        </is>
      </c>
      <c r="G256" t="inlineStr">
        <is>
          <t>SANDVIKEN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45870</v>
      </c>
      <c r="E257" s="1" t="n">
        <v>46276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45873</v>
      </c>
      <c r="E258" s="1" t="n">
        <v>46276</v>
      </c>
      <c r="F258" t="inlineStr">
        <is>
          <t>GÄVLEBORGS LÄN</t>
        </is>
      </c>
      <c r="G258" t="inlineStr">
        <is>
          <t>SANDVIKEN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46276</v>
      </c>
      <c r="F259" t="inlineStr">
        <is>
          <t>GÄVLEBORGS LÄN</t>
        </is>
      </c>
      <c r="G259" t="inlineStr">
        <is>
          <t>SANDVIKEN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36793-2025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46276</v>
      </c>
      <c r="F260" t="inlineStr">
        <is>
          <t>GÄVLEBORGS LÄN</t>
        </is>
      </c>
      <c r="G260" t="inlineStr">
        <is>
          <t>SANDVIKEN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36795-2025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45873</v>
      </c>
      <c r="E261" s="1" t="n">
        <v>46276</v>
      </c>
      <c r="F261" t="inlineStr">
        <is>
          <t>GÄVLEBORGS LÄN</t>
        </is>
      </c>
      <c r="G261" t="inlineStr">
        <is>
          <t>SANDVIKEN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45873</v>
      </c>
      <c r="E262" s="1" t="n">
        <v>46276</v>
      </c>
      <c r="F262" t="inlineStr">
        <is>
          <t>GÄVLEBORGS LÄN</t>
        </is>
      </c>
      <c r="G262" t="inlineStr">
        <is>
          <t>SANDVIKEN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46050</v>
      </c>
      <c r="E263" s="1" t="n">
        <v>46276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44582</v>
      </c>
      <c r="E264" s="1" t="n">
        <v>46276</v>
      </c>
      <c r="F264" t="inlineStr">
        <is>
          <t>GÄVLEBORGS LÄN</t>
        </is>
      </c>
      <c r="G264" t="inlineStr">
        <is>
          <t>SANDVIKEN</t>
        </is>
      </c>
      <c r="H264" t="inlineStr">
        <is>
          <t>Kyrkan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45916</v>
      </c>
      <c r="E265" s="1" t="n">
        <v>46276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46051</v>
      </c>
      <c r="E266" s="1" t="n">
        <v>46276</v>
      </c>
      <c r="F266" t="inlineStr">
        <is>
          <t>GÄVLEBORGS LÄN</t>
        </is>
      </c>
      <c r="G266" t="inlineStr">
        <is>
          <t>SANDVIKEN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36646-2022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44804</v>
      </c>
      <c r="E267" s="1" t="n">
        <v>46276</v>
      </c>
      <c r="F267" t="inlineStr">
        <is>
          <t>GÄVLEBORGS LÄN</t>
        </is>
      </c>
      <c r="G267" t="inlineStr">
        <is>
          <t>SANDVIKEN</t>
        </is>
      </c>
      <c r="I267" t="n">
        <v>9.199999999999999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46276</v>
      </c>
      <c r="F268" t="inlineStr">
        <is>
          <t>GÄVLEBORGS LÄN</t>
        </is>
      </c>
      <c r="G268" t="inlineStr">
        <is>
          <t>SANDVIKEN</t>
        </is>
      </c>
      <c r="H268" t="inlineStr">
        <is>
          <t>Kyrkan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45090-2025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45919</v>
      </c>
      <c r="E269" s="1" t="n">
        <v>46276</v>
      </c>
      <c r="F269" t="inlineStr">
        <is>
          <t>GÄVLEBORGS LÄN</t>
        </is>
      </c>
      <c r="G269" t="inlineStr">
        <is>
          <t>SANDVIKEN</t>
        </is>
      </c>
      <c r="H269" t="inlineStr">
        <is>
          <t>Kyrkan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46276</v>
      </c>
      <c r="F270" t="inlineStr">
        <is>
          <t>GÄVLEBORGS LÄN</t>
        </is>
      </c>
      <c r="G270" t="inlineStr">
        <is>
          <t>SANDVIKEN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46276</v>
      </c>
      <c r="F271" t="inlineStr">
        <is>
          <t>GÄVLEBORGS LÄN</t>
        </is>
      </c>
      <c r="G271" t="inlineStr">
        <is>
          <t>SANDVIKEN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46276</v>
      </c>
      <c r="F272" t="inlineStr">
        <is>
          <t>GÄVLEBORGS LÄN</t>
        </is>
      </c>
      <c r="G272" t="inlineStr">
        <is>
          <t>SANDVIKEN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46276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46051</v>
      </c>
      <c r="E274" s="1" t="n">
        <v>46276</v>
      </c>
      <c r="F274" t="inlineStr">
        <is>
          <t>GÄVLEBORGS LÄN</t>
        </is>
      </c>
      <c r="G274" t="inlineStr">
        <is>
          <t>SANDVIKEN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46276</v>
      </c>
      <c r="F275" t="inlineStr">
        <is>
          <t>GÄVLEBORGS LÄN</t>
        </is>
      </c>
      <c r="G275" t="inlineStr">
        <is>
          <t>SANDVIKEN</t>
        </is>
      </c>
      <c r="H275" t="inlineStr">
        <is>
          <t>Kommuner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46276</v>
      </c>
      <c r="F276" t="inlineStr">
        <is>
          <t>GÄVLEBORGS LÄN</t>
        </is>
      </c>
      <c r="G276" t="inlineStr">
        <is>
          <t>SANDVIKEN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46321-2025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46276</v>
      </c>
      <c r="F277" t="inlineStr">
        <is>
          <t>GÄVLEBORGS LÄN</t>
        </is>
      </c>
      <c r="G277" t="inlineStr">
        <is>
          <t>SANDVIKEN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45925</v>
      </c>
      <c r="E278" s="1" t="n">
        <v>46276</v>
      </c>
      <c r="F278" t="inlineStr">
        <is>
          <t>GÄVLEBORGS LÄN</t>
        </is>
      </c>
      <c r="G278" t="inlineStr">
        <is>
          <t>SANDVIKEN</t>
        </is>
      </c>
      <c r="I278" t="n">
        <v>10.3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46276</v>
      </c>
      <c r="F279" t="inlineStr">
        <is>
          <t>GÄVLEBORGS LÄN</t>
        </is>
      </c>
      <c r="G279" t="inlineStr">
        <is>
          <t>SANDVIKEN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46276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46730-2025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46276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7.5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46276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6651-2026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46276</v>
      </c>
      <c r="F283" t="inlineStr">
        <is>
          <t>GÄVLEBORGS LÄN</t>
        </is>
      </c>
      <c r="G283" t="inlineStr">
        <is>
          <t>SANDVIKEN</t>
        </is>
      </c>
      <c r="I283" t="n">
        <v>8.800000000000001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46276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46276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46276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46056</v>
      </c>
      <c r="E287" s="1" t="n">
        <v>46276</v>
      </c>
      <c r="F287" t="inlineStr">
        <is>
          <t>GÄVLEBORGS LÄN</t>
        </is>
      </c>
      <c r="G287" t="inlineStr">
        <is>
          <t>SANDVIKEN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46276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46276</v>
      </c>
      <c r="F289" t="inlineStr">
        <is>
          <t>GÄVLEBORGS LÄN</t>
        </is>
      </c>
      <c r="G289" t="inlineStr">
        <is>
          <t>SANDVIKEN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46276</v>
      </c>
      <c r="F290" t="inlineStr">
        <is>
          <t>GÄVLEBORGS LÄN</t>
        </is>
      </c>
      <c r="G290" t="inlineStr">
        <is>
          <t>SANDVIKEN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7343-2026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46276</v>
      </c>
      <c r="F291" t="inlineStr">
        <is>
          <t>GÄVLEBORGS LÄN</t>
        </is>
      </c>
      <c r="G291" t="inlineStr">
        <is>
          <t>SANDVIKEN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46058</v>
      </c>
      <c r="E292" s="1" t="n">
        <v>46276</v>
      </c>
      <c r="F292" t="inlineStr">
        <is>
          <t>GÄVLEBORGS LÄN</t>
        </is>
      </c>
      <c r="G292" t="inlineStr">
        <is>
          <t>SANDVIKEN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46276</v>
      </c>
      <c r="F293" t="inlineStr">
        <is>
          <t>GÄVLEBORGS LÄN</t>
        </is>
      </c>
      <c r="G293" t="inlineStr">
        <is>
          <t>SANDVIKEN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46276</v>
      </c>
      <c r="F294" t="inlineStr">
        <is>
          <t>GÄVLEBORGS LÄN</t>
        </is>
      </c>
      <c r="G294" t="inlineStr">
        <is>
          <t>SANDVIKEN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46276</v>
      </c>
      <c r="F295" t="inlineStr">
        <is>
          <t>GÄVLEBORGS LÄN</t>
        </is>
      </c>
      <c r="G295" t="inlineStr">
        <is>
          <t>SANDVIKEN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46276</v>
      </c>
      <c r="F296" t="inlineStr">
        <is>
          <t>GÄVLEBORGS LÄN</t>
        </is>
      </c>
      <c r="G296" t="inlineStr">
        <is>
          <t>SANDVIKEN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46276</v>
      </c>
      <c r="F297" t="inlineStr">
        <is>
          <t>GÄVLEBORGS LÄN</t>
        </is>
      </c>
      <c r="G297" t="inlineStr">
        <is>
          <t>SANDVIKEN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46276</v>
      </c>
      <c r="F298" t="inlineStr">
        <is>
          <t>GÄVLEBORGS LÄN</t>
        </is>
      </c>
      <c r="G298" t="inlineStr">
        <is>
          <t>SANDVIKEN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46276</v>
      </c>
      <c r="F299" t="inlineStr">
        <is>
          <t>GÄVLEBORGS LÄN</t>
        </is>
      </c>
      <c r="G299" t="inlineStr">
        <is>
          <t>SANDVIKEN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7725-2026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46276</v>
      </c>
      <c r="F300" t="inlineStr">
        <is>
          <t>GÄVLEBORGS LÄN</t>
        </is>
      </c>
      <c r="G300" t="inlineStr">
        <is>
          <t>SANDVIKEN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46276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48268-2025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46276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46276</v>
      </c>
      <c r="F303" t="inlineStr">
        <is>
          <t>GÄVLEBORGS LÄN</t>
        </is>
      </c>
      <c r="G303" t="inlineStr">
        <is>
          <t>SANDVIKEN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46276</v>
      </c>
      <c r="F304" t="inlineStr">
        <is>
          <t>GÄVLEBORGS LÄN</t>
        </is>
      </c>
      <c r="G304" t="inlineStr">
        <is>
          <t>SANDVIKEN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46276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46276</v>
      </c>
      <c r="F306" t="inlineStr">
        <is>
          <t>GÄVLEBORGS LÄN</t>
        </is>
      </c>
      <c r="G306" t="inlineStr">
        <is>
          <t>SANDVIKEN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46063</v>
      </c>
      <c r="E307" s="1" t="n">
        <v>46276</v>
      </c>
      <c r="F307" t="inlineStr">
        <is>
          <t>GÄVLEBORGS LÄN</t>
        </is>
      </c>
      <c r="G307" t="inlineStr">
        <is>
          <t>SANDVIKEN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46276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46276</v>
      </c>
      <c r="F309" t="inlineStr">
        <is>
          <t>GÄVLEBORGS LÄN</t>
        </is>
      </c>
      <c r="G309" t="inlineStr">
        <is>
          <t>SANDVIKEN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7694-2026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46062</v>
      </c>
      <c r="E310" s="1" t="n">
        <v>46276</v>
      </c>
      <c r="F310" t="inlineStr">
        <is>
          <t>GÄVLEBORGS LÄN</t>
        </is>
      </c>
      <c r="G310" t="inlineStr">
        <is>
          <t>SANDVIKEN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46063</v>
      </c>
      <c r="E311" s="1" t="n">
        <v>46276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38845-2025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46276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46065</v>
      </c>
      <c r="E313" s="1" t="n">
        <v>46276</v>
      </c>
      <c r="F313" t="inlineStr">
        <is>
          <t>GÄVLEBORGS LÄN</t>
        </is>
      </c>
      <c r="G313" t="inlineStr">
        <is>
          <t>SANDVIKEN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45936</v>
      </c>
      <c r="E314" s="1" t="n">
        <v>46276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väst AB</t>
        </is>
      </c>
      <c r="I314" t="n">
        <v>10.1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46065</v>
      </c>
      <c r="E315" s="1" t="n">
        <v>46276</v>
      </c>
      <c r="F315" t="inlineStr">
        <is>
          <t>GÄVLEBORGS LÄN</t>
        </is>
      </c>
      <c r="G315" t="inlineStr">
        <is>
          <t>SANDVIKEN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46065</v>
      </c>
      <c r="E316" s="1" t="n">
        <v>46276</v>
      </c>
      <c r="F316" t="inlineStr">
        <is>
          <t>GÄVLEBORGS LÄN</t>
        </is>
      </c>
      <c r="G316" t="inlineStr">
        <is>
          <t>SANDVIKEN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46276</v>
      </c>
      <c r="F317" t="inlineStr">
        <is>
          <t>GÄVLEBORGS LÄN</t>
        </is>
      </c>
      <c r="G317" t="inlineStr">
        <is>
          <t>SANDVIKEN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46276</v>
      </c>
      <c r="F318" t="inlineStr">
        <is>
          <t>GÄVLEBORGS LÄN</t>
        </is>
      </c>
      <c r="G318" t="inlineStr">
        <is>
          <t>SANDVIKEN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37367-2024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46276</v>
      </c>
      <c r="F319" t="inlineStr">
        <is>
          <t>GÄVLEBORGS LÄN</t>
        </is>
      </c>
      <c r="G319" t="inlineStr">
        <is>
          <t>SANDVIKEN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56150-2023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45240</v>
      </c>
      <c r="E320" s="1" t="n">
        <v>46276</v>
      </c>
      <c r="F320" t="inlineStr">
        <is>
          <t>GÄVLEBORGS LÄN</t>
        </is>
      </c>
      <c r="G320" t="inlineStr">
        <is>
          <t>SANDVIKEN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46276</v>
      </c>
      <c r="F321" t="inlineStr">
        <is>
          <t>GÄVLEBORGS LÄN</t>
        </is>
      </c>
      <c r="G321" t="inlineStr">
        <is>
          <t>SANDVIKEN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48761-2025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45936</v>
      </c>
      <c r="E322" s="1" t="n">
        <v>46276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46069</v>
      </c>
      <c r="E323" s="1" t="n">
        <v>46276</v>
      </c>
      <c r="F323" t="inlineStr">
        <is>
          <t>GÄVLEBORGS LÄN</t>
        </is>
      </c>
      <c r="G323" t="inlineStr">
        <is>
          <t>SANDVIKEN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45884</v>
      </c>
      <c r="E324" s="1" t="n">
        <v>46276</v>
      </c>
      <c r="F324" t="inlineStr">
        <is>
          <t>GÄVLEBORGS LÄN</t>
        </is>
      </c>
      <c r="G324" t="inlineStr">
        <is>
          <t>SANDVIKEN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8719-2026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46066</v>
      </c>
      <c r="E325" s="1" t="n">
        <v>46276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46276</v>
      </c>
      <c r="F326" t="inlineStr">
        <is>
          <t>GÄVLEBORGS LÄN</t>
        </is>
      </c>
      <c r="G326" t="inlineStr">
        <is>
          <t>SANDVIKEN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49446-2025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46276</v>
      </c>
      <c r="F327" t="inlineStr">
        <is>
          <t>GÄVLEBORGS LÄN</t>
        </is>
      </c>
      <c r="G327" t="inlineStr">
        <is>
          <t>SANDVIKEN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46276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49217-2025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45938</v>
      </c>
      <c r="E329" s="1" t="n">
        <v>46276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46066</v>
      </c>
      <c r="E330" s="1" t="n">
        <v>46276</v>
      </c>
      <c r="F330" t="inlineStr">
        <is>
          <t>GÄVLEBORGS LÄN</t>
        </is>
      </c>
      <c r="G330" t="inlineStr">
        <is>
          <t>SANDVIKEN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46276</v>
      </c>
      <c r="F331" t="inlineStr">
        <is>
          <t>GÄVLEBORGS LÄN</t>
        </is>
      </c>
      <c r="G331" t="inlineStr">
        <is>
          <t>SANDVIKEN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49042-2025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46276</v>
      </c>
      <c r="F332" t="inlineStr">
        <is>
          <t>GÄVLEBORGS LÄN</t>
        </is>
      </c>
      <c r="G332" t="inlineStr">
        <is>
          <t>SANDVIKEN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46276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46276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49320-2025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45938</v>
      </c>
      <c r="E335" s="1" t="n">
        <v>46276</v>
      </c>
      <c r="F335" t="inlineStr">
        <is>
          <t>GÄVLEBORGS LÄN</t>
        </is>
      </c>
      <c r="G335" t="inlineStr">
        <is>
          <t>SANDVIKEN</t>
        </is>
      </c>
      <c r="H335" t="inlineStr">
        <is>
          <t>Sveaskog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46073</v>
      </c>
      <c r="E336" s="1" t="n">
        <v>46276</v>
      </c>
      <c r="F336" t="inlineStr">
        <is>
          <t>GÄVLEBORGS LÄN</t>
        </is>
      </c>
      <c r="G336" t="inlineStr">
        <is>
          <t>SANDVIKEN</t>
        </is>
      </c>
      <c r="H336" t="inlineStr">
        <is>
          <t>Kommuner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9651-2026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46072</v>
      </c>
      <c r="E337" s="1" t="n">
        <v>46276</v>
      </c>
      <c r="F337" t="inlineStr">
        <is>
          <t>GÄVLEBORGS LÄN</t>
        </is>
      </c>
      <c r="G337" t="inlineStr">
        <is>
          <t>SANDVIKEN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9653-2026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46072</v>
      </c>
      <c r="E338" s="1" t="n">
        <v>46276</v>
      </c>
      <c r="F338" t="inlineStr">
        <is>
          <t>GÄVLEBORGS LÄN</t>
        </is>
      </c>
      <c r="G338" t="inlineStr">
        <is>
          <t>SANDVIKEN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9714-2026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46072</v>
      </c>
      <c r="E339" s="1" t="n">
        <v>46276</v>
      </c>
      <c r="F339" t="inlineStr">
        <is>
          <t>GÄVLEBORGS LÄN</t>
        </is>
      </c>
      <c r="G339" t="inlineStr">
        <is>
          <t>SANDVIKEN</t>
        </is>
      </c>
      <c r="H339" t="inlineStr">
        <is>
          <t>Naturvårdsverket</t>
        </is>
      </c>
      <c r="I339" t="n">
        <v>19.5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46276</v>
      </c>
      <c r="F340" t="inlineStr">
        <is>
          <t>GÄVLEBORGS LÄN</t>
        </is>
      </c>
      <c r="G340" t="inlineStr">
        <is>
          <t>SANDVIKEN</t>
        </is>
      </c>
      <c r="H340" t="inlineStr">
        <is>
          <t>Kommuner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46276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16.6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46074</v>
      </c>
      <c r="E342" s="1" t="n">
        <v>46276</v>
      </c>
      <c r="F342" t="inlineStr">
        <is>
          <t>GÄVLEBORGS LÄN</t>
        </is>
      </c>
      <c r="G342" t="inlineStr">
        <is>
          <t>SANDVIKEN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46276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10346-2026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46276</v>
      </c>
      <c r="F344" t="inlineStr">
        <is>
          <t>GÄVLEBORGS LÄN</t>
        </is>
      </c>
      <c r="G344" t="inlineStr">
        <is>
          <t>SANDVIKEN</t>
        </is>
      </c>
      <c r="H344" t="inlineStr">
        <is>
          <t>Kommuner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46276</v>
      </c>
      <c r="F345" t="inlineStr">
        <is>
          <t>GÄVLEBORGS LÄN</t>
        </is>
      </c>
      <c r="G345" t="inlineStr">
        <is>
          <t>SANDVIKEN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46276</v>
      </c>
      <c r="F346" t="inlineStr">
        <is>
          <t>GÄVLEBORGS LÄN</t>
        </is>
      </c>
      <c r="G346" t="inlineStr">
        <is>
          <t>SANDVIKEN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46276</v>
      </c>
      <c r="F347" t="inlineStr">
        <is>
          <t>GÄVLEBORGS LÄN</t>
        </is>
      </c>
      <c r="G347" t="inlineStr">
        <is>
          <t>SANDVIKEN</t>
        </is>
      </c>
      <c r="I347" t="n">
        <v>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46031</v>
      </c>
      <c r="E348" s="1" t="n">
        <v>46276</v>
      </c>
      <c r="F348" t="inlineStr">
        <is>
          <t>GÄVLEBORGS LÄN</t>
        </is>
      </c>
      <c r="G348" t="inlineStr">
        <is>
          <t>SANDVIKEN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50851-2025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45946</v>
      </c>
      <c r="E349" s="1" t="n">
        <v>46276</v>
      </c>
      <c r="F349" t="inlineStr">
        <is>
          <t>GÄVLEBORGS LÄN</t>
        </is>
      </c>
      <c r="G349" t="inlineStr">
        <is>
          <t>SANDVIKEN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46276</v>
      </c>
      <c r="F350" t="inlineStr">
        <is>
          <t>GÄVLEBORGS LÄN</t>
        </is>
      </c>
      <c r="G350" t="inlineStr">
        <is>
          <t>SANDVIKEN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46034</v>
      </c>
      <c r="E351" s="1" t="n">
        <v>46276</v>
      </c>
      <c r="F351" t="inlineStr">
        <is>
          <t>GÄVLEBORGS LÄN</t>
        </is>
      </c>
      <c r="G351" t="inlineStr">
        <is>
          <t>SANDVIKEN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46080</v>
      </c>
      <c r="E352" s="1" t="n">
        <v>46276</v>
      </c>
      <c r="F352" t="inlineStr">
        <is>
          <t>GÄVLEBORGS LÄN</t>
        </is>
      </c>
      <c r="G352" t="inlineStr">
        <is>
          <t>SANDVIKEN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46276</v>
      </c>
      <c r="F353" t="inlineStr">
        <is>
          <t>GÄVLEBORGS LÄN</t>
        </is>
      </c>
      <c r="G353" t="inlineStr">
        <is>
          <t>SANDVIKEN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46276</v>
      </c>
      <c r="F354" t="inlineStr">
        <is>
          <t>GÄVLEBORGS LÄN</t>
        </is>
      </c>
      <c r="G354" t="inlineStr">
        <is>
          <t>SANDVIKEN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46080</v>
      </c>
      <c r="E355" s="1" t="n">
        <v>46276</v>
      </c>
      <c r="F355" t="inlineStr">
        <is>
          <t>GÄVLEBORGS LÄN</t>
        </is>
      </c>
      <c r="G355" t="inlineStr">
        <is>
          <t>SANDVIKEN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45467</v>
      </c>
      <c r="E356" s="1" t="n">
        <v>46276</v>
      </c>
      <c r="F356" t="inlineStr">
        <is>
          <t>GÄVLEBORGS LÄN</t>
        </is>
      </c>
      <c r="G356" t="inlineStr">
        <is>
          <t>SANDVIKEN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11707-2026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46276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61694-2021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44501</v>
      </c>
      <c r="E358" s="1" t="n">
        <v>46276</v>
      </c>
      <c r="F358" t="inlineStr">
        <is>
          <t>GÄVLEBORGS LÄN</t>
        </is>
      </c>
      <c r="G358" t="inlineStr">
        <is>
          <t>SANDVIKEN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46084</v>
      </c>
      <c r="E359" s="1" t="n">
        <v>46276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10.5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11726-2026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46084</v>
      </c>
      <c r="E360" s="1" t="n">
        <v>46276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44549</v>
      </c>
      <c r="E361" s="1" t="n">
        <v>46276</v>
      </c>
      <c r="F361" t="inlineStr">
        <is>
          <t>GÄVLEBORGS LÄN</t>
        </is>
      </c>
      <c r="G361" t="inlineStr">
        <is>
          <t>SANDVIKEN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46276</v>
      </c>
      <c r="F362" t="inlineStr">
        <is>
          <t>GÄVLEBORGS LÄN</t>
        </is>
      </c>
      <c r="G362" t="inlineStr">
        <is>
          <t>SANDVIKEN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46276</v>
      </c>
      <c r="F363" t="inlineStr">
        <is>
          <t>GÄVLEBORGS LÄN</t>
        </is>
      </c>
      <c r="G363" t="inlineStr">
        <is>
          <t>SANDVIKEN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11786-2026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46276</v>
      </c>
      <c r="F364" t="inlineStr">
        <is>
          <t>GÄVLEBORGS LÄN</t>
        </is>
      </c>
      <c r="G364" t="inlineStr">
        <is>
          <t>SANDVIKEN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46276</v>
      </c>
      <c r="F365" t="inlineStr">
        <is>
          <t>GÄVLEBORGS LÄN</t>
        </is>
      </c>
      <c r="G365" t="inlineStr">
        <is>
          <t>SANDVIKEN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46276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45121</v>
      </c>
      <c r="E367" s="1" t="n">
        <v>46276</v>
      </c>
      <c r="F367" t="inlineStr">
        <is>
          <t>GÄVLEBORGS LÄN</t>
        </is>
      </c>
      <c r="G367" t="inlineStr">
        <is>
          <t>SANDVIKEN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11914-2026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46276</v>
      </c>
      <c r="F368" t="inlineStr">
        <is>
          <t>GÄVLEBORGS LÄN</t>
        </is>
      </c>
      <c r="G368" t="inlineStr">
        <is>
          <t>SANDVIKEN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46086</v>
      </c>
      <c r="E369" s="1" t="n">
        <v>46276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19421-2025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45769</v>
      </c>
      <c r="E370" s="1" t="n">
        <v>46276</v>
      </c>
      <c r="F370" t="inlineStr">
        <is>
          <t>GÄVLEBORGS LÄN</t>
        </is>
      </c>
      <c r="G370" t="inlineStr">
        <is>
          <t>SANDVIKEN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46086</v>
      </c>
      <c r="E371" s="1" t="n">
        <v>46276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öst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46085</v>
      </c>
      <c r="E372" s="1" t="n">
        <v>46276</v>
      </c>
      <c r="F372" t="inlineStr">
        <is>
          <t>GÄVLEBORGS LÄN</t>
        </is>
      </c>
      <c r="G372" t="inlineStr">
        <is>
          <t>SANDVIKEN</t>
        </is>
      </c>
      <c r="H372" t="inlineStr">
        <is>
          <t>Naturvårdsverket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12146-2026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46086</v>
      </c>
      <c r="E373" s="1" t="n">
        <v>46276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11800-2026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46085</v>
      </c>
      <c r="E374" s="1" t="n">
        <v>46276</v>
      </c>
      <c r="F374" t="inlineStr">
        <is>
          <t>GÄVLEBORGS LÄN</t>
        </is>
      </c>
      <c r="G374" t="inlineStr">
        <is>
          <t>SANDVIKEN</t>
        </is>
      </c>
      <c r="H374" t="inlineStr">
        <is>
          <t>Naturvårdsverket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11913-2026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46085</v>
      </c>
      <c r="E375" s="1" t="n">
        <v>46276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46086</v>
      </c>
      <c r="E376" s="1" t="n">
        <v>46276</v>
      </c>
      <c r="F376" t="inlineStr">
        <is>
          <t>GÄVLEBORGS LÄN</t>
        </is>
      </c>
      <c r="G376" t="inlineStr">
        <is>
          <t>SANDVIKEN</t>
        </is>
      </c>
      <c r="I376" t="n">
        <v>6.9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12091-2026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46086</v>
      </c>
      <c r="E377" s="1" t="n">
        <v>46276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46086</v>
      </c>
      <c r="E378" s="1" t="n">
        <v>46276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46086</v>
      </c>
      <c r="E379" s="1" t="n">
        <v>46276</v>
      </c>
      <c r="F379" t="inlineStr">
        <is>
          <t>GÄVLEBORGS LÄN</t>
        </is>
      </c>
      <c r="G379" t="inlineStr">
        <is>
          <t>SANDVIKEN</t>
        </is>
      </c>
      <c r="H379" t="inlineStr">
        <is>
          <t>Bergvik skog öst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12062-2026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46086</v>
      </c>
      <c r="E380" s="1" t="n">
        <v>46276</v>
      </c>
      <c r="F380" t="inlineStr">
        <is>
          <t>GÄVLEBORGS LÄN</t>
        </is>
      </c>
      <c r="G380" t="inlineStr">
        <is>
          <t>SANDVIKEN</t>
        </is>
      </c>
      <c r="H380" t="inlineStr">
        <is>
          <t>Bergvik skog öst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12098-2026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46086</v>
      </c>
      <c r="E381" s="1" t="n">
        <v>46276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52786-2025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45957</v>
      </c>
      <c r="E382" s="1" t="n">
        <v>46276</v>
      </c>
      <c r="F382" t="inlineStr">
        <is>
          <t>GÄVLEBORGS LÄN</t>
        </is>
      </c>
      <c r="G382" t="inlineStr">
        <is>
          <t>SANDVIKEN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HYPERLINK("https://klasma.github.io/Logging_2181/knärot/A 52786-2025 karta knärot.png", "A 52786-2025")</f>
        <v/>
      </c>
      <c r="AA382">
        <f>HYPERLINK("https://klasma.github.io/Logging_2181/klagomål/A 52786-2025 FSC-klagomål.docx", "A 52786-2025")</f>
        <v/>
      </c>
      <c r="AB382">
        <f>HYPERLINK("https://klasma.github.io/Logging_2181/klagomålsmail/A 52786-2025 FSC-klagomål mail.docx", "A 52786-2025")</f>
        <v/>
      </c>
      <c r="AC382">
        <f>HYPERLINK("https://klasma.github.io/Logging_2181/tillsyn/A 52786-2025 tillsynsbegäran.docx", "A 52786-2025")</f>
        <v/>
      </c>
      <c r="AD382">
        <f>HYPERLINK("https://klasma.github.io/Logging_2181/tillsynsmail/A 52786-2025 tillsynsbegäran mail.docx", "A 52786-2025")</f>
        <v/>
      </c>
    </row>
    <row r="383" ht="15" customHeight="1">
      <c r="A383" t="inlineStr">
        <is>
          <t>A 13632-2024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45390</v>
      </c>
      <c r="E383" s="1" t="n">
        <v>46276</v>
      </c>
      <c r="F383" t="inlineStr">
        <is>
          <t>GÄVLEBORGS LÄN</t>
        </is>
      </c>
      <c r="G383" t="inlineStr">
        <is>
          <t>SANDVIKEN</t>
        </is>
      </c>
      <c r="H383" t="inlineStr">
        <is>
          <t>Kyrkan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46276</v>
      </c>
      <c r="F384" t="inlineStr">
        <is>
          <t>GÄVLEBORGS LÄN</t>
        </is>
      </c>
      <c r="G384" t="inlineStr">
        <is>
          <t>SANDVIKEN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58916-2023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45252</v>
      </c>
      <c r="E385" s="1" t="n">
        <v>46276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46276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45660</v>
      </c>
      <c r="E387" s="1" t="n">
        <v>46276</v>
      </c>
      <c r="F387" t="inlineStr">
        <is>
          <t>GÄVLEBORGS LÄN</t>
        </is>
      </c>
      <c r="G387" t="inlineStr">
        <is>
          <t>SANDVIKEN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46276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46087</v>
      </c>
      <c r="E389" s="1" t="n">
        <v>46276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46276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27.2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46090</v>
      </c>
      <c r="E391" s="1" t="n">
        <v>46276</v>
      </c>
      <c r="F391" t="inlineStr">
        <is>
          <t>GÄVLEBORGS LÄN</t>
        </is>
      </c>
      <c r="G391" t="inlineStr">
        <is>
          <t>SANDVIKEN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45670</v>
      </c>
      <c r="E392" s="1" t="n">
        <v>46276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12586-2026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46090</v>
      </c>
      <c r="E393" s="1" t="n">
        <v>46276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46276</v>
      </c>
      <c r="F394" t="inlineStr">
        <is>
          <t>GÄVLEBORGS LÄN</t>
        </is>
      </c>
      <c r="G394" t="inlineStr">
        <is>
          <t>SANDVIKEN</t>
        </is>
      </c>
      <c r="H394" t="inlineStr">
        <is>
          <t>Naturvårdsverket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45246</v>
      </c>
      <c r="E395" s="1" t="n">
        <v>46276</v>
      </c>
      <c r="F395" t="inlineStr">
        <is>
          <t>GÄVLEBORGS LÄN</t>
        </is>
      </c>
      <c r="G395" t="inlineStr">
        <is>
          <t>SANDVIKEN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12826-2026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46276</v>
      </c>
      <c r="F396" t="inlineStr">
        <is>
          <t>GÄVLEBORGS LÄN</t>
        </is>
      </c>
      <c r="G396" t="inlineStr">
        <is>
          <t>SANDVIKEN</t>
        </is>
      </c>
      <c r="H396" t="inlineStr">
        <is>
          <t>Naturvårdsverket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46276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46276</v>
      </c>
      <c r="F398" t="inlineStr">
        <is>
          <t>GÄVLEBORGS LÄN</t>
        </is>
      </c>
      <c r="G398" t="inlineStr">
        <is>
          <t>SANDVIKEN</t>
        </is>
      </c>
      <c r="H398" t="inlineStr">
        <is>
          <t>Naturvårdsverket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45478</v>
      </c>
      <c r="E399" s="1" t="n">
        <v>46276</v>
      </c>
      <c r="F399" t="inlineStr">
        <is>
          <t>GÄVLEBORGS LÄN</t>
        </is>
      </c>
      <c r="G399" t="inlineStr">
        <is>
          <t>SANDVIKEN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12847-2026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46276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46276</v>
      </c>
      <c r="F401" t="inlineStr">
        <is>
          <t>GÄVLEBORGS LÄN</t>
        </is>
      </c>
      <c r="G401" t="inlineStr">
        <is>
          <t>SANDVIKEN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46276</v>
      </c>
      <c r="F402" t="inlineStr">
        <is>
          <t>GÄVLEBORGS LÄN</t>
        </is>
      </c>
      <c r="G402" t="inlineStr">
        <is>
          <t>SANDVIKEN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32260-2023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46276</v>
      </c>
      <c r="F403" t="inlineStr">
        <is>
          <t>GÄVLEBORGS LÄN</t>
        </is>
      </c>
      <c r="G403" t="inlineStr">
        <is>
          <t>SANDVIKEN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55595-2025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45971</v>
      </c>
      <c r="E404" s="1" t="n">
        <v>46276</v>
      </c>
      <c r="F404" t="inlineStr">
        <is>
          <t>GÄVLEBORGS LÄN</t>
        </is>
      </c>
      <c r="G404" t="inlineStr">
        <is>
          <t>SANDVIKEN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55355-2025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46276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55099-2025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45968</v>
      </c>
      <c r="E406" s="1" t="n">
        <v>46276</v>
      </c>
      <c r="F406" t="inlineStr">
        <is>
          <t>GÄVLEBORGS LÄN</t>
        </is>
      </c>
      <c r="G406" t="inlineStr">
        <is>
          <t>SANDVIKEN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46276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12704-2026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46276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46093</v>
      </c>
      <c r="E409" s="1" t="n">
        <v>46276</v>
      </c>
      <c r="F409" t="inlineStr">
        <is>
          <t>GÄVLEBORGS LÄN</t>
        </is>
      </c>
      <c r="G409" t="inlineStr">
        <is>
          <t>SANDVIKEN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45971</v>
      </c>
      <c r="E410" s="1" t="n">
        <v>46276</v>
      </c>
      <c r="F410" t="inlineStr">
        <is>
          <t>GÄVLEBORGS LÄN</t>
        </is>
      </c>
      <c r="G410" t="inlineStr">
        <is>
          <t>SANDVIKEN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46276</v>
      </c>
      <c r="F411" t="inlineStr">
        <is>
          <t>GÄVLEBORGS LÄN</t>
        </is>
      </c>
      <c r="G411" t="inlineStr">
        <is>
          <t>SANDVIKEN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56587-2025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46276</v>
      </c>
      <c r="F412" t="inlineStr">
        <is>
          <t>GÄVLEBORGS LÄN</t>
        </is>
      </c>
      <c r="G412" t="inlineStr">
        <is>
          <t>SANDVIKEN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13108-2026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46276</v>
      </c>
      <c r="F413" t="inlineStr">
        <is>
          <t>GÄVLEBORGS LÄN</t>
        </is>
      </c>
      <c r="G413" t="inlineStr">
        <is>
          <t>SANDVIKEN</t>
        </is>
      </c>
      <c r="I413" t="n">
        <v>22.5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44586</v>
      </c>
      <c r="E414" s="1" t="n">
        <v>46276</v>
      </c>
      <c r="F414" t="inlineStr">
        <is>
          <t>GÄVLEBORGS LÄN</t>
        </is>
      </c>
      <c r="G414" t="inlineStr">
        <is>
          <t>SANDVIKEN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46036</v>
      </c>
      <c r="E415" s="1" t="n">
        <v>46276</v>
      </c>
      <c r="F415" t="inlineStr">
        <is>
          <t>GÄVLEBORGS LÄN</t>
        </is>
      </c>
      <c r="G415" t="inlineStr">
        <is>
          <t>SANDVIKEN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45977</v>
      </c>
      <c r="E416" s="1" t="n">
        <v>46276</v>
      </c>
      <c r="F416" t="inlineStr">
        <is>
          <t>GÄVLEBORGS LÄN</t>
        </is>
      </c>
      <c r="G416" t="inlineStr">
        <is>
          <t>SANDVIKEN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13552-2026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46276</v>
      </c>
      <c r="F417" t="inlineStr">
        <is>
          <t>GÄVLEBORGS LÄN</t>
        </is>
      </c>
      <c r="G417" t="inlineStr">
        <is>
          <t>SANDVIKEN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46276</v>
      </c>
      <c r="F418" t="inlineStr">
        <is>
          <t>GÄVLEBORGS LÄN</t>
        </is>
      </c>
      <c r="G418" t="inlineStr">
        <is>
          <t>SANDVIKEN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13642-2026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46097</v>
      </c>
      <c r="E419" s="1" t="n">
        <v>46276</v>
      </c>
      <c r="F419" t="inlineStr">
        <is>
          <t>GÄVLEBORGS LÄN</t>
        </is>
      </c>
      <c r="G419" t="inlineStr">
        <is>
          <t>SANDVIKEN</t>
        </is>
      </c>
      <c r="H419" t="inlineStr">
        <is>
          <t>Kommuner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56755-2025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46276</v>
      </c>
      <c r="F420" t="inlineStr">
        <is>
          <t>GÄVLEBORGS LÄN</t>
        </is>
      </c>
      <c r="G420" t="inlineStr">
        <is>
          <t>SANDVIKEN</t>
        </is>
      </c>
      <c r="I420" t="n">
        <v>10.4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13727-2026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46097</v>
      </c>
      <c r="E421" s="1" t="n">
        <v>46276</v>
      </c>
      <c r="F421" t="inlineStr">
        <is>
          <t>GÄVLEBORGS LÄN</t>
        </is>
      </c>
      <c r="G421" t="inlineStr">
        <is>
          <t>SANDVIKEN</t>
        </is>
      </c>
      <c r="H421" t="inlineStr">
        <is>
          <t>Kommuner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46095</v>
      </c>
      <c r="E422" s="1" t="n">
        <v>46276</v>
      </c>
      <c r="F422" t="inlineStr">
        <is>
          <t>GÄVLEBORGS LÄN</t>
        </is>
      </c>
      <c r="G422" t="inlineStr">
        <is>
          <t>SANDVIKEN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46276</v>
      </c>
      <c r="F423" t="inlineStr">
        <is>
          <t>GÄVLEBORGS LÄN</t>
        </is>
      </c>
      <c r="G423" t="inlineStr">
        <is>
          <t>SANDVIKEN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46095</v>
      </c>
      <c r="E424" s="1" t="n">
        <v>46276</v>
      </c>
      <c r="F424" t="inlineStr">
        <is>
          <t>GÄVLEBORGS LÄN</t>
        </is>
      </c>
      <c r="G424" t="inlineStr">
        <is>
          <t>SANDVIKEN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46095</v>
      </c>
      <c r="E425" s="1" t="n">
        <v>46276</v>
      </c>
      <c r="F425" t="inlineStr">
        <is>
          <t>GÄVLEBORGS LÄN</t>
        </is>
      </c>
      <c r="G425" t="inlineStr">
        <is>
          <t>SANDVIKEN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13585-2026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46095</v>
      </c>
      <c r="E426" s="1" t="n">
        <v>46276</v>
      </c>
      <c r="F426" t="inlineStr">
        <is>
          <t>GÄVLEBORGS LÄN</t>
        </is>
      </c>
      <c r="G426" t="inlineStr">
        <is>
          <t>SANDVIKEN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46095</v>
      </c>
      <c r="E427" s="1" t="n">
        <v>46276</v>
      </c>
      <c r="F427" t="inlineStr">
        <is>
          <t>GÄVLEBORGS LÄN</t>
        </is>
      </c>
      <c r="G427" t="inlineStr">
        <is>
          <t>SANDVIKEN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46095</v>
      </c>
      <c r="E428" s="1" t="n">
        <v>46276</v>
      </c>
      <c r="F428" t="inlineStr">
        <is>
          <t>GÄVLEBORGS LÄN</t>
        </is>
      </c>
      <c r="G428" t="inlineStr">
        <is>
          <t>SANDVIKEN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46276</v>
      </c>
      <c r="F429" t="inlineStr">
        <is>
          <t>GÄVLEBORGS LÄN</t>
        </is>
      </c>
      <c r="G429" t="inlineStr">
        <is>
          <t>SANDVIKEN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46276</v>
      </c>
      <c r="F430" t="inlineStr">
        <is>
          <t>GÄVLEBORGS LÄN</t>
        </is>
      </c>
      <c r="G430" t="inlineStr">
        <is>
          <t>SANDVIKEN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46095</v>
      </c>
      <c r="E431" s="1" t="n">
        <v>46276</v>
      </c>
      <c r="F431" t="inlineStr">
        <is>
          <t>GÄVLEBORGS LÄN</t>
        </is>
      </c>
      <c r="G431" t="inlineStr">
        <is>
          <t>SANDVIKEN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46276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46099</v>
      </c>
      <c r="E433" s="1" t="n">
        <v>46276</v>
      </c>
      <c r="F433" t="inlineStr">
        <is>
          <t>GÄVLEBORGS LÄN</t>
        </is>
      </c>
      <c r="G433" t="inlineStr">
        <is>
          <t>SANDVIKEN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46100</v>
      </c>
      <c r="E434" s="1" t="n">
        <v>46276</v>
      </c>
      <c r="F434" t="inlineStr">
        <is>
          <t>GÄVLEBORGS LÄN</t>
        </is>
      </c>
      <c r="G434" t="inlineStr">
        <is>
          <t>SANDVIKEN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45983</v>
      </c>
      <c r="E435" s="1" t="n">
        <v>46276</v>
      </c>
      <c r="F435" t="inlineStr">
        <is>
          <t>GÄVLEBORGS LÄN</t>
        </is>
      </c>
      <c r="G435" t="inlineStr">
        <is>
          <t>SANDVIKEN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45984</v>
      </c>
      <c r="E436" s="1" t="n">
        <v>46276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58199-2025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45984</v>
      </c>
      <c r="E437" s="1" t="n">
        <v>46276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45984</v>
      </c>
      <c r="E438" s="1" t="n">
        <v>46276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46276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14119-2026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46276</v>
      </c>
      <c r="F440" t="inlineStr">
        <is>
          <t>GÄVLEBORGS LÄN</t>
        </is>
      </c>
      <c r="G440" t="inlineStr">
        <is>
          <t>SANDVIKEN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22373-2023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46276</v>
      </c>
      <c r="F441" t="inlineStr">
        <is>
          <t>GÄVLEBORGS LÄN</t>
        </is>
      </c>
      <c r="G441" t="inlineStr">
        <is>
          <t>SANDVIKEN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46276</v>
      </c>
      <c r="F442" t="inlineStr">
        <is>
          <t>GÄVLEBORGS LÄN</t>
        </is>
      </c>
      <c r="G442" t="inlineStr">
        <is>
          <t>SANDVIKEN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58796-2024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45636</v>
      </c>
      <c r="E443" s="1" t="n">
        <v>46276</v>
      </c>
      <c r="F443" t="inlineStr">
        <is>
          <t>GÄVLEBORGS LÄN</t>
        </is>
      </c>
      <c r="G443" t="inlineStr">
        <is>
          <t>SANDVIKEN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46276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14192-2026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46276</v>
      </c>
      <c r="F445" t="inlineStr">
        <is>
          <t>GÄVLEBORGS LÄN</t>
        </is>
      </c>
      <c r="G445" t="inlineStr">
        <is>
          <t>SANDVIKEN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25357-2023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45087</v>
      </c>
      <c r="E446" s="1" t="n">
        <v>46276</v>
      </c>
      <c r="F446" t="inlineStr">
        <is>
          <t>GÄVLEBORGS LÄN</t>
        </is>
      </c>
      <c r="G446" t="inlineStr">
        <is>
          <t>SANDVIKEN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14219-2026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46276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35252-2024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45530</v>
      </c>
      <c r="E448" s="1" t="n">
        <v>46276</v>
      </c>
      <c r="F448" t="inlineStr">
        <is>
          <t>GÄVLEBORGS LÄN</t>
        </is>
      </c>
      <c r="G448" t="inlineStr">
        <is>
          <t>SANDVIKEN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45981</v>
      </c>
      <c r="E449" s="1" t="n">
        <v>46276</v>
      </c>
      <c r="F449" t="inlineStr">
        <is>
          <t>GÄVLEBORGS LÄN</t>
        </is>
      </c>
      <c r="G449" t="inlineStr">
        <is>
          <t>SANDVIKEN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46276</v>
      </c>
      <c r="F450" t="inlineStr">
        <is>
          <t>GÄVLEBORGS LÄN</t>
        </is>
      </c>
      <c r="G450" t="inlineStr">
        <is>
          <t>SANDVIKEN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32291-2024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45512</v>
      </c>
      <c r="E451" s="1" t="n">
        <v>46276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46276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46276</v>
      </c>
      <c r="F453" t="inlineStr">
        <is>
          <t>GÄVLEBORGS LÄN</t>
        </is>
      </c>
      <c r="G453" t="inlineStr">
        <is>
          <t>SANDVIKEN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14676-2026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46101</v>
      </c>
      <c r="E454" s="1" t="n">
        <v>46276</v>
      </c>
      <c r="F454" t="inlineStr">
        <is>
          <t>GÄVLEBORGS LÄN</t>
        </is>
      </c>
      <c r="G454" t="inlineStr">
        <is>
          <t>SANDVIKEN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45460</v>
      </c>
      <c r="E455" s="1" t="n">
        <v>46276</v>
      </c>
      <c r="F455" t="inlineStr">
        <is>
          <t>GÄVLEBORGS LÄN</t>
        </is>
      </c>
      <c r="G455" t="inlineStr">
        <is>
          <t>SANDVIKEN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14663-2026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46101</v>
      </c>
      <c r="E456" s="1" t="n">
        <v>46276</v>
      </c>
      <c r="F456" t="inlineStr">
        <is>
          <t>GÄVLEBORGS LÄN</t>
        </is>
      </c>
      <c r="G456" t="inlineStr">
        <is>
          <t>SANDVIKEN</t>
        </is>
      </c>
      <c r="H456" t="inlineStr">
        <is>
          <t>Kommuner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36671-2023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45153</v>
      </c>
      <c r="E457" s="1" t="n">
        <v>46276</v>
      </c>
      <c r="F457" t="inlineStr">
        <is>
          <t>GÄVLEBORGS LÄN</t>
        </is>
      </c>
      <c r="G457" t="inlineStr">
        <is>
          <t>SANDVIKEN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46276</v>
      </c>
      <c r="F458" t="inlineStr">
        <is>
          <t>GÄVLEBORGS LÄN</t>
        </is>
      </c>
      <c r="G458" t="inlineStr">
        <is>
          <t>SANDVIKEN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46276</v>
      </c>
      <c r="F459" t="inlineStr">
        <is>
          <t>GÄVLEBORGS LÄN</t>
        </is>
      </c>
      <c r="G459" t="inlineStr">
        <is>
          <t>SANDVIKEN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59718-2025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45992</v>
      </c>
      <c r="E460" s="1" t="n">
        <v>46276</v>
      </c>
      <c r="F460" t="inlineStr">
        <is>
          <t>GÄVLEBORGS LÄN</t>
        </is>
      </c>
      <c r="G460" t="inlineStr">
        <is>
          <t>SANDVIKEN</t>
        </is>
      </c>
      <c r="I460" t="n">
        <v>10.2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46276</v>
      </c>
      <c r="F461" t="inlineStr">
        <is>
          <t>GÄVLEBORGS LÄN</t>
        </is>
      </c>
      <c r="G461" t="inlineStr">
        <is>
          <t>SANDVIKEN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14649-2026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46101</v>
      </c>
      <c r="E462" s="1" t="n">
        <v>46276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60897-2023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46276</v>
      </c>
      <c r="F463" t="inlineStr">
        <is>
          <t>GÄVLEBORGS LÄN</t>
        </is>
      </c>
      <c r="G463" t="inlineStr">
        <is>
          <t>SANDVIKEN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46276</v>
      </c>
      <c r="F464" t="inlineStr">
        <is>
          <t>GÄVLEBORGS LÄN</t>
        </is>
      </c>
      <c r="G464" t="inlineStr">
        <is>
          <t>SANDVIKEN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62047-2022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44918</v>
      </c>
      <c r="E465" s="1" t="n">
        <v>46276</v>
      </c>
      <c r="F465" t="inlineStr">
        <is>
          <t>GÄVLEBORGS LÄN</t>
        </is>
      </c>
      <c r="G465" t="inlineStr">
        <is>
          <t>SANDVIKEN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15131-2026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46105</v>
      </c>
      <c r="E466" s="1" t="n">
        <v>46276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45331-2024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45576</v>
      </c>
      <c r="E467" s="1" t="n">
        <v>46276</v>
      </c>
      <c r="F467" t="inlineStr">
        <is>
          <t>GÄVLEBORGS LÄN</t>
        </is>
      </c>
      <c r="G467" t="inlineStr">
        <is>
          <t>SANDVIKEN</t>
        </is>
      </c>
      <c r="H467" t="inlineStr">
        <is>
          <t>Bergvik skog öst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45271</v>
      </c>
      <c r="E468" s="1" t="n">
        <v>46276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60952-2025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46276</v>
      </c>
      <c r="F469" t="inlineStr">
        <is>
          <t>GÄVLEBORGS LÄN</t>
        </is>
      </c>
      <c r="G469" t="inlineStr">
        <is>
          <t>SANDVIKEN</t>
        </is>
      </c>
      <c r="I469" t="n">
        <v>9.6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46106</v>
      </c>
      <c r="E470" s="1" t="n">
        <v>46276</v>
      </c>
      <c r="F470" t="inlineStr">
        <is>
          <t>GÄVLEBORGS LÄN</t>
        </is>
      </c>
      <c r="G470" t="inlineStr">
        <is>
          <t>SANDVIKEN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62056-2022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44918</v>
      </c>
      <c r="E471" s="1" t="n">
        <v>46276</v>
      </c>
      <c r="F471" t="inlineStr">
        <is>
          <t>GÄVLEBORGS LÄN</t>
        </is>
      </c>
      <c r="G471" t="inlineStr">
        <is>
          <t>SANDVIKEN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46276</v>
      </c>
      <c r="F472" t="inlineStr">
        <is>
          <t>GÄVLEBORGS LÄN</t>
        </is>
      </c>
      <c r="G472" t="inlineStr">
        <is>
          <t>SANDVIKEN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61299-2025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46000</v>
      </c>
      <c r="E473" s="1" t="n">
        <v>46276</v>
      </c>
      <c r="F473" t="inlineStr">
        <is>
          <t>GÄVLEBORGS LÄN</t>
        </is>
      </c>
      <c r="G473" t="inlineStr">
        <is>
          <t>SANDVIKEN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61303-2025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46000</v>
      </c>
      <c r="E474" s="1" t="n">
        <v>46276</v>
      </c>
      <c r="F474" t="inlineStr">
        <is>
          <t>GÄVLEBORGS LÄN</t>
        </is>
      </c>
      <c r="G474" t="inlineStr">
        <is>
          <t>SANDVIKEN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45984</v>
      </c>
      <c r="E475" s="1" t="n">
        <v>46276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45245</v>
      </c>
      <c r="E476" s="1" t="n">
        <v>46276</v>
      </c>
      <c r="F476" t="inlineStr">
        <is>
          <t>GÄVLEBORGS LÄN</t>
        </is>
      </c>
      <c r="G476" t="inlineStr">
        <is>
          <t>SANDVIKEN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15770-2026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46107</v>
      </c>
      <c r="E477" s="1" t="n">
        <v>46276</v>
      </c>
      <c r="F477" t="inlineStr">
        <is>
          <t>GÄVLEBORGS LÄN</t>
        </is>
      </c>
      <c r="G477" t="inlineStr">
        <is>
          <t>SANDVIKEN</t>
        </is>
      </c>
      <c r="H477" t="inlineStr">
        <is>
          <t>Bergvik skog öst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46276</v>
      </c>
      <c r="F478" t="inlineStr">
        <is>
          <t>GÄVLEBORGS LÄN</t>
        </is>
      </c>
      <c r="G478" t="inlineStr">
        <is>
          <t>SANDVIKEN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46276</v>
      </c>
      <c r="F479" t="inlineStr">
        <is>
          <t>GÄVLEBORGS LÄN</t>
        </is>
      </c>
      <c r="G479" t="inlineStr">
        <is>
          <t>SANDVIKEN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46276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61020-2025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45999</v>
      </c>
      <c r="E481" s="1" t="n">
        <v>46276</v>
      </c>
      <c r="F481" t="inlineStr">
        <is>
          <t>GÄVLEBORGS LÄN</t>
        </is>
      </c>
      <c r="G481" t="inlineStr">
        <is>
          <t>SANDVIKEN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61022-2025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45999</v>
      </c>
      <c r="E482" s="1" t="n">
        <v>46276</v>
      </c>
      <c r="F482" t="inlineStr">
        <is>
          <t>GÄVLEBORGS LÄN</t>
        </is>
      </c>
      <c r="G482" t="inlineStr">
        <is>
          <t>SANDVIKEN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46276</v>
      </c>
      <c r="F483" t="inlineStr">
        <is>
          <t>GÄVLEBORGS LÄN</t>
        </is>
      </c>
      <c r="G483" t="inlineStr">
        <is>
          <t>SANDVIKEN</t>
        </is>
      </c>
      <c r="H483" t="inlineStr">
        <is>
          <t>Kommuner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16019-2026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46108</v>
      </c>
      <c r="E484" s="1" t="n">
        <v>46276</v>
      </c>
      <c r="F484" t="inlineStr">
        <is>
          <t>GÄVLEBORGS LÄN</t>
        </is>
      </c>
      <c r="G484" t="inlineStr">
        <is>
          <t>SANDVIKEN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61301-2025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46000</v>
      </c>
      <c r="E485" s="1" t="n">
        <v>46276</v>
      </c>
      <c r="F485" t="inlineStr">
        <is>
          <t>GÄVLEBORGS LÄN</t>
        </is>
      </c>
      <c r="G485" t="inlineStr">
        <is>
          <t>SANDVIKEN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22042-2023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45069</v>
      </c>
      <c r="E486" s="1" t="n">
        <v>46276</v>
      </c>
      <c r="F486" t="inlineStr">
        <is>
          <t>GÄVLEBORGS LÄN</t>
        </is>
      </c>
      <c r="G486" t="inlineStr">
        <is>
          <t>SANDVIKEN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45666</v>
      </c>
      <c r="E487" s="1" t="n">
        <v>46276</v>
      </c>
      <c r="F487" t="inlineStr">
        <is>
          <t>GÄVLEBORGS LÄN</t>
        </is>
      </c>
      <c r="G487" t="inlineStr">
        <is>
          <t>SANDVIKEN</t>
        </is>
      </c>
      <c r="I487" t="n">
        <v>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46276</v>
      </c>
      <c r="F488" t="inlineStr">
        <is>
          <t>GÄVLEBORGS LÄN</t>
        </is>
      </c>
      <c r="G488" t="inlineStr">
        <is>
          <t>SANDVIKEN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46276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46276</v>
      </c>
      <c r="F490" t="inlineStr">
        <is>
          <t>GÄVLEBORGS LÄN</t>
        </is>
      </c>
      <c r="G490" t="inlineStr">
        <is>
          <t>SANDVIKEN</t>
        </is>
      </c>
      <c r="H490" t="inlineStr">
        <is>
          <t>Kommuner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58200-2025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46276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46276</v>
      </c>
      <c r="F492" t="inlineStr">
        <is>
          <t>GÄVLEBORGS LÄN</t>
        </is>
      </c>
      <c r="G492" t="inlineStr">
        <is>
          <t>SANDVIKEN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11764-2023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44994</v>
      </c>
      <c r="E493" s="1" t="n">
        <v>46276</v>
      </c>
      <c r="F493" t="inlineStr">
        <is>
          <t>GÄVLEBORGS LÄN</t>
        </is>
      </c>
      <c r="G493" t="inlineStr">
        <is>
          <t>SANDVIKEN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17256-2024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45414</v>
      </c>
      <c r="E494" s="1" t="n">
        <v>46276</v>
      </c>
      <c r="F494" t="inlineStr">
        <is>
          <t>GÄVLEBORGS LÄN</t>
        </is>
      </c>
      <c r="G494" t="inlineStr">
        <is>
          <t>SANDVIKEN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61858-2024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45649</v>
      </c>
      <c r="E495" s="1" t="n">
        <v>46276</v>
      </c>
      <c r="F495" t="inlineStr">
        <is>
          <t>GÄVLEBORGS LÄN</t>
        </is>
      </c>
      <c r="G495" t="inlineStr">
        <is>
          <t>SANDVIKEN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45343</v>
      </c>
      <c r="E496" s="1" t="n">
        <v>46276</v>
      </c>
      <c r="F496" t="inlineStr">
        <is>
          <t>GÄVLEBORGS LÄN</t>
        </is>
      </c>
      <c r="G496" t="inlineStr">
        <is>
          <t>SANDVIKEN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16242-2026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46276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16270-2026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46111</v>
      </c>
      <c r="E498" s="1" t="n">
        <v>46276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46111</v>
      </c>
      <c r="E499" s="1" t="n">
        <v>46276</v>
      </c>
      <c r="F499" t="inlineStr">
        <is>
          <t>GÄVLEBORGS LÄN</t>
        </is>
      </c>
      <c r="G499" t="inlineStr">
        <is>
          <t>SANDVIKEN</t>
        </is>
      </c>
      <c r="H499" t="inlineStr">
        <is>
          <t>Kommuner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46276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5247-2026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46049</v>
      </c>
      <c r="E501" s="1" t="n">
        <v>46276</v>
      </c>
      <c r="F501" t="inlineStr">
        <is>
          <t>GÄVLEBORGS LÄN</t>
        </is>
      </c>
      <c r="G501" t="inlineStr">
        <is>
          <t>SANDVIKEN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12417-2025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45730</v>
      </c>
      <c r="E502" s="1" t="n">
        <v>46276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12418-2025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46276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46276</v>
      </c>
      <c r="F504" t="inlineStr">
        <is>
          <t>GÄVLEBORGS LÄN</t>
        </is>
      </c>
      <c r="G504" t="inlineStr">
        <is>
          <t>SANDVIKEN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60891-2023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45261</v>
      </c>
      <c r="E505" s="1" t="n">
        <v>46276</v>
      </c>
      <c r="F505" t="inlineStr">
        <is>
          <t>GÄVLEBORGS LÄN</t>
        </is>
      </c>
      <c r="G505" t="inlineStr">
        <is>
          <t>SANDVIKEN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16958-2026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46276</v>
      </c>
      <c r="F506" t="inlineStr">
        <is>
          <t>GÄVLEBORGS LÄN</t>
        </is>
      </c>
      <c r="G506" t="inlineStr">
        <is>
          <t>SANDVIKEN</t>
        </is>
      </c>
      <c r="I506" t="n">
        <v>10.3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46115</v>
      </c>
      <c r="E507" s="1" t="n">
        <v>46276</v>
      </c>
      <c r="F507" t="inlineStr">
        <is>
          <t>GÄVLEBORGS LÄN</t>
        </is>
      </c>
      <c r="G507" t="inlineStr">
        <is>
          <t>SANDVIKEN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46116</v>
      </c>
      <c r="E508" s="1" t="n">
        <v>46276</v>
      </c>
      <c r="F508" t="inlineStr">
        <is>
          <t>GÄVLEBORGS LÄN</t>
        </is>
      </c>
      <c r="G508" t="inlineStr">
        <is>
          <t>SANDVIKEN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17165-2026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46115</v>
      </c>
      <c r="E509" s="1" t="n">
        <v>46276</v>
      </c>
      <c r="F509" t="inlineStr">
        <is>
          <t>GÄVLEBORGS LÄN</t>
        </is>
      </c>
      <c r="G509" t="inlineStr">
        <is>
          <t>SANDVIKEN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45293</v>
      </c>
      <c r="E510" s="1" t="n">
        <v>46276</v>
      </c>
      <c r="F510" t="inlineStr">
        <is>
          <t>GÄVLEBORGS LÄN</t>
        </is>
      </c>
      <c r="G510" t="inlineStr">
        <is>
          <t>SANDVIKEN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45293</v>
      </c>
      <c r="E511" s="1" t="n">
        <v>46276</v>
      </c>
      <c r="F511" t="inlineStr">
        <is>
          <t>GÄVLEBORGS LÄN</t>
        </is>
      </c>
      <c r="G511" t="inlineStr">
        <is>
          <t>SANDVIKEN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46115</v>
      </c>
      <c r="E512" s="1" t="n">
        <v>46276</v>
      </c>
      <c r="F512" t="inlineStr">
        <is>
          <t>GÄVLEBORGS LÄN</t>
        </is>
      </c>
      <c r="G512" t="inlineStr">
        <is>
          <t>SANDVIKEN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46116</v>
      </c>
      <c r="E513" s="1" t="n">
        <v>46276</v>
      </c>
      <c r="F513" t="inlineStr">
        <is>
          <t>GÄVLEBORGS LÄN</t>
        </is>
      </c>
      <c r="G513" t="inlineStr">
        <is>
          <t>SANDVIKEN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17171-2026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46115</v>
      </c>
      <c r="E514" s="1" t="n">
        <v>46276</v>
      </c>
      <c r="F514" t="inlineStr">
        <is>
          <t>GÄVLEBORGS LÄN</t>
        </is>
      </c>
      <c r="G514" t="inlineStr">
        <is>
          <t>SANDVIKEN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46116</v>
      </c>
      <c r="E515" s="1" t="n">
        <v>46276</v>
      </c>
      <c r="F515" t="inlineStr">
        <is>
          <t>GÄVLEBORGS LÄN</t>
        </is>
      </c>
      <c r="G515" t="inlineStr">
        <is>
          <t>SANDVIKEN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46115</v>
      </c>
      <c r="E516" s="1" t="n">
        <v>46276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46115</v>
      </c>
      <c r="E517" s="1" t="n">
        <v>46276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46276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17363-2026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46276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46276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17361-2026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46276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46119</v>
      </c>
      <c r="E522" s="1" t="n">
        <v>46276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17360-2026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46119</v>
      </c>
      <c r="E523" s="1" t="n">
        <v>46276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46276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46276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45327</v>
      </c>
      <c r="E526" s="1" t="n">
        <v>46276</v>
      </c>
      <c r="F526" t="inlineStr">
        <is>
          <t>GÄVLEBORGS LÄN</t>
        </is>
      </c>
      <c r="G526" t="inlineStr">
        <is>
          <t>SANDVIKEN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17596-2026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46121</v>
      </c>
      <c r="E527" s="1" t="n">
        <v>46276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23539-2026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46163</v>
      </c>
      <c r="E528" s="1" t="n">
        <v>46276</v>
      </c>
      <c r="F528" t="inlineStr">
        <is>
          <t>GÄVLEBORGS LÄN</t>
        </is>
      </c>
      <c r="G528" t="inlineStr">
        <is>
          <t>SANDVIKEN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18218-2026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46276</v>
      </c>
      <c r="F529" t="inlineStr">
        <is>
          <t>GÄVLEBORGS LÄN</t>
        </is>
      </c>
      <c r="G529" t="inlineStr">
        <is>
          <t>SANDVIKEN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46276</v>
      </c>
      <c r="F530" t="inlineStr">
        <is>
          <t>GÄVLEBORGS LÄN</t>
        </is>
      </c>
      <c r="G530" t="inlineStr">
        <is>
          <t>SANDVIKEN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18395-2026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46126</v>
      </c>
      <c r="E531" s="1" t="n">
        <v>46276</v>
      </c>
      <c r="F531" t="inlineStr">
        <is>
          <t>GÄVLEBORGS LÄN</t>
        </is>
      </c>
      <c r="G531" t="inlineStr">
        <is>
          <t>SANDVIKEN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18219-2026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46276</v>
      </c>
      <c r="F532" t="inlineStr">
        <is>
          <t>GÄVLEBORGS LÄN</t>
        </is>
      </c>
      <c r="G532" t="inlineStr">
        <is>
          <t>SANDVIKEN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46276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18992-2026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46129</v>
      </c>
      <c r="E534" s="1" t="n">
        <v>46276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46129</v>
      </c>
      <c r="E535" s="1" t="n">
        <v>46276</v>
      </c>
      <c r="F535" t="inlineStr">
        <is>
          <t>GÄVLEBORGS LÄN</t>
        </is>
      </c>
      <c r="G535" t="inlineStr">
        <is>
          <t>SANDVIKEN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46276</v>
      </c>
      <c r="F536" t="inlineStr">
        <is>
          <t>GÄVLEBORGS LÄN</t>
        </is>
      </c>
      <c r="G536" t="inlineStr">
        <is>
          <t>SANDVIKEN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18656-2026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46276</v>
      </c>
      <c r="F537" t="inlineStr">
        <is>
          <t>GÄVLEBORGS LÄN</t>
        </is>
      </c>
      <c r="G537" t="inlineStr">
        <is>
          <t>SANDVIKEN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46129</v>
      </c>
      <c r="E538" s="1" t="n">
        <v>46276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14092-2026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46276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46129</v>
      </c>
      <c r="E540" s="1" t="n">
        <v>46276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46129</v>
      </c>
      <c r="E541" s="1" t="n">
        <v>46276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46276</v>
      </c>
      <c r="F542" t="inlineStr">
        <is>
          <t>GÄVLEBORGS LÄN</t>
        </is>
      </c>
      <c r="G542" t="inlineStr">
        <is>
          <t>SANDVIKEN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18749-2026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46128</v>
      </c>
      <c r="E543" s="1" t="n">
        <v>46276</v>
      </c>
      <c r="F543" t="inlineStr">
        <is>
          <t>GÄVLEBORGS LÄN</t>
        </is>
      </c>
      <c r="G543" t="inlineStr">
        <is>
          <t>SANDVIKEN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46128</v>
      </c>
      <c r="E544" s="1" t="n">
        <v>46276</v>
      </c>
      <c r="F544" t="inlineStr">
        <is>
          <t>GÄVLEBORGS LÄN</t>
        </is>
      </c>
      <c r="G544" t="inlineStr">
        <is>
          <t>SANDVIKEN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46276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62459-2023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45268</v>
      </c>
      <c r="E546" s="1" t="n">
        <v>46276</v>
      </c>
      <c r="F546" t="inlineStr">
        <is>
          <t>GÄVLEBORGS LÄN</t>
        </is>
      </c>
      <c r="G546" t="inlineStr">
        <is>
          <t>SANDVIKEN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19189-2026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46276</v>
      </c>
      <c r="F547" t="inlineStr">
        <is>
          <t>GÄVLEBORGS LÄN</t>
        </is>
      </c>
      <c r="G547" t="inlineStr">
        <is>
          <t>SANDVIKEN</t>
        </is>
      </c>
      <c r="H547" t="inlineStr">
        <is>
          <t>Sveaskog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46276</v>
      </c>
      <c r="F548" t="inlineStr">
        <is>
          <t>GÄVLEBORGS LÄN</t>
        </is>
      </c>
      <c r="G548" t="inlineStr">
        <is>
          <t>SANDVIKEN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19018-2026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46130</v>
      </c>
      <c r="E549" s="1" t="n">
        <v>46276</v>
      </c>
      <c r="F549" t="inlineStr">
        <is>
          <t>GÄVLEBORGS LÄN</t>
        </is>
      </c>
      <c r="G549" t="inlineStr">
        <is>
          <t>SANDVIKEN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46132</v>
      </c>
      <c r="E550" s="1" t="n">
        <v>46276</v>
      </c>
      <c r="F550" t="inlineStr">
        <is>
          <t>GÄVLEBORGS LÄN</t>
        </is>
      </c>
      <c r="G550" t="inlineStr">
        <is>
          <t>SANDVIKEN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46091</v>
      </c>
      <c r="E551" s="1" t="n">
        <v>46276</v>
      </c>
      <c r="F551" t="inlineStr">
        <is>
          <t>GÄVLEBORGS LÄN</t>
        </is>
      </c>
      <c r="G551" t="inlineStr">
        <is>
          <t>SANDVIKEN</t>
        </is>
      </c>
      <c r="H551" t="inlineStr">
        <is>
          <t>Naturvårdsverket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19467-2026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46276</v>
      </c>
      <c r="F552" t="inlineStr">
        <is>
          <t>GÄVLEBORGS LÄN</t>
        </is>
      </c>
      <c r="G552" t="inlineStr">
        <is>
          <t>SANDVIKEN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19273-2026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46276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19080-2026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46132</v>
      </c>
      <c r="E554" s="1" t="n">
        <v>46276</v>
      </c>
      <c r="F554" t="inlineStr">
        <is>
          <t>GÄVLEBORGS LÄN</t>
        </is>
      </c>
      <c r="G554" t="inlineStr">
        <is>
          <t>SANDVIKEN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46276</v>
      </c>
      <c r="F555" t="inlineStr">
        <is>
          <t>GÄVLEBORGS LÄN</t>
        </is>
      </c>
      <c r="G555" t="inlineStr">
        <is>
          <t>SANDVIKEN</t>
        </is>
      </c>
      <c r="H555" t="inlineStr">
        <is>
          <t>Naturvårdsverket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36660-2023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45153</v>
      </c>
      <c r="E556" s="1" t="n">
        <v>46276</v>
      </c>
      <c r="F556" t="inlineStr">
        <is>
          <t>GÄVLEBORGS LÄN</t>
        </is>
      </c>
      <c r="G556" t="inlineStr">
        <is>
          <t>SANDVIKEN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46135</v>
      </c>
      <c r="E557" s="1" t="n">
        <v>46276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19827-2026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46276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16.4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46086</v>
      </c>
      <c r="E559" s="1" t="n">
        <v>46276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öst AB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46276</v>
      </c>
      <c r="F560" t="inlineStr">
        <is>
          <t>GÄVLEBORGS LÄN</t>
        </is>
      </c>
      <c r="G560" t="inlineStr">
        <is>
          <t>SANDVIKEN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12382-2026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46276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12776-2026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46091</v>
      </c>
      <c r="E562" s="1" t="n">
        <v>46276</v>
      </c>
      <c r="F562" t="inlineStr">
        <is>
          <t>GÄVLEBORGS LÄN</t>
        </is>
      </c>
      <c r="G562" t="inlineStr">
        <is>
          <t>SANDVIKEN</t>
        </is>
      </c>
      <c r="H562" t="inlineStr">
        <is>
          <t>Naturvårdsverket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36203-2025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45867</v>
      </c>
      <c r="E563" s="1" t="n">
        <v>46276</v>
      </c>
      <c r="F563" t="inlineStr">
        <is>
          <t>GÄVLEBORGS LÄN</t>
        </is>
      </c>
      <c r="G563" t="inlineStr">
        <is>
          <t>SANDVIKEN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45989-2023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45196</v>
      </c>
      <c r="E564" s="1" t="n">
        <v>46276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45476</v>
      </c>
      <c r="E565" s="1" t="n">
        <v>46276</v>
      </c>
      <c r="F565" t="inlineStr">
        <is>
          <t>GÄVLEBORGS LÄN</t>
        </is>
      </c>
      <c r="G565" t="inlineStr">
        <is>
          <t>SANDVIKEN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46276</v>
      </c>
      <c r="F566" t="inlineStr">
        <is>
          <t>GÄVLEBORGS LÄN</t>
        </is>
      </c>
      <c r="G566" t="inlineStr">
        <is>
          <t>SANDVIKEN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1392-2024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45303</v>
      </c>
      <c r="E567" s="1" t="n">
        <v>46276</v>
      </c>
      <c r="F567" t="inlineStr">
        <is>
          <t>GÄVLEBORGS LÄN</t>
        </is>
      </c>
      <c r="G567" t="inlineStr">
        <is>
          <t>SANDVIKEN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65098-2023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45288</v>
      </c>
      <c r="E568" s="1" t="n">
        <v>46276</v>
      </c>
      <c r="F568" t="inlineStr">
        <is>
          <t>GÄVLEBORGS LÄN</t>
        </is>
      </c>
      <c r="G568" t="inlineStr">
        <is>
          <t>SANDVIKEN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35185-2022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44797</v>
      </c>
      <c r="E569" s="1" t="n">
        <v>46276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45645</v>
      </c>
      <c r="E570" s="1" t="n">
        <v>46276</v>
      </c>
      <c r="F570" t="inlineStr">
        <is>
          <t>GÄVLEBORGS LÄN</t>
        </is>
      </c>
      <c r="G570" t="inlineStr">
        <is>
          <t>SANDVIKEN</t>
        </is>
      </c>
      <c r="H570" t="inlineStr">
        <is>
          <t>Naturvårdsverket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52785-2023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45226</v>
      </c>
      <c r="E571" s="1" t="n">
        <v>46276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56734-2021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44481</v>
      </c>
      <c r="E572" s="1" t="n">
        <v>46276</v>
      </c>
      <c r="F572" t="inlineStr">
        <is>
          <t>GÄVLEBORGS LÄN</t>
        </is>
      </c>
      <c r="G572" t="inlineStr">
        <is>
          <t>SANDVIKEN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7038-2025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45701</v>
      </c>
      <c r="E573" s="1" t="n">
        <v>46276</v>
      </c>
      <c r="F573" t="inlineStr">
        <is>
          <t>GÄVLEBORGS LÄN</t>
        </is>
      </c>
      <c r="G573" t="inlineStr">
        <is>
          <t>SANDVIKEN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46276</v>
      </c>
      <c r="F574" t="inlineStr">
        <is>
          <t>GÄVLEBORGS LÄN</t>
        </is>
      </c>
      <c r="G574" t="inlineStr">
        <is>
          <t>SANDVIKEN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42495-2025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45905</v>
      </c>
      <c r="E575" s="1" t="n">
        <v>46276</v>
      </c>
      <c r="F575" t="inlineStr">
        <is>
          <t>GÄVLEBORGS LÄN</t>
        </is>
      </c>
      <c r="G575" t="inlineStr">
        <is>
          <t>SANDVIKEN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71995-2021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44544</v>
      </c>
      <c r="E576" s="1" t="n">
        <v>46276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8379-2025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45709</v>
      </c>
      <c r="E577" s="1" t="n">
        <v>46276</v>
      </c>
      <c r="F577" t="inlineStr">
        <is>
          <t>GÄVLEBORGS LÄN</t>
        </is>
      </c>
      <c r="G577" t="inlineStr">
        <is>
          <t>SANDVIKEN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38570-2023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45162</v>
      </c>
      <c r="E578" s="1" t="n">
        <v>46276</v>
      </c>
      <c r="F578" t="inlineStr">
        <is>
          <t>GÄVLEBORGS LÄN</t>
        </is>
      </c>
      <c r="G578" t="inlineStr">
        <is>
          <t>SANDVIKEN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46035</v>
      </c>
      <c r="E579" s="1" t="n">
        <v>46276</v>
      </c>
      <c r="F579" t="inlineStr">
        <is>
          <t>GÄVLEBORGS LÄN</t>
        </is>
      </c>
      <c r="G579" t="inlineStr">
        <is>
          <t>SANDVIKEN</t>
        </is>
      </c>
      <c r="I579" t="n">
        <v>6.9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46276</v>
      </c>
      <c r="F580" t="inlineStr">
        <is>
          <t>GÄVLEBORGS LÄN</t>
        </is>
      </c>
      <c r="G580" t="inlineStr">
        <is>
          <t>SANDVIKEN</t>
        </is>
      </c>
      <c r="I580" t="n">
        <v>10.1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11205-2026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46080</v>
      </c>
      <c r="E581" s="1" t="n">
        <v>46276</v>
      </c>
      <c r="F581" t="inlineStr">
        <is>
          <t>GÄVLEBORGS LÄN</t>
        </is>
      </c>
      <c r="G581" t="inlineStr">
        <is>
          <t>SANDVIKEN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46276</v>
      </c>
      <c r="F582" t="inlineStr">
        <is>
          <t>GÄVLEBORGS LÄN</t>
        </is>
      </c>
      <c r="G582" t="inlineStr">
        <is>
          <t>SANDVIKEN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48799-2023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45209</v>
      </c>
      <c r="E583" s="1" t="n">
        <v>46276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46276</v>
      </c>
      <c r="F584" t="inlineStr">
        <is>
          <t>GÄVLEBORGS LÄN</t>
        </is>
      </c>
      <c r="G584" t="inlineStr">
        <is>
          <t>SANDVIKEN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46276</v>
      </c>
      <c r="F585" t="inlineStr">
        <is>
          <t>GÄVLEBORGS LÄN</t>
        </is>
      </c>
      <c r="G585" t="inlineStr">
        <is>
          <t>SANDVIKEN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46276</v>
      </c>
      <c r="F586" t="inlineStr">
        <is>
          <t>GÄVLEBORGS LÄN</t>
        </is>
      </c>
      <c r="G586" t="inlineStr">
        <is>
          <t>SANDVIKEN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55539-2023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45238</v>
      </c>
      <c r="E587" s="1" t="n">
        <v>46276</v>
      </c>
      <c r="F587" t="inlineStr">
        <is>
          <t>GÄVLEBORGS LÄN</t>
        </is>
      </c>
      <c r="G587" t="inlineStr">
        <is>
          <t>SANDVIKEN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46061</v>
      </c>
      <c r="E588" s="1" t="n">
        <v>46276</v>
      </c>
      <c r="F588" t="inlineStr">
        <is>
          <t>GÄVLEBORGS LÄN</t>
        </is>
      </c>
      <c r="G588" t="inlineStr">
        <is>
          <t>SANDVIKEN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37741-2023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45159</v>
      </c>
      <c r="E589" s="1" t="n">
        <v>46276</v>
      </c>
      <c r="F589" t="inlineStr">
        <is>
          <t>GÄVLEBORGS LÄN</t>
        </is>
      </c>
      <c r="G589" t="inlineStr">
        <is>
          <t>SANDVIKEN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3442-2023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44949</v>
      </c>
      <c r="E590" s="1" t="n">
        <v>46276</v>
      </c>
      <c r="F590" t="inlineStr">
        <is>
          <t>GÄVLEBORGS LÄN</t>
        </is>
      </c>
      <c r="G590" t="inlineStr">
        <is>
          <t>SANDVIKEN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46276</v>
      </c>
      <c r="F591" t="inlineStr">
        <is>
          <t>GÄVLEBORGS LÄN</t>
        </is>
      </c>
      <c r="G591" t="inlineStr">
        <is>
          <t>SANDVIKEN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6078-2026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46276</v>
      </c>
      <c r="F592" t="inlineStr">
        <is>
          <t>GÄVLEBORGS LÄN</t>
        </is>
      </c>
      <c r="G592" t="inlineStr">
        <is>
          <t>SANDVIKEN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46276</v>
      </c>
      <c r="F593" t="inlineStr">
        <is>
          <t>GÄVLEBORGS LÄN</t>
        </is>
      </c>
      <c r="G593" t="inlineStr">
        <is>
          <t>SANDVIKEN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42107-2024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45562</v>
      </c>
      <c r="E594" s="1" t="n">
        <v>46276</v>
      </c>
      <c r="F594" t="inlineStr">
        <is>
          <t>GÄVLEBORGS LÄN</t>
        </is>
      </c>
      <c r="G594" t="inlineStr">
        <is>
          <t>SANDVIKEN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14910-2026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46104</v>
      </c>
      <c r="E595" s="1" t="n">
        <v>46276</v>
      </c>
      <c r="F595" t="inlineStr">
        <is>
          <t>GÄVLEBORGS LÄN</t>
        </is>
      </c>
      <c r="G595" t="inlineStr">
        <is>
          <t>SANDVIKEN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19910-2026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46136</v>
      </c>
      <c r="E596" s="1" t="n">
        <v>46276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13258-2026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46276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45356</v>
      </c>
      <c r="E598" s="1" t="n">
        <v>46276</v>
      </c>
      <c r="F598" t="inlineStr">
        <is>
          <t>GÄVLEBORGS LÄN</t>
        </is>
      </c>
      <c r="G598" t="inlineStr">
        <is>
          <t>SANDVIKEN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46046</v>
      </c>
      <c r="E599" s="1" t="n">
        <v>46276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31317-2023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46276</v>
      </c>
      <c r="F600" t="inlineStr">
        <is>
          <t>GÄVLEBORGS LÄN</t>
        </is>
      </c>
      <c r="G600" t="inlineStr">
        <is>
          <t>SANDVIKEN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40745-2024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45558</v>
      </c>
      <c r="E601" s="1" t="n">
        <v>46276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50900-2024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45602</v>
      </c>
      <c r="E602" s="1" t="n">
        <v>46276</v>
      </c>
      <c r="F602" t="inlineStr">
        <is>
          <t>GÄVLEBORGS LÄN</t>
        </is>
      </c>
      <c r="G602" t="inlineStr">
        <is>
          <t>SANDVIKEN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46276</v>
      </c>
      <c r="F603" t="inlineStr">
        <is>
          <t>GÄVLEBORGS LÄN</t>
        </is>
      </c>
      <c r="G603" t="inlineStr">
        <is>
          <t>SANDVIKEN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9601-2026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46071</v>
      </c>
      <c r="E604" s="1" t="n">
        <v>46276</v>
      </c>
      <c r="F604" t="inlineStr">
        <is>
          <t>GÄVLEBORGS LÄN</t>
        </is>
      </c>
      <c r="G604" t="inlineStr">
        <is>
          <t>SANDVIKEN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19904-2026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46136</v>
      </c>
      <c r="E605" s="1" t="n">
        <v>46276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10.9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9139-2026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46069</v>
      </c>
      <c r="E606" s="1" t="n">
        <v>46276</v>
      </c>
      <c r="F606" t="inlineStr">
        <is>
          <t>GÄVLEBORGS LÄN</t>
        </is>
      </c>
      <c r="G606" t="inlineStr">
        <is>
          <t>SANDVIKEN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45722</v>
      </c>
      <c r="E607" s="1" t="n">
        <v>46276</v>
      </c>
      <c r="F607" t="inlineStr">
        <is>
          <t>GÄVLEBORGS LÄN</t>
        </is>
      </c>
      <c r="G607" t="inlineStr">
        <is>
          <t>SANDVIKEN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44717-2025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45917</v>
      </c>
      <c r="E608" s="1" t="n">
        <v>46276</v>
      </c>
      <c r="F608" t="inlineStr">
        <is>
          <t>GÄVLEBORGS LÄN</t>
        </is>
      </c>
      <c r="G608" t="inlineStr">
        <is>
          <t>SANDVIKEN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54443-2024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46276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46276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45537</v>
      </c>
      <c r="E611" s="1" t="n">
        <v>46276</v>
      </c>
      <c r="F611" t="inlineStr">
        <is>
          <t>GÄVLEBORGS LÄN</t>
        </is>
      </c>
      <c r="G611" t="inlineStr">
        <is>
          <t>SANDVIKEN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21178-2025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45779</v>
      </c>
      <c r="E612" s="1" t="n">
        <v>46276</v>
      </c>
      <c r="F612" t="inlineStr">
        <is>
          <t>GÄVLEBORGS LÄN</t>
        </is>
      </c>
      <c r="G612" t="inlineStr">
        <is>
          <t>SANDVIKEN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4768-2026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46048</v>
      </c>
      <c r="E613" s="1" t="n">
        <v>46276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46276</v>
      </c>
      <c r="F614" t="inlineStr">
        <is>
          <t>GÄVLEBORGS LÄN</t>
        </is>
      </c>
      <c r="G614" t="inlineStr">
        <is>
          <t>SANDVIKEN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11967-2025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45728</v>
      </c>
      <c r="E615" s="1" t="n">
        <v>46276</v>
      </c>
      <c r="F615" t="inlineStr">
        <is>
          <t>GÄVLEBORGS LÄN</t>
        </is>
      </c>
      <c r="G615" t="inlineStr">
        <is>
          <t>SANDVIKEN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46276</v>
      </c>
      <c r="F616" t="inlineStr">
        <is>
          <t>GÄVLEBORGS LÄN</t>
        </is>
      </c>
      <c r="G616" t="inlineStr">
        <is>
          <t>SANDVIKEN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46044</v>
      </c>
      <c r="E617" s="1" t="n">
        <v>46276</v>
      </c>
      <c r="F617" t="inlineStr">
        <is>
          <t>GÄVLEBORGS LÄN</t>
        </is>
      </c>
      <c r="G617" t="inlineStr">
        <is>
          <t>SANDVIKEN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45666</v>
      </c>
      <c r="E618" s="1" t="n">
        <v>46276</v>
      </c>
      <c r="F618" t="inlineStr">
        <is>
          <t>GÄVLEBORGS LÄN</t>
        </is>
      </c>
      <c r="G618" t="inlineStr">
        <is>
          <t>SANDVIKEN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7624-2023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44972</v>
      </c>
      <c r="E619" s="1" t="n">
        <v>46276</v>
      </c>
      <c r="F619" t="inlineStr">
        <is>
          <t>GÄVLEBORGS LÄN</t>
        </is>
      </c>
      <c r="G619" t="inlineStr">
        <is>
          <t>SANDVIKEN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46071</v>
      </c>
      <c r="E620" s="1" t="n">
        <v>46276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8952-2026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46276</v>
      </c>
      <c r="F621" t="inlineStr">
        <is>
          <t>GÄVLEBORGS LÄN</t>
        </is>
      </c>
      <c r="G621" t="inlineStr">
        <is>
          <t>SANDVIKEN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8570-2026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46065</v>
      </c>
      <c r="E622" s="1" t="n">
        <v>46276</v>
      </c>
      <c r="F622" t="inlineStr">
        <is>
          <t>GÄVLEBORGS LÄN</t>
        </is>
      </c>
      <c r="G622" t="inlineStr">
        <is>
          <t>SANDVIKEN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49706-2023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45212</v>
      </c>
      <c r="E623" s="1" t="n">
        <v>46276</v>
      </c>
      <c r="F623" t="inlineStr">
        <is>
          <t>GÄVLEBORGS LÄN</t>
        </is>
      </c>
      <c r="G623" t="inlineStr">
        <is>
          <t>SANDVIKEN</t>
        </is>
      </c>
      <c r="H623" t="inlineStr">
        <is>
          <t>Sveaskog</t>
        </is>
      </c>
      <c r="I623" t="n">
        <v>0.2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7911-2026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46063</v>
      </c>
      <c r="E624" s="1" t="n">
        <v>46276</v>
      </c>
      <c r="F624" t="inlineStr">
        <is>
          <t>GÄVLEBORGS LÄN</t>
        </is>
      </c>
      <c r="G624" t="inlineStr">
        <is>
          <t>SANDVIKEN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7349-2026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46276</v>
      </c>
      <c r="F625" t="inlineStr">
        <is>
          <t>GÄVLEBORGS LÄN</t>
        </is>
      </c>
      <c r="G625" t="inlineStr">
        <is>
          <t>SANDVIKEN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46058</v>
      </c>
      <c r="E626" s="1" t="n">
        <v>46276</v>
      </c>
      <c r="F626" t="inlineStr">
        <is>
          <t>GÄVLEBORGS LÄN</t>
        </is>
      </c>
      <c r="G626" t="inlineStr">
        <is>
          <t>SANDVIKEN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12477-2026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46276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46065</v>
      </c>
      <c r="E628" s="1" t="n">
        <v>46276</v>
      </c>
      <c r="F628" t="inlineStr">
        <is>
          <t>GÄVLEBORGS LÄN</t>
        </is>
      </c>
      <c r="G628" t="inlineStr">
        <is>
          <t>SANDVIKEN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20618-2026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46140</v>
      </c>
      <c r="E629" s="1" t="n">
        <v>46276</v>
      </c>
      <c r="F629" t="inlineStr">
        <is>
          <t>GÄVLEBORGS LÄN</t>
        </is>
      </c>
      <c r="G629" t="inlineStr">
        <is>
          <t>SANDVIKEN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46276</v>
      </c>
      <c r="F630" t="inlineStr">
        <is>
          <t>GÄVLEBORGS LÄN</t>
        </is>
      </c>
      <c r="G630" t="inlineStr">
        <is>
          <t>SANDVIKEN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10575-2025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45721</v>
      </c>
      <c r="E631" s="1" t="n">
        <v>46276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10577-2025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45721</v>
      </c>
      <c r="E632" s="1" t="n">
        <v>46276</v>
      </c>
      <c r="F632" t="inlineStr">
        <is>
          <t>GÄVLEBORGS LÄN</t>
        </is>
      </c>
      <c r="G632" t="inlineStr">
        <is>
          <t>SANDVIKEN</t>
        </is>
      </c>
      <c r="H632" t="inlineStr">
        <is>
          <t>Sveaskog</t>
        </is>
      </c>
      <c r="I632" t="n">
        <v>10.9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10580-2025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45721</v>
      </c>
      <c r="E633" s="1" t="n">
        <v>46276</v>
      </c>
      <c r="F633" t="inlineStr">
        <is>
          <t>GÄVLEBORGS LÄN</t>
        </is>
      </c>
      <c r="G633" t="inlineStr">
        <is>
          <t>SANDVIKEN</t>
        </is>
      </c>
      <c r="H633" t="inlineStr">
        <is>
          <t>Sveaskog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7924-2026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46276</v>
      </c>
      <c r="F634" t="inlineStr">
        <is>
          <t>GÄVLEBORGS LÄN</t>
        </is>
      </c>
      <c r="G634" t="inlineStr">
        <is>
          <t>SANDVIKEN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20636-2026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46276</v>
      </c>
      <c r="F635" t="inlineStr">
        <is>
          <t>GÄVLEBORGS LÄN</t>
        </is>
      </c>
      <c r="G635" t="inlineStr">
        <is>
          <t>SANDVIKEN</t>
        </is>
      </c>
      <c r="I635" t="n">
        <v>4.4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45075</v>
      </c>
      <c r="E636" s="1" t="n">
        <v>46276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29296-2024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45483</v>
      </c>
      <c r="E637" s="1" t="n">
        <v>46276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38319-2025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45883</v>
      </c>
      <c r="E638" s="1" t="n">
        <v>46276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46276</v>
      </c>
      <c r="F639" t="inlineStr">
        <is>
          <t>GÄVLEBORGS LÄN</t>
        </is>
      </c>
      <c r="G639" t="inlineStr">
        <is>
          <t>SANDVIKEN</t>
        </is>
      </c>
      <c r="I639" t="n">
        <v>8.199999999999999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46043</v>
      </c>
      <c r="E640" s="1" t="n">
        <v>46276</v>
      </c>
      <c r="F640" t="inlineStr">
        <is>
          <t>GÄVLEBORGS LÄN</t>
        </is>
      </c>
      <c r="G640" t="inlineStr">
        <is>
          <t>SANDVIKEN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46276</v>
      </c>
      <c r="F641" t="inlineStr">
        <is>
          <t>GÄVLEBORGS LÄN</t>
        </is>
      </c>
      <c r="G641" t="inlineStr">
        <is>
          <t>SANDVIKEN</t>
        </is>
      </c>
      <c r="I641" t="n">
        <v>11.2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46276</v>
      </c>
      <c r="F642" t="inlineStr">
        <is>
          <t>GÄVLEBORGS LÄN</t>
        </is>
      </c>
      <c r="G642" t="inlineStr">
        <is>
          <t>SANDVIKEN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46030</v>
      </c>
      <c r="E643" s="1" t="n">
        <v>46276</v>
      </c>
      <c r="F643" t="inlineStr">
        <is>
          <t>GÄVLEBORGS LÄN</t>
        </is>
      </c>
      <c r="G643" t="inlineStr">
        <is>
          <t>SANDVIKEN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46038</v>
      </c>
      <c r="E644" s="1" t="n">
        <v>46276</v>
      </c>
      <c r="F644" t="inlineStr">
        <is>
          <t>GÄVLEBORGS LÄN</t>
        </is>
      </c>
      <c r="G644" t="inlineStr">
        <is>
          <t>SANDVIKEN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43090-2023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45182</v>
      </c>
      <c r="E645" s="1" t="n">
        <v>46276</v>
      </c>
      <c r="F645" t="inlineStr">
        <is>
          <t>GÄVLEBORGS LÄN</t>
        </is>
      </c>
      <c r="G645" t="inlineStr">
        <is>
          <t>SANDVIKEN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46276</v>
      </c>
      <c r="F646" t="inlineStr">
        <is>
          <t>GÄVLEBORGS LÄN</t>
        </is>
      </c>
      <c r="G646" t="inlineStr">
        <is>
          <t>SANDVIKEN</t>
        </is>
      </c>
      <c r="I646" t="n">
        <v>6.8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46142</v>
      </c>
      <c r="E647" s="1" t="n">
        <v>46276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9694-2026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46072</v>
      </c>
      <c r="E648" s="1" t="n">
        <v>46276</v>
      </c>
      <c r="F648" t="inlineStr">
        <is>
          <t>GÄVLEBORGS LÄN</t>
        </is>
      </c>
      <c r="G648" t="inlineStr">
        <is>
          <t>SANDVIKEN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45102-2022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44843</v>
      </c>
      <c r="E649" s="1" t="n">
        <v>46276</v>
      </c>
      <c r="F649" t="inlineStr">
        <is>
          <t>GÄVLEBORGS LÄN</t>
        </is>
      </c>
      <c r="G649" t="inlineStr">
        <is>
          <t>SANDVIKEN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46065</v>
      </c>
      <c r="E650" s="1" t="n">
        <v>46276</v>
      </c>
      <c r="F650" t="inlineStr">
        <is>
          <t>GÄVLEBORGS LÄN</t>
        </is>
      </c>
      <c r="G650" t="inlineStr">
        <is>
          <t>SANDVIKEN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4502-2024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45327</v>
      </c>
      <c r="E651" s="1" t="n">
        <v>46276</v>
      </c>
      <c r="F651" t="inlineStr">
        <is>
          <t>GÄVLEBORGS LÄN</t>
        </is>
      </c>
      <c r="G651" t="inlineStr">
        <is>
          <t>SANDVIKEN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21377-2026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46147</v>
      </c>
      <c r="E652" s="1" t="n">
        <v>46276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21288-2026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46147</v>
      </c>
      <c r="E653" s="1" t="n">
        <v>46276</v>
      </c>
      <c r="F653" t="inlineStr">
        <is>
          <t>GÄVLEBORGS LÄN</t>
        </is>
      </c>
      <c r="G653" t="inlineStr">
        <is>
          <t>SANDVIKEN</t>
        </is>
      </c>
      <c r="H653" t="inlineStr">
        <is>
          <t>Kommuner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46276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17177-2026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46115</v>
      </c>
      <c r="E655" s="1" t="n">
        <v>46276</v>
      </c>
      <c r="F655" t="inlineStr">
        <is>
          <t>GÄVLEBORGS LÄN</t>
        </is>
      </c>
      <c r="G655" t="inlineStr">
        <is>
          <t>SANDVIKEN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46276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21343-2026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46147</v>
      </c>
      <c r="E657" s="1" t="n">
        <v>46276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46276</v>
      </c>
      <c r="F658" t="inlineStr">
        <is>
          <t>GÄVLEBORGS LÄN</t>
        </is>
      </c>
      <c r="G658" t="inlineStr">
        <is>
          <t>SANDVIKEN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37697-2022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44810</v>
      </c>
      <c r="E659" s="1" t="n">
        <v>46276</v>
      </c>
      <c r="F659" t="inlineStr">
        <is>
          <t>GÄVLEBORGS LÄN</t>
        </is>
      </c>
      <c r="G659" t="inlineStr">
        <is>
          <t>SANDVIKEN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21576-2026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46148</v>
      </c>
      <c r="E660" s="1" t="n">
        <v>46276</v>
      </c>
      <c r="F660" t="inlineStr">
        <is>
          <t>GÄVLEBORGS LÄN</t>
        </is>
      </c>
      <c r="G660" t="inlineStr">
        <is>
          <t>SANDVIKEN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45698</v>
      </c>
      <c r="E661" s="1" t="n">
        <v>46276</v>
      </c>
      <c r="F661" t="inlineStr">
        <is>
          <t>GÄVLEBORGS LÄN</t>
        </is>
      </c>
      <c r="G661" t="inlineStr">
        <is>
          <t>SANDVIKEN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49211-2023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45210</v>
      </c>
      <c r="E662" s="1" t="n">
        <v>46276</v>
      </c>
      <c r="F662" t="inlineStr">
        <is>
          <t>GÄVLEBORGS LÄN</t>
        </is>
      </c>
      <c r="G662" t="inlineStr">
        <is>
          <t>SANDVIKEN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21951-2026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46151</v>
      </c>
      <c r="E663" s="1" t="n">
        <v>46276</v>
      </c>
      <c r="F663" t="inlineStr">
        <is>
          <t>GÄVLEBORGS LÄN</t>
        </is>
      </c>
      <c r="G663" t="inlineStr">
        <is>
          <t>SANDVIKEN</t>
        </is>
      </c>
      <c r="I663" t="n">
        <v>11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46050</v>
      </c>
      <c r="E664" s="1" t="n">
        <v>46276</v>
      </c>
      <c r="F664" t="inlineStr">
        <is>
          <t>GÄVLEBORGS LÄN</t>
        </is>
      </c>
      <c r="G664" t="inlineStr">
        <is>
          <t>SANDVIKEN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46276</v>
      </c>
      <c r="F665" t="inlineStr">
        <is>
          <t>GÄVLEBORGS LÄN</t>
        </is>
      </c>
      <c r="G665" t="inlineStr">
        <is>
          <t>SANDVIKEN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61537-2023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45265</v>
      </c>
      <c r="E666" s="1" t="n">
        <v>46276</v>
      </c>
      <c r="F666" t="inlineStr">
        <is>
          <t>GÄVLEBORGS LÄN</t>
        </is>
      </c>
      <c r="G666" t="inlineStr">
        <is>
          <t>SANDVIKEN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3748-2022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44586</v>
      </c>
      <c r="E667" s="1" t="n">
        <v>46276</v>
      </c>
      <c r="F667" t="inlineStr">
        <is>
          <t>GÄVLEBORGS LÄN</t>
        </is>
      </c>
      <c r="G667" t="inlineStr">
        <is>
          <t>SANDVIKEN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21773-2026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46150</v>
      </c>
      <c r="E668" s="1" t="n">
        <v>46276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46043</v>
      </c>
      <c r="E669" s="1" t="n">
        <v>46276</v>
      </c>
      <c r="F669" t="inlineStr">
        <is>
          <t>GÄVLEBORGS LÄN</t>
        </is>
      </c>
      <c r="G669" t="inlineStr">
        <is>
          <t>SANDVIKEN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58911-2023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45250</v>
      </c>
      <c r="E670" s="1" t="n">
        <v>46276</v>
      </c>
      <c r="F670" t="inlineStr">
        <is>
          <t>GÄVLEBORGS LÄN</t>
        </is>
      </c>
      <c r="G670" t="inlineStr">
        <is>
          <t>SANDVIKEN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48765-2021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44452</v>
      </c>
      <c r="E671" s="1" t="n">
        <v>46276</v>
      </c>
      <c r="F671" t="inlineStr">
        <is>
          <t>GÄVLEBORGS LÄN</t>
        </is>
      </c>
      <c r="G671" t="inlineStr">
        <is>
          <t>SANDVIKEN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22068-2026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46153</v>
      </c>
      <c r="E672" s="1" t="n">
        <v>46276</v>
      </c>
      <c r="F672" t="inlineStr">
        <is>
          <t>GÄVLEBORGS LÄN</t>
        </is>
      </c>
      <c r="G672" t="inlineStr">
        <is>
          <t>SANDVIKEN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16012-2026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46108</v>
      </c>
      <c r="E673" s="1" t="n">
        <v>46276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11089-2026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46079</v>
      </c>
      <c r="E674" s="1" t="n">
        <v>46276</v>
      </c>
      <c r="F674" t="inlineStr">
        <is>
          <t>GÄVLEBORGS LÄN</t>
        </is>
      </c>
      <c r="G674" t="inlineStr">
        <is>
          <t>SANDVIKEN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30714-2023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45112</v>
      </c>
      <c r="E675" s="1" t="n">
        <v>46276</v>
      </c>
      <c r="F675" t="inlineStr">
        <is>
          <t>GÄVLEBORGS LÄN</t>
        </is>
      </c>
      <c r="G675" t="inlineStr">
        <is>
          <t>SANDVIKEN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46048</v>
      </c>
      <c r="E676" s="1" t="n">
        <v>46276</v>
      </c>
      <c r="F676" t="inlineStr">
        <is>
          <t>GÄVLEBORGS LÄN</t>
        </is>
      </c>
      <c r="G676" t="inlineStr">
        <is>
          <t>SANDVIKEN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12149-2026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46086</v>
      </c>
      <c r="E677" s="1" t="n">
        <v>46276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12120-2026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46086</v>
      </c>
      <c r="E678" s="1" t="n">
        <v>46276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13551-2026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46276</v>
      </c>
      <c r="F679" t="inlineStr">
        <is>
          <t>GÄVLEBORGS LÄN</t>
        </is>
      </c>
      <c r="G679" t="inlineStr">
        <is>
          <t>SANDVIKEN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14867-2026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46276</v>
      </c>
      <c r="F680" t="inlineStr">
        <is>
          <t>GÄVLEBORGS LÄN</t>
        </is>
      </c>
      <c r="G680" t="inlineStr">
        <is>
          <t>SANDVIKEN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63309-2023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45274</v>
      </c>
      <c r="E681" s="1" t="n">
        <v>46276</v>
      </c>
      <c r="F681" t="inlineStr">
        <is>
          <t>GÄVLEBORGS LÄN</t>
        </is>
      </c>
      <c r="G681" t="inlineStr">
        <is>
          <t>SANDVIKEN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16102-2026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46276</v>
      </c>
      <c r="F682" t="inlineStr">
        <is>
          <t>GÄVLEBORGS LÄN</t>
        </is>
      </c>
      <c r="G682" t="inlineStr">
        <is>
          <t>SANDVIKEN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23144-2026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46161</v>
      </c>
      <c r="E683" s="1" t="n">
        <v>46276</v>
      </c>
      <c r="F683" t="inlineStr">
        <is>
          <t>GÄVLEBORGS LÄN</t>
        </is>
      </c>
      <c r="G683" t="inlineStr">
        <is>
          <t>SANDVIKEN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45758</v>
      </c>
      <c r="E684" s="1" t="n">
        <v>46276</v>
      </c>
      <c r="F684" t="inlineStr">
        <is>
          <t>GÄVLEBORGS LÄN</t>
        </is>
      </c>
      <c r="G684" t="inlineStr">
        <is>
          <t>SANDVIKEN</t>
        </is>
      </c>
      <c r="H684" t="inlineStr">
        <is>
          <t>Sveaskog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46276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27987-2024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45476</v>
      </c>
      <c r="E686" s="1" t="n">
        <v>46276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17164-2026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46115</v>
      </c>
      <c r="E687" s="1" t="n">
        <v>46276</v>
      </c>
      <c r="F687" t="inlineStr">
        <is>
          <t>GÄVLEBORGS LÄN</t>
        </is>
      </c>
      <c r="G687" t="inlineStr">
        <is>
          <t>SANDVIKEN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46034</v>
      </c>
      <c r="E688" s="1" t="n">
        <v>46276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46276</v>
      </c>
      <c r="F689" t="inlineStr">
        <is>
          <t>GÄVLEBORGS LÄN</t>
        </is>
      </c>
      <c r="G689" t="inlineStr">
        <is>
          <t>SANDVIKEN</t>
        </is>
      </c>
      <c r="H689" t="inlineStr">
        <is>
          <t>Övriga statliga verk och myndigheter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23429-2026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46163</v>
      </c>
      <c r="E690" s="1" t="n">
        <v>46276</v>
      </c>
      <c r="F690" t="inlineStr">
        <is>
          <t>GÄVLEBORGS LÄN</t>
        </is>
      </c>
      <c r="G690" t="inlineStr">
        <is>
          <t>SANDVIKEN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46163</v>
      </c>
      <c r="E691" s="1" t="n">
        <v>46276</v>
      </c>
      <c r="F691" t="inlineStr">
        <is>
          <t>GÄVLEBORGS LÄN</t>
        </is>
      </c>
      <c r="G691" t="inlineStr">
        <is>
          <t>SANDVIKEN</t>
        </is>
      </c>
      <c r="H691" t="inlineStr">
        <is>
          <t>Övriga statliga verk och myndigheter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46276</v>
      </c>
      <c r="F692" t="inlineStr">
        <is>
          <t>GÄVLEBORGS LÄN</t>
        </is>
      </c>
      <c r="G692" t="inlineStr">
        <is>
          <t>SANDVIKEN</t>
        </is>
      </c>
      <c r="I692" t="n">
        <v>14.2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23474-2026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46276</v>
      </c>
      <c r="F693" t="inlineStr">
        <is>
          <t>GÄVLEBORGS LÄN</t>
        </is>
      </c>
      <c r="G693" t="inlineStr">
        <is>
          <t>SANDVIKEN</t>
        </is>
      </c>
      <c r="H693" t="inlineStr">
        <is>
          <t>Övriga statliga verk och myndigheter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45279-2023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45191</v>
      </c>
      <c r="E694" s="1" t="n">
        <v>46276</v>
      </c>
      <c r="F694" t="inlineStr">
        <is>
          <t>GÄVLEBORGS LÄN</t>
        </is>
      </c>
      <c r="G694" t="inlineStr">
        <is>
          <t>SANDVIKEN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23471-2026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46276</v>
      </c>
      <c r="F695" t="inlineStr">
        <is>
          <t>GÄVLEBORGS LÄN</t>
        </is>
      </c>
      <c r="G695" t="inlineStr">
        <is>
          <t>SANDVIKEN</t>
        </is>
      </c>
      <c r="H695" t="inlineStr">
        <is>
          <t>Övriga statliga verk och myndigheter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23459-2026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46276</v>
      </c>
      <c r="F696" t="inlineStr">
        <is>
          <t>GÄVLEBORGS LÄN</t>
        </is>
      </c>
      <c r="G696" t="inlineStr">
        <is>
          <t>SANDVIKEN</t>
        </is>
      </c>
      <c r="H696" t="inlineStr">
        <is>
          <t>Övriga statliga verk och myndigheter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46165</v>
      </c>
      <c r="E697" s="1" t="n">
        <v>46276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11897-2024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45376</v>
      </c>
      <c r="E698" s="1" t="n">
        <v>46276</v>
      </c>
      <c r="F698" t="inlineStr">
        <is>
          <t>GÄVLEBORGS LÄN</t>
        </is>
      </c>
      <c r="G698" t="inlineStr">
        <is>
          <t>SANDVIKEN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46167</v>
      </c>
      <c r="E699" s="1" t="n">
        <v>46276</v>
      </c>
      <c r="F699" t="inlineStr">
        <is>
          <t>GÄVLEBORGS LÄN</t>
        </is>
      </c>
      <c r="G699" t="inlineStr">
        <is>
          <t>SANDVIKEN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23820-2026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46165</v>
      </c>
      <c r="E700" s="1" t="n">
        <v>46276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46165</v>
      </c>
      <c r="E701" s="1" t="n">
        <v>46276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46165</v>
      </c>
      <c r="E702" s="1" t="n">
        <v>46276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46165</v>
      </c>
      <c r="E703" s="1" t="n">
        <v>46276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23217-2023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45075</v>
      </c>
      <c r="E704" s="1" t="n">
        <v>46276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42069-2024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45562</v>
      </c>
      <c r="E705" s="1" t="n">
        <v>46276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24261-2026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46276</v>
      </c>
      <c r="F706" t="inlineStr">
        <is>
          <t>GÄVLEBORGS LÄN</t>
        </is>
      </c>
      <c r="G706" t="inlineStr">
        <is>
          <t>SANDVIKEN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24313-2026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46169</v>
      </c>
      <c r="E707" s="1" t="n">
        <v>46276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22070-2023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45069</v>
      </c>
      <c r="E708" s="1" t="n">
        <v>46276</v>
      </c>
      <c r="F708" t="inlineStr">
        <is>
          <t>GÄVLEBORGS LÄN</t>
        </is>
      </c>
      <c r="G708" t="inlineStr">
        <is>
          <t>SANDVIKEN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24149-2026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46276</v>
      </c>
      <c r="F709" t="inlineStr">
        <is>
          <t>GÄVLEBORGS LÄN</t>
        </is>
      </c>
      <c r="G709" t="inlineStr">
        <is>
          <t>SANDVIKEN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24177-2026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46276</v>
      </c>
      <c r="F710" t="inlineStr">
        <is>
          <t>GÄVLEBORGS LÄN</t>
        </is>
      </c>
      <c r="G710" t="inlineStr">
        <is>
          <t>SANDVIKEN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24355-2026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46276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8.9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24356-2026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46169</v>
      </c>
      <c r="E712" s="1" t="n">
        <v>46276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24297-2026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46276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46169</v>
      </c>
      <c r="E714" s="1" t="n">
        <v>46276</v>
      </c>
      <c r="F714" t="inlineStr">
        <is>
          <t>GÄVLEBORGS LÄN</t>
        </is>
      </c>
      <c r="G714" t="inlineStr">
        <is>
          <t>SANDVIKEN</t>
        </is>
      </c>
      <c r="H714" t="inlineStr">
        <is>
          <t>Kommuner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23085-2023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45075</v>
      </c>
      <c r="E715" s="1" t="n">
        <v>46276</v>
      </c>
      <c r="F715" t="inlineStr">
        <is>
          <t>GÄVLEBORGS LÄN</t>
        </is>
      </c>
      <c r="G715" t="inlineStr">
        <is>
          <t>SANDVIKEN</t>
        </is>
      </c>
      <c r="I715" t="n">
        <v>8.300000000000001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36833-2022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44805</v>
      </c>
      <c r="E716" s="1" t="n">
        <v>46276</v>
      </c>
      <c r="F716" t="inlineStr">
        <is>
          <t>GÄVLEBORGS LÄN</t>
        </is>
      </c>
      <c r="G716" t="inlineStr">
        <is>
          <t>SANDVIKEN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18752-2026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46276</v>
      </c>
      <c r="F717" t="inlineStr">
        <is>
          <t>GÄVLEBORGS LÄN</t>
        </is>
      </c>
      <c r="G717" t="inlineStr">
        <is>
          <t>SANDVIKEN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24650-2026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46171</v>
      </c>
      <c r="E718" s="1" t="n">
        <v>46276</v>
      </c>
      <c r="F718" t="inlineStr">
        <is>
          <t>GÄVLEBORGS LÄN</t>
        </is>
      </c>
      <c r="G718" t="inlineStr">
        <is>
          <t>SANDVIKEN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28063-2023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45099</v>
      </c>
      <c r="E719" s="1" t="n">
        <v>46276</v>
      </c>
      <c r="F719" t="inlineStr">
        <is>
          <t>GÄVLEBORGS LÄN</t>
        </is>
      </c>
      <c r="G719" t="inlineStr">
        <is>
          <t>SANDVIKEN</t>
        </is>
      </c>
      <c r="I719" t="n">
        <v>8.1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59738-2022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44908</v>
      </c>
      <c r="E720" s="1" t="n">
        <v>46276</v>
      </c>
      <c r="F720" t="inlineStr">
        <is>
          <t>GÄVLEBORGS LÄN</t>
        </is>
      </c>
      <c r="G720" t="inlineStr">
        <is>
          <t>SANDVIKEN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24627-2026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46276</v>
      </c>
      <c r="F721" t="inlineStr">
        <is>
          <t>GÄVLEBORGS LÄN</t>
        </is>
      </c>
      <c r="G721" t="inlineStr">
        <is>
          <t>SANDVIKEN</t>
        </is>
      </c>
      <c r="I721" t="n">
        <v>6.9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56017-2023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45240</v>
      </c>
      <c r="E722" s="1" t="n">
        <v>46276</v>
      </c>
      <c r="F722" t="inlineStr">
        <is>
          <t>GÄVLEBORGS LÄN</t>
        </is>
      </c>
      <c r="G722" t="inlineStr">
        <is>
          <t>SANDVIKEN</t>
        </is>
      </c>
      <c r="H722" t="inlineStr">
        <is>
          <t>Sveaskog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46276</v>
      </c>
      <c r="F723" t="inlineStr">
        <is>
          <t>GÄVLEBORGS LÄN</t>
        </is>
      </c>
      <c r="G723" t="inlineStr">
        <is>
          <t>SANDVIKEN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4488-2026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46045</v>
      </c>
      <c r="E724" s="1" t="n">
        <v>46276</v>
      </c>
      <c r="F724" t="inlineStr">
        <is>
          <t>GÄVLEBORGS LÄN</t>
        </is>
      </c>
      <c r="G724" t="inlineStr">
        <is>
          <t>SANDVIKEN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59661-2024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45639</v>
      </c>
      <c r="E725" s="1" t="n">
        <v>46276</v>
      </c>
      <c r="F725" t="inlineStr">
        <is>
          <t>GÄVLEBORGS LÄN</t>
        </is>
      </c>
      <c r="G725" t="inlineStr">
        <is>
          <t>SANDVIKEN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46052</v>
      </c>
      <c r="E726" s="1" t="n">
        <v>46276</v>
      </c>
      <c r="F726" t="inlineStr">
        <is>
          <t>GÄVLEBORGS LÄN</t>
        </is>
      </c>
      <c r="G726" t="inlineStr">
        <is>
          <t>SANDVIKEN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45320</v>
      </c>
      <c r="E727" s="1" t="n">
        <v>46276</v>
      </c>
      <c r="F727" t="inlineStr">
        <is>
          <t>GÄVLEBORGS LÄN</t>
        </is>
      </c>
      <c r="G727" t="inlineStr">
        <is>
          <t>SANDVIKEN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46175</v>
      </c>
      <c r="E728" s="1" t="n">
        <v>46276</v>
      </c>
      <c r="F728" t="inlineStr">
        <is>
          <t>GÄVLEBORGS LÄN</t>
        </is>
      </c>
      <c r="G728" t="inlineStr">
        <is>
          <t>SANDVIKEN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25220-2026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46276</v>
      </c>
      <c r="F729" t="inlineStr">
        <is>
          <t>GÄVLEBORGS LÄN</t>
        </is>
      </c>
      <c r="G729" t="inlineStr">
        <is>
          <t>SANDVIKEN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25412-2026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46276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25413-2026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46176</v>
      </c>
      <c r="E731" s="1" t="n">
        <v>46276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25175-2026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46175</v>
      </c>
      <c r="E732" s="1" t="n">
        <v>46276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25691-2026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46276</v>
      </c>
      <c r="F733" t="inlineStr">
        <is>
          <t>GÄVLEBORGS LÄN</t>
        </is>
      </c>
      <c r="G733" t="inlineStr">
        <is>
          <t>SANDVIKEN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19186-2026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46276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7.3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46276</v>
      </c>
      <c r="F735" t="inlineStr">
        <is>
          <t>GÄVLEBORGS LÄN</t>
        </is>
      </c>
      <c r="G735" t="inlineStr">
        <is>
          <t>SANDVIKEN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25836-2026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46178</v>
      </c>
      <c r="E736" s="1" t="n">
        <v>46276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4.6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46276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8.699999999999999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25842-2026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46276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8940-2026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46069</v>
      </c>
      <c r="E739" s="1" t="n">
        <v>46276</v>
      </c>
      <c r="F739" t="inlineStr">
        <is>
          <t>GÄVLEBORGS LÄN</t>
        </is>
      </c>
      <c r="G739" t="inlineStr">
        <is>
          <t>SANDVIKEN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25835-2026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46178</v>
      </c>
      <c r="E740" s="1" t="n">
        <v>46276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11778-2024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45374</v>
      </c>
      <c r="E741" s="1" t="n">
        <v>46276</v>
      </c>
      <c r="F741" t="inlineStr">
        <is>
          <t>GÄVLEBORGS LÄN</t>
        </is>
      </c>
      <c r="G741" t="inlineStr">
        <is>
          <t>SANDVIKEN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25837-2026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46276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25841-2026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46178</v>
      </c>
      <c r="E743" s="1" t="n">
        <v>46276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47710-2022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44854</v>
      </c>
      <c r="E744" s="1" t="n">
        <v>46276</v>
      </c>
      <c r="F744" t="inlineStr">
        <is>
          <t>GÄVLEBORGS LÄN</t>
        </is>
      </c>
      <c r="G744" t="inlineStr">
        <is>
          <t>SANDVIKEN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48300-2023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45205</v>
      </c>
      <c r="E745" s="1" t="n">
        <v>46276</v>
      </c>
      <c r="F745" t="inlineStr">
        <is>
          <t>GÄVLEBORGS LÄN</t>
        </is>
      </c>
      <c r="G745" t="inlineStr">
        <is>
          <t>SANDVIKEN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25834-2026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46276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25647-2026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46276</v>
      </c>
      <c r="F747" t="inlineStr">
        <is>
          <t>GÄVLEBORGS LÄN</t>
        </is>
      </c>
      <c r="G747" t="inlineStr">
        <is>
          <t>SANDVIKEN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46276</v>
      </c>
      <c r="F748" t="inlineStr">
        <is>
          <t>GÄVLEBORGS LÄN</t>
        </is>
      </c>
      <c r="G748" t="inlineStr">
        <is>
          <t>SANDVIKEN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10578-2025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45721</v>
      </c>
      <c r="E749" s="1" t="n">
        <v>46276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5.8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44101-2023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46276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29297-2024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45483</v>
      </c>
      <c r="E751" s="1" t="n">
        <v>46276</v>
      </c>
      <c r="F751" t="inlineStr">
        <is>
          <t>GÄVLEBORGS LÄN</t>
        </is>
      </c>
      <c r="G751" t="inlineStr">
        <is>
          <t>SANDVIKEN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53007-2023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45226</v>
      </c>
      <c r="E752" s="1" t="n">
        <v>46276</v>
      </c>
      <c r="F752" t="inlineStr">
        <is>
          <t>GÄVLEBORGS LÄN</t>
        </is>
      </c>
      <c r="G752" t="inlineStr">
        <is>
          <t>SANDVIKEN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39566-2022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44818</v>
      </c>
      <c r="E753" s="1" t="n">
        <v>46276</v>
      </c>
      <c r="F753" t="inlineStr">
        <is>
          <t>GÄVLEBORGS LÄN</t>
        </is>
      </c>
      <c r="G753" t="inlineStr">
        <is>
          <t>SANDVIKEN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11385-2023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44988</v>
      </c>
      <c r="E754" s="1" t="n">
        <v>46276</v>
      </c>
      <c r="F754" t="inlineStr">
        <is>
          <t>GÄVLEBORGS LÄN</t>
        </is>
      </c>
      <c r="G754" t="inlineStr">
        <is>
          <t>SANDVIKEN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26763-2026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46184</v>
      </c>
      <c r="E755" s="1" t="n">
        <v>46276</v>
      </c>
      <c r="F755" t="inlineStr">
        <is>
          <t>GÄVLEBORGS LÄN</t>
        </is>
      </c>
      <c r="G755" t="inlineStr">
        <is>
          <t>SANDVIKEN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26780-2026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46184</v>
      </c>
      <c r="E756" s="1" t="n">
        <v>46276</v>
      </c>
      <c r="F756" t="inlineStr">
        <is>
          <t>GÄVLEBORGS LÄN</t>
        </is>
      </c>
      <c r="G756" t="inlineStr">
        <is>
          <t>SANDVIKEN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52932-2022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44875</v>
      </c>
      <c r="E757" s="1" t="n">
        <v>46276</v>
      </c>
      <c r="F757" t="inlineStr">
        <is>
          <t>GÄVLEBORGS LÄN</t>
        </is>
      </c>
      <c r="G757" t="inlineStr">
        <is>
          <t>SANDVIKEN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46276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46276</v>
      </c>
      <c r="F759" t="inlineStr">
        <is>
          <t>GÄVLEBORGS LÄN</t>
        </is>
      </c>
      <c r="G759" t="inlineStr">
        <is>
          <t>SANDVIKEN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26872-2026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46276</v>
      </c>
      <c r="F760" t="inlineStr">
        <is>
          <t>GÄVLEBORGS LÄN</t>
        </is>
      </c>
      <c r="G760" t="inlineStr">
        <is>
          <t>SANDVIKEN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46276</v>
      </c>
      <c r="F761" t="inlineStr">
        <is>
          <t>GÄVLEBORGS LÄN</t>
        </is>
      </c>
      <c r="G761" t="inlineStr">
        <is>
          <t>SANDVIKEN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30721-2023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45112</v>
      </c>
      <c r="E762" s="1" t="n">
        <v>46276</v>
      </c>
      <c r="F762" t="inlineStr">
        <is>
          <t>GÄVLEBORGS LÄN</t>
        </is>
      </c>
      <c r="G762" t="inlineStr">
        <is>
          <t>SANDVIKEN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26818-2026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46276</v>
      </c>
      <c r="F763" t="inlineStr">
        <is>
          <t>GÄVLEBORGS LÄN</t>
        </is>
      </c>
      <c r="G763" t="inlineStr">
        <is>
          <t>SANDVIKEN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34946-2022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44796</v>
      </c>
      <c r="E764" s="1" t="n">
        <v>46276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38200-2024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45545</v>
      </c>
      <c r="E765" s="1" t="n">
        <v>46276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46190</v>
      </c>
      <c r="E766" s="1" t="n">
        <v>46276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46190</v>
      </c>
      <c r="E767" s="1" t="n">
        <v>46276</v>
      </c>
      <c r="F767" t="inlineStr">
        <is>
          <t>GÄVLEBORGS LÄN</t>
        </is>
      </c>
      <c r="G767" t="inlineStr">
        <is>
          <t>SANDVIKEN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14720-2026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46101</v>
      </c>
      <c r="E768" s="1" t="n">
        <v>46276</v>
      </c>
      <c r="F768" t="inlineStr">
        <is>
          <t>GÄVLEBORGS LÄN</t>
        </is>
      </c>
      <c r="G768" t="inlineStr">
        <is>
          <t>SANDVIKEN</t>
        </is>
      </c>
      <c r="H768" t="inlineStr">
        <is>
          <t>Kommuner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22238-2023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45070</v>
      </c>
      <c r="E769" s="1" t="n">
        <v>46276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1676-2026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46034</v>
      </c>
      <c r="E770" s="1" t="n">
        <v>46276</v>
      </c>
      <c r="F770" t="inlineStr">
        <is>
          <t>GÄVLEBORGS LÄN</t>
        </is>
      </c>
      <c r="G770" t="inlineStr">
        <is>
          <t>SANDVIKEN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27743-2026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46191</v>
      </c>
      <c r="E771" s="1" t="n">
        <v>46276</v>
      </c>
      <c r="F771" t="inlineStr">
        <is>
          <t>GÄVLEBORGS LÄN</t>
        </is>
      </c>
      <c r="G771" t="inlineStr">
        <is>
          <t>SANDVIKEN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4461-2023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44956</v>
      </c>
      <c r="E772" s="1" t="n">
        <v>46276</v>
      </c>
      <c r="F772" t="inlineStr">
        <is>
          <t>GÄVLEBORGS LÄN</t>
        </is>
      </c>
      <c r="G772" t="inlineStr">
        <is>
          <t>SANDVIKEN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28845-2026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46195</v>
      </c>
      <c r="E773" s="1" t="n">
        <v>46276</v>
      </c>
      <c r="F773" t="inlineStr">
        <is>
          <t>GÄVLEBORGS LÄN</t>
        </is>
      </c>
      <c r="G773" t="inlineStr">
        <is>
          <t>SANDVIKEN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716-2024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45300</v>
      </c>
      <c r="E774" s="1" t="n">
        <v>46276</v>
      </c>
      <c r="F774" t="inlineStr">
        <is>
          <t>GÄVLEBORGS LÄN</t>
        </is>
      </c>
      <c r="G774" t="inlineStr">
        <is>
          <t>SANDVIKEN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64801-2023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45282</v>
      </c>
      <c r="E775" s="1" t="n">
        <v>46276</v>
      </c>
      <c r="F775" t="inlineStr">
        <is>
          <t>GÄVLEBORGS LÄN</t>
        </is>
      </c>
      <c r="G775" t="inlineStr">
        <is>
          <t>SANDVIKEN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32158-2026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46236</v>
      </c>
      <c r="E776" s="1" t="n">
        <v>46276</v>
      </c>
      <c r="F776" t="inlineStr">
        <is>
          <t>GÄVLEBORGS LÄN</t>
        </is>
      </c>
      <c r="G776" t="inlineStr">
        <is>
          <t>SANDVIKEN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46276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46196</v>
      </c>
      <c r="E778" s="1" t="n">
        <v>46276</v>
      </c>
      <c r="F778" t="inlineStr">
        <is>
          <t>GÄVLEBORGS LÄN</t>
        </is>
      </c>
      <c r="G778" t="inlineStr">
        <is>
          <t>SANDVIKEN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50765-2024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45602</v>
      </c>
      <c r="E779" s="1" t="n">
        <v>46276</v>
      </c>
      <c r="F779" t="inlineStr">
        <is>
          <t>GÄVLEBORGS LÄN</t>
        </is>
      </c>
      <c r="G779" t="inlineStr">
        <is>
          <t>SANDVIKEN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28340-2026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46276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28344-2026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46196</v>
      </c>
      <c r="E781" s="1" t="n">
        <v>46276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28349-2026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46196</v>
      </c>
      <c r="E782" s="1" t="n">
        <v>46276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58363-2022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44901</v>
      </c>
      <c r="E783" s="1" t="n">
        <v>46276</v>
      </c>
      <c r="F783" t="inlineStr">
        <is>
          <t>GÄVLEBORGS LÄN</t>
        </is>
      </c>
      <c r="G783" t="inlineStr">
        <is>
          <t>SANDVIKEN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28346-2026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46276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58983-2023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46276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24465-2023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45082</v>
      </c>
      <c r="E786" s="1" t="n">
        <v>46276</v>
      </c>
      <c r="F786" t="inlineStr">
        <is>
          <t>GÄVLEBORGS LÄN</t>
        </is>
      </c>
      <c r="G786" t="inlineStr">
        <is>
          <t>SANDVIKEN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45673</v>
      </c>
      <c r="E787" s="1" t="n">
        <v>46276</v>
      </c>
      <c r="F787" t="inlineStr">
        <is>
          <t>GÄVLEBORGS LÄN</t>
        </is>
      </c>
      <c r="G787" t="inlineStr">
        <is>
          <t>SANDVIKEN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1418-2025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45668</v>
      </c>
      <c r="E788" s="1" t="n">
        <v>46276</v>
      </c>
      <c r="F788" t="inlineStr">
        <is>
          <t>GÄVLEBORGS LÄN</t>
        </is>
      </c>
      <c r="G788" t="inlineStr">
        <is>
          <t>SANDVIKEN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46198</v>
      </c>
      <c r="E789" s="1" t="n">
        <v>46276</v>
      </c>
      <c r="F789" t="inlineStr">
        <is>
          <t>GÄVLEBORGS LÄN</t>
        </is>
      </c>
      <c r="G789" t="inlineStr">
        <is>
          <t>SANDVIKEN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60908-2022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44914</v>
      </c>
      <c r="E790" s="1" t="n">
        <v>46276</v>
      </c>
      <c r="F790" t="inlineStr">
        <is>
          <t>GÄVLEBORGS LÄN</t>
        </is>
      </c>
      <c r="G790" t="inlineStr">
        <is>
          <t>SANDVIKEN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59841-2023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45257</v>
      </c>
      <c r="E791" s="1" t="n">
        <v>46276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46276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4783-2025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45688</v>
      </c>
      <c r="E793" s="1" t="n">
        <v>46276</v>
      </c>
      <c r="F793" t="inlineStr">
        <is>
          <t>GÄVLEBORGS LÄN</t>
        </is>
      </c>
      <c r="G793" t="inlineStr">
        <is>
          <t>SANDVIKEN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29115-2026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46201</v>
      </c>
      <c r="E794" s="1" t="n">
        <v>46276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29321-2026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46202</v>
      </c>
      <c r="E795" s="1" t="n">
        <v>46276</v>
      </c>
      <c r="F795" t="inlineStr">
        <is>
          <t>GÄVLEBORGS LÄN</t>
        </is>
      </c>
      <c r="G795" t="inlineStr">
        <is>
          <t>SANDVIKEN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27006-2023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45094</v>
      </c>
      <c r="E796" s="1" t="n">
        <v>46276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9.5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46177-2022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44847</v>
      </c>
      <c r="E797" s="1" t="n">
        <v>46276</v>
      </c>
      <c r="F797" t="inlineStr">
        <is>
          <t>GÄVLEBORGS LÄN</t>
        </is>
      </c>
      <c r="G797" t="inlineStr">
        <is>
          <t>SANDVIKEN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19346-2023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45049</v>
      </c>
      <c r="E798" s="1" t="n">
        <v>46276</v>
      </c>
      <c r="F798" t="inlineStr">
        <is>
          <t>GÄVLEBORGS LÄN</t>
        </is>
      </c>
      <c r="G798" t="inlineStr">
        <is>
          <t>SANDVIKEN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61363-2023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45264</v>
      </c>
      <c r="E799" s="1" t="n">
        <v>46276</v>
      </c>
      <c r="F799" t="inlineStr">
        <is>
          <t>GÄVLEBORGS LÄN</t>
        </is>
      </c>
      <c r="G799" t="inlineStr">
        <is>
          <t>SANDVIKEN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46482-2023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45197</v>
      </c>
      <c r="E800" s="1" t="n">
        <v>46276</v>
      </c>
      <c r="F800" t="inlineStr">
        <is>
          <t>GÄVLEBORGS LÄN</t>
        </is>
      </c>
      <c r="G800" t="inlineStr">
        <is>
          <t>SANDVIKEN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32989-2026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46244</v>
      </c>
      <c r="E801" s="1" t="n">
        <v>46276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8.6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32998-2026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46276</v>
      </c>
      <c r="F802" t="inlineStr">
        <is>
          <t>GÄVLEBORGS LÄN</t>
        </is>
      </c>
      <c r="G802" t="inlineStr">
        <is>
          <t>SANDVIKEN</t>
        </is>
      </c>
      <c r="H802" t="inlineStr">
        <is>
          <t>Kommuner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29682-2026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46276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29726-2026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46204</v>
      </c>
      <c r="E804" s="1" t="n">
        <v>46276</v>
      </c>
      <c r="F804" t="inlineStr">
        <is>
          <t>GÄVLEBORGS LÄN</t>
        </is>
      </c>
      <c r="G804" t="inlineStr">
        <is>
          <t>SANDVIKEN</t>
        </is>
      </c>
      <c r="H804" t="inlineStr">
        <is>
          <t>Naturvårdsverket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29471-2026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46276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29572-2026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46204</v>
      </c>
      <c r="E806" s="1" t="n">
        <v>46276</v>
      </c>
      <c r="F806" t="inlineStr">
        <is>
          <t>GÄVLEBORGS LÄN</t>
        </is>
      </c>
      <c r="G806" t="inlineStr">
        <is>
          <t>SANDVIKEN</t>
        </is>
      </c>
      <c r="I806" t="n">
        <v>4.4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50797-2023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45217</v>
      </c>
      <c r="E807" s="1" t="n">
        <v>46276</v>
      </c>
      <c r="F807" t="inlineStr">
        <is>
          <t>GÄVLEBORGS LÄN</t>
        </is>
      </c>
      <c r="G807" t="inlineStr">
        <is>
          <t>SANDVIKEN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139-2022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44564</v>
      </c>
      <c r="E808" s="1" t="n">
        <v>46276</v>
      </c>
      <c r="F808" t="inlineStr">
        <is>
          <t>GÄVLEBORGS LÄN</t>
        </is>
      </c>
      <c r="G808" t="inlineStr">
        <is>
          <t>SANDVIKEN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29681-2026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46204</v>
      </c>
      <c r="E809" s="1" t="n">
        <v>46276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29715-2026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46276</v>
      </c>
      <c r="F810" t="inlineStr">
        <is>
          <t>GÄVLEBORGS LÄN</t>
        </is>
      </c>
      <c r="G810" t="inlineStr">
        <is>
          <t>SANDVIKEN</t>
        </is>
      </c>
      <c r="H810" t="inlineStr">
        <is>
          <t>Naturvårdsverket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46204</v>
      </c>
      <c r="E811" s="1" t="n">
        <v>46276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29661-2026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46276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29616-2026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46204</v>
      </c>
      <c r="E813" s="1" t="n">
        <v>46276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46276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29613-2026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46276</v>
      </c>
      <c r="F815" t="inlineStr">
        <is>
          <t>GÄVLEBORGS LÄN</t>
        </is>
      </c>
      <c r="G815" t="inlineStr">
        <is>
          <t>SANDVIKEN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33383-2026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46247</v>
      </c>
      <c r="E816" s="1" t="n">
        <v>46276</v>
      </c>
      <c r="F816" t="inlineStr">
        <is>
          <t>GÄVLEBORGS LÄN</t>
        </is>
      </c>
      <c r="G816" t="inlineStr">
        <is>
          <t>SANDVIKEN</t>
        </is>
      </c>
      <c r="H816" t="inlineStr">
        <is>
          <t>Kommuner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29620-2026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46204</v>
      </c>
      <c r="E817" s="1" t="n">
        <v>46276</v>
      </c>
      <c r="F817" t="inlineStr">
        <is>
          <t>GÄVLEBORGS LÄN</t>
        </is>
      </c>
      <c r="G817" t="inlineStr">
        <is>
          <t>SANDVIKEN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29608-2026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46276</v>
      </c>
      <c r="F818" t="inlineStr">
        <is>
          <t>GÄVLEBORGS LÄN</t>
        </is>
      </c>
      <c r="G818" t="inlineStr">
        <is>
          <t>SANDVIKEN</t>
        </is>
      </c>
      <c r="I818" t="n">
        <v>5.4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73331-2021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44551</v>
      </c>
      <c r="E819" s="1" t="n">
        <v>46276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33873-2026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46251</v>
      </c>
      <c r="E820" s="1" t="n">
        <v>46276</v>
      </c>
      <c r="F820" t="inlineStr">
        <is>
          <t>GÄVLEBORGS LÄN</t>
        </is>
      </c>
      <c r="G820" t="inlineStr">
        <is>
          <t>SANDVIKEN</t>
        </is>
      </c>
      <c r="H820" t="inlineStr">
        <is>
          <t>Sveaskog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33877-2026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46251</v>
      </c>
      <c r="E821" s="1" t="n">
        <v>46276</v>
      </c>
      <c r="F821" t="inlineStr">
        <is>
          <t>GÄVLEBORGS LÄN</t>
        </is>
      </c>
      <c r="G821" t="inlineStr">
        <is>
          <t>SANDVIKEN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41790-2024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45561</v>
      </c>
      <c r="E822" s="1" t="n">
        <v>46276</v>
      </c>
      <c r="F822" t="inlineStr">
        <is>
          <t>GÄVLEBORGS LÄN</t>
        </is>
      </c>
      <c r="G822" t="inlineStr">
        <is>
          <t>SANDVIKEN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21456-2023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45063</v>
      </c>
      <c r="E823" s="1" t="n">
        <v>46276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46251</v>
      </c>
      <c r="E824" s="1" t="n">
        <v>46276</v>
      </c>
      <c r="F824" t="inlineStr">
        <is>
          <t>GÄVLEBORGS LÄN</t>
        </is>
      </c>
      <c r="G824" t="inlineStr">
        <is>
          <t>SANDVIKEN</t>
        </is>
      </c>
      <c r="H824" t="inlineStr">
        <is>
          <t>Sveaskog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15788-2025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45748</v>
      </c>
      <c r="E825" s="1" t="n">
        <v>46276</v>
      </c>
      <c r="F825" t="inlineStr">
        <is>
          <t>GÄVLEBORGS LÄN</t>
        </is>
      </c>
      <c r="G825" t="inlineStr">
        <is>
          <t>SANDVIKEN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22851-2026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46160</v>
      </c>
      <c r="E826" s="1" t="n">
        <v>46276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29833-2026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46205</v>
      </c>
      <c r="E827" s="1" t="n">
        <v>46276</v>
      </c>
      <c r="F827" t="inlineStr">
        <is>
          <t>GÄVLEBORGS LÄN</t>
        </is>
      </c>
      <c r="G827" t="inlineStr">
        <is>
          <t>SANDVIKEN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29842-2026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46205</v>
      </c>
      <c r="E828" s="1" t="n">
        <v>46276</v>
      </c>
      <c r="F828" t="inlineStr">
        <is>
          <t>GÄVLEBORGS LÄN</t>
        </is>
      </c>
      <c r="G828" t="inlineStr">
        <is>
          <t>SANDVIKEN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33007-2026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46276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58797-2024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45636</v>
      </c>
      <c r="E830" s="1" t="n">
        <v>46276</v>
      </c>
      <c r="F830" t="inlineStr">
        <is>
          <t>GÄVLEBORGS LÄN</t>
        </is>
      </c>
      <c r="G830" t="inlineStr">
        <is>
          <t>SANDVIKEN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24992-2023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45085</v>
      </c>
      <c r="E831" s="1" t="n">
        <v>46276</v>
      </c>
      <c r="F831" t="inlineStr">
        <is>
          <t>GÄVLEBORGS LÄN</t>
        </is>
      </c>
      <c r="G831" t="inlineStr">
        <is>
          <t>SANDVIKEN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46276</v>
      </c>
      <c r="F832" t="inlineStr">
        <is>
          <t>GÄVLEBORGS LÄN</t>
        </is>
      </c>
      <c r="G832" t="inlineStr">
        <is>
          <t>SANDVIKEN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7056-2025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45701</v>
      </c>
      <c r="E833" s="1" t="n">
        <v>46276</v>
      </c>
      <c r="F833" t="inlineStr">
        <is>
          <t>GÄVLEBORGS LÄN</t>
        </is>
      </c>
      <c r="G833" t="inlineStr">
        <is>
          <t>SANDVIKEN</t>
        </is>
      </c>
      <c r="I833" t="n">
        <v>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6765-2025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45700</v>
      </c>
      <c r="E834" s="1" t="n">
        <v>46276</v>
      </c>
      <c r="F834" t="inlineStr">
        <is>
          <t>GÄVLEBORGS LÄN</t>
        </is>
      </c>
      <c r="G834" t="inlineStr">
        <is>
          <t>SANDVIKEN</t>
        </is>
      </c>
      <c r="I834" t="n">
        <v>7.1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34253-2026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46253</v>
      </c>
      <c r="E835" s="1" t="n">
        <v>46276</v>
      </c>
      <c r="F835" t="inlineStr">
        <is>
          <t>GÄVLEBORGS LÄN</t>
        </is>
      </c>
      <c r="G835" t="inlineStr">
        <is>
          <t>SANDVIKEN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47889-2022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44855</v>
      </c>
      <c r="E836" s="1" t="n">
        <v>46276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29972-2022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44756</v>
      </c>
      <c r="E837" s="1" t="n">
        <v>46276</v>
      </c>
      <c r="F837" t="inlineStr">
        <is>
          <t>GÄVLEBORGS LÄN</t>
        </is>
      </c>
      <c r="G837" t="inlineStr">
        <is>
          <t>SANDVIKEN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16385-2023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45022</v>
      </c>
      <c r="E838" s="1" t="n">
        <v>46276</v>
      </c>
      <c r="F838" t="inlineStr">
        <is>
          <t>GÄVLEBORGS LÄN</t>
        </is>
      </c>
      <c r="G838" t="inlineStr">
        <is>
          <t>SANDVIKEN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25498-2026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46177</v>
      </c>
      <c r="E839" s="1" t="n">
        <v>46276</v>
      </c>
      <c r="F839" t="inlineStr">
        <is>
          <t>GÄVLEBORGS LÄN</t>
        </is>
      </c>
      <c r="G839" t="inlineStr">
        <is>
          <t>SANDVIKEN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34408-2026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46254</v>
      </c>
      <c r="E840" s="1" t="n">
        <v>46276</v>
      </c>
      <c r="F840" t="inlineStr">
        <is>
          <t>GÄVLEBORGS LÄN</t>
        </is>
      </c>
      <c r="G840" t="inlineStr">
        <is>
          <t>SANDVIKEN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25544-2024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45463</v>
      </c>
      <c r="E841" s="1" t="n">
        <v>46276</v>
      </c>
      <c r="F841" t="inlineStr">
        <is>
          <t>GÄVLEBORGS LÄN</t>
        </is>
      </c>
      <c r="G841" t="inlineStr">
        <is>
          <t>SANDVIKEN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37641-2024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45541</v>
      </c>
      <c r="E842" s="1" t="n">
        <v>46276</v>
      </c>
      <c r="F842" t="inlineStr">
        <is>
          <t>GÄVLEBORGS LÄN</t>
        </is>
      </c>
      <c r="G842" t="inlineStr">
        <is>
          <t>SANDVIKEN</t>
        </is>
      </c>
      <c r="H842" t="inlineStr">
        <is>
          <t>Sveaskog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37643-2024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45541</v>
      </c>
      <c r="E843" s="1" t="n">
        <v>46276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34603-2026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46255</v>
      </c>
      <c r="E844" s="1" t="n">
        <v>46276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34606-2026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46255</v>
      </c>
      <c r="E845" s="1" t="n">
        <v>46276</v>
      </c>
      <c r="F845" t="inlineStr">
        <is>
          <t>GÄVLEBORGS LÄN</t>
        </is>
      </c>
      <c r="G845" t="inlineStr">
        <is>
          <t>SANDVIKEN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3899-2022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44587</v>
      </c>
      <c r="E846" s="1" t="n">
        <v>46276</v>
      </c>
      <c r="F846" t="inlineStr">
        <is>
          <t>GÄVLEBORGS LÄN</t>
        </is>
      </c>
      <c r="G846" t="inlineStr">
        <is>
          <t>SANDVIKEN</t>
        </is>
      </c>
      <c r="H846" t="inlineStr">
        <is>
          <t>Kyrkan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4511-2024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45327</v>
      </c>
      <c r="E847" s="1" t="n">
        <v>46276</v>
      </c>
      <c r="F847" t="inlineStr">
        <is>
          <t>GÄVLEBORGS LÄN</t>
        </is>
      </c>
      <c r="G847" t="inlineStr">
        <is>
          <t>SANDVIKEN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34879-2026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46258</v>
      </c>
      <c r="E848" s="1" t="n">
        <v>46276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34608-2026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46255</v>
      </c>
      <c r="E849" s="1" t="n">
        <v>46276</v>
      </c>
      <c r="F849" t="inlineStr">
        <is>
          <t>GÄVLEBORGS LÄN</t>
        </is>
      </c>
      <c r="G849" t="inlineStr">
        <is>
          <t>SANDVIKEN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19269-2025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45769</v>
      </c>
      <c r="E850" s="1" t="n">
        <v>46276</v>
      </c>
      <c r="F850" t="inlineStr">
        <is>
          <t>GÄVLEBORGS LÄN</t>
        </is>
      </c>
      <c r="G850" t="inlineStr">
        <is>
          <t>SANDVIKEN</t>
        </is>
      </c>
      <c r="I850" t="n">
        <v>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1062-2026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46276</v>
      </c>
      <c r="F851" t="inlineStr">
        <is>
          <t>GÄVLEBORGS LÄN</t>
        </is>
      </c>
      <c r="G851" t="inlineStr">
        <is>
          <t>SANDVIKEN</t>
        </is>
      </c>
      <c r="I851" t="n">
        <v>10.2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34997-2026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46259</v>
      </c>
      <c r="E852" s="1" t="n">
        <v>46276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35107-2026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46260</v>
      </c>
      <c r="E853" s="1" t="n">
        <v>46276</v>
      </c>
      <c r="F853" t="inlineStr">
        <is>
          <t>GÄVLEBORGS LÄN</t>
        </is>
      </c>
      <c r="G853" t="inlineStr">
        <is>
          <t>SANDVIKEN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46276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35255-2026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46276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35345-2026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46276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35416-2026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46276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35417-2026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46276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35324-2026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46276</v>
      </c>
      <c r="F859" t="inlineStr">
        <is>
          <t>GÄVLEBORGS LÄN</t>
        </is>
      </c>
      <c r="G859" t="inlineStr">
        <is>
          <t>SANDVIKEN</t>
        </is>
      </c>
      <c r="H859" t="inlineStr">
        <is>
          <t>Naturvårdsverket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35325-2026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46261</v>
      </c>
      <c r="E860" s="1" t="n">
        <v>46276</v>
      </c>
      <c r="F860" t="inlineStr">
        <is>
          <t>GÄVLEBORGS LÄN</t>
        </is>
      </c>
      <c r="G860" t="inlineStr">
        <is>
          <t>SANDVIKEN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35320-2026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46261</v>
      </c>
      <c r="E861" s="1" t="n">
        <v>46276</v>
      </c>
      <c r="F861" t="inlineStr">
        <is>
          <t>GÄVLEBORGS LÄN</t>
        </is>
      </c>
      <c r="G861" t="inlineStr">
        <is>
          <t>SANDVIKEN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48435-2024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46276</v>
      </c>
      <c r="F862" t="inlineStr">
        <is>
          <t>GÄVLEBORGS LÄN</t>
        </is>
      </c>
      <c r="G862" t="inlineStr">
        <is>
          <t>SANDVIKEN</t>
        </is>
      </c>
      <c r="I862" t="n">
        <v>6.7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46261</v>
      </c>
      <c r="E863" s="1" t="n">
        <v>46276</v>
      </c>
      <c r="F863" t="inlineStr">
        <is>
          <t>GÄVLEBORGS LÄN</t>
        </is>
      </c>
      <c r="G863" t="inlineStr">
        <is>
          <t>SANDVIKEN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46276</v>
      </c>
      <c r="F864" t="inlineStr">
        <is>
          <t>GÄVLEBORGS LÄN</t>
        </is>
      </c>
      <c r="G864" t="inlineStr">
        <is>
          <t>SANDVIKEN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35414-2026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46276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45672</v>
      </c>
      <c r="E866" s="1" t="n">
        <v>46276</v>
      </c>
      <c r="F866" t="inlineStr">
        <is>
          <t>GÄVLEBORGS LÄN</t>
        </is>
      </c>
      <c r="G866" t="inlineStr">
        <is>
          <t>SANDVIKEN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35254-2026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46276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35348-2026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46276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35420-2026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46261</v>
      </c>
      <c r="E869" s="1" t="n">
        <v>46276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49518-2023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45211</v>
      </c>
      <c r="E870" s="1" t="n">
        <v>46276</v>
      </c>
      <c r="F870" t="inlineStr">
        <is>
          <t>GÄVLEBORGS LÄN</t>
        </is>
      </c>
      <c r="G870" t="inlineStr">
        <is>
          <t>SANDVIKEN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35317-2026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46276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öst AB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44566</v>
      </c>
      <c r="E872" s="1" t="n">
        <v>46276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35578-2026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46262</v>
      </c>
      <c r="E873" s="1" t="n">
        <v>46276</v>
      </c>
      <c r="F873" t="inlineStr">
        <is>
          <t>GÄVLEBORGS LÄN</t>
        </is>
      </c>
      <c r="G873" t="inlineStr">
        <is>
          <t>SANDVIKEN</t>
        </is>
      </c>
      <c r="H873" t="inlineStr">
        <is>
          <t>Naturvårdsverket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36656-2023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45153</v>
      </c>
      <c r="E874" s="1" t="n">
        <v>46276</v>
      </c>
      <c r="F874" t="inlineStr">
        <is>
          <t>GÄVLEBORGS LÄN</t>
        </is>
      </c>
      <c r="G874" t="inlineStr">
        <is>
          <t>SANDVIKEN</t>
        </is>
      </c>
      <c r="I874" t="n">
        <v>3.2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16258-2023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45022</v>
      </c>
      <c r="E875" s="1" t="n">
        <v>46276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väst AB</t>
        </is>
      </c>
      <c r="I875" t="n">
        <v>5.2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35432-2026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46262</v>
      </c>
      <c r="E876" s="1" t="n">
        <v>46276</v>
      </c>
      <c r="F876" t="inlineStr">
        <is>
          <t>GÄVLEBORGS LÄN</t>
        </is>
      </c>
      <c r="G876" t="inlineStr">
        <is>
          <t>SANDVIKEN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35434-2026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46262</v>
      </c>
      <c r="E877" s="1" t="n">
        <v>46276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35575-2026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46262</v>
      </c>
      <c r="E878" s="1" t="n">
        <v>46276</v>
      </c>
      <c r="F878" t="inlineStr">
        <is>
          <t>GÄVLEBORGS LÄN</t>
        </is>
      </c>
      <c r="G878" t="inlineStr">
        <is>
          <t>SANDVIKEN</t>
        </is>
      </c>
      <c r="H878" t="inlineStr">
        <is>
          <t>Naturvårdsverket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31314-2026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46219</v>
      </c>
      <c r="E879" s="1" t="n">
        <v>46276</v>
      </c>
      <c r="F879" t="inlineStr">
        <is>
          <t>GÄVLEBORGS LÄN</t>
        </is>
      </c>
      <c r="G879" t="inlineStr">
        <is>
          <t>SANDVIKEN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21182-2025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45779</v>
      </c>
      <c r="E880" s="1" t="n">
        <v>46276</v>
      </c>
      <c r="F880" t="inlineStr">
        <is>
          <t>GÄVLEBORGS LÄN</t>
        </is>
      </c>
      <c r="G880" t="inlineStr">
        <is>
          <t>SANDVIKEN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35481-2026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46262</v>
      </c>
      <c r="E881" s="1" t="n">
        <v>46276</v>
      </c>
      <c r="F881" t="inlineStr">
        <is>
          <t>GÄVLEBORGS LÄN</t>
        </is>
      </c>
      <c r="G881" t="inlineStr">
        <is>
          <t>SANDVIKEN</t>
        </is>
      </c>
      <c r="H881" t="inlineStr">
        <is>
          <t>Kommuner</t>
        </is>
      </c>
      <c r="I881" t="n">
        <v>6.7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35451-2026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46262</v>
      </c>
      <c r="E882" s="1" t="n">
        <v>46276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35576-2026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46262</v>
      </c>
      <c r="E883" s="1" t="n">
        <v>46276</v>
      </c>
      <c r="F883" t="inlineStr">
        <is>
          <t>GÄVLEBORGS LÄN</t>
        </is>
      </c>
      <c r="G883" t="inlineStr">
        <is>
          <t>SANDVIKEN</t>
        </is>
      </c>
      <c r="H883" t="inlineStr">
        <is>
          <t>Naturvårdsverket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37459-2024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46276</v>
      </c>
      <c r="F884" t="inlineStr">
        <is>
          <t>GÄVLEBORGS LÄN</t>
        </is>
      </c>
      <c r="G884" t="inlineStr">
        <is>
          <t>SANDVIKEN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48319-2023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45205</v>
      </c>
      <c r="E885" s="1" t="n">
        <v>46276</v>
      </c>
      <c r="F885" t="inlineStr">
        <is>
          <t>GÄVLEBORGS LÄN</t>
        </is>
      </c>
      <c r="G885" t="inlineStr">
        <is>
          <t>SANDVIKEN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55446-2024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45622</v>
      </c>
      <c r="E886" s="1" t="n">
        <v>46276</v>
      </c>
      <c r="F886" t="inlineStr">
        <is>
          <t>GÄVLEBORGS LÄN</t>
        </is>
      </c>
      <c r="G886" t="inlineStr">
        <is>
          <t>SANDVIKEN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3256-2025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45679</v>
      </c>
      <c r="E887" s="1" t="n">
        <v>46276</v>
      </c>
      <c r="F887" t="inlineStr">
        <is>
          <t>GÄVLEBORGS LÄN</t>
        </is>
      </c>
      <c r="G887" t="inlineStr">
        <is>
          <t>SANDVIKEN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35865-2026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46266</v>
      </c>
      <c r="E888" s="1" t="n">
        <v>46276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40460-2024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45555</v>
      </c>
      <c r="E889" s="1" t="n">
        <v>46276</v>
      </c>
      <c r="F889" t="inlineStr">
        <is>
          <t>GÄVLEBORGS LÄN</t>
        </is>
      </c>
      <c r="G889" t="inlineStr">
        <is>
          <t>SANDVIKEN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35863-2026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46266</v>
      </c>
      <c r="E890" s="1" t="n">
        <v>46276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41284-2023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45174</v>
      </c>
      <c r="E891" s="1" t="n">
        <v>46276</v>
      </c>
      <c r="F891" t="inlineStr">
        <is>
          <t>GÄVLEBORGS LÄN</t>
        </is>
      </c>
      <c r="G891" t="inlineStr">
        <is>
          <t>SANDVIKEN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69521-2021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44531</v>
      </c>
      <c r="E892" s="1" t="n">
        <v>46276</v>
      </c>
      <c r="F892" t="inlineStr">
        <is>
          <t>GÄVLEBORGS LÄN</t>
        </is>
      </c>
      <c r="G892" t="inlineStr">
        <is>
          <t>SANDVIKEN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56019-2023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45240</v>
      </c>
      <c r="E893" s="1" t="n">
        <v>46276</v>
      </c>
      <c r="F893" t="inlineStr">
        <is>
          <t>GÄVLEBORGS LÄN</t>
        </is>
      </c>
      <c r="G893" t="inlineStr">
        <is>
          <t>SANDVIKEN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42950-2023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45178</v>
      </c>
      <c r="E894" s="1" t="n">
        <v>46276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väst AB</t>
        </is>
      </c>
      <c r="I894" t="n">
        <v>16.5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33623-2024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46276</v>
      </c>
      <c r="F895" t="inlineStr">
        <is>
          <t>GÄVLEBORGS LÄN</t>
        </is>
      </c>
      <c r="G895" t="inlineStr">
        <is>
          <t>SANDVIKEN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34429-2024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45525</v>
      </c>
      <c r="E896" s="1" t="n">
        <v>46276</v>
      </c>
      <c r="F896" t="inlineStr">
        <is>
          <t>GÄVLEBORGS LÄN</t>
        </is>
      </c>
      <c r="G896" t="inlineStr">
        <is>
          <t>SANDVIKEN</t>
        </is>
      </c>
      <c r="H896" t="inlineStr">
        <is>
          <t>Bergvik skog öst AB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61100-2025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46000</v>
      </c>
      <c r="E897" s="1" t="n">
        <v>46276</v>
      </c>
      <c r="F897" t="inlineStr">
        <is>
          <t>GÄVLEBORGS LÄN</t>
        </is>
      </c>
      <c r="G897" t="inlineStr">
        <is>
          <t>SANDVIKEN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31802-2026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46230</v>
      </c>
      <c r="E898" s="1" t="n">
        <v>46276</v>
      </c>
      <c r="F898" t="inlineStr">
        <is>
          <t>GÄVLEBORGS LÄN</t>
        </is>
      </c>
      <c r="G898" t="inlineStr">
        <is>
          <t>SANDVIKEN</t>
        </is>
      </c>
      <c r="H898" t="inlineStr">
        <is>
          <t>Kommuner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35492-2026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46262</v>
      </c>
      <c r="E899" s="1" t="n">
        <v>46276</v>
      </c>
      <c r="F899" t="inlineStr">
        <is>
          <t>GÄVLEBORGS LÄN</t>
        </is>
      </c>
      <c r="G899" t="inlineStr">
        <is>
          <t>SANDVIKEN</t>
        </is>
      </c>
      <c r="I899" t="n">
        <v>5.2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31807-2026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46230</v>
      </c>
      <c r="E900" s="1" t="n">
        <v>46276</v>
      </c>
      <c r="F900" t="inlineStr">
        <is>
          <t>GÄVLEBORGS LÄN</t>
        </is>
      </c>
      <c r="G900" t="inlineStr">
        <is>
          <t>SANDVIKEN</t>
        </is>
      </c>
      <c r="H900" t="inlineStr">
        <is>
          <t>Kommuner</t>
        </is>
      </c>
      <c r="I900" t="n">
        <v>11.2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15682-2024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45404</v>
      </c>
      <c r="E901" s="1" t="n">
        <v>46276</v>
      </c>
      <c r="F901" t="inlineStr">
        <is>
          <t>GÄVLEBORGS LÄN</t>
        </is>
      </c>
      <c r="G901" t="inlineStr">
        <is>
          <t>SANDVIKEN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44289-2023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45188</v>
      </c>
      <c r="E902" s="1" t="n">
        <v>46276</v>
      </c>
      <c r="F902" t="inlineStr">
        <is>
          <t>GÄVLEBORGS LÄN</t>
        </is>
      </c>
      <c r="G902" t="inlineStr">
        <is>
          <t>SANDVIKEN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27872-2024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45475</v>
      </c>
      <c r="E903" s="1" t="n">
        <v>46276</v>
      </c>
      <c r="F903" t="inlineStr">
        <is>
          <t>GÄVLEBORGS LÄN</t>
        </is>
      </c>
      <c r="G903" t="inlineStr">
        <is>
          <t>SANDVIKEN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37024-2026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46273</v>
      </c>
      <c r="E904" s="1" t="n">
        <v>46276</v>
      </c>
      <c r="F904" t="inlineStr">
        <is>
          <t>GÄVLEBORGS LÄN</t>
        </is>
      </c>
      <c r="G904" t="inlineStr">
        <is>
          <t>SANDVIKEN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7996-2026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46063</v>
      </c>
      <c r="E905" s="1" t="n">
        <v>46276</v>
      </c>
      <c r="F905" t="inlineStr">
        <is>
          <t>GÄVLEBORGS LÄN</t>
        </is>
      </c>
      <c r="G905" t="inlineStr">
        <is>
          <t>SANDVIKEN</t>
        </is>
      </c>
      <c r="I905" t="n">
        <v>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2358-2025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45673</v>
      </c>
      <c r="E906" s="1" t="n">
        <v>46276</v>
      </c>
      <c r="F906" t="inlineStr">
        <is>
          <t>GÄVLEBORGS LÄN</t>
        </is>
      </c>
      <c r="G906" t="inlineStr">
        <is>
          <t>SANDVIKEN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18725-2025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45763</v>
      </c>
      <c r="E907" s="1" t="n">
        <v>46276</v>
      </c>
      <c r="F907" t="inlineStr">
        <is>
          <t>GÄVLEBORGS LÄN</t>
        </is>
      </c>
      <c r="G907" t="inlineStr">
        <is>
          <t>SANDVIKEN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64000-2023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45278</v>
      </c>
      <c r="E908" s="1" t="n">
        <v>46276</v>
      </c>
      <c r="F908" t="inlineStr">
        <is>
          <t>GÄVLEBORGS LÄN</t>
        </is>
      </c>
      <c r="G908" t="inlineStr">
        <is>
          <t>SANDVIKEN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46276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15340-2026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46105</v>
      </c>
      <c r="E910" s="1" t="n">
        <v>46276</v>
      </c>
      <c r="F910" t="inlineStr">
        <is>
          <t>GÄVLEBORGS LÄN</t>
        </is>
      </c>
      <c r="G910" t="inlineStr">
        <is>
          <t>SANDVIKEN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37455-2026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46275</v>
      </c>
      <c r="E911" s="1" t="n">
        <v>46276</v>
      </c>
      <c r="F911" t="inlineStr">
        <is>
          <t>GÄVLEBORGS LÄN</t>
        </is>
      </c>
      <c r="G911" t="inlineStr">
        <is>
          <t>SANDVIKEN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46276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46276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46276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7975-2021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44484</v>
      </c>
      <c r="E915" s="1" t="n">
        <v>46276</v>
      </c>
      <c r="F915" t="inlineStr">
        <is>
          <t>GÄVLEBORGS LÄN</t>
        </is>
      </c>
      <c r="G915" t="inlineStr">
        <is>
          <t>SANDVIKEN</t>
        </is>
      </c>
      <c r="H915" t="inlineStr">
        <is>
          <t>Kommuner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2574-2023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45142</v>
      </c>
      <c r="E916" s="1" t="n">
        <v>46276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31.8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10363-2021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44550</v>
      </c>
      <c r="E917" s="1" t="n">
        <v>46276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73.3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513-2025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45706</v>
      </c>
      <c r="E918" s="1" t="n">
        <v>46276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46276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46276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46276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46276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46276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46276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46276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2026-09-11T02:14:59Z</dcterms:created>
  <dcterms:modified xmlns:dcterms="http://purl.org/dc/terms/" xmlns:xsi="http://www.w3.org/2001/XMLSchema-instance" xsi:type="dcterms:W3CDTF">2026-09-11T02:15:00Z</dcterms:modified>
</cp:coreProperties>
</file>