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45877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45877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45877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45877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45877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45877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45877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45877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45877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45877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45877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45877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45877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45877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45877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45877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45877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45877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45877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45877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45877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45877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45877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45877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45877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45877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45877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45877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45877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45877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45877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45877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45877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45877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45877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45877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45877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45877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45877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45877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45877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45877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45877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45877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45877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45877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45877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45877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45877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45877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45877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45877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45877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45877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45877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45877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45877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45877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45877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45877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45877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45877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45877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45877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45877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45877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45877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45877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45877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45877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45877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45877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45877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45877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45877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45877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45877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45877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45877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45877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45877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45877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45877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45877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45877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45877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45877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45877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45877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45877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45877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45877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45877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45877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45877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45877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45877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45877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45877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45877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45877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45877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45877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45877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45877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45877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45877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45877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45877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45877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45877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45877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45877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45877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45877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45877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45877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45877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45877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45877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45877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45877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45877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45877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45877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45877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45877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45877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45877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45877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45877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45877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45877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45877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45877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45877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45877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45877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45877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45877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45877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45877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45877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45877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45877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45877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45877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45877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45877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45877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45877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45877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45877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45877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45877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45877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45877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45877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45877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45877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45877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45877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45877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45877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45877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45877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45877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45877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45877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45877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45877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45877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45877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45877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45877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45877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45877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45877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45877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45877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45877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45877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45877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45877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45877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45877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45877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45877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45877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45877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45877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45877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45877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45877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45877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45877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45877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45877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45877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45877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45877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45877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45877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45877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45877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45877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45877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45877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45877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45877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45877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45877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45877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45877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45877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45877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45877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45877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45877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45877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45877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45877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45877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45877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45877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45877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45877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45877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45877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45877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45877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45877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45877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45877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45877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45877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45877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45877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45877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45877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45877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45877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45877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45877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45877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45877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45877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45877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45877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45877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45877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45877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45877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45877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45877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45877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45877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45877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45877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45877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45877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45877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45877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45877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45877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45877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45877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45877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45877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45877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45877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45877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45877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45877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45877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45877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45877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45877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45877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45877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45877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45877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45877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45877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45877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45877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45877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45877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45877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45877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45877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45877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45877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45877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45877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45877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45877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45877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45877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45877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45877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45877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45877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45877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45877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45877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45877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45877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45877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45877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45877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45877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45877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45877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45877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45877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45877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45877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45877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45877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45877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45877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45877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45877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45877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45877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45877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45877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45877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45877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45877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45877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45877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45877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45877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45877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45877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45877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45877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45877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45877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45877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45877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45877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45877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45877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45877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45877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45877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45877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45877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45877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45877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45877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45877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45877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45877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45877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45877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45877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45877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45877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45877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45877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45877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45877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45877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45877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45877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45877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45877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45877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45877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45877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45877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45877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45877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45877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45877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45877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45877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45877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45877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45877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45877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45877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45877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45877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45877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45877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45877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45877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45877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45877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45877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45877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45877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45877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45877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45877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45877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45877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45877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45877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45877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45877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45877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45877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45877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45877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45877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45877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45877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45877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45877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45877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45877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45877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45877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45877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45877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45877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45877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45877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45877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45877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45877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45877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45877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45877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45877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45877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45877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45877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45877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45877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45877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45877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45877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45877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45877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45877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45877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45877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45877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45877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45877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45877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45877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45877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45877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45877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45877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45877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45877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45877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45877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45877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45877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45877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45877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45877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45877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45877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45877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45877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45877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45877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45877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45877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45877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45877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45877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45877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45877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45877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45877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45877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45877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45877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45877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45877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45877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45877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45877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45877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45877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45877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45877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45877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45877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45877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45877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45877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45877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45877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45877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45877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45877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45877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45877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45877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45877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45877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45877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45877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45877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45877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45877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45877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45877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45877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45877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45877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45877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45877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45877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45877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45877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45877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45877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45877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45877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45877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45877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45877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45877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45877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45877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45877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45877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45877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45877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45877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45877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45877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45877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45877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45877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45877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45877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45877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45877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45877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45877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45877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45877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45877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45877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45877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45877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45877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45877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45877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45877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45877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45877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45877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45877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45877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45877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45877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45877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45877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45877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45877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45877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45877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45877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45877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45877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45877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45877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45877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45877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45877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45877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45877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45877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45877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45877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45877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45877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45877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45877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45877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45877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45877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45877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45877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45877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45877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45877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45877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45877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45877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45877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45877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45877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45877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45877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45877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45877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45877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45877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45877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45877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45877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45877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45877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45877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45877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45877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45877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45877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45877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45877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45877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45877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45877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45877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45877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45877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45877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45877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45877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45877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45877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45877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45877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45877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45877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45877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45877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45877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45877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45877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45877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45877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45877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45877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45877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45877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45877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45877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45877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45877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45877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45877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45877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45877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45877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45877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45877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45877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45877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45877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45877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45877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45877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45877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45877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45877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45877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45877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45877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45877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45877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45877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45877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45877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45877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45877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45877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45877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45877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45877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45877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45877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45877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45877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45877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45877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45877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45877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45877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45877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45877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45877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45877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45877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45877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45877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45877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45877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45877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45877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45877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45877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45877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45877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45877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45877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45877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45877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45877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45877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45877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45877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45877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45877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45877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45877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45877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45877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45877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45877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45877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45877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45877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45877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45877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45877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45877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45877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45877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45877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45877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45877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45877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45877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45877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45877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45877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45877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45877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45877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45877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45877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45877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45877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45877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45877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45877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45877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45877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45877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45877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45877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45877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45877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45877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45877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45877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45877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45877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45877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45877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45877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45877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45877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45877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45877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45877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45877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45877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45877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45877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45877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45877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45877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45877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45877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45877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45877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45877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45877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45877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45877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45877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45877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45877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45877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45877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45877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45877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45877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45877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45877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45877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45877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45877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45877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45877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45877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45877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45877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45877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45877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45877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45877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45877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45877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45877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45877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45877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45877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45877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45877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45877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45877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45877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45877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45877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45877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45877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45877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45877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45877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45877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45877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45877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45877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45877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45877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45877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45877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45877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45877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45877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45877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45877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45877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45877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45877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45877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45877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45877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45877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45877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45877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45877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45877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45877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45877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45877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45877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45877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45877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45877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45877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45877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45877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45877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45877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45877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45877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45877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45877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45877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45877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45877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45877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45877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45877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45877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45877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45877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45877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45877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45877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45877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45877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45877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45877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45877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45877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45877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45877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45877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45877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45877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45877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45877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45877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45877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45877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45877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45877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45877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45877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45877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45877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45877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45877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45877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45877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45877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45877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45877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45877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45877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45877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45877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45877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45877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45877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45877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45877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45877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45877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45877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45877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45877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45877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45877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45877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45877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45877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45877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45877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45877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45877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45877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45877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45877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45877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45877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45877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45877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45877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45877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45877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45877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45877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45877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45877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45877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45877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45877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45877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45877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45877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45877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45877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45877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45877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45877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45877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45877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45877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45877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45877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45877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45877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45877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45877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45877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45877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45877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45877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45877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45877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45877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45877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45877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45877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45877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45877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45877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45877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45877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45877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45877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45877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45877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45877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45877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45877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45877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45877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45877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45877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45877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45877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45877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45877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45877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45877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45877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45877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45877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45877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45877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45877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45877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45877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45877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45877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45877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45877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45877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45877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45877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45877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45877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45877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45877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45877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45877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45877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45877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45877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45877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45877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45877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45877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45877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45877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45877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45877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45877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45877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45877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45877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45877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45877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45877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45877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45877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45877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45877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45877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45877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45877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45877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45877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45877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45877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45877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45877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45877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45877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45877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45877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45877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45877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45877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45877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45877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45877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45877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45877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45877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45877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45877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45877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45877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45877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45877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45877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45877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45877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45877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45877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45877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45877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45877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45877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45877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45877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45877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45877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45877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45877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45877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45877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45877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45877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45877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45877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45877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45877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45877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45877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45877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45877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45877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45877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45877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45877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45877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45877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45877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45877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45877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45877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45877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45877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45877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45877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45877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45877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45877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45877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45877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45877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45877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45877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45877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45877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45877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45877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45877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45877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45877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45877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45877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45877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45877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45877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45877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45877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45877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45877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45877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45877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45877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45877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45877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45877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45877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45877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45877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45877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45877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45877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45877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45877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45877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45877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45877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45877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45877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45877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45877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45877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45877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45877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45877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45877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45877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45877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45877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45877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45877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45877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45877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45877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45877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45877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45877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45877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45877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45877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45877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45877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45877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45877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45877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45877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45877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45877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45877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45877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45877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45877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45877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45877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45877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45877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45877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28547-2025</t>
        </is>
      </c>
      <c r="B1184" s="1" t="n">
        <v>45819</v>
      </c>
      <c r="C1184" s="1" t="n">
        <v>45877</v>
      </c>
      <c r="D1184" t="inlineStr">
        <is>
          <t>GÄVLEBORGS LÄN</t>
        </is>
      </c>
      <c r="E1184" t="inlineStr">
        <is>
          <t>SANDVIKEN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28476-2025</t>
        </is>
      </c>
      <c r="B1185" s="1" t="n">
        <v>45819</v>
      </c>
      <c r="C1185" s="1" t="n">
        <v>45877</v>
      </c>
      <c r="D1185" t="inlineStr">
        <is>
          <t>GÄVLEBORGS LÄN</t>
        </is>
      </c>
      <c r="E1185" t="inlineStr">
        <is>
          <t>SANDVIKEN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45877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45877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29830-2025</t>
        </is>
      </c>
      <c r="B1188" s="1" t="n">
        <v>45826</v>
      </c>
      <c r="C1188" s="1" t="n">
        <v>45877</v>
      </c>
      <c r="D1188" t="inlineStr">
        <is>
          <t>GÄVLEBORGS LÄN</t>
        </is>
      </c>
      <c r="E1188" t="inlineStr">
        <is>
          <t>SANDVIKEN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HYPERLINK("https://klasma.github.io/Logging_212181/knärot/A 29830-2025 karta knärot.png", "A 29830-2025")</f>
        <v/>
      </c>
      <c r="V1188">
        <f>HYPERLINK("https://klasma.github.io/Logging_212181/klagomål/A 29830-2025 FSC-klagomål.docx", "A 29830-2025")</f>
        <v/>
      </c>
      <c r="W1188">
        <f>HYPERLINK("https://klasma.github.io/Logging_212181/klagomålsmail/A 29830-2025 FSC-klagomål mail.docx", "A 29830-2025")</f>
        <v/>
      </c>
      <c r="X1188">
        <f>HYPERLINK("https://klasma.github.io/Logging_212181/tillsyn/A 29830-2025 tillsynsbegäran.docx", "A 29830-2025")</f>
        <v/>
      </c>
      <c r="Y1188">
        <f>HYPERLINK("https://klasma.github.io/Logging_212181/tillsynsmail/A 29830-2025 tillsynsbegäran mail.docx", "A 29830-2025")</f>
        <v/>
      </c>
    </row>
    <row r="1189" ht="15" customHeight="1">
      <c r="A1189" t="inlineStr">
        <is>
          <t>A 29735-2025</t>
        </is>
      </c>
      <c r="B1189" s="1" t="n">
        <v>45825</v>
      </c>
      <c r="C1189" s="1" t="n">
        <v>45877</v>
      </c>
      <c r="D1189" t="inlineStr">
        <is>
          <t>GÄVLEBORGS LÄN</t>
        </is>
      </c>
      <c r="E1189" t="inlineStr">
        <is>
          <t>SANDVIKEN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29738-2025</t>
        </is>
      </c>
      <c r="B1190" s="1" t="n">
        <v>45825</v>
      </c>
      <c r="C1190" s="1" t="n">
        <v>45877</v>
      </c>
      <c r="D1190" t="inlineStr">
        <is>
          <t>GÄVLEBORGS LÄN</t>
        </is>
      </c>
      <c r="E1190" t="inlineStr">
        <is>
          <t>SANDVIKEN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29831-2025</t>
        </is>
      </c>
      <c r="B1191" s="1" t="n">
        <v>45826</v>
      </c>
      <c r="C1191" s="1" t="n">
        <v>45877</v>
      </c>
      <c r="D1191" t="inlineStr">
        <is>
          <t>GÄVLEBORGS LÄN</t>
        </is>
      </c>
      <c r="E1191" t="inlineStr">
        <is>
          <t>SANDVIKEN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29833-2025</t>
        </is>
      </c>
      <c r="B1192" s="1" t="n">
        <v>45826</v>
      </c>
      <c r="C1192" s="1" t="n">
        <v>45877</v>
      </c>
      <c r="D1192" t="inlineStr">
        <is>
          <t>GÄVLEBORGS LÄN</t>
        </is>
      </c>
      <c r="E1192" t="inlineStr">
        <is>
          <t>SANDVIKEN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29748-2025</t>
        </is>
      </c>
      <c r="B1193" s="1" t="n">
        <v>45825</v>
      </c>
      <c r="C1193" s="1" t="n">
        <v>45877</v>
      </c>
      <c r="D1193" t="inlineStr">
        <is>
          <t>GÄVLEBORGS LÄN</t>
        </is>
      </c>
      <c r="E1193" t="inlineStr">
        <is>
          <t>SANDVIKEN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29832-2025</t>
        </is>
      </c>
      <c r="B1194" s="1" t="n">
        <v>45826</v>
      </c>
      <c r="C1194" s="1" t="n">
        <v>45877</v>
      </c>
      <c r="D1194" t="inlineStr">
        <is>
          <t>GÄVLEBORGS LÄN</t>
        </is>
      </c>
      <c r="E1194" t="inlineStr">
        <is>
          <t>SANDVIKEN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45877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45877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45877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45877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45877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31674-2025</t>
        </is>
      </c>
      <c r="B1200" s="1" t="n">
        <v>45834</v>
      </c>
      <c r="C1200" s="1" t="n">
        <v>45877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32737-2025</t>
        </is>
      </c>
      <c r="B1201" s="1" t="n">
        <v>45839</v>
      </c>
      <c r="C1201" s="1" t="n">
        <v>45877</v>
      </c>
      <c r="D1201" t="inlineStr">
        <is>
          <t>GÄVLEBORGS LÄN</t>
        </is>
      </c>
      <c r="E1201" t="inlineStr">
        <is>
          <t>SANDVIKEN</t>
        </is>
      </c>
      <c r="F1201" t="inlineStr">
        <is>
          <t>Bergvik skog öst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32742-2025</t>
        </is>
      </c>
      <c r="B1202" s="1" t="n">
        <v>45839</v>
      </c>
      <c r="C1202" s="1" t="n">
        <v>45877</v>
      </c>
      <c r="D1202" t="inlineStr">
        <is>
          <t>GÄVLEBORGS LÄN</t>
        </is>
      </c>
      <c r="E1202" t="inlineStr">
        <is>
          <t>SANDVIKEN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32907-2025</t>
        </is>
      </c>
      <c r="B1203" s="1" t="n">
        <v>45839</v>
      </c>
      <c r="C1203" s="1" t="n">
        <v>45877</v>
      </c>
      <c r="D1203" t="inlineStr">
        <is>
          <t>GÄVLEBORGS LÄN</t>
        </is>
      </c>
      <c r="E1203" t="inlineStr">
        <is>
          <t>SANDVIKEN</t>
        </is>
      </c>
      <c r="F1203" t="inlineStr">
        <is>
          <t>Naturvårdsverket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33015-2025</t>
        </is>
      </c>
      <c r="B1204" s="1" t="n">
        <v>45840</v>
      </c>
      <c r="C1204" s="1" t="n">
        <v>45877</v>
      </c>
      <c r="D1204" t="inlineStr">
        <is>
          <t>GÄVLEBORGS LÄN</t>
        </is>
      </c>
      <c r="E1204" t="inlineStr">
        <is>
          <t>SANDVIKEN</t>
        </is>
      </c>
      <c r="F1204" t="inlineStr">
        <is>
          <t>Bergvik skog öst AB</t>
        </is>
      </c>
      <c r="G1204" t="n">
        <v>27.3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33217-2025</t>
        </is>
      </c>
      <c r="B1205" s="1" t="n">
        <v>45840</v>
      </c>
      <c r="C1205" s="1" t="n">
        <v>45877</v>
      </c>
      <c r="D1205" t="inlineStr">
        <is>
          <t>GÄVLEBORGS LÄN</t>
        </is>
      </c>
      <c r="E1205" t="inlineStr">
        <is>
          <t>SANDVIKEN</t>
        </is>
      </c>
      <c r="G1205" t="n">
        <v>10.3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33350-2025</t>
        </is>
      </c>
      <c r="B1206" s="1" t="n">
        <v>45841</v>
      </c>
      <c r="C1206" s="1" t="n">
        <v>45877</v>
      </c>
      <c r="D1206" t="inlineStr">
        <is>
          <t>GÄVLEBORGS LÄN</t>
        </is>
      </c>
      <c r="E1206" t="inlineStr">
        <is>
          <t>SANDVIKEN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33757-2025</t>
        </is>
      </c>
      <c r="B1207" s="1" t="n">
        <v>45842</v>
      </c>
      <c r="C1207" s="1" t="n">
        <v>45877</v>
      </c>
      <c r="D1207" t="inlineStr">
        <is>
          <t>GÄVLEBORGS LÄN</t>
        </is>
      </c>
      <c r="E1207" t="inlineStr">
        <is>
          <t>SANDVIKEN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34219-2025</t>
        </is>
      </c>
      <c r="B1208" s="1" t="n">
        <v>45845</v>
      </c>
      <c r="C1208" s="1" t="n">
        <v>45877</v>
      </c>
      <c r="D1208" t="inlineStr">
        <is>
          <t>GÄVLEBORGS LÄN</t>
        </is>
      </c>
      <c r="E1208" t="inlineStr">
        <is>
          <t>SANDVIKEN</t>
        </is>
      </c>
      <c r="F1208" t="inlineStr">
        <is>
          <t>Sveaskog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34845-2025</t>
        </is>
      </c>
      <c r="B1209" s="1" t="n">
        <v>45849</v>
      </c>
      <c r="C1209" s="1" t="n">
        <v>45877</v>
      </c>
      <c r="D1209" t="inlineStr">
        <is>
          <t>GÄVLEBORGS LÄN</t>
        </is>
      </c>
      <c r="E1209" t="inlineStr">
        <is>
          <t>SANDVIKEN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34830-2025</t>
        </is>
      </c>
      <c r="B1210" s="1" t="n">
        <v>45849</v>
      </c>
      <c r="C1210" s="1" t="n">
        <v>45877</v>
      </c>
      <c r="D1210" t="inlineStr">
        <is>
          <t>GÄVLEBORGS LÄN</t>
        </is>
      </c>
      <c r="E1210" t="inlineStr">
        <is>
          <t>SANDVIKEN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35443-2025</t>
        </is>
      </c>
      <c r="B1211" s="1" t="n">
        <v>45855</v>
      </c>
      <c r="C1211" s="1" t="n">
        <v>45877</v>
      </c>
      <c r="D1211" t="inlineStr">
        <is>
          <t>GÄVLEBORGS LÄN</t>
        </is>
      </c>
      <c r="E1211" t="inlineStr">
        <is>
          <t>SANDVIKEN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35995-2025</t>
        </is>
      </c>
      <c r="B1212" s="1" t="n">
        <v>45863</v>
      </c>
      <c r="C1212" s="1" t="n">
        <v>45877</v>
      </c>
      <c r="D1212" t="inlineStr">
        <is>
          <t>GÄVLEBORGS LÄN</t>
        </is>
      </c>
      <c r="E1212" t="inlineStr">
        <is>
          <t>SANDVIKEN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36107-2025</t>
        </is>
      </c>
      <c r="B1213" s="1" t="n">
        <v>45866</v>
      </c>
      <c r="C1213" s="1" t="n">
        <v>45877</v>
      </c>
      <c r="D1213" t="inlineStr">
        <is>
          <t>GÄVLEBORGS LÄN</t>
        </is>
      </c>
      <c r="E1213" t="inlineStr">
        <is>
          <t>SANDVIKEN</t>
        </is>
      </c>
      <c r="F1213" t="inlineStr">
        <is>
          <t>Sveaskog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36091-2025</t>
        </is>
      </c>
      <c r="B1214" s="1" t="n">
        <v>45866</v>
      </c>
      <c r="C1214" s="1" t="n">
        <v>45877</v>
      </c>
      <c r="D1214" t="inlineStr">
        <is>
          <t>GÄVLEBORGS LÄN</t>
        </is>
      </c>
      <c r="E1214" t="inlineStr">
        <is>
          <t>SANDVIKEN</t>
        </is>
      </c>
      <c r="F1214" t="inlineStr">
        <is>
          <t>Sveaskog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36203-2025</t>
        </is>
      </c>
      <c r="B1215" s="1" t="n">
        <v>45867</v>
      </c>
      <c r="C1215" s="1" t="n">
        <v>45877</v>
      </c>
      <c r="D1215" t="inlineStr">
        <is>
          <t>GÄVLEBORGS LÄN</t>
        </is>
      </c>
      <c r="E1215" t="inlineStr">
        <is>
          <t>SANDVIKEN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36212-2025</t>
        </is>
      </c>
      <c r="B1216" s="1" t="n">
        <v>45867</v>
      </c>
      <c r="C1216" s="1" t="n">
        <v>45877</v>
      </c>
      <c r="D1216" t="inlineStr">
        <is>
          <t>GÄVLEBORGS LÄN</t>
        </is>
      </c>
      <c r="E1216" t="inlineStr">
        <is>
          <t>SANDVIKEN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36417-2025</t>
        </is>
      </c>
      <c r="B1217" s="1" t="n">
        <v>45868</v>
      </c>
      <c r="C1217" s="1" t="n">
        <v>45877</v>
      </c>
      <c r="D1217" t="inlineStr">
        <is>
          <t>GÄVLEBORGS LÄN</t>
        </is>
      </c>
      <c r="E1217" t="inlineStr">
        <is>
          <t>SANDVIKEN</t>
        </is>
      </c>
      <c r="F1217" t="inlineStr">
        <is>
          <t>Sveaskog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  <c r="U1217">
        <f>HYPERLINK("https://klasma.github.io/Logging_212181/knärot/A 36417-2025 karta knärot.png", "A 36417-2025")</f>
        <v/>
      </c>
      <c r="V1217">
        <f>HYPERLINK("https://klasma.github.io/Logging_212181/klagomål/A 36417-2025 FSC-klagomål.docx", "A 36417-2025")</f>
        <v/>
      </c>
      <c r="W1217">
        <f>HYPERLINK("https://klasma.github.io/Logging_212181/klagomålsmail/A 36417-2025 FSC-klagomål mail.docx", "A 36417-2025")</f>
        <v/>
      </c>
      <c r="X1217">
        <f>HYPERLINK("https://klasma.github.io/Logging_212181/tillsyn/A 36417-2025 tillsynsbegäran.docx", "A 36417-2025")</f>
        <v/>
      </c>
      <c r="Y1217">
        <f>HYPERLINK("https://klasma.github.io/Logging_212181/tillsynsmail/A 36417-2025 tillsynsbegäran mail.docx", "A 36417-2025")</f>
        <v/>
      </c>
    </row>
    <row r="1218" ht="15" customHeight="1">
      <c r="A1218" t="inlineStr">
        <is>
          <t>A 36584-2025</t>
        </is>
      </c>
      <c r="B1218" s="1" t="n">
        <v>45870</v>
      </c>
      <c r="C1218" s="1" t="n">
        <v>45877</v>
      </c>
      <c r="D1218" t="inlineStr">
        <is>
          <t>GÄVLEBORGS LÄN</t>
        </is>
      </c>
      <c r="E1218" t="inlineStr">
        <is>
          <t>SANDVIKEN</t>
        </is>
      </c>
      <c r="F1218" t="inlineStr">
        <is>
          <t>Sveaskog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36793-2025</t>
        </is>
      </c>
      <c r="B1219" s="1" t="n">
        <v>45873</v>
      </c>
      <c r="C1219" s="1" t="n">
        <v>45877</v>
      </c>
      <c r="D1219" t="inlineStr">
        <is>
          <t>GÄVLEBORGS LÄN</t>
        </is>
      </c>
      <c r="E1219" t="inlineStr">
        <is>
          <t>SANDVIKEN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36795-2025</t>
        </is>
      </c>
      <c r="B1220" s="1" t="n">
        <v>45873</v>
      </c>
      <c r="C1220" s="1" t="n">
        <v>45877</v>
      </c>
      <c r="D1220" t="inlineStr">
        <is>
          <t>GÄVLEBORGS LÄN</t>
        </is>
      </c>
      <c r="E1220" t="inlineStr">
        <is>
          <t>SANDVIKEN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36732-2025</t>
        </is>
      </c>
      <c r="B1221" s="1" t="n">
        <v>45873</v>
      </c>
      <c r="C1221" s="1" t="n">
        <v>45877</v>
      </c>
      <c r="D1221" t="inlineStr">
        <is>
          <t>GÄVLEBORGS LÄN</t>
        </is>
      </c>
      <c r="E1221" t="inlineStr">
        <is>
          <t>SANDVIKEN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>
      <c r="A1222" t="inlineStr">
        <is>
          <t>A 36693-2025</t>
        </is>
      </c>
      <c r="B1222" s="1" t="n">
        <v>45873</v>
      </c>
      <c r="C1222" s="1" t="n">
        <v>45877</v>
      </c>
      <c r="D1222" t="inlineStr">
        <is>
          <t>GÄVLEBORGS LÄN</t>
        </is>
      </c>
      <c r="E1222" t="inlineStr">
        <is>
          <t>SANDVIKEN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2025-08-09T00:57:19Z</dcterms:created>
  <dcterms:modified xmlns:dcterms="http://purl.org/dc/terms/" xmlns:xsi="http://www.w3.org/2001/XMLSchema-instance" xsi:type="dcterms:W3CDTF">2025-08-09T00:57:21Z</dcterms:modified>
</cp:coreProperties>
</file>