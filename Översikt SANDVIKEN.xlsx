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46266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46266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46266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46266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46266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46266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46266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46266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46266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46266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46266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46266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2857-2025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46266</v>
      </c>
      <c r="F15" t="inlineStr">
        <is>
          <t>GÄVLEBORGS LÄN</t>
        </is>
      </c>
      <c r="G15" t="inlineStr">
        <is>
          <t>SANDVIKEN</t>
        </is>
      </c>
      <c r="I15" t="n">
        <v>1.3</v>
      </c>
      <c r="J15" t="n">
        <v>0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0</v>
      </c>
      <c r="V15" s="2" t="inlineStr">
        <is>
          <t>Större flatbagge
Tallticka
Bronshjon
Thomsons trägnagare</t>
        </is>
      </c>
      <c r="W15">
        <f>HYPERLINK("https://klasma.github.io/Logging_2181/artfynd/A 2857-2025 artfynd.xlsx", "A 2857-2025")</f>
        <v/>
      </c>
      <c r="X15">
        <f>HYPERLINK("https://klasma.github.io/Logging_2181/kartor/A 2857-2025 karta.png", "A 2857-2025")</f>
        <v/>
      </c>
      <c r="Y15">
        <f>HYPERLINK("https://klasma.github.io/Logging_2181/kartor_geotiff/A 2857-2025 georefererad karta.tif", "A 2857-2025")</f>
        <v/>
      </c>
      <c r="AA15">
        <f>HYPERLINK("https://klasma.github.io/Logging_2181/klagomål/A 2857-2025 FSC-klagomål.docx", "A 2857-2025")</f>
        <v/>
      </c>
      <c r="AB15">
        <f>HYPERLINK("https://klasma.github.io/Logging_2181/klagomålsmail/A 2857-2025 FSC-klagomål mail.docx", "A 2857-2025")</f>
        <v/>
      </c>
      <c r="AC15">
        <f>HYPERLINK("https://klasma.github.io/Logging_2181/tillsyn/A 2857-2025 tillsynsbegäran.docx", "A 2857-2025")</f>
        <v/>
      </c>
      <c r="AD15">
        <f>HYPERLINK("https://klasma.github.io/Logging_2181/tillsynsmail/A 2857-2025 tillsynsbegäran mail.docx", "A 2857-2025")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46266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46266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46266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46266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46266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46266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46266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46266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46266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6108-2026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46053</v>
      </c>
      <c r="E25" s="1" t="n">
        <v>46266</v>
      </c>
      <c r="F25" t="inlineStr">
        <is>
          <t>GÄVLEBORGS LÄN</t>
        </is>
      </c>
      <c r="G25" t="inlineStr">
        <is>
          <t>SANDVIKEN</t>
        </is>
      </c>
      <c r="I25" t="n">
        <v>3.9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Granvivel
Linnea</t>
        </is>
      </c>
      <c r="W25">
        <f>HYPERLINK("https://klasma.github.io/Logging_2181/artfynd/A 6108-2026 artfynd.xlsx", "A 6108-2026")</f>
        <v/>
      </c>
      <c r="X25">
        <f>HYPERLINK("https://klasma.github.io/Logging_2181/kartor/A 6108-2026 karta.png", "A 6108-2026")</f>
        <v/>
      </c>
      <c r="Y25">
        <f>HYPERLINK("https://klasma.github.io/Logging_2181/kartor_geotiff/A 6108-2026 georefererad karta.tif", "A 6108-2026")</f>
        <v/>
      </c>
      <c r="Z25">
        <f>HYPERLINK("https://klasma.github.io/Logging_2181/knärot/A 6108-2026 karta knärot.png", "A 6108-2026")</f>
        <v/>
      </c>
      <c r="AA25">
        <f>HYPERLINK("https://klasma.github.io/Logging_2181/klagomål/A 6108-2026 FSC-klagomål.docx", "A 6108-2026")</f>
        <v/>
      </c>
      <c r="AB25">
        <f>HYPERLINK("https://klasma.github.io/Logging_2181/klagomålsmail/A 6108-2026 FSC-klagomål mail.docx", "A 6108-2026")</f>
        <v/>
      </c>
      <c r="AC25">
        <f>HYPERLINK("https://klasma.github.io/Logging_2181/tillsyn/A 6108-2026 tillsynsbegäran.docx", "A 6108-2026")</f>
        <v/>
      </c>
      <c r="AD25">
        <f>HYPERLINK("https://klasma.github.io/Logging_2181/tillsynsmail/A 6108-2026 tillsynsbegäran mail.docx", "A 6108-2026")</f>
        <v/>
      </c>
    </row>
    <row r="26" ht="15" customHeight="1">
      <c r="A26" t="inlineStr">
        <is>
          <t>A 12192-2026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46086</v>
      </c>
      <c r="E26" s="1" t="n">
        <v>46266</v>
      </c>
      <c r="F26" t="inlineStr">
        <is>
          <t>GÄVLEBORGS LÄN</t>
        </is>
      </c>
      <c r="G26" t="inlineStr">
        <is>
          <t>SANDVIKEN</t>
        </is>
      </c>
      <c r="I26" t="n">
        <v>0.6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7</v>
      </c>
      <c r="U26" t="n">
        <v>7</v>
      </c>
      <c r="V26" s="2" t="inlineStr">
        <is>
          <t>Knärot
Tretåig hackspett
Spillkråka</t>
        </is>
      </c>
      <c r="W26">
        <f>HYPERLINK("https://klasma.github.io/Logging_2181/artfynd/A 12192-2026 artfynd.xlsx", "A 12192-2026")</f>
        <v/>
      </c>
      <c r="X26">
        <f>HYPERLINK("https://klasma.github.io/Logging_2181/kartor/A 12192-2026 karta.png", "A 12192-2026")</f>
        <v/>
      </c>
      <c r="Y26">
        <f>HYPERLINK("https://klasma.github.io/Logging_2181/kartor_geotiff/A 12192-2026 georefererad karta.tif", "A 12192-2026")</f>
        <v/>
      </c>
      <c r="Z26">
        <f>HYPERLINK("https://klasma.github.io/Logging_2181/knärot/A 12192-2026 karta knärot.png", "A 12192-2026")</f>
        <v/>
      </c>
      <c r="AA26">
        <f>HYPERLINK("https://klasma.github.io/Logging_2181/klagomål/A 12192-2026 FSC-klagomål.docx", "A 12192-2026")</f>
        <v/>
      </c>
      <c r="AB26">
        <f>HYPERLINK("https://klasma.github.io/Logging_2181/klagomålsmail/A 12192-2026 FSC-klagomål mail.docx", "A 12192-2026")</f>
        <v/>
      </c>
      <c r="AC26">
        <f>HYPERLINK("https://klasma.github.io/Logging_2181/tillsyn/A 12192-2026 tillsynsbegäran.docx", "A 12192-2026")</f>
        <v/>
      </c>
      <c r="AD26">
        <f>HYPERLINK("https://klasma.github.io/Logging_2181/tillsynsmail/A 12192-2026 tillsynsbegäran mail.docx", "A 12192-2026")</f>
        <v/>
      </c>
      <c r="AE26">
        <f>HYPERLINK("https://klasma.github.io/Logging_2181/fåglar/A 12192-2026 prioriterade fågelarter.docx", "A 12192-2026")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46266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46266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Tjäder
Vanlig groda
Vanlig padda</t>
        </is>
      </c>
      <c r="W28">
        <f>HYPERLINK("https://klasma.github.io/Logging_2181/artfynd/A 6311-2026 artfynd.xlsx", "A 6311-2026")</f>
        <v/>
      </c>
      <c r="X28">
        <f>HYPERLINK("https://klasma.github.io/Logging_2181/kartor/A 6311-2026 karta.png", "A 6311-2026")</f>
        <v/>
      </c>
      <c r="Y28">
        <f>HYPERLINK("https://klasma.github.io/Logging_2181/kartor_geotiff/A 6311-2026 georefererad karta.tif", "A 6311-2026")</f>
        <v/>
      </c>
      <c r="AA28">
        <f>HYPERLINK("https://klasma.github.io/Logging_2181/klagomål/A 6311-2026 FSC-klagomål.docx", "A 6311-2026")</f>
        <v/>
      </c>
      <c r="AB28">
        <f>HYPERLINK("https://klasma.github.io/Logging_2181/klagomålsmail/A 6311-2026 FSC-klagomål mail.docx", "A 6311-2026")</f>
        <v/>
      </c>
      <c r="AC28">
        <f>HYPERLINK("https://klasma.github.io/Logging_2181/tillsyn/A 6311-2026 tillsynsbegäran.docx", "A 6311-2026")</f>
        <v/>
      </c>
      <c r="AD28">
        <f>HYPERLINK("https://klasma.github.io/Logging_2181/tillsynsmail/A 6311-2026 tillsynsbegäran mail.docx", "A 6311-2026")</f>
        <v/>
      </c>
      <c r="AE28">
        <f>HYPERLINK("https://klasma.github.io/Logging_2181/fåglar/A 6311-2026 prioriterade fågelarter.docx", "A 6311-2026")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46266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46266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Tibast
Grönsiska
Kungsfågel</t>
        </is>
      </c>
      <c r="W30">
        <f>HYPERLINK("https://klasma.github.io/Logging_2181/artfynd/A 29114-2026 artfynd.xlsx", "A 29114-2026")</f>
        <v/>
      </c>
      <c r="X30">
        <f>HYPERLINK("https://klasma.github.io/Logging_2181/kartor/A 29114-2026 karta.png", "A 29114-2026")</f>
        <v/>
      </c>
      <c r="Y30">
        <f>HYPERLINK("https://klasma.github.io/Logging_2181/kartor_geotiff/A 29114-2026 georefererad karta.tif", "A 29114-2026")</f>
        <v/>
      </c>
      <c r="AA30">
        <f>HYPERLINK("https://klasma.github.io/Logging_2181/klagomål/A 29114-2026 FSC-klagomål.docx", "A 29114-2026")</f>
        <v/>
      </c>
      <c r="AB30">
        <f>HYPERLINK("https://klasma.github.io/Logging_2181/klagomålsmail/A 29114-2026 FSC-klagomål mail.docx", "A 29114-2026")</f>
        <v/>
      </c>
      <c r="AC30">
        <f>HYPERLINK("https://klasma.github.io/Logging_2181/tillsyn/A 29114-2026 tillsynsbegäran.docx", "A 29114-2026")</f>
        <v/>
      </c>
      <c r="AD30">
        <f>HYPERLINK("https://klasma.github.io/Logging_2181/tillsynsmail/A 29114-2026 tillsynsbegäran mail.docx", "A 29114-2026")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46266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46266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46266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46266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46266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46266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46266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21196-2024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45440</v>
      </c>
      <c r="E38" s="1" t="n">
        <v>46266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45.5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Lappuggla
Ullticka</t>
        </is>
      </c>
      <c r="W38">
        <f>HYPERLINK("https://klasma.github.io/Logging_2181/artfynd/A 21196-2024 artfynd.xlsx", "A 21196-2024")</f>
        <v/>
      </c>
      <c r="X38">
        <f>HYPERLINK("https://klasma.github.io/Logging_2181/kartor/A 21196-2024 karta.png", "A 21196-2024")</f>
        <v/>
      </c>
      <c r="Y38">
        <f>HYPERLINK("https://klasma.github.io/Logging_2181/kartor_geotiff/A 21196-2024 georefererad karta.tif", "A 21196-2024")</f>
        <v/>
      </c>
      <c r="AA38">
        <f>HYPERLINK("https://klasma.github.io/Logging_2181/klagomål/A 21196-2024 FSC-klagomål.docx", "A 21196-2024")</f>
        <v/>
      </c>
      <c r="AB38">
        <f>HYPERLINK("https://klasma.github.io/Logging_2181/klagomålsmail/A 21196-2024 FSC-klagomål mail.docx", "A 21196-2024")</f>
        <v/>
      </c>
      <c r="AC38">
        <f>HYPERLINK("https://klasma.github.io/Logging_2181/tillsyn/A 21196-2024 tillsynsbegäran.docx", "A 21196-2024")</f>
        <v/>
      </c>
      <c r="AD38">
        <f>HYPERLINK("https://klasma.github.io/Logging_2181/tillsynsmail/A 21196-2024 tillsynsbegäran mail.docx", "A 21196-2024")</f>
        <v/>
      </c>
      <c r="AE38">
        <f>HYPERLINK("https://klasma.github.io/Logging_2181/fåglar/A 21196-2024 prioriterade fågelarter.docx", "A 21196-2024")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46266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46266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46266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Vedticka</t>
        </is>
      </c>
      <c r="W41">
        <f>HYPERLINK("https://klasma.github.io/Logging_2181/artfynd/A 7733-2026 artfynd.xlsx", "A 7733-2026")</f>
        <v/>
      </c>
      <c r="X41">
        <f>HYPERLINK("https://klasma.github.io/Logging_2181/kartor/A 7733-2026 karta.png", "A 7733-2026")</f>
        <v/>
      </c>
      <c r="Y41">
        <f>HYPERLINK("https://klasma.github.io/Logging_2181/kartor_geotiff/A 7733-2026 georefererad karta.tif", "A 7733-2026")</f>
        <v/>
      </c>
      <c r="Z41">
        <f>HYPERLINK("https://klasma.github.io/Logging_2181/knärot/A 7733-2026 karta knärot.png", "A 7733-2026")</f>
        <v/>
      </c>
      <c r="AA41">
        <f>HYPERLINK("https://klasma.github.io/Logging_2181/klagomål/A 7733-2026 FSC-klagomål.docx", "A 7733-2026")</f>
        <v/>
      </c>
      <c r="AB41">
        <f>HYPERLINK("https://klasma.github.io/Logging_2181/klagomålsmail/A 7733-2026 FSC-klagomål mail.docx", "A 7733-2026")</f>
        <v/>
      </c>
      <c r="AC41">
        <f>HYPERLINK("https://klasma.github.io/Logging_2181/tillsyn/A 7733-2026 tillsynsbegäran.docx", "A 7733-2026")</f>
        <v/>
      </c>
      <c r="AD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46266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Kambräken
Lopplummer (aggregat)</t>
        </is>
      </c>
      <c r="W42">
        <f>HYPERLINK("https://klasma.github.io/Logging_2181/artfynd/A 19526-2026 artfynd.xlsx", "A 19526-2026")</f>
        <v/>
      </c>
      <c r="X42">
        <f>HYPERLINK("https://klasma.github.io/Logging_2181/kartor/A 19526-2026 karta.png", "A 19526-2026")</f>
        <v/>
      </c>
      <c r="Y42">
        <f>HYPERLINK("https://klasma.github.io/Logging_2181/kartor_geotiff/A 19526-2026 georefererad karta.tif", "A 19526-2026")</f>
        <v/>
      </c>
      <c r="AA42">
        <f>HYPERLINK("https://klasma.github.io/Logging_2181/klagomål/A 19526-2026 FSC-klagomål.docx", "A 19526-2026")</f>
        <v/>
      </c>
      <c r="AB42">
        <f>HYPERLINK("https://klasma.github.io/Logging_2181/klagomålsmail/A 19526-2026 FSC-klagomål mail.docx", "A 19526-2026")</f>
        <v/>
      </c>
      <c r="AC42">
        <f>HYPERLINK("https://klasma.github.io/Logging_2181/tillsyn/A 19526-2026 tillsynsbegäran.docx", "A 19526-2026")</f>
        <v/>
      </c>
      <c r="AD42">
        <f>HYPERLINK("https://klasma.github.io/Logging_2181/tillsynsmail/A 19526-2026 tillsynsbegäran mail.docx", "A 19526-2026")</f>
        <v/>
      </c>
    </row>
    <row r="43" ht="15" customHeight="1">
      <c r="A43" t="inlineStr">
        <is>
          <t>A 42869-2024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46266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6.9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Rödgul trumpetsvamp
Vanlig padda</t>
        </is>
      </c>
      <c r="W43">
        <f>HYPERLINK("https://klasma.github.io/Logging_2181/artfynd/A 42869-2024 artfynd.xlsx", "A 42869-2024")</f>
        <v/>
      </c>
      <c r="X43">
        <f>HYPERLINK("https://klasma.github.io/Logging_2181/kartor/A 42869-2024 karta.png", "A 42869-2024")</f>
        <v/>
      </c>
      <c r="Y43">
        <f>HYPERLINK("https://klasma.github.io/Logging_2181/kartor_geotiff/A 42869-2024 georefererad karta.tif", "A 42869-2024")</f>
        <v/>
      </c>
      <c r="AA43">
        <f>HYPERLINK("https://klasma.github.io/Logging_2181/klagomål/A 42869-2024 FSC-klagomål.docx", "A 42869-2024")</f>
        <v/>
      </c>
      <c r="AB43">
        <f>HYPERLINK("https://klasma.github.io/Logging_2181/klagomålsmail/A 42869-2024 FSC-klagomål mail.docx", "A 42869-2024")</f>
        <v/>
      </c>
      <c r="AC43">
        <f>HYPERLINK("https://klasma.github.io/Logging_2181/tillsyn/A 42869-2024 tillsynsbegäran.docx", "A 42869-2024")</f>
        <v/>
      </c>
      <c r="AD43">
        <f>HYPERLINK("https://klasma.github.io/Logging_2181/tillsynsmail/A 42869-2024 tillsynsbegäran mail.docx", "A 42869-2024")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46266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Strutbräken
Revlummer</t>
        </is>
      </c>
      <c r="W44">
        <f>HYPERLINK("https://klasma.github.io/Logging_2181/artfynd/A 1179-2026 artfynd.xlsx", "A 1179-2026")</f>
        <v/>
      </c>
      <c r="X44">
        <f>HYPERLINK("https://klasma.github.io/Logging_2181/kartor/A 1179-2026 karta.png", "A 1179-2026")</f>
        <v/>
      </c>
      <c r="Y44">
        <f>HYPERLINK("https://klasma.github.io/Logging_2181/kartor_geotiff/A 1179-2026 georefererad karta.tif", "A 1179-2026")</f>
        <v/>
      </c>
      <c r="AA44">
        <f>HYPERLINK("https://klasma.github.io/Logging_2181/klagomål/A 1179-2026 FSC-klagomål.docx", "A 1179-2026")</f>
        <v/>
      </c>
      <c r="AB44">
        <f>HYPERLINK("https://klasma.github.io/Logging_2181/klagomålsmail/A 1179-2026 FSC-klagomål mail.docx", "A 1179-2026")</f>
        <v/>
      </c>
      <c r="AC44">
        <f>HYPERLINK("https://klasma.github.io/Logging_2181/tillsyn/A 1179-2026 tillsynsbegäran.docx", "A 1179-2026")</f>
        <v/>
      </c>
      <c r="AD44">
        <f>HYPERLINK("https://klasma.github.io/Logging_2181/tillsynsmail/A 1179-2026 tillsynsbegäran mail.docx", "A 1179-2026")</f>
        <v/>
      </c>
    </row>
    <row r="45" ht="15" customHeight="1">
      <c r="A45" t="inlineStr">
        <is>
          <t>A 43716-2023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46266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HYPERLINK("https://klasma.github.io/Logging_2181/artfynd/A 43716-2023 artfynd.xlsx", "A 43716-2023")</f>
        <v/>
      </c>
      <c r="X45">
        <f>HYPERLINK("https://klasma.github.io/Logging_2181/kartor/A 43716-2023 karta.png", "A 43716-2023")</f>
        <v/>
      </c>
      <c r="Y45">
        <f>HYPERLINK("https://klasma.github.io/Logging_2181/kartor_geotiff/A 43716-2023 georefererad karta.tif", "A 43716-2023")</f>
        <v/>
      </c>
      <c r="Z45">
        <f>HYPERLINK("https://klasma.github.io/Logging_2181/knärot/A 43716-2023 karta knärot.png", "A 43716-2023")</f>
        <v/>
      </c>
      <c r="AA45">
        <f>HYPERLINK("https://klasma.github.io/Logging_2181/klagomål/A 43716-2023 FSC-klagomål.docx", "A 43716-2023")</f>
        <v/>
      </c>
      <c r="AB45">
        <f>HYPERLINK("https://klasma.github.io/Logging_2181/klagomålsmail/A 43716-2023 FSC-klagomål mail.docx", "A 43716-2023")</f>
        <v/>
      </c>
      <c r="AC45">
        <f>HYPERLINK("https://klasma.github.io/Logging_2181/tillsyn/A 43716-2023 tillsynsbegäran.docx", "A 43716-2023")</f>
        <v/>
      </c>
      <c r="AD45">
        <f>HYPERLINK("https://klasma.github.io/Logging_2181/tillsynsmail/A 43716-2023 tillsynsbegäran mail.docx", "A 43716-2023")</f>
        <v/>
      </c>
    </row>
    <row r="46" ht="15" customHeight="1">
      <c r="A46" t="inlineStr">
        <is>
          <t>A 27184-2026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46188</v>
      </c>
      <c r="E46" s="1" t="n">
        <v>46266</v>
      </c>
      <c r="F46" t="inlineStr">
        <is>
          <t>GÄVLEBORGS LÄN</t>
        </is>
      </c>
      <c r="G46" t="inlineStr">
        <is>
          <t>SANDVIKEN</t>
        </is>
      </c>
      <c r="I46" t="n">
        <v>1.5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Dropptaggsvamp
Talltita</t>
        </is>
      </c>
      <c r="W46">
        <f>HYPERLINK("https://klasma.github.io/Logging_2181/artfynd/A 27184-2026 artfynd.xlsx", "A 27184-2026")</f>
        <v/>
      </c>
      <c r="X46">
        <f>HYPERLINK("https://klasma.github.io/Logging_2181/kartor/A 27184-2026 karta.png", "A 27184-2026")</f>
        <v/>
      </c>
      <c r="Y46">
        <f>HYPERLINK("https://klasma.github.io/Logging_2181/kartor_geotiff/A 27184-2026 georefererad karta.tif", "A 27184-2026")</f>
        <v/>
      </c>
      <c r="AA46">
        <f>HYPERLINK("https://klasma.github.io/Logging_2181/klagomål/A 27184-2026 FSC-klagomål.docx", "A 27184-2026")</f>
        <v/>
      </c>
      <c r="AB46">
        <f>HYPERLINK("https://klasma.github.io/Logging_2181/klagomålsmail/A 27184-2026 FSC-klagomål mail.docx", "A 27184-2026")</f>
        <v/>
      </c>
      <c r="AC46">
        <f>HYPERLINK("https://klasma.github.io/Logging_2181/tillsyn/A 27184-2026 tillsynsbegäran.docx", "A 27184-2026")</f>
        <v/>
      </c>
      <c r="AD46">
        <f>HYPERLINK("https://klasma.github.io/Logging_2181/tillsynsmail/A 27184-2026 tillsynsbegäran mail.docx", "A 27184-2026")</f>
        <v/>
      </c>
      <c r="AE46">
        <f>HYPERLINK("https://klasma.github.io/Logging_2181/fåglar/A 27184-2026 prioriterade fågelarter.docx", "A 27184-2026")</f>
        <v/>
      </c>
    </row>
    <row r="47" ht="15" customHeight="1">
      <c r="A47" t="inlineStr">
        <is>
          <t>A 27014-2026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46266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4.8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Tjäder</t>
        </is>
      </c>
      <c r="W47">
        <f>HYPERLINK("https://klasma.github.io/Logging_2181/artfynd/A 27014-2026 artfynd.xlsx", "A 27014-2026")</f>
        <v/>
      </c>
      <c r="X47">
        <f>HYPERLINK("https://klasma.github.io/Logging_2181/kartor/A 27014-2026 karta.png", "A 27014-2026")</f>
        <v/>
      </c>
      <c r="Y47">
        <f>HYPERLINK("https://klasma.github.io/Logging_2181/kartor_geotiff/A 27014-2026 georefererad karta.tif", "A 27014-2026")</f>
        <v/>
      </c>
      <c r="AA47">
        <f>HYPERLINK("https://klasma.github.io/Logging_2181/klagomål/A 27014-2026 FSC-klagomål.docx", "A 27014-2026")</f>
        <v/>
      </c>
      <c r="AB47">
        <f>HYPERLINK("https://klasma.github.io/Logging_2181/klagomålsmail/A 27014-2026 FSC-klagomål mail.docx", "A 27014-2026")</f>
        <v/>
      </c>
      <c r="AC47">
        <f>HYPERLINK("https://klasma.github.io/Logging_2181/tillsyn/A 27014-2026 tillsynsbegäran.docx", "A 27014-2026")</f>
        <v/>
      </c>
      <c r="AD47">
        <f>HYPERLINK("https://klasma.github.io/Logging_2181/tillsynsmail/A 27014-2026 tillsynsbegäran mail.docx", "A 27014-2026")</f>
        <v/>
      </c>
      <c r="AE47">
        <f>HYPERLINK("https://klasma.github.io/Logging_2181/fåglar/A 27014-2026 prioriterade fågelarter.docx", "A 27014-2026")</f>
        <v/>
      </c>
    </row>
    <row r="48" ht="15" customHeight="1">
      <c r="A48" t="inlineStr">
        <is>
          <t>A 29111-2026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46201</v>
      </c>
      <c r="E48" s="1" t="n">
        <v>46266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Tallticka</t>
        </is>
      </c>
      <c r="W48">
        <f>HYPERLINK("https://klasma.github.io/Logging_2181/artfynd/A 29111-2026 artfynd.xlsx", "A 29111-2026")</f>
        <v/>
      </c>
      <c r="X48">
        <f>HYPERLINK("https://klasma.github.io/Logging_2181/kartor/A 29111-2026 karta.png", "A 29111-2026")</f>
        <v/>
      </c>
      <c r="Y48">
        <f>HYPERLINK("https://klasma.github.io/Logging_2181/kartor_geotiff/A 29111-2026 georefererad karta.tif", "A 29111-2026")</f>
        <v/>
      </c>
      <c r="Z48">
        <f>HYPERLINK("https://klasma.github.io/Logging_2181/knärot/A 29111-2026 karta knärot.png", "A 29111-2026")</f>
        <v/>
      </c>
      <c r="AA48">
        <f>HYPERLINK("https://klasma.github.io/Logging_2181/klagomål/A 29111-2026 FSC-klagomål.docx", "A 29111-2026")</f>
        <v/>
      </c>
      <c r="AB48">
        <f>HYPERLINK("https://klasma.github.io/Logging_2181/klagomålsmail/A 29111-2026 FSC-klagomål mail.docx", "A 29111-2026")</f>
        <v/>
      </c>
      <c r="AC48">
        <f>HYPERLINK("https://klasma.github.io/Logging_2181/tillsyn/A 29111-2026 tillsynsbegäran.docx", "A 29111-2026")</f>
        <v/>
      </c>
      <c r="AD48">
        <f>HYPERLINK("https://klasma.github.io/Logging_2181/tillsynsmail/A 29111-2026 tillsynsbegäran mail.docx", "A 29111-2026")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46266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46266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A 35377-2026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46266</v>
      </c>
      <c r="F51" t="inlineStr">
        <is>
          <t>GÄVLEBORGS LÄN</t>
        </is>
      </c>
      <c r="G51" t="inlineStr">
        <is>
          <t>SANDVIKEN</t>
        </is>
      </c>
      <c r="I51" t="n">
        <v>1.8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Garnlav
Tallticka</t>
        </is>
      </c>
      <c r="W51">
        <f>HYPERLINK("https://klasma.github.io/Logging_2181/artfynd/A 35377-2026 artfynd.xlsx", "A 35377-2026")</f>
        <v/>
      </c>
      <c r="X51">
        <f>HYPERLINK("https://klasma.github.io/Logging_2181/kartor/A 35377-2026 karta.png", "A 35377-2026")</f>
        <v/>
      </c>
      <c r="Y51">
        <f>HYPERLINK("https://klasma.github.io/Logging_2181/kartor_geotiff/A 35377-2026 georefererad karta.tif", "A 35377-2026")</f>
        <v/>
      </c>
      <c r="AA51">
        <f>HYPERLINK("https://klasma.github.io/Logging_2181/klagomål/A 35377-2026 FSC-klagomål.docx", "A 35377-2026")</f>
        <v/>
      </c>
      <c r="AB51">
        <f>HYPERLINK("https://klasma.github.io/Logging_2181/klagomålsmail/A 35377-2026 FSC-klagomål mail.docx", "A 35377-2026")</f>
        <v/>
      </c>
      <c r="AC51">
        <f>HYPERLINK("https://klasma.github.io/Logging_2181/tillsyn/A 35377-2026 tillsynsbegäran.docx", "A 35377-2026")</f>
        <v/>
      </c>
      <c r="AD51">
        <f>HYPERLINK("https://klasma.github.io/Logging_2181/tillsynsmail/A 35377-2026 tillsynsbegäran mail.docx", "A 35377-2026")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46266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46266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46266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46266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46266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46266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46266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46266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46266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46266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25314-2025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46266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2.1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25314-2025 artfynd.xlsx", "A 25314-2025")</f>
        <v/>
      </c>
      <c r="X62">
        <f>HYPERLINK("https://klasma.github.io/Logging_2181/kartor/A 25314-2025 karta.png", "A 25314-2025")</f>
        <v/>
      </c>
      <c r="Y62">
        <f>HYPERLINK("https://klasma.github.io/Logging_2181/kartor_geotiff/A 25314-2025 georefererad karta.tif", "A 25314-2025")</f>
        <v/>
      </c>
      <c r="AA62">
        <f>HYPERLINK("https://klasma.github.io/Logging_2181/klagomål/A 25314-2025 FSC-klagomål.docx", "A 25314-2025")</f>
        <v/>
      </c>
      <c r="AB62">
        <f>HYPERLINK("https://klasma.github.io/Logging_2181/klagomålsmail/A 25314-2025 FSC-klagomål mail.docx", "A 25314-2025")</f>
        <v/>
      </c>
      <c r="AC62">
        <f>HYPERLINK("https://klasma.github.io/Logging_2181/tillsyn/A 25314-2025 tillsynsbegäran.docx", "A 25314-2025")</f>
        <v/>
      </c>
      <c r="AD62">
        <f>HYPERLINK("https://klasma.github.io/Logging_2181/tillsynsmail/A 25314-2025 tillsynsbegäran mail.docx", "A 25314-2025")</f>
        <v/>
      </c>
    </row>
    <row r="63" ht="15" customHeight="1">
      <c r="A63" t="inlineStr">
        <is>
          <t>A 25323-2025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46266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3</v>
      </c>
      <c r="V63" s="2" t="inlineStr">
        <is>
          <t>Plattlummer</t>
        </is>
      </c>
      <c r="W63">
        <f>HYPERLINK("https://klasma.github.io/Logging_2181/artfynd/A 25323-2025 artfynd.xlsx", "A 25323-2025")</f>
        <v/>
      </c>
      <c r="X63">
        <f>HYPERLINK("https://klasma.github.io/Logging_2181/kartor/A 25323-2025 karta.png", "A 25323-2025")</f>
        <v/>
      </c>
      <c r="Y63">
        <f>HYPERLINK("https://klasma.github.io/Logging_2181/kartor_geotiff/A 25323-2025 georefererad karta.tif", "A 25323-2025")</f>
        <v/>
      </c>
      <c r="AA63">
        <f>HYPERLINK("https://klasma.github.io/Logging_2181/klagomål/A 25323-2025 FSC-klagomål.docx", "A 25323-2025")</f>
        <v/>
      </c>
      <c r="AB63">
        <f>HYPERLINK("https://klasma.github.io/Logging_2181/klagomålsmail/A 25323-2025 FSC-klagomål mail.docx", "A 25323-2025")</f>
        <v/>
      </c>
      <c r="AC63">
        <f>HYPERLINK("https://klasma.github.io/Logging_2181/tillsyn/A 25323-2025 tillsynsbegäran.docx", "A 25323-2025")</f>
        <v/>
      </c>
      <c r="AD63">
        <f>HYPERLINK("https://klasma.github.io/Logging_2181/tillsynsmail/A 25323-2025 tillsynsbegäran mail.docx", "A 25323-2025")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46266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46266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36417-2025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45868</v>
      </c>
      <c r="E66" s="1" t="n">
        <v>46266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HYPERLINK("https://klasma.github.io/Logging_2181/artfynd/A 36417-2025 artfynd.xlsx", "A 36417-2025")</f>
        <v/>
      </c>
      <c r="X66">
        <f>HYPERLINK("https://klasma.github.io/Logging_2181/kartor/A 36417-2025 karta.png", "A 36417-2025")</f>
        <v/>
      </c>
      <c r="Y66">
        <f>HYPERLINK("https://klasma.github.io/Logging_2181/kartor_geotiff/A 36417-2025 georefererad karta.tif", "A 36417-2025")</f>
        <v/>
      </c>
      <c r="Z66">
        <f>HYPERLINK("https://klasma.github.io/Logging_2181/knärot/A 36417-2025 karta knärot.png", "A 36417-2025")</f>
        <v/>
      </c>
      <c r="AA66">
        <f>HYPERLINK("https://klasma.github.io/Logging_2181/klagomål/A 36417-2025 FSC-klagomål.docx", "A 36417-2025")</f>
        <v/>
      </c>
      <c r="AB66">
        <f>HYPERLINK("https://klasma.github.io/Logging_2181/klagomålsmail/A 36417-2025 FSC-klagomål mail.docx", "A 36417-2025")</f>
        <v/>
      </c>
      <c r="AC66">
        <f>HYPERLINK("https://klasma.github.io/Logging_2181/tillsyn/A 36417-2025 tillsynsbegäran.docx", "A 36417-2025")</f>
        <v/>
      </c>
      <c r="AD66">
        <f>HYPERLINK("https://klasma.github.io/Logging_2181/tillsynsmail/A 36417-2025 tillsynsbegäran mail.docx", "A 36417-2025")</f>
        <v/>
      </c>
    </row>
    <row r="67" ht="15" customHeight="1">
      <c r="A67" t="inlineStr">
        <is>
          <t>A 3316-2023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44949</v>
      </c>
      <c r="E67" s="1" t="n">
        <v>46266</v>
      </c>
      <c r="F67" t="inlineStr">
        <is>
          <t>GÄVLEBORGS LÄN</t>
        </is>
      </c>
      <c r="G67" t="inlineStr">
        <is>
          <t>SANDVIKEN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HYPERLINK("https://klasma.github.io/Logging_2181/artfynd/A 3316-2023 artfynd.xlsx", "A 3316-2023")</f>
        <v/>
      </c>
      <c r="X67">
        <f>HYPERLINK("https://klasma.github.io/Logging_2181/kartor/A 3316-2023 karta.png", "A 3316-2023")</f>
        <v/>
      </c>
      <c r="Y67">
        <f>HYPERLINK("https://klasma.github.io/Logging_2181/kartor_geotiff/A 3316-2023 georefererad karta.tif", "A 3316-2023")</f>
        <v/>
      </c>
      <c r="AA67">
        <f>HYPERLINK("https://klasma.github.io/Logging_2181/klagomål/A 3316-2023 FSC-klagomål.docx", "A 3316-2023")</f>
        <v/>
      </c>
      <c r="AB67">
        <f>HYPERLINK("https://klasma.github.io/Logging_2181/klagomålsmail/A 3316-2023 FSC-klagomål mail.docx", "A 3316-2023")</f>
        <v/>
      </c>
      <c r="AC67">
        <f>HYPERLINK("https://klasma.github.io/Logging_2181/tillsyn/A 3316-2023 tillsynsbegäran.docx", "A 3316-2023")</f>
        <v/>
      </c>
      <c r="AD67">
        <f>HYPERLINK("https://klasma.github.io/Logging_2181/tillsynsmail/A 3316-2023 tillsynsbegäran mail.docx", "A 3316-2023")</f>
        <v/>
      </c>
      <c r="AE67">
        <f>HYPERLINK("https://klasma.github.io/Logging_2181/fåglar/A 3316-2023 prioriterade fågelarter.docx", "A 3316-2023")</f>
        <v/>
      </c>
    </row>
    <row r="68" ht="15" customHeight="1">
      <c r="A68" t="inlineStr">
        <is>
          <t>A 38350-2025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46266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väst AB</t>
        </is>
      </c>
      <c r="I68" t="n">
        <v>25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Brandticka</t>
        </is>
      </c>
      <c r="W68">
        <f>HYPERLINK("https://klasma.github.io/Logging_2181/artfynd/A 38350-2025 artfynd.xlsx", "A 38350-2025")</f>
        <v/>
      </c>
      <c r="X68">
        <f>HYPERLINK("https://klasma.github.io/Logging_2181/kartor/A 38350-2025 karta.png", "A 38350-2025")</f>
        <v/>
      </c>
      <c r="Y68">
        <f>HYPERLINK("https://klasma.github.io/Logging_2181/kartor_geotiff/A 38350-2025 georefererad karta.tif", "A 38350-2025")</f>
        <v/>
      </c>
      <c r="AA68">
        <f>HYPERLINK("https://klasma.github.io/Logging_2181/klagomål/A 38350-2025 FSC-klagomål.docx", "A 38350-2025")</f>
        <v/>
      </c>
      <c r="AB68">
        <f>HYPERLINK("https://klasma.github.io/Logging_2181/klagomålsmail/A 38350-2025 FSC-klagomål mail.docx", "A 38350-2025")</f>
        <v/>
      </c>
      <c r="AC68">
        <f>HYPERLINK("https://klasma.github.io/Logging_2181/tillsyn/A 38350-2025 tillsynsbegäran.docx", "A 38350-2025")</f>
        <v/>
      </c>
      <c r="AD68">
        <f>HYPERLINK("https://klasma.github.io/Logging_2181/tillsynsmail/A 38350-2025 tillsynsbegäran mail.docx", "A 38350-2025")</f>
        <v/>
      </c>
    </row>
    <row r="69" ht="15" customHeight="1">
      <c r="A69" t="inlineStr">
        <is>
          <t>A 12419-2025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45730</v>
      </c>
      <c r="E69" s="1" t="n">
        <v>46266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Månlåsbräken</t>
        </is>
      </c>
      <c r="W69">
        <f>HYPERLINK("https://klasma.github.io/Logging_2181/artfynd/A 12419-2025 artfynd.xlsx", "A 12419-2025")</f>
        <v/>
      </c>
      <c r="X69">
        <f>HYPERLINK("https://klasma.github.io/Logging_2181/kartor/A 12419-2025 karta.png", "A 12419-2025")</f>
        <v/>
      </c>
      <c r="Y69">
        <f>HYPERLINK("https://klasma.github.io/Logging_2181/kartor_geotiff/A 12419-2025 georefererad karta.tif", "A 12419-2025")</f>
        <v/>
      </c>
      <c r="AA69">
        <f>HYPERLINK("https://klasma.github.io/Logging_2181/klagomål/A 12419-2025 FSC-klagomål.docx", "A 12419-2025")</f>
        <v/>
      </c>
      <c r="AB69">
        <f>HYPERLINK("https://klasma.github.io/Logging_2181/klagomålsmail/A 12419-2025 FSC-klagomål mail.docx", "A 12419-2025")</f>
        <v/>
      </c>
      <c r="AC69">
        <f>HYPERLINK("https://klasma.github.io/Logging_2181/tillsyn/A 12419-2025 tillsynsbegäran.docx", "A 12419-2025")</f>
        <v/>
      </c>
      <c r="AD69">
        <f>HYPERLINK("https://klasma.github.io/Logging_2181/tillsynsmail/A 12419-2025 tillsynsbegäran mail.docx", "A 12419-2025")</f>
        <v/>
      </c>
    </row>
    <row r="70" ht="15" customHeight="1">
      <c r="A70" t="inlineStr">
        <is>
          <t>A 15729-2022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44663</v>
      </c>
      <c r="E70" s="1" t="n">
        <v>46266</v>
      </c>
      <c r="F70" t="inlineStr">
        <is>
          <t>GÄVLEBORGS LÄN</t>
        </is>
      </c>
      <c r="G70" t="inlineStr">
        <is>
          <t>SANDVIKEN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HYPERLINK("https://klasma.github.io/Logging_2181/artfynd/A 15729-2022 artfynd.xlsx", "A 15729-2022")</f>
        <v/>
      </c>
      <c r="X70">
        <f>HYPERLINK("https://klasma.github.io/Logging_2181/kartor/A 15729-2022 karta.png", "A 15729-2022")</f>
        <v/>
      </c>
      <c r="Y70">
        <f>HYPERLINK("https://klasma.github.io/Logging_2181/kartor_geotiff/A 15729-2022 georefererad karta.tif", "A 15729-2022")</f>
        <v/>
      </c>
      <c r="Z70">
        <f>HYPERLINK("https://klasma.github.io/Logging_2181/knärot/A 15729-2022 karta knärot.png", "A 15729-2022")</f>
        <v/>
      </c>
      <c r="AA70">
        <f>HYPERLINK("https://klasma.github.io/Logging_2181/klagomål/A 15729-2022 FSC-klagomål.docx", "A 15729-2022")</f>
        <v/>
      </c>
      <c r="AB70">
        <f>HYPERLINK("https://klasma.github.io/Logging_2181/klagomålsmail/A 15729-2022 FSC-klagomål mail.docx", "A 15729-2022")</f>
        <v/>
      </c>
      <c r="AC70">
        <f>HYPERLINK("https://klasma.github.io/Logging_2181/tillsyn/A 15729-2022 tillsynsbegäran.docx", "A 15729-2022")</f>
        <v/>
      </c>
      <c r="AD70">
        <f>HYPERLINK("https://klasma.github.io/Logging_2181/tillsynsmail/A 15729-2022 tillsynsbegäran mail.docx", "A 15729-2022")</f>
        <v/>
      </c>
    </row>
    <row r="71" ht="15" customHeight="1">
      <c r="A71" t="inlineStr">
        <is>
          <t>A 45427-2023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45194</v>
      </c>
      <c r="E71" s="1" t="n">
        <v>46266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Mattlummer</t>
        </is>
      </c>
      <c r="W71">
        <f>HYPERLINK("https://klasma.github.io/Logging_2181/artfynd/A 45427-2023 artfynd.xlsx", "A 45427-2023")</f>
        <v/>
      </c>
      <c r="X71">
        <f>HYPERLINK("https://klasma.github.io/Logging_2181/kartor/A 45427-2023 karta.png", "A 45427-2023")</f>
        <v/>
      </c>
      <c r="Y71">
        <f>HYPERLINK("https://klasma.github.io/Logging_2181/kartor_geotiff/A 45427-2023 georefererad karta.tif", "A 45427-2023")</f>
        <v/>
      </c>
      <c r="AA71">
        <f>HYPERLINK("https://klasma.github.io/Logging_2181/klagomål/A 45427-2023 FSC-klagomål.docx", "A 45427-2023")</f>
        <v/>
      </c>
      <c r="AB71">
        <f>HYPERLINK("https://klasma.github.io/Logging_2181/klagomålsmail/A 45427-2023 FSC-klagomål mail.docx", "A 45427-2023")</f>
        <v/>
      </c>
      <c r="AC71">
        <f>HYPERLINK("https://klasma.github.io/Logging_2181/tillsyn/A 45427-2023 tillsynsbegäran.docx", "A 45427-2023")</f>
        <v/>
      </c>
      <c r="AD71">
        <f>HYPERLINK("https://klasma.github.io/Logging_2181/tillsynsmail/A 45427-2023 tillsynsbegäran mail.docx", "A 45427-2023")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46266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Grönsiska</t>
        </is>
      </c>
      <c r="W72">
        <f>HYPERLINK("https://klasma.github.io/Logging_2181/artfynd/A 57934-2025 artfynd.xlsx", "A 57934-2025")</f>
        <v/>
      </c>
      <c r="X72">
        <f>HYPERLINK("https://klasma.github.io/Logging_2181/kartor/A 57934-2025 karta.png", "A 57934-2025")</f>
        <v/>
      </c>
      <c r="Y72">
        <f>HYPERLINK("https://klasma.github.io/Logging_2181/kartor_geotiff/A 57934-2025 georefererad karta.tif", "A 57934-2025")</f>
        <v/>
      </c>
      <c r="AA72">
        <f>HYPERLINK("https://klasma.github.io/Logging_2181/klagomål/A 57934-2025 FSC-klagomål.docx", "A 57934-2025")</f>
        <v/>
      </c>
      <c r="AB72">
        <f>HYPERLINK("https://klasma.github.io/Logging_2181/klagomålsmail/A 57934-2025 FSC-klagomål mail.docx", "A 57934-2025")</f>
        <v/>
      </c>
      <c r="AC72">
        <f>HYPERLINK("https://klasma.github.io/Logging_2181/tillsyn/A 57934-2025 tillsynsbegäran.docx", "A 57934-2025")</f>
        <v/>
      </c>
      <c r="AD72">
        <f>HYPERLINK("https://klasma.github.io/Logging_2181/tillsynsmail/A 57934-2025 tillsynsbegäran mail.docx", "A 57934-2025")</f>
        <v/>
      </c>
    </row>
    <row r="73" ht="15" customHeight="1">
      <c r="A73" t="inlineStr">
        <is>
          <t>A 448-2026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46021</v>
      </c>
      <c r="E73" s="1" t="n">
        <v>46266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Dvärghäxört</t>
        </is>
      </c>
      <c r="W73">
        <f>HYPERLINK("https://klasma.github.io/Logging_2181/artfynd/A 448-2026 artfynd.xlsx", "A 448-2026")</f>
        <v/>
      </c>
      <c r="X73">
        <f>HYPERLINK("https://klasma.github.io/Logging_2181/kartor/A 448-2026 karta.png", "A 448-2026")</f>
        <v/>
      </c>
      <c r="Y73">
        <f>HYPERLINK("https://klasma.github.io/Logging_2181/kartor_geotiff/A 448-2026 georefererad karta.tif", "A 448-2026")</f>
        <v/>
      </c>
      <c r="AA73">
        <f>HYPERLINK("https://klasma.github.io/Logging_2181/klagomål/A 448-2026 FSC-klagomål.docx", "A 448-2026")</f>
        <v/>
      </c>
      <c r="AB73">
        <f>HYPERLINK("https://klasma.github.io/Logging_2181/klagomålsmail/A 448-2026 FSC-klagomål mail.docx", "A 448-2026")</f>
        <v/>
      </c>
      <c r="AC73">
        <f>HYPERLINK("https://klasma.github.io/Logging_2181/tillsyn/A 448-2026 tillsynsbegäran.docx", "A 448-2026")</f>
        <v/>
      </c>
      <c r="AD73">
        <f>HYPERLINK("https://klasma.github.io/Logging_2181/tillsynsmail/A 448-2026 tillsynsbegäran mail.docx", "A 448-2026")</f>
        <v/>
      </c>
    </row>
    <row r="74" ht="15" customHeight="1">
      <c r="A74" t="inlineStr">
        <is>
          <t>A 25479-2023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45089</v>
      </c>
      <c r="E74" s="1" t="n">
        <v>46266</v>
      </c>
      <c r="F74" t="inlineStr">
        <is>
          <t>GÄVLEBORGS LÄN</t>
        </is>
      </c>
      <c r="G74" t="inlineStr">
        <is>
          <t>SANDVIKEN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Grönpyrola</t>
        </is>
      </c>
      <c r="W74">
        <f>HYPERLINK("https://klasma.github.io/Logging_2181/artfynd/A 25479-2023 artfynd.xlsx", "A 25479-2023")</f>
        <v/>
      </c>
      <c r="X74">
        <f>HYPERLINK("https://klasma.github.io/Logging_2181/kartor/A 25479-2023 karta.png", "A 25479-2023")</f>
        <v/>
      </c>
      <c r="Y74">
        <f>HYPERLINK("https://klasma.github.io/Logging_2181/kartor_geotiff/A 25479-2023 georefererad karta.tif", "A 25479-2023")</f>
        <v/>
      </c>
      <c r="AA74">
        <f>HYPERLINK("https://klasma.github.io/Logging_2181/klagomål/A 25479-2023 FSC-klagomål.docx", "A 25479-2023")</f>
        <v/>
      </c>
      <c r="AB74">
        <f>HYPERLINK("https://klasma.github.io/Logging_2181/klagomålsmail/A 25479-2023 FSC-klagomål mail.docx", "A 25479-2023")</f>
        <v/>
      </c>
      <c r="AC74">
        <f>HYPERLINK("https://klasma.github.io/Logging_2181/tillsyn/A 25479-2023 tillsynsbegäran.docx", "A 25479-2023")</f>
        <v/>
      </c>
      <c r="AD74">
        <f>HYPERLINK("https://klasma.github.io/Logging_2181/tillsynsmail/A 25479-2023 tillsynsbegäran mail.docx", "A 25479-2023")</f>
        <v/>
      </c>
    </row>
    <row r="75" ht="15" customHeight="1">
      <c r="A75" t="inlineStr">
        <is>
          <t>A 1083-2026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46266</v>
      </c>
      <c r="F75" t="inlineStr">
        <is>
          <t>GÄVLEBORGS LÄN</t>
        </is>
      </c>
      <c r="G75" t="inlineStr">
        <is>
          <t>SANDVIKEN</t>
        </is>
      </c>
      <c r="I75" t="n">
        <v>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padda</t>
        </is>
      </c>
      <c r="W75">
        <f>HYPERLINK("https://klasma.github.io/Logging_2181/artfynd/A 1083-2026 artfynd.xlsx", "A 1083-2026")</f>
        <v/>
      </c>
      <c r="X75">
        <f>HYPERLINK("https://klasma.github.io/Logging_2181/kartor/A 1083-2026 karta.png", "A 1083-2026")</f>
        <v/>
      </c>
      <c r="Y75">
        <f>HYPERLINK("https://klasma.github.io/Logging_2181/kartor_geotiff/A 1083-2026 georefererad karta.tif", "A 1083-2026")</f>
        <v/>
      </c>
      <c r="AA75">
        <f>HYPERLINK("https://klasma.github.io/Logging_2181/klagomål/A 1083-2026 FSC-klagomål.docx", "A 1083-2026")</f>
        <v/>
      </c>
      <c r="AB75">
        <f>HYPERLINK("https://klasma.github.io/Logging_2181/klagomålsmail/A 1083-2026 FSC-klagomål mail.docx", "A 1083-2026")</f>
        <v/>
      </c>
      <c r="AC75">
        <f>HYPERLINK("https://klasma.github.io/Logging_2181/tillsyn/A 1083-2026 tillsynsbegäran.docx", "A 1083-2026")</f>
        <v/>
      </c>
      <c r="AD75">
        <f>HYPERLINK("https://klasma.github.io/Logging_2181/tillsynsmail/A 1083-2026 tillsynsbegäran mail.docx", "A 1083-2026")</f>
        <v/>
      </c>
    </row>
    <row r="76" ht="15" customHeight="1">
      <c r="A76" t="inlineStr">
        <is>
          <t>A 7393-2026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46266</v>
      </c>
      <c r="F76" t="inlineStr">
        <is>
          <t>GÄVLEBORGS LÄN</t>
        </is>
      </c>
      <c r="G76" t="inlineStr">
        <is>
          <t>SANDVIKEN</t>
        </is>
      </c>
      <c r="I76" t="n">
        <v>6.7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Brunklöver</t>
        </is>
      </c>
      <c r="W76">
        <f>HYPERLINK("https://klasma.github.io/Logging_2181/artfynd/A 7393-2026 artfynd.xlsx", "A 7393-2026")</f>
        <v/>
      </c>
      <c r="X76">
        <f>HYPERLINK("https://klasma.github.io/Logging_2181/kartor/A 7393-2026 karta.png", "A 7393-2026")</f>
        <v/>
      </c>
      <c r="Y76">
        <f>HYPERLINK("https://klasma.github.io/Logging_2181/kartor_geotiff/A 7393-2026 georefererad karta.tif", "A 7393-2026")</f>
        <v/>
      </c>
      <c r="AA76">
        <f>HYPERLINK("https://klasma.github.io/Logging_2181/klagomål/A 7393-2026 FSC-klagomål.docx", "A 7393-2026")</f>
        <v/>
      </c>
      <c r="AB76">
        <f>HYPERLINK("https://klasma.github.io/Logging_2181/klagomålsmail/A 7393-2026 FSC-klagomål mail.docx", "A 7393-2026")</f>
        <v/>
      </c>
      <c r="AC76">
        <f>HYPERLINK("https://klasma.github.io/Logging_2181/tillsyn/A 7393-2026 tillsynsbegäran.docx", "A 7393-2026")</f>
        <v/>
      </c>
      <c r="AD76">
        <f>HYPERLINK("https://klasma.github.io/Logging_2181/tillsynsmail/A 7393-2026 tillsynsbegäran mail.docx", "A 7393-2026")</f>
        <v/>
      </c>
    </row>
    <row r="77" ht="15" customHeight="1">
      <c r="A77" t="inlineStr">
        <is>
          <t>A 9267-2026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46069</v>
      </c>
      <c r="E77" s="1" t="n">
        <v>46266</v>
      </c>
      <c r="F77" t="inlineStr">
        <is>
          <t>GÄVLEBORGS LÄN</t>
        </is>
      </c>
      <c r="G77" t="inlineStr">
        <is>
          <t>SANDVIKEN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Gullpudra</t>
        </is>
      </c>
      <c r="W77">
        <f>HYPERLINK("https://klasma.github.io/Logging_2181/artfynd/A 9267-2026 artfynd.xlsx", "A 9267-2026")</f>
        <v/>
      </c>
      <c r="X77">
        <f>HYPERLINK("https://klasma.github.io/Logging_2181/kartor/A 9267-2026 karta.png", "A 9267-2026")</f>
        <v/>
      </c>
      <c r="Y77">
        <f>HYPERLINK("https://klasma.github.io/Logging_2181/kartor_geotiff/A 9267-2026 georefererad karta.tif", "A 9267-2026")</f>
        <v/>
      </c>
      <c r="AA77">
        <f>HYPERLINK("https://klasma.github.io/Logging_2181/klagomål/A 9267-2026 FSC-klagomål.docx", "A 9267-2026")</f>
        <v/>
      </c>
      <c r="AB77">
        <f>HYPERLINK("https://klasma.github.io/Logging_2181/klagomålsmail/A 9267-2026 FSC-klagomål mail.docx", "A 9267-2026")</f>
        <v/>
      </c>
      <c r="AC77">
        <f>HYPERLINK("https://klasma.github.io/Logging_2181/tillsyn/A 9267-2026 tillsynsbegäran.docx", "A 9267-2026")</f>
        <v/>
      </c>
      <c r="AD77">
        <f>HYPERLINK("https://klasma.github.io/Logging_2181/tillsynsmail/A 9267-2026 tillsynsbegäran mail.docx", "A 9267-2026")</f>
        <v/>
      </c>
    </row>
    <row r="78" ht="15" customHeight="1">
      <c r="A78" t="inlineStr">
        <is>
          <t>A 22275-2024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45446</v>
      </c>
      <c r="E78" s="1" t="n">
        <v>46266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Ekorrbär</t>
        </is>
      </c>
      <c r="W78">
        <f>HYPERLINK("https://klasma.github.io/Logging_2181/artfynd/A 22275-2024 artfynd.xlsx", "A 22275-2024")</f>
        <v/>
      </c>
      <c r="X78">
        <f>HYPERLINK("https://klasma.github.io/Logging_2181/kartor/A 22275-2024 karta.png", "A 22275-2024")</f>
        <v/>
      </c>
      <c r="Y78">
        <f>HYPERLINK("https://klasma.github.io/Logging_2181/kartor_geotiff/A 22275-2024 georefererad karta.tif", "A 22275-2024")</f>
        <v/>
      </c>
      <c r="AA78">
        <f>HYPERLINK("https://klasma.github.io/Logging_2181/klagomål/A 22275-2024 FSC-klagomål.docx", "A 22275-2024")</f>
        <v/>
      </c>
      <c r="AB78">
        <f>HYPERLINK("https://klasma.github.io/Logging_2181/klagomålsmail/A 22275-2024 FSC-klagomål mail.docx", "A 22275-2024")</f>
        <v/>
      </c>
      <c r="AC78">
        <f>HYPERLINK("https://klasma.github.io/Logging_2181/tillsyn/A 22275-2024 tillsynsbegäran.docx", "A 22275-2024")</f>
        <v/>
      </c>
      <c r="AD78">
        <f>HYPERLINK("https://klasma.github.io/Logging_2181/tillsynsmail/A 22275-2024 tillsynsbegäran mail.docx", "A 22275-2024")</f>
        <v/>
      </c>
    </row>
    <row r="79" ht="15" customHeight="1">
      <c r="A79" t="inlineStr">
        <is>
          <t>A 11784-2026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46084</v>
      </c>
      <c r="E79" s="1" t="n">
        <v>46266</v>
      </c>
      <c r="F79" t="inlineStr">
        <is>
          <t>GÄVLEBORGS LÄN</t>
        </is>
      </c>
      <c r="G79" t="inlineStr">
        <is>
          <t>SANDVIKEN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HYPERLINK("https://klasma.github.io/Logging_2181/artfynd/A 11784-2026 artfynd.xlsx", "A 11784-2026")</f>
        <v/>
      </c>
      <c r="X79">
        <f>HYPERLINK("https://klasma.github.io/Logging_2181/kartor/A 11784-2026 karta.png", "A 11784-2026")</f>
        <v/>
      </c>
      <c r="Y79">
        <f>HYPERLINK("https://klasma.github.io/Logging_2181/kartor_geotiff/A 11784-2026 georefererad karta.tif", "A 11784-2026")</f>
        <v/>
      </c>
      <c r="AA79">
        <f>HYPERLINK("https://klasma.github.io/Logging_2181/klagomål/A 11784-2026 FSC-klagomål.docx", "A 11784-2026")</f>
        <v/>
      </c>
      <c r="AB79">
        <f>HYPERLINK("https://klasma.github.io/Logging_2181/klagomålsmail/A 11784-2026 FSC-klagomål mail.docx", "A 11784-2026")</f>
        <v/>
      </c>
      <c r="AC79">
        <f>HYPERLINK("https://klasma.github.io/Logging_2181/tillsyn/A 11784-2026 tillsynsbegäran.docx", "A 11784-2026")</f>
        <v/>
      </c>
      <c r="AD79">
        <f>HYPERLINK("https://klasma.github.io/Logging_2181/tillsynsmail/A 11784-2026 tillsynsbegäran mail.docx", "A 11784-2026")</f>
        <v/>
      </c>
    </row>
    <row r="80" ht="15" customHeight="1">
      <c r="A80" t="inlineStr">
        <is>
          <t>A 5015-2023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44958</v>
      </c>
      <c r="E80" s="1" t="n">
        <v>46266</v>
      </c>
      <c r="F80" t="inlineStr">
        <is>
          <t>GÄVLEBORGS LÄN</t>
        </is>
      </c>
      <c r="G80" t="inlineStr">
        <is>
          <t>SANDVIKEN</t>
        </is>
      </c>
      <c r="I80" t="n">
        <v>7.8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Slåtterfibbla</t>
        </is>
      </c>
      <c r="W80">
        <f>HYPERLINK("https://klasma.github.io/Logging_2181/artfynd/A 5015-2023 artfynd.xlsx", "A 5015-2023")</f>
        <v/>
      </c>
      <c r="X80">
        <f>HYPERLINK("https://klasma.github.io/Logging_2181/kartor/A 5015-2023 karta.png", "A 5015-2023")</f>
        <v/>
      </c>
      <c r="Y80">
        <f>HYPERLINK("https://klasma.github.io/Logging_2181/kartor_geotiff/A 5015-2023 georefererad karta.tif", "A 5015-2023")</f>
        <v/>
      </c>
      <c r="AA80">
        <f>HYPERLINK("https://klasma.github.io/Logging_2181/klagomål/A 5015-2023 FSC-klagomål.docx", "A 5015-2023")</f>
        <v/>
      </c>
      <c r="AB80">
        <f>HYPERLINK("https://klasma.github.io/Logging_2181/klagomålsmail/A 5015-2023 FSC-klagomål mail.docx", "A 5015-2023")</f>
        <v/>
      </c>
      <c r="AC80">
        <f>HYPERLINK("https://klasma.github.io/Logging_2181/tillsyn/A 5015-2023 tillsynsbegäran.docx", "A 5015-2023")</f>
        <v/>
      </c>
      <c r="AD80">
        <f>HYPERLINK("https://klasma.github.io/Logging_2181/tillsynsmail/A 5015-2023 tillsynsbegäran mail.docx", "A 5015-2023")</f>
        <v/>
      </c>
    </row>
    <row r="81" ht="15" customHeight="1">
      <c r="A81" t="inlineStr">
        <is>
          <t>A 13135-2026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46266</v>
      </c>
      <c r="F81" t="inlineStr">
        <is>
          <t>GÄVLEBORGS LÄN</t>
        </is>
      </c>
      <c r="G81" t="inlineStr">
        <is>
          <t>SANDVIKEN</t>
        </is>
      </c>
      <c r="I81" t="n">
        <v>2.4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HYPERLINK("https://klasma.github.io/Logging_2181/artfynd/A 13135-2026 artfynd.xlsx", "A 13135-2026")</f>
        <v/>
      </c>
      <c r="X81">
        <f>HYPERLINK("https://klasma.github.io/Logging_2181/kartor/A 13135-2026 karta.png", "A 13135-2026")</f>
        <v/>
      </c>
      <c r="Y81">
        <f>HYPERLINK("https://klasma.github.io/Logging_2181/kartor_geotiff/A 13135-2026 georefererad karta.tif", "A 13135-2026")</f>
        <v/>
      </c>
      <c r="AA81">
        <f>HYPERLINK("https://klasma.github.io/Logging_2181/klagomål/A 13135-2026 FSC-klagomål.docx", "A 13135-2026")</f>
        <v/>
      </c>
      <c r="AB81">
        <f>HYPERLINK("https://klasma.github.io/Logging_2181/klagomålsmail/A 13135-2026 FSC-klagomål mail.docx", "A 13135-2026")</f>
        <v/>
      </c>
      <c r="AC81">
        <f>HYPERLINK("https://klasma.github.io/Logging_2181/tillsyn/A 13135-2026 tillsynsbegäran.docx", "A 13135-2026")</f>
        <v/>
      </c>
      <c r="AD81">
        <f>HYPERLINK("https://klasma.github.io/Logging_2181/tillsynsmail/A 13135-2026 tillsynsbegäran mail.docx", "A 13135-2026")</f>
        <v/>
      </c>
    </row>
    <row r="82" ht="15" customHeight="1">
      <c r="A82" t="inlineStr">
        <is>
          <t>A 13645-2026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46266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HYPERLINK("https://klasma.github.io/Logging_2181/artfynd/A 13645-2026 artfynd.xlsx", "A 13645-2026")</f>
        <v/>
      </c>
      <c r="X82">
        <f>HYPERLINK("https://klasma.github.io/Logging_2181/kartor/A 13645-2026 karta.png", "A 13645-2026")</f>
        <v/>
      </c>
      <c r="Y82">
        <f>HYPERLINK("https://klasma.github.io/Logging_2181/kartor_geotiff/A 13645-2026 georefererad karta.tif", "A 13645-2026")</f>
        <v/>
      </c>
      <c r="AA82">
        <f>HYPERLINK("https://klasma.github.io/Logging_2181/klagomål/A 13645-2026 FSC-klagomål.docx", "A 13645-2026")</f>
        <v/>
      </c>
      <c r="AB82">
        <f>HYPERLINK("https://klasma.github.io/Logging_2181/klagomålsmail/A 13645-2026 FSC-klagomål mail.docx", "A 13645-2026")</f>
        <v/>
      </c>
      <c r="AC82">
        <f>HYPERLINK("https://klasma.github.io/Logging_2181/tillsyn/A 13645-2026 tillsynsbegäran.docx", "A 13645-2026")</f>
        <v/>
      </c>
      <c r="AD82">
        <f>HYPERLINK("https://klasma.github.io/Logging_2181/tillsynsmail/A 13645-2026 tillsynsbegäran mail.docx", "A 13645-2026")</f>
        <v/>
      </c>
      <c r="AE82">
        <f>HYPERLINK("https://klasma.github.io/Logging_2181/fåglar/A 13645-2026 prioriterade fågelarter.docx", "A 13645-2026")</f>
        <v/>
      </c>
    </row>
    <row r="83" ht="15" customHeight="1">
      <c r="A83" t="inlineStr">
        <is>
          <t>A 14835-2026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46104</v>
      </c>
      <c r="E83" s="1" t="n">
        <v>46266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2.5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Höstlåsbräken</t>
        </is>
      </c>
      <c r="W83">
        <f>HYPERLINK("https://klasma.github.io/Logging_2181/artfynd/A 14835-2026 artfynd.xlsx", "A 14835-2026")</f>
        <v/>
      </c>
      <c r="X83">
        <f>HYPERLINK("https://klasma.github.io/Logging_2181/kartor/A 14835-2026 karta.png", "A 14835-2026")</f>
        <v/>
      </c>
      <c r="Y83">
        <f>HYPERLINK("https://klasma.github.io/Logging_2181/kartor_geotiff/A 14835-2026 georefererad karta.tif", "A 14835-2026")</f>
        <v/>
      </c>
      <c r="AA83">
        <f>HYPERLINK("https://klasma.github.io/Logging_2181/klagomål/A 14835-2026 FSC-klagomål.docx", "A 14835-2026")</f>
        <v/>
      </c>
      <c r="AB83">
        <f>HYPERLINK("https://klasma.github.io/Logging_2181/klagomålsmail/A 14835-2026 FSC-klagomål mail.docx", "A 14835-2026")</f>
        <v/>
      </c>
      <c r="AC83">
        <f>HYPERLINK("https://klasma.github.io/Logging_2181/tillsyn/A 14835-2026 tillsynsbegäran.docx", "A 14835-2026")</f>
        <v/>
      </c>
      <c r="AD83">
        <f>HYPERLINK("https://klasma.github.io/Logging_2181/tillsynsmail/A 14835-2026 tillsynsbegäran mail.docx", "A 14835-2026")</f>
        <v/>
      </c>
    </row>
    <row r="84" ht="15" customHeight="1">
      <c r="A84" t="inlineStr">
        <is>
          <t>A 15121-2026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46105</v>
      </c>
      <c r="E84" s="1" t="n">
        <v>46266</v>
      </c>
      <c r="F84" t="inlineStr">
        <is>
          <t>GÄVLEBORGS LÄN</t>
        </is>
      </c>
      <c r="G84" t="inlineStr">
        <is>
          <t>SANDVIKEN</t>
        </is>
      </c>
      <c r="I84" t="n">
        <v>2.7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Brandticka</t>
        </is>
      </c>
      <c r="W84">
        <f>HYPERLINK("https://klasma.github.io/Logging_2181/artfynd/A 15121-2026 artfynd.xlsx", "A 15121-2026")</f>
        <v/>
      </c>
      <c r="X84">
        <f>HYPERLINK("https://klasma.github.io/Logging_2181/kartor/A 15121-2026 karta.png", "A 15121-2026")</f>
        <v/>
      </c>
      <c r="Y84">
        <f>HYPERLINK("https://klasma.github.io/Logging_2181/kartor_geotiff/A 15121-2026 georefererad karta.tif", "A 15121-2026")</f>
        <v/>
      </c>
      <c r="AA84">
        <f>HYPERLINK("https://klasma.github.io/Logging_2181/klagomål/A 15121-2026 FSC-klagomål.docx", "A 15121-2026")</f>
        <v/>
      </c>
      <c r="AB84">
        <f>HYPERLINK("https://klasma.github.io/Logging_2181/klagomålsmail/A 15121-2026 FSC-klagomål mail.docx", "A 15121-2026")</f>
        <v/>
      </c>
      <c r="AC84">
        <f>HYPERLINK("https://klasma.github.io/Logging_2181/tillsyn/A 15121-2026 tillsynsbegäran.docx", "A 15121-2026")</f>
        <v/>
      </c>
      <c r="AD84">
        <f>HYPERLINK("https://klasma.github.io/Logging_2181/tillsynsmail/A 15121-2026 tillsynsbegäran mail.docx", "A 15121-2026")</f>
        <v/>
      </c>
    </row>
    <row r="85" ht="15" customHeight="1">
      <c r="A85" t="inlineStr">
        <is>
          <t>A 17062-2026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46114</v>
      </c>
      <c r="E85" s="1" t="n">
        <v>46266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5.7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Vårärt</t>
        </is>
      </c>
      <c r="W85">
        <f>HYPERLINK("https://klasma.github.io/Logging_2181/artfynd/A 17062-2026 artfynd.xlsx", "A 17062-2026")</f>
        <v/>
      </c>
      <c r="X85">
        <f>HYPERLINK("https://klasma.github.io/Logging_2181/kartor/A 17062-2026 karta.png", "A 17062-2026")</f>
        <v/>
      </c>
      <c r="Y85">
        <f>HYPERLINK("https://klasma.github.io/Logging_2181/kartor_geotiff/A 17062-2026 georefererad karta.tif", "A 17062-2026")</f>
        <v/>
      </c>
      <c r="AA85">
        <f>HYPERLINK("https://klasma.github.io/Logging_2181/klagomål/A 17062-2026 FSC-klagomål.docx", "A 17062-2026")</f>
        <v/>
      </c>
      <c r="AB85">
        <f>HYPERLINK("https://klasma.github.io/Logging_2181/klagomålsmail/A 17062-2026 FSC-klagomål mail.docx", "A 17062-2026")</f>
        <v/>
      </c>
      <c r="AC85">
        <f>HYPERLINK("https://klasma.github.io/Logging_2181/tillsyn/A 17062-2026 tillsynsbegäran.docx", "A 17062-2026")</f>
        <v/>
      </c>
      <c r="AD85">
        <f>HYPERLINK("https://klasma.github.io/Logging_2181/tillsynsmail/A 17062-2026 tillsynsbegäran mail.docx", "A 17062-2026")</f>
        <v/>
      </c>
    </row>
    <row r="86" ht="15" customHeight="1">
      <c r="A86" t="inlineStr">
        <is>
          <t>A 17364-2026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46119</v>
      </c>
      <c r="E86" s="1" t="n">
        <v>46266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3.2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Höstlåsbräken</t>
        </is>
      </c>
      <c r="W86">
        <f>HYPERLINK("https://klasma.github.io/Logging_2181/artfynd/A 17364-2026 artfynd.xlsx", "A 17364-2026")</f>
        <v/>
      </c>
      <c r="X86">
        <f>HYPERLINK("https://klasma.github.io/Logging_2181/kartor/A 17364-2026 karta.png", "A 17364-2026")</f>
        <v/>
      </c>
      <c r="Y86">
        <f>HYPERLINK("https://klasma.github.io/Logging_2181/kartor_geotiff/A 17364-2026 georefererad karta.tif", "A 17364-2026")</f>
        <v/>
      </c>
      <c r="AA86">
        <f>HYPERLINK("https://klasma.github.io/Logging_2181/klagomål/A 17364-2026 FSC-klagomål.docx", "A 17364-2026")</f>
        <v/>
      </c>
      <c r="AB86">
        <f>HYPERLINK("https://klasma.github.io/Logging_2181/klagomålsmail/A 17364-2026 FSC-klagomål mail.docx", "A 17364-2026")</f>
        <v/>
      </c>
      <c r="AC86">
        <f>HYPERLINK("https://klasma.github.io/Logging_2181/tillsyn/A 17364-2026 tillsynsbegäran.docx", "A 17364-2026")</f>
        <v/>
      </c>
      <c r="AD86">
        <f>HYPERLINK("https://klasma.github.io/Logging_2181/tillsynsmail/A 17364-2026 tillsynsbegäran mail.docx", "A 17364-2026")</f>
        <v/>
      </c>
    </row>
    <row r="87" ht="15" customHeight="1">
      <c r="A87" t="inlineStr">
        <is>
          <t>A 19272-2026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46133</v>
      </c>
      <c r="E87" s="1" t="n">
        <v>46266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9.4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HYPERLINK("https://klasma.github.io/Logging_2181/artfynd/A 19272-2026 artfynd.xlsx", "A 19272-2026")</f>
        <v/>
      </c>
      <c r="X87">
        <f>HYPERLINK("https://klasma.github.io/Logging_2181/kartor/A 19272-2026 karta.png", "A 19272-2026")</f>
        <v/>
      </c>
      <c r="Y87">
        <f>HYPERLINK("https://klasma.github.io/Logging_2181/kartor_geotiff/A 19272-2026 georefererad karta.tif", "A 19272-2026")</f>
        <v/>
      </c>
      <c r="AA87">
        <f>HYPERLINK("https://klasma.github.io/Logging_2181/klagomål/A 19272-2026 FSC-klagomål.docx", "A 19272-2026")</f>
        <v/>
      </c>
      <c r="AB87">
        <f>HYPERLINK("https://klasma.github.io/Logging_2181/klagomålsmail/A 19272-2026 FSC-klagomål mail.docx", "A 19272-2026")</f>
        <v/>
      </c>
      <c r="AC87">
        <f>HYPERLINK("https://klasma.github.io/Logging_2181/tillsyn/A 19272-2026 tillsynsbegäran.docx", "A 19272-2026")</f>
        <v/>
      </c>
      <c r="AD87">
        <f>HYPERLINK("https://klasma.github.io/Logging_2181/tillsynsmail/A 19272-2026 tillsynsbegäran mail.docx", "A 19272-2026")</f>
        <v/>
      </c>
    </row>
    <row r="88" ht="15" customHeight="1">
      <c r="A88" t="inlineStr">
        <is>
          <t>A 4324-2026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46266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11.2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HYPERLINK("https://klasma.github.io/Logging_2181/artfynd/A 4324-2026 artfynd.xlsx", "A 4324-2026")</f>
        <v/>
      </c>
      <c r="X88">
        <f>HYPERLINK("https://klasma.github.io/Logging_2181/kartor/A 4324-2026 karta.png", "A 4324-2026")</f>
        <v/>
      </c>
      <c r="Y88">
        <f>HYPERLINK("https://klasma.github.io/Logging_2181/kartor_geotiff/A 4324-2026 georefererad karta.tif", "A 4324-2026")</f>
        <v/>
      </c>
      <c r="AA88">
        <f>HYPERLINK("https://klasma.github.io/Logging_2181/klagomål/A 4324-2026 FSC-klagomål.docx", "A 4324-2026")</f>
        <v/>
      </c>
      <c r="AB88">
        <f>HYPERLINK("https://klasma.github.io/Logging_2181/klagomålsmail/A 4324-2026 FSC-klagomål mail.docx", "A 4324-2026")</f>
        <v/>
      </c>
      <c r="AC88">
        <f>HYPERLINK("https://klasma.github.io/Logging_2181/tillsyn/A 4324-2026 tillsynsbegäran.docx", "A 4324-2026")</f>
        <v/>
      </c>
      <c r="AD88">
        <f>HYPERLINK("https://klasma.github.io/Logging_2181/tillsynsmail/A 4324-2026 tillsynsbegäran mail.docx", "A 4324-2026")</f>
        <v/>
      </c>
      <c r="AE88">
        <f>HYPERLINK("https://klasma.github.io/Logging_2181/fåglar/A 4324-2026 prioriterade fågelarter.docx", "A 4324-2026")</f>
        <v/>
      </c>
    </row>
    <row r="89" ht="15" customHeight="1">
      <c r="A89" t="inlineStr">
        <is>
          <t>A 42115-2023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46266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2.4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HYPERLINK("https://klasma.github.io/Logging_2181/artfynd/A 42115-2023 artfynd.xlsx", "A 42115-2023")</f>
        <v/>
      </c>
      <c r="X89">
        <f>HYPERLINK("https://klasma.github.io/Logging_2181/kartor/A 42115-2023 karta.png", "A 42115-2023")</f>
        <v/>
      </c>
      <c r="Y89">
        <f>HYPERLINK("https://klasma.github.io/Logging_2181/kartor_geotiff/A 42115-2023 georefererad karta.tif", "A 42115-2023")</f>
        <v/>
      </c>
      <c r="AA89">
        <f>HYPERLINK("https://klasma.github.io/Logging_2181/klagomål/A 42115-2023 FSC-klagomål.docx", "A 42115-2023")</f>
        <v/>
      </c>
      <c r="AB89">
        <f>HYPERLINK("https://klasma.github.io/Logging_2181/klagomålsmail/A 42115-2023 FSC-klagomål mail.docx", "A 42115-2023")</f>
        <v/>
      </c>
      <c r="AC89">
        <f>HYPERLINK("https://klasma.github.io/Logging_2181/tillsyn/A 42115-2023 tillsynsbegäran.docx", "A 42115-2023")</f>
        <v/>
      </c>
      <c r="AD89">
        <f>HYPERLINK("https://klasma.github.io/Logging_2181/tillsynsmail/A 42115-2023 tillsynsbegäran mail.docx", "A 42115-2023")</f>
        <v/>
      </c>
      <c r="AE89">
        <f>HYPERLINK("https://klasma.github.io/Logging_2181/fåglar/A 42115-2023 prioriterade fågelarter.docx", "A 42115-2023")</f>
        <v/>
      </c>
    </row>
    <row r="90" ht="15" customHeight="1">
      <c r="A90" t="inlineStr">
        <is>
          <t>A 6972-2026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46266</v>
      </c>
      <c r="F90" t="inlineStr">
        <is>
          <t>GÄVLEBORGS LÄN</t>
        </is>
      </c>
      <c r="G90" t="inlineStr">
        <is>
          <t>SANDVIKEN</t>
        </is>
      </c>
      <c r="H90" t="inlineStr">
        <is>
          <t>Naturvårdsverket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6972-2026 artfynd.xlsx", "A 6972-2026")</f>
        <v/>
      </c>
      <c r="X90">
        <f>HYPERLINK("https://klasma.github.io/Logging_2181/kartor/A 6972-2026 karta.png", "A 6972-2026")</f>
        <v/>
      </c>
      <c r="Y90">
        <f>HYPERLINK("https://klasma.github.io/Logging_2181/kartor_geotiff/A 6972-2026 georefererad karta.tif", "A 6972-2026")</f>
        <v/>
      </c>
      <c r="AA90">
        <f>HYPERLINK("https://klasma.github.io/Logging_2181/klagomål/A 6972-2026 FSC-klagomål.docx", "A 6972-2026")</f>
        <v/>
      </c>
      <c r="AB90">
        <f>HYPERLINK("https://klasma.github.io/Logging_2181/klagomålsmail/A 6972-2026 FSC-klagomål mail.docx", "A 6972-2026")</f>
        <v/>
      </c>
      <c r="AC90">
        <f>HYPERLINK("https://klasma.github.io/Logging_2181/tillsyn/A 6972-2026 tillsynsbegäran.docx", "A 6972-2026")</f>
        <v/>
      </c>
      <c r="AD90">
        <f>HYPERLINK("https://klasma.github.io/Logging_2181/tillsynsmail/A 6972-2026 tillsynsbegäran mail.docx", "A 6972-2026")</f>
        <v/>
      </c>
    </row>
    <row r="91" ht="15" customHeight="1">
      <c r="A91" t="inlineStr">
        <is>
          <t>A 41349-2025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46266</v>
      </c>
      <c r="F91" t="inlineStr">
        <is>
          <t>GÄVLEBORGS LÄN</t>
        </is>
      </c>
      <c r="G91" t="inlineStr">
        <is>
          <t>SANDVIKEN</t>
        </is>
      </c>
      <c r="I91" t="n">
        <v>3.7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HYPERLINK("https://klasma.github.io/Logging_2181/artfynd/A 41349-2025 artfynd.xlsx", "A 41349-2025")</f>
        <v/>
      </c>
      <c r="X91">
        <f>HYPERLINK("https://klasma.github.io/Logging_2181/kartor/A 41349-2025 karta.png", "A 41349-2025")</f>
        <v/>
      </c>
      <c r="Y91">
        <f>HYPERLINK("https://klasma.github.io/Logging_2181/kartor_geotiff/A 41349-2025 georefererad karta.tif", "A 41349-2025")</f>
        <v/>
      </c>
      <c r="AA91">
        <f>HYPERLINK("https://klasma.github.io/Logging_2181/klagomål/A 41349-2025 FSC-klagomål.docx", "A 41349-2025")</f>
        <v/>
      </c>
      <c r="AB91">
        <f>HYPERLINK("https://klasma.github.io/Logging_2181/klagomålsmail/A 41349-2025 FSC-klagomål mail.docx", "A 41349-2025")</f>
        <v/>
      </c>
      <c r="AC91">
        <f>HYPERLINK("https://klasma.github.io/Logging_2181/tillsyn/A 41349-2025 tillsynsbegäran.docx", "A 41349-2025")</f>
        <v/>
      </c>
      <c r="AD91">
        <f>HYPERLINK("https://klasma.github.io/Logging_2181/tillsynsmail/A 41349-2025 tillsynsbegäran mail.docx", "A 41349-2025")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46266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Svartvit flugsnappare</t>
        </is>
      </c>
      <c r="W92">
        <f>HYPERLINK("https://klasma.github.io/Logging_2181/artfynd/A 21532-2026 artfynd.xlsx", "A 21532-2026")</f>
        <v/>
      </c>
      <c r="X92">
        <f>HYPERLINK("https://klasma.github.io/Logging_2181/kartor/A 21532-2026 karta.png", "A 21532-2026")</f>
        <v/>
      </c>
      <c r="Y92">
        <f>HYPERLINK("https://klasma.github.io/Logging_2181/kartor_geotiff/A 21532-2026 georefererad karta.tif", "A 21532-2026")</f>
        <v/>
      </c>
      <c r="AA92">
        <f>HYPERLINK("https://klasma.github.io/Logging_2181/klagomål/A 21532-2026 FSC-klagomål.docx", "A 21532-2026")</f>
        <v/>
      </c>
      <c r="AB92">
        <f>HYPERLINK("https://klasma.github.io/Logging_2181/klagomålsmail/A 21532-2026 FSC-klagomål mail.docx", "A 21532-2026")</f>
        <v/>
      </c>
      <c r="AC92">
        <f>HYPERLINK("https://klasma.github.io/Logging_2181/tillsyn/A 21532-2026 tillsynsbegäran.docx", "A 21532-2026")</f>
        <v/>
      </c>
      <c r="AD92">
        <f>HYPERLINK("https://klasma.github.io/Logging_2181/tillsynsmail/A 21532-2026 tillsynsbegäran mail.docx", "A 21532-2026")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46266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46266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46266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4384-2023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44955</v>
      </c>
      <c r="E96" s="1" t="n">
        <v>46266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Sångsvan</t>
        </is>
      </c>
      <c r="W96">
        <f>HYPERLINK("https://klasma.github.io/Logging_2181/artfynd/A 4384-2023 artfynd.xlsx", "A 4384-2023")</f>
        <v/>
      </c>
      <c r="X96">
        <f>HYPERLINK("https://klasma.github.io/Logging_2181/kartor/A 4384-2023 karta.png", "A 4384-2023")</f>
        <v/>
      </c>
      <c r="Y96">
        <f>HYPERLINK("https://klasma.github.io/Logging_2181/kartor_geotiff/A 4384-2023 georefererad karta.tif", "A 4384-2023")</f>
        <v/>
      </c>
      <c r="AA96">
        <f>HYPERLINK("https://klasma.github.io/Logging_2181/klagomål/A 4384-2023 FSC-klagomål.docx", "A 4384-2023")</f>
        <v/>
      </c>
      <c r="AB96">
        <f>HYPERLINK("https://klasma.github.io/Logging_2181/klagomålsmail/A 4384-2023 FSC-klagomål mail.docx", "A 4384-2023")</f>
        <v/>
      </c>
      <c r="AC96">
        <f>HYPERLINK("https://klasma.github.io/Logging_2181/tillsyn/A 4384-2023 tillsynsbegäran.docx", "A 4384-2023")</f>
        <v/>
      </c>
      <c r="AD96">
        <f>HYPERLINK("https://klasma.github.io/Logging_2181/tillsynsmail/A 4384-2023 tillsynsbegäran mail.docx", "A 4384-2023")</f>
        <v/>
      </c>
      <c r="AE96">
        <f>HYPERLINK("https://klasma.github.io/Logging_2181/fåglar/A 4384-2023 prioriterade fågelarter.docx", "A 4384-2023")</f>
        <v/>
      </c>
    </row>
    <row r="97" ht="15" customHeight="1">
      <c r="A97" t="inlineStr">
        <is>
          <t>A 26212-2026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46266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0.7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HYPERLINK("https://klasma.github.io/Logging_2181/artfynd/A 26212-2026 artfynd.xlsx", "A 26212-2026")</f>
        <v/>
      </c>
      <c r="X97">
        <f>HYPERLINK("https://klasma.github.io/Logging_2181/kartor/A 26212-2026 karta.png", "A 26212-2026")</f>
        <v/>
      </c>
      <c r="Y97">
        <f>HYPERLINK("https://klasma.github.io/Logging_2181/kartor_geotiff/A 26212-2026 georefererad karta.tif", "A 26212-2026")</f>
        <v/>
      </c>
      <c r="Z97">
        <f>HYPERLINK("https://klasma.github.io/Logging_2181/knärot/A 26212-2026 karta knärot.png", "A 26212-2026")</f>
        <v/>
      </c>
      <c r="AA97">
        <f>HYPERLINK("https://klasma.github.io/Logging_2181/klagomål/A 26212-2026 FSC-klagomål.docx", "A 26212-2026")</f>
        <v/>
      </c>
      <c r="AB97">
        <f>HYPERLINK("https://klasma.github.io/Logging_2181/klagomålsmail/A 26212-2026 FSC-klagomål mail.docx", "A 26212-2026")</f>
        <v/>
      </c>
      <c r="AC97">
        <f>HYPERLINK("https://klasma.github.io/Logging_2181/tillsyn/A 26212-2026 tillsynsbegäran.docx", "A 26212-2026")</f>
        <v/>
      </c>
      <c r="AD97">
        <f>HYPERLINK("https://klasma.github.io/Logging_2181/tillsynsmail/A 26212-2026 tillsynsbegäran mail.docx", "A 26212-2026")</f>
        <v/>
      </c>
    </row>
    <row r="98" ht="15" customHeight="1">
      <c r="A98" t="inlineStr">
        <is>
          <t>A 26271-2026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46182</v>
      </c>
      <c r="E98" s="1" t="n">
        <v>46266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Fläcknycklar</t>
        </is>
      </c>
      <c r="W98">
        <f>HYPERLINK("https://klasma.github.io/Logging_2181/artfynd/A 26271-2026 artfynd.xlsx", "A 26271-2026")</f>
        <v/>
      </c>
      <c r="X98">
        <f>HYPERLINK("https://klasma.github.io/Logging_2181/kartor/A 26271-2026 karta.png", "A 26271-2026")</f>
        <v/>
      </c>
      <c r="Y98">
        <f>HYPERLINK("https://klasma.github.io/Logging_2181/kartor_geotiff/A 26271-2026 georefererad karta.tif", "A 26271-2026")</f>
        <v/>
      </c>
      <c r="AA98">
        <f>HYPERLINK("https://klasma.github.io/Logging_2181/klagomål/A 26271-2026 FSC-klagomål.docx", "A 26271-2026")</f>
        <v/>
      </c>
      <c r="AB98">
        <f>HYPERLINK("https://klasma.github.io/Logging_2181/klagomålsmail/A 26271-2026 FSC-klagomål mail.docx", "A 26271-2026")</f>
        <v/>
      </c>
      <c r="AC98">
        <f>HYPERLINK("https://klasma.github.io/Logging_2181/tillsyn/A 26271-2026 tillsynsbegäran.docx", "A 26271-2026")</f>
        <v/>
      </c>
      <c r="AD98">
        <f>HYPERLINK("https://klasma.github.io/Logging_2181/tillsynsmail/A 26271-2026 tillsynsbegäran mail.docx", "A 26271-2026")</f>
        <v/>
      </c>
    </row>
    <row r="99" ht="15" customHeight="1">
      <c r="A99" t="inlineStr">
        <is>
          <t>A 27207-2026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46188</v>
      </c>
      <c r="E99" s="1" t="n">
        <v>46266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Kungsfågel</t>
        </is>
      </c>
      <c r="W99">
        <f>HYPERLINK("https://klasma.github.io/Logging_2181/artfynd/A 27207-2026 artfynd.xlsx", "A 27207-2026")</f>
        <v/>
      </c>
      <c r="X99">
        <f>HYPERLINK("https://klasma.github.io/Logging_2181/kartor/A 27207-2026 karta.png", "A 27207-2026")</f>
        <v/>
      </c>
      <c r="Y99">
        <f>HYPERLINK("https://klasma.github.io/Logging_2181/kartor_geotiff/A 27207-2026 georefererad karta.tif", "A 27207-2026")</f>
        <v/>
      </c>
      <c r="AA99">
        <f>HYPERLINK("https://klasma.github.io/Logging_2181/klagomål/A 27207-2026 FSC-klagomål.docx", "A 27207-2026")</f>
        <v/>
      </c>
      <c r="AB99">
        <f>HYPERLINK("https://klasma.github.io/Logging_2181/klagomålsmail/A 27207-2026 FSC-klagomål mail.docx", "A 27207-2026")</f>
        <v/>
      </c>
      <c r="AC99">
        <f>HYPERLINK("https://klasma.github.io/Logging_2181/tillsyn/A 27207-2026 tillsynsbegäran.docx", "A 27207-2026")</f>
        <v/>
      </c>
      <c r="AD99">
        <f>HYPERLINK("https://klasma.github.io/Logging_2181/tillsynsmail/A 27207-2026 tillsynsbegäran mail.docx", "A 27207-2026")</f>
        <v/>
      </c>
    </row>
    <row r="100" ht="15" customHeight="1">
      <c r="A100" t="inlineStr">
        <is>
          <t>A 23225-2026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46162</v>
      </c>
      <c r="E100" s="1" t="n">
        <v>46266</v>
      </c>
      <c r="F100" t="inlineStr">
        <is>
          <t>GÄVLEBORGS LÄN</t>
        </is>
      </c>
      <c r="G100" t="inlineStr">
        <is>
          <t>SANDVIKEN</t>
        </is>
      </c>
      <c r="H100" t="inlineStr">
        <is>
          <t>Bergvik skog öst AB</t>
        </is>
      </c>
      <c r="I100" t="n">
        <v>1.3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Rödvingetrast</t>
        </is>
      </c>
      <c r="W100">
        <f>HYPERLINK("https://klasma.github.io/Logging_2181/artfynd/A 23225-2026 artfynd.xlsx", "A 23225-2026")</f>
        <v/>
      </c>
      <c r="X100">
        <f>HYPERLINK("https://klasma.github.io/Logging_2181/kartor/A 23225-2026 karta.png", "A 23225-2026")</f>
        <v/>
      </c>
      <c r="Y100">
        <f>HYPERLINK("https://klasma.github.io/Logging_2181/kartor_geotiff/A 23225-2026 georefererad karta.tif", "A 23225-2026")</f>
        <v/>
      </c>
      <c r="AA100">
        <f>HYPERLINK("https://klasma.github.io/Logging_2181/klagomål/A 23225-2026 FSC-klagomål.docx", "A 23225-2026")</f>
        <v/>
      </c>
      <c r="AB100">
        <f>HYPERLINK("https://klasma.github.io/Logging_2181/klagomålsmail/A 23225-2026 FSC-klagomål mail.docx", "A 23225-2026")</f>
        <v/>
      </c>
      <c r="AC100">
        <f>HYPERLINK("https://klasma.github.io/Logging_2181/tillsyn/A 23225-2026 tillsynsbegäran.docx", "A 23225-2026")</f>
        <v/>
      </c>
      <c r="AD100">
        <f>HYPERLINK("https://klasma.github.io/Logging_2181/tillsynsmail/A 23225-2026 tillsynsbegäran mail.docx", "A 23225-2026")</f>
        <v/>
      </c>
      <c r="AE100">
        <f>HYPERLINK("https://klasma.github.io/Logging_2181/fåglar/A 23225-2026 prioriterade fågelarter.docx", "A 23225-2026")</f>
        <v/>
      </c>
    </row>
    <row r="101" ht="15" customHeight="1">
      <c r="A101" t="inlineStr">
        <is>
          <t>A 32533-2026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46266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Järnsparv</t>
        </is>
      </c>
      <c r="W101">
        <f>HYPERLINK("https://klasma.github.io/Logging_2181/artfynd/A 32533-2026 artfynd.xlsx", "A 32533-2026")</f>
        <v/>
      </c>
      <c r="X101">
        <f>HYPERLINK("https://klasma.github.io/Logging_2181/kartor/A 32533-2026 karta.png", "A 32533-2026")</f>
        <v/>
      </c>
      <c r="Y101">
        <f>HYPERLINK("https://klasma.github.io/Logging_2181/kartor_geotiff/A 32533-2026 georefererad karta.tif", "A 32533-2026")</f>
        <v/>
      </c>
      <c r="AA101">
        <f>HYPERLINK("https://klasma.github.io/Logging_2181/klagomål/A 32533-2026 FSC-klagomål.docx", "A 32533-2026")</f>
        <v/>
      </c>
      <c r="AB101">
        <f>HYPERLINK("https://klasma.github.io/Logging_2181/klagomålsmail/A 32533-2026 FSC-klagomål mail.docx", "A 32533-2026")</f>
        <v/>
      </c>
      <c r="AC101">
        <f>HYPERLINK("https://klasma.github.io/Logging_2181/tillsyn/A 32533-2026 tillsynsbegäran.docx", "A 32533-2026")</f>
        <v/>
      </c>
      <c r="AD101">
        <f>HYPERLINK("https://klasma.github.io/Logging_2181/tillsynsmail/A 32533-2026 tillsynsbegäran mail.docx", "A 32533-2026")</f>
        <v/>
      </c>
      <c r="AE101">
        <f>HYPERLINK("https://klasma.github.io/Logging_2181/fåglar/A 32533-2026 prioriterade fågelarter.docx", "A 32533-2026")</f>
        <v/>
      </c>
    </row>
    <row r="102" ht="15" customHeight="1">
      <c r="A102" t="inlineStr">
        <is>
          <t>A 32539-2026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46266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Grönsiska</t>
        </is>
      </c>
      <c r="W102">
        <f>HYPERLINK("https://klasma.github.io/Logging_2181/artfynd/A 32539-2026 artfynd.xlsx", "A 32539-2026")</f>
        <v/>
      </c>
      <c r="X102">
        <f>HYPERLINK("https://klasma.github.io/Logging_2181/kartor/A 32539-2026 karta.png", "A 32539-2026")</f>
        <v/>
      </c>
      <c r="Y102">
        <f>HYPERLINK("https://klasma.github.io/Logging_2181/kartor_geotiff/A 32539-2026 georefererad karta.tif", "A 32539-2026")</f>
        <v/>
      </c>
      <c r="AA102">
        <f>HYPERLINK("https://klasma.github.io/Logging_2181/klagomål/A 32539-2026 FSC-klagomål.docx", "A 32539-2026")</f>
        <v/>
      </c>
      <c r="AB102">
        <f>HYPERLINK("https://klasma.github.io/Logging_2181/klagomålsmail/A 32539-2026 FSC-klagomål mail.docx", "A 32539-2026")</f>
        <v/>
      </c>
      <c r="AC102">
        <f>HYPERLINK("https://klasma.github.io/Logging_2181/tillsyn/A 32539-2026 tillsynsbegäran.docx", "A 32539-2026")</f>
        <v/>
      </c>
      <c r="AD102">
        <f>HYPERLINK("https://klasma.github.io/Logging_2181/tillsynsmail/A 32539-2026 tillsynsbegäran mail.docx", "A 32539-2026")</f>
        <v/>
      </c>
    </row>
    <row r="103" ht="15" customHeight="1">
      <c r="A103" t="inlineStr">
        <is>
          <t>A 32544-2026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46239</v>
      </c>
      <c r="E103" s="1" t="n">
        <v>46266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HYPERLINK("https://klasma.github.io/Logging_2181/artfynd/A 32544-2026 artfynd.xlsx", "A 32544-2026")</f>
        <v/>
      </c>
      <c r="X103">
        <f>HYPERLINK("https://klasma.github.io/Logging_2181/kartor/A 32544-2026 karta.png", "A 32544-2026")</f>
        <v/>
      </c>
      <c r="Y103">
        <f>HYPERLINK("https://klasma.github.io/Logging_2181/kartor_geotiff/A 32544-2026 georefererad karta.tif", "A 32544-2026")</f>
        <v/>
      </c>
      <c r="AA103">
        <f>HYPERLINK("https://klasma.github.io/Logging_2181/klagomål/A 32544-2026 FSC-klagomål.docx", "A 32544-2026")</f>
        <v/>
      </c>
      <c r="AB103">
        <f>HYPERLINK("https://klasma.github.io/Logging_2181/klagomålsmail/A 32544-2026 FSC-klagomål mail.docx", "A 32544-2026")</f>
        <v/>
      </c>
      <c r="AC103">
        <f>HYPERLINK("https://klasma.github.io/Logging_2181/tillsyn/A 32544-2026 tillsynsbegäran.docx", "A 32544-2026")</f>
        <v/>
      </c>
      <c r="AD103">
        <f>HYPERLINK("https://klasma.github.io/Logging_2181/tillsynsmail/A 32544-2026 tillsynsbegäran mail.docx", "A 32544-2026")</f>
        <v/>
      </c>
    </row>
    <row r="104" ht="15" customHeight="1">
      <c r="A104" t="inlineStr">
        <is>
          <t>A 23289-2024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46266</v>
      </c>
      <c r="F104" t="inlineStr">
        <is>
          <t>GÄVLEBORGS LÄN</t>
        </is>
      </c>
      <c r="G104" t="inlineStr">
        <is>
          <t>SANDVIKEN</t>
        </is>
      </c>
      <c r="H104" t="inlineStr">
        <is>
          <t>Kyrkan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Skogsödla</t>
        </is>
      </c>
      <c r="W104">
        <f>HYPERLINK("https://klasma.github.io/Logging_2181/artfynd/A 23289-2024 artfynd.xlsx", "A 23289-2024")</f>
        <v/>
      </c>
      <c r="X104">
        <f>HYPERLINK("https://klasma.github.io/Logging_2181/kartor/A 23289-2024 karta.png", "A 23289-2024")</f>
        <v/>
      </c>
      <c r="Y104">
        <f>HYPERLINK("https://klasma.github.io/Logging_2181/kartor_geotiff/A 23289-2024 georefererad karta.tif", "A 23289-2024")</f>
        <v/>
      </c>
      <c r="AA104">
        <f>HYPERLINK("https://klasma.github.io/Logging_2181/klagomål/A 23289-2024 FSC-klagomål.docx", "A 23289-2024")</f>
        <v/>
      </c>
      <c r="AB104">
        <f>HYPERLINK("https://klasma.github.io/Logging_2181/klagomålsmail/A 23289-2024 FSC-klagomål mail.docx", "A 23289-2024")</f>
        <v/>
      </c>
      <c r="AC104">
        <f>HYPERLINK("https://klasma.github.io/Logging_2181/tillsyn/A 23289-2024 tillsynsbegäran.docx", "A 23289-2024")</f>
        <v/>
      </c>
      <c r="AD104">
        <f>HYPERLINK("https://klasma.github.io/Logging_2181/tillsynsmail/A 23289-2024 tillsynsbegäran mail.docx", "A 23289-2024")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46266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35419-2026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46266</v>
      </c>
      <c r="F106" t="inlineStr">
        <is>
          <t>GÄVLEBORGS LÄN</t>
        </is>
      </c>
      <c r="G106" t="inlineStr">
        <is>
          <t>SANDVIKEN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HYPERLINK("https://klasma.github.io/Logging_2181/artfynd/A 35419-2026 artfynd.xlsx", "A 35419-2026")</f>
        <v/>
      </c>
      <c r="X106">
        <f>HYPERLINK("https://klasma.github.io/Logging_2181/kartor/A 35419-2026 karta.png", "A 35419-2026")</f>
        <v/>
      </c>
      <c r="Y106">
        <f>HYPERLINK("https://klasma.github.io/Logging_2181/kartor_geotiff/A 35419-2026 georefererad karta.tif", "A 35419-2026")</f>
        <v/>
      </c>
      <c r="AA106">
        <f>HYPERLINK("https://klasma.github.io/Logging_2181/klagomål/A 35419-2026 FSC-klagomål.docx", "A 35419-2026")</f>
        <v/>
      </c>
      <c r="AB106">
        <f>HYPERLINK("https://klasma.github.io/Logging_2181/klagomålsmail/A 35419-2026 FSC-klagomål mail.docx", "A 35419-2026")</f>
        <v/>
      </c>
      <c r="AC106">
        <f>HYPERLINK("https://klasma.github.io/Logging_2181/tillsyn/A 35419-2026 tillsynsbegäran.docx", "A 35419-2026")</f>
        <v/>
      </c>
      <c r="AD106">
        <f>HYPERLINK("https://klasma.github.io/Logging_2181/tillsynsmail/A 35419-2026 tillsynsbegäran mail.docx", "A 35419-2026")</f>
        <v/>
      </c>
    </row>
    <row r="107" ht="15" customHeight="1">
      <c r="A107" t="inlineStr">
        <is>
          <t>A 31311-2026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46219</v>
      </c>
      <c r="E107" s="1" t="n">
        <v>46266</v>
      </c>
      <c r="F107" t="inlineStr">
        <is>
          <t>GÄVLEBORGS LÄN</t>
        </is>
      </c>
      <c r="G107" t="inlineStr">
        <is>
          <t>SANDVIKEN</t>
        </is>
      </c>
      <c r="I107" t="n">
        <v>1.7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HYPERLINK("https://klasma.github.io/Logging_2181/artfynd/A 31311-2026 artfynd.xlsx", "A 31311-2026")</f>
        <v/>
      </c>
      <c r="X107">
        <f>HYPERLINK("https://klasma.github.io/Logging_2181/kartor/A 31311-2026 karta.png", "A 31311-2026")</f>
        <v/>
      </c>
      <c r="Y107">
        <f>HYPERLINK("https://klasma.github.io/Logging_2181/kartor_geotiff/A 31311-2026 georefererad karta.tif", "A 31311-2026")</f>
        <v/>
      </c>
      <c r="AA107">
        <f>HYPERLINK("https://klasma.github.io/Logging_2181/klagomål/A 31311-2026 FSC-klagomål.docx", "A 31311-2026")</f>
        <v/>
      </c>
      <c r="AB107">
        <f>HYPERLINK("https://klasma.github.io/Logging_2181/klagomålsmail/A 31311-2026 FSC-klagomål mail.docx", "A 31311-2026")</f>
        <v/>
      </c>
      <c r="AC107">
        <f>HYPERLINK("https://klasma.github.io/Logging_2181/tillsyn/A 31311-2026 tillsynsbegäran.docx", "A 31311-2026")</f>
        <v/>
      </c>
      <c r="AD107">
        <f>HYPERLINK("https://klasma.github.io/Logging_2181/tillsynsmail/A 31311-2026 tillsynsbegäran mail.docx", "A 31311-2026")</f>
        <v/>
      </c>
    </row>
    <row r="108" ht="15" customHeight="1">
      <c r="A108" t="inlineStr">
        <is>
          <t>A 35540-2026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46266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Lopplummer (aggregat)</t>
        </is>
      </c>
      <c r="W108">
        <f>HYPERLINK("https://klasma.github.io/Logging_2181/artfynd/A 35540-2026 artfynd.xlsx", "A 35540-2026")</f>
        <v/>
      </c>
      <c r="X108">
        <f>HYPERLINK("https://klasma.github.io/Logging_2181/kartor/A 35540-2026 karta.png", "A 35540-2026")</f>
        <v/>
      </c>
      <c r="Y108">
        <f>HYPERLINK("https://klasma.github.io/Logging_2181/kartor_geotiff/A 35540-2026 georefererad karta.tif", "A 35540-2026")</f>
        <v/>
      </c>
      <c r="AA108">
        <f>HYPERLINK("https://klasma.github.io/Logging_2181/klagomål/A 35540-2026 FSC-klagomål.docx", "A 35540-2026")</f>
        <v/>
      </c>
      <c r="AB108">
        <f>HYPERLINK("https://klasma.github.io/Logging_2181/klagomålsmail/A 35540-2026 FSC-klagomål mail.docx", "A 35540-2026")</f>
        <v/>
      </c>
      <c r="AC108">
        <f>HYPERLINK("https://klasma.github.io/Logging_2181/tillsyn/A 35540-2026 tillsynsbegäran.docx", "A 35540-2026")</f>
        <v/>
      </c>
      <c r="AD108">
        <f>HYPERLINK("https://klasma.github.io/Logging_2181/tillsynsmail/A 35540-2026 tillsynsbegäran mail.docx", "A 35540-2026")</f>
        <v/>
      </c>
    </row>
    <row r="109" ht="15" customHeight="1">
      <c r="A109" t="inlineStr">
        <is>
          <t>A 35479-2026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46262</v>
      </c>
      <c r="E109" s="1" t="n">
        <v>46266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groda</t>
        </is>
      </c>
      <c r="W109">
        <f>HYPERLINK("https://klasma.github.io/Logging_2181/artfynd/A 35479-2026 artfynd.xlsx", "A 35479-2026")</f>
        <v/>
      </c>
      <c r="X109">
        <f>HYPERLINK("https://klasma.github.io/Logging_2181/kartor/A 35479-2026 karta.png", "A 35479-2026")</f>
        <v/>
      </c>
      <c r="Y109">
        <f>HYPERLINK("https://klasma.github.io/Logging_2181/kartor_geotiff/A 35479-2026 georefererad karta.tif", "A 35479-2026")</f>
        <v/>
      </c>
      <c r="AA109">
        <f>HYPERLINK("https://klasma.github.io/Logging_2181/klagomål/A 35479-2026 FSC-klagomål.docx", "A 35479-2026")</f>
        <v/>
      </c>
      <c r="AB109">
        <f>HYPERLINK("https://klasma.github.io/Logging_2181/klagomålsmail/A 35479-2026 FSC-klagomål mail.docx", "A 35479-2026")</f>
        <v/>
      </c>
      <c r="AC109">
        <f>HYPERLINK("https://klasma.github.io/Logging_2181/tillsyn/A 35479-2026 tillsynsbegäran.docx", "A 35479-2026")</f>
        <v/>
      </c>
      <c r="AD109">
        <f>HYPERLINK("https://klasma.github.io/Logging_2181/tillsynsmail/A 35479-2026 tillsynsbegäran mail.docx", "A 35479-2026")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46266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46266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46266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46266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46266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46266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46266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46266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46266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46266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46266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46266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46266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44441</v>
      </c>
      <c r="E123" s="1" t="n">
        <v>46266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47632-2021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46266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44760</v>
      </c>
      <c r="E125" s="1" t="n">
        <v>46266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46266</v>
      </c>
      <c r="F126" t="inlineStr">
        <is>
          <t>GÄVLEBORGS LÄN</t>
        </is>
      </c>
      <c r="G126" t="inlineStr">
        <is>
          <t>SANDVIKEN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46266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46266</v>
      </c>
      <c r="F128" t="inlineStr">
        <is>
          <t>GÄVLEBORGS LÄN</t>
        </is>
      </c>
      <c r="G128" t="inlineStr">
        <is>
          <t>SANDVIKEN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44876</v>
      </c>
      <c r="E129" s="1" t="n">
        <v>46266</v>
      </c>
      <c r="F129" t="inlineStr">
        <is>
          <t>GÄVLEBORGS LÄN</t>
        </is>
      </c>
      <c r="G129" t="inlineStr">
        <is>
          <t>SANDVIKEN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46266</v>
      </c>
      <c r="F130" t="inlineStr">
        <is>
          <t>GÄVLEBORGS LÄN</t>
        </is>
      </c>
      <c r="G130" t="inlineStr">
        <is>
          <t>SANDVIKEN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46266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46266</v>
      </c>
      <c r="F132" t="inlineStr">
        <is>
          <t>GÄVLEBORGS LÄN</t>
        </is>
      </c>
      <c r="G132" t="inlineStr">
        <is>
          <t>SANDVIKEN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60405-2021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46266</v>
      </c>
      <c r="F133" t="inlineStr">
        <is>
          <t>GÄVLEBORGS LÄN</t>
        </is>
      </c>
      <c r="G133" t="inlineStr">
        <is>
          <t>SANDVIKEN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46266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66590-2021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46266</v>
      </c>
      <c r="F135" t="inlineStr">
        <is>
          <t>GÄVLEBORGS LÄN</t>
        </is>
      </c>
      <c r="G135" t="inlineStr">
        <is>
          <t>SANDVIKEN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46266</v>
      </c>
      <c r="F136" t="inlineStr">
        <is>
          <t>GÄVLEBORGS LÄN</t>
        </is>
      </c>
      <c r="G136" t="inlineStr">
        <is>
          <t>SANDVIKEN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46266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46266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46266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46266</v>
      </c>
      <c r="F140" t="inlineStr">
        <is>
          <t>GÄVLEBORGS LÄN</t>
        </is>
      </c>
      <c r="G140" t="inlineStr">
        <is>
          <t>SANDVIKEN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44714</v>
      </c>
      <c r="E141" s="1" t="n">
        <v>46266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46266</v>
      </c>
      <c r="F142" t="inlineStr">
        <is>
          <t>GÄVLEBORGS LÄN</t>
        </is>
      </c>
      <c r="G142" t="inlineStr">
        <is>
          <t>SANDVIKEN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6947-2022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44603</v>
      </c>
      <c r="E143" s="1" t="n">
        <v>46266</v>
      </c>
      <c r="F143" t="inlineStr">
        <is>
          <t>GÄVLEBORGS LÄN</t>
        </is>
      </c>
      <c r="G143" t="inlineStr">
        <is>
          <t>SANDVIKEN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46266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46266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46266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46266</v>
      </c>
      <c r="F147" t="inlineStr">
        <is>
          <t>GÄVLEBORGS LÄN</t>
        </is>
      </c>
      <c r="G147" t="inlineStr">
        <is>
          <t>SANDVIKEN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46266</v>
      </c>
      <c r="F148" t="inlineStr">
        <is>
          <t>GÄVLEBORGS LÄN</t>
        </is>
      </c>
      <c r="G148" t="inlineStr">
        <is>
          <t>SANDVIKEN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46266</v>
      </c>
      <c r="F149" t="inlineStr">
        <is>
          <t>GÄVLEBORGS LÄN</t>
        </is>
      </c>
      <c r="G149" t="inlineStr">
        <is>
          <t>SANDVIKEN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45672</v>
      </c>
      <c r="E150" s="1" t="n">
        <v>46266</v>
      </c>
      <c r="F150" t="inlineStr">
        <is>
          <t>GÄVLEBORGS LÄN</t>
        </is>
      </c>
      <c r="G150" t="inlineStr">
        <is>
          <t>SANDVIKEN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46266</v>
      </c>
      <c r="F151" t="inlineStr">
        <is>
          <t>GÄVLEBORGS LÄN</t>
        </is>
      </c>
      <c r="G151" t="inlineStr">
        <is>
          <t>SANDVIKEN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46266</v>
      </c>
      <c r="F152" t="inlineStr">
        <is>
          <t>GÄVLEBORGS LÄN</t>
        </is>
      </c>
      <c r="G152" t="inlineStr">
        <is>
          <t>SANDVIKEN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36656-2023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45153</v>
      </c>
      <c r="E153" s="1" t="n">
        <v>46266</v>
      </c>
      <c r="F153" t="inlineStr">
        <is>
          <t>GÄVLEBORGS LÄN</t>
        </is>
      </c>
      <c r="G153" t="inlineStr">
        <is>
          <t>SANDVIKEN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47770-2025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46266</v>
      </c>
      <c r="F154" t="inlineStr">
        <is>
          <t>GÄVLEBORGS LÄN</t>
        </is>
      </c>
      <c r="G154" t="inlineStr">
        <is>
          <t>SANDVIKEN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16258-2023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45022</v>
      </c>
      <c r="E155" s="1" t="n">
        <v>46266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väst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45552</v>
      </c>
      <c r="E156" s="1" t="n">
        <v>46266</v>
      </c>
      <c r="F156" t="inlineStr">
        <is>
          <t>GÄVLEBORGS LÄN</t>
        </is>
      </c>
      <c r="G156" t="inlineStr">
        <is>
          <t>SANDVIKEN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48261-2025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46266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48268-2025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46266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44656</v>
      </c>
      <c r="E159" s="1" t="n">
        <v>46266</v>
      </c>
      <c r="F159" t="inlineStr">
        <is>
          <t>GÄVLEBORGS LÄN</t>
        </is>
      </c>
      <c r="G159" t="inlineStr">
        <is>
          <t>SANDVIKEN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44988</v>
      </c>
      <c r="E160" s="1" t="n">
        <v>46266</v>
      </c>
      <c r="F160" t="inlineStr">
        <is>
          <t>GÄVLEBORGS LÄN</t>
        </is>
      </c>
      <c r="G160" t="inlineStr">
        <is>
          <t>SANDVIKEN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46266</v>
      </c>
      <c r="F161" t="inlineStr">
        <is>
          <t>GÄVLEBORGS LÄN</t>
        </is>
      </c>
      <c r="G161" t="inlineStr">
        <is>
          <t>SANDVIKEN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45779</v>
      </c>
      <c r="E162" s="1" t="n">
        <v>46266</v>
      </c>
      <c r="F162" t="inlineStr">
        <is>
          <t>GÄVLEBORGS LÄN</t>
        </is>
      </c>
      <c r="G162" t="inlineStr">
        <is>
          <t>SANDVIKEN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45299-2023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45191</v>
      </c>
      <c r="E163" s="1" t="n">
        <v>46266</v>
      </c>
      <c r="F163" t="inlineStr">
        <is>
          <t>GÄVLEBORGS LÄN</t>
        </is>
      </c>
      <c r="G163" t="inlineStr">
        <is>
          <t>SANDVIKEN</t>
        </is>
      </c>
      <c r="H163" t="inlineStr">
        <is>
          <t>Bergvik skog öst AB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45920-2022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44846</v>
      </c>
      <c r="E164" s="1" t="n">
        <v>46266</v>
      </c>
      <c r="F164" t="inlineStr">
        <is>
          <t>GÄVLEBORGS LÄN</t>
        </is>
      </c>
      <c r="G164" t="inlineStr">
        <is>
          <t>SANDVIKEN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45523</v>
      </c>
      <c r="E165" s="1" t="n">
        <v>46266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öst AB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45540</v>
      </c>
      <c r="E166" s="1" t="n">
        <v>46266</v>
      </c>
      <c r="F166" t="inlineStr">
        <is>
          <t>GÄVLEBORGS LÄN</t>
        </is>
      </c>
      <c r="G166" t="inlineStr">
        <is>
          <t>SANDVIKEN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38673-2025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45884</v>
      </c>
      <c r="E167" s="1" t="n">
        <v>46266</v>
      </c>
      <c r="F167" t="inlineStr">
        <is>
          <t>GÄVLEBORGS LÄN</t>
        </is>
      </c>
      <c r="G167" t="inlineStr">
        <is>
          <t>SANDVIKEN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45205</v>
      </c>
      <c r="E168" s="1" t="n">
        <v>46266</v>
      </c>
      <c r="F168" t="inlineStr">
        <is>
          <t>GÄVLEBORGS LÄN</t>
        </is>
      </c>
      <c r="G168" t="inlineStr">
        <is>
          <t>SANDVIKEN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46266</v>
      </c>
      <c r="F169" t="inlineStr">
        <is>
          <t>GÄVLEBORGS LÄN</t>
        </is>
      </c>
      <c r="G169" t="inlineStr">
        <is>
          <t>SANDVIKEN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46266</v>
      </c>
      <c r="F170" t="inlineStr">
        <is>
          <t>GÄVLEBORGS LÄN</t>
        </is>
      </c>
      <c r="G170" t="inlineStr">
        <is>
          <t>SANDVIKEN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46266</v>
      </c>
      <c r="F171" t="inlineStr">
        <is>
          <t>GÄVLEBORGS LÄN</t>
        </is>
      </c>
      <c r="G171" t="inlineStr">
        <is>
          <t>SANDVIKEN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45933</v>
      </c>
      <c r="E172" s="1" t="n">
        <v>46266</v>
      </c>
      <c r="F172" t="inlineStr">
        <is>
          <t>GÄVLEBORGS LÄN</t>
        </is>
      </c>
      <c r="G172" t="inlineStr">
        <is>
          <t>SANDVIKEN</t>
        </is>
      </c>
      <c r="H172" t="inlineStr">
        <is>
          <t>Sveaskog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45555</v>
      </c>
      <c r="E173" s="1" t="n">
        <v>46266</v>
      </c>
      <c r="F173" t="inlineStr">
        <is>
          <t>GÄVLEBORGS LÄN</t>
        </is>
      </c>
      <c r="G173" t="inlineStr">
        <is>
          <t>SANDVIKEN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41284-2023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45174</v>
      </c>
      <c r="E174" s="1" t="n">
        <v>46266</v>
      </c>
      <c r="F174" t="inlineStr">
        <is>
          <t>GÄVLEBORGS LÄN</t>
        </is>
      </c>
      <c r="G174" t="inlineStr">
        <is>
          <t>SANDVIKEN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69521-2021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44531</v>
      </c>
      <c r="E175" s="1" t="n">
        <v>46266</v>
      </c>
      <c r="F175" t="inlineStr">
        <is>
          <t>GÄVLEBORGS LÄN</t>
        </is>
      </c>
      <c r="G175" t="inlineStr">
        <is>
          <t>SANDVIKEN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45240</v>
      </c>
      <c r="E176" s="1" t="n">
        <v>46266</v>
      </c>
      <c r="F176" t="inlineStr">
        <is>
          <t>GÄVLEBORGS LÄN</t>
        </is>
      </c>
      <c r="G176" t="inlineStr">
        <is>
          <t>SANDVIKEN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42950-2023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45178</v>
      </c>
      <c r="E177" s="1" t="n">
        <v>46266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väst AB</t>
        </is>
      </c>
      <c r="I177" t="n">
        <v>16.5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46266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väst AB</t>
        </is>
      </c>
      <c r="I178" t="n">
        <v>10.1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46266</v>
      </c>
      <c r="F179" t="inlineStr">
        <is>
          <t>GÄVLEBORGS LÄN</t>
        </is>
      </c>
      <c r="G179" t="inlineStr">
        <is>
          <t>SANDVIKEN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46266</v>
      </c>
      <c r="F180" t="inlineStr">
        <is>
          <t>GÄVLEBORGS LÄN</t>
        </is>
      </c>
      <c r="G180" t="inlineStr">
        <is>
          <t>SANDVIKEN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46266</v>
      </c>
      <c r="F181" t="inlineStr">
        <is>
          <t>GÄVLEBORGS LÄN</t>
        </is>
      </c>
      <c r="G181" t="inlineStr">
        <is>
          <t>SANDVIKEN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45671</v>
      </c>
      <c r="E182" s="1" t="n">
        <v>46266</v>
      </c>
      <c r="F182" t="inlineStr">
        <is>
          <t>GÄVLEBORGS LÄN</t>
        </is>
      </c>
      <c r="G182" t="inlineStr">
        <is>
          <t>SANDVIKEN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45520</v>
      </c>
      <c r="E183" s="1" t="n">
        <v>46266</v>
      </c>
      <c r="F183" t="inlineStr">
        <is>
          <t>GÄVLEBORGS LÄN</t>
        </is>
      </c>
      <c r="G183" t="inlineStr">
        <is>
          <t>SANDVIKEN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45525</v>
      </c>
      <c r="E184" s="1" t="n">
        <v>46266</v>
      </c>
      <c r="F184" t="inlineStr">
        <is>
          <t>GÄVLEBORGS LÄN</t>
        </is>
      </c>
      <c r="G184" t="inlineStr">
        <is>
          <t>SANDVIKEN</t>
        </is>
      </c>
      <c r="H184" t="inlineStr">
        <is>
          <t>Bergvik skog öst AB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45937</v>
      </c>
      <c r="E185" s="1" t="n">
        <v>46266</v>
      </c>
      <c r="F185" t="inlineStr">
        <is>
          <t>GÄVLEBORGS LÄN</t>
        </is>
      </c>
      <c r="G185" t="inlineStr">
        <is>
          <t>SANDVIKEN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48761-2025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46266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44845</v>
      </c>
      <c r="E187" s="1" t="n">
        <v>46266</v>
      </c>
      <c r="F187" t="inlineStr">
        <is>
          <t>GÄVLEBORGS LÄN</t>
        </is>
      </c>
      <c r="G187" t="inlineStr">
        <is>
          <t>SANDVIKEN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64587-2023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46266</v>
      </c>
      <c r="F188" t="inlineStr">
        <is>
          <t>GÄVLEBORGS LÄN</t>
        </is>
      </c>
      <c r="G188" t="inlineStr">
        <is>
          <t>SANDVIKEN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49704-2023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45212</v>
      </c>
      <c r="E189" s="1" t="n">
        <v>46266</v>
      </c>
      <c r="F189" t="inlineStr">
        <is>
          <t>GÄVLEBORGS LÄN</t>
        </is>
      </c>
      <c r="G189" t="inlineStr">
        <is>
          <t>SANDVIKEN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45938</v>
      </c>
      <c r="E190" s="1" t="n">
        <v>46266</v>
      </c>
      <c r="F190" t="inlineStr">
        <is>
          <t>GÄVLEBORGS LÄN</t>
        </is>
      </c>
      <c r="G190" t="inlineStr">
        <is>
          <t>SANDVIKEN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45939</v>
      </c>
      <c r="E191" s="1" t="n">
        <v>46266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49217-2025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45938</v>
      </c>
      <c r="E192" s="1" t="n">
        <v>46266</v>
      </c>
      <c r="F192" t="inlineStr">
        <is>
          <t>GÄVLEBORGS LÄN</t>
        </is>
      </c>
      <c r="G192" t="inlineStr">
        <is>
          <t>SANDVIKEN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46266</v>
      </c>
      <c r="F193" t="inlineStr">
        <is>
          <t>GÄVLEBORGS LÄN</t>
        </is>
      </c>
      <c r="G193" t="inlineStr">
        <is>
          <t>SANDVIKEN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45265</v>
      </c>
      <c r="E194" s="1" t="n">
        <v>46266</v>
      </c>
      <c r="F194" t="inlineStr">
        <is>
          <t>GÄVLEBORGS LÄN</t>
        </is>
      </c>
      <c r="G194" t="inlineStr">
        <is>
          <t>SANDVIKEN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45937</v>
      </c>
      <c r="E195" s="1" t="n">
        <v>46266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46266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19419-2025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45769</v>
      </c>
      <c r="E197" s="1" t="n">
        <v>46266</v>
      </c>
      <c r="F197" t="inlineStr">
        <is>
          <t>GÄVLEBORGS LÄN</t>
        </is>
      </c>
      <c r="G197" t="inlineStr">
        <is>
          <t>SANDVIKEN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45404</v>
      </c>
      <c r="E198" s="1" t="n">
        <v>46266</v>
      </c>
      <c r="F198" t="inlineStr">
        <is>
          <t>GÄVLEBORGS LÄN</t>
        </is>
      </c>
      <c r="G198" t="inlineStr">
        <is>
          <t>SANDVIKEN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44289-2023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45188</v>
      </c>
      <c r="E199" s="1" t="n">
        <v>46266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45475</v>
      </c>
      <c r="E200" s="1" t="n">
        <v>46266</v>
      </c>
      <c r="F200" t="inlineStr">
        <is>
          <t>GÄVLEBORGS LÄN</t>
        </is>
      </c>
      <c r="G200" t="inlineStr">
        <is>
          <t>SANDVIKEN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45540</v>
      </c>
      <c r="E201" s="1" t="n">
        <v>46266</v>
      </c>
      <c r="F201" t="inlineStr">
        <is>
          <t>GÄVLEBORGS LÄN</t>
        </is>
      </c>
      <c r="G201" t="inlineStr">
        <is>
          <t>SANDVIKEN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46266</v>
      </c>
      <c r="F202" t="inlineStr">
        <is>
          <t>GÄVLEBORGS LÄN</t>
        </is>
      </c>
      <c r="G202" t="inlineStr">
        <is>
          <t>SANDVIKEN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45649</v>
      </c>
      <c r="E203" s="1" t="n">
        <v>46266</v>
      </c>
      <c r="F203" t="inlineStr">
        <is>
          <t>GÄVLEBORGS LÄN</t>
        </is>
      </c>
      <c r="G203" t="inlineStr">
        <is>
          <t>SANDVIKEN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19771-2025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46266</v>
      </c>
      <c r="F204" t="inlineStr">
        <is>
          <t>GÄVLEBORGS LÄN</t>
        </is>
      </c>
      <c r="G204" t="inlineStr">
        <is>
          <t>SANDVIKEN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46266</v>
      </c>
      <c r="F205" t="inlineStr">
        <is>
          <t>GÄVLEBORGS LÄN</t>
        </is>
      </c>
      <c r="G205" t="inlineStr">
        <is>
          <t>SANDVIKEN</t>
        </is>
      </c>
      <c r="H205" t="inlineStr">
        <is>
          <t>Sveaskog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45899</v>
      </c>
      <c r="E206" s="1" t="n">
        <v>46266</v>
      </c>
      <c r="F206" t="inlineStr">
        <is>
          <t>GÄVLEBORGS LÄN</t>
        </is>
      </c>
      <c r="G206" t="inlineStr">
        <is>
          <t>SANDVIKEN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45673</v>
      </c>
      <c r="E207" s="1" t="n">
        <v>46266</v>
      </c>
      <c r="F207" t="inlineStr">
        <is>
          <t>GÄVLEBORGS LÄN</t>
        </is>
      </c>
      <c r="G207" t="inlineStr">
        <is>
          <t>SANDVIKEN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46266</v>
      </c>
      <c r="F208" t="inlineStr">
        <is>
          <t>GÄVLEBORGS LÄN</t>
        </is>
      </c>
      <c r="G208" t="inlineStr">
        <is>
          <t>SANDVIKEN</t>
        </is>
      </c>
      <c r="H208" t="inlineStr">
        <is>
          <t>Bergvik skog väst AB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45540</v>
      </c>
      <c r="E209" s="1" t="n">
        <v>46266</v>
      </c>
      <c r="F209" t="inlineStr">
        <is>
          <t>GÄVLEBORGS LÄN</t>
        </is>
      </c>
      <c r="G209" t="inlineStr">
        <is>
          <t>SANDVIKEN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45763</v>
      </c>
      <c r="E210" s="1" t="n">
        <v>46266</v>
      </c>
      <c r="F210" t="inlineStr">
        <is>
          <t>GÄVLEBORGS LÄN</t>
        </is>
      </c>
      <c r="G210" t="inlineStr">
        <is>
          <t>SANDVIKEN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64000-2023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45278</v>
      </c>
      <c r="E211" s="1" t="n">
        <v>46266</v>
      </c>
      <c r="F211" t="inlineStr">
        <is>
          <t>GÄVLEBORGS LÄN</t>
        </is>
      </c>
      <c r="G211" t="inlineStr">
        <is>
          <t>SANDVIKEN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45943</v>
      </c>
      <c r="E212" s="1" t="n">
        <v>46266</v>
      </c>
      <c r="F212" t="inlineStr">
        <is>
          <t>GÄVLEBORGS LÄN</t>
        </is>
      </c>
      <c r="G212" t="inlineStr">
        <is>
          <t>SANDVIKEN</t>
        </is>
      </c>
      <c r="H212" t="inlineStr">
        <is>
          <t>Sveaskog</t>
        </is>
      </c>
      <c r="I212" t="n">
        <v>16.6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45240</v>
      </c>
      <c r="E213" s="1" t="n">
        <v>46266</v>
      </c>
      <c r="F213" t="inlineStr">
        <is>
          <t>GÄVLEBORGS LÄN</t>
        </is>
      </c>
      <c r="G213" t="inlineStr">
        <is>
          <t>SANDVIKEN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45418</v>
      </c>
      <c r="E214" s="1" t="n">
        <v>46266</v>
      </c>
      <c r="F214" t="inlineStr">
        <is>
          <t>GÄVLEBORGS LÄN</t>
        </is>
      </c>
      <c r="G214" t="inlineStr">
        <is>
          <t>SANDVIKEN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45614</v>
      </c>
      <c r="E215" s="1" t="n">
        <v>46266</v>
      </c>
      <c r="F215" t="inlineStr">
        <is>
          <t>GÄVLEBORGS LÄN</t>
        </is>
      </c>
      <c r="G215" t="inlineStr">
        <is>
          <t>SANDVIKEN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45693</v>
      </c>
      <c r="E216" s="1" t="n">
        <v>46266</v>
      </c>
      <c r="F216" t="inlineStr">
        <is>
          <t>GÄVLEBORGS LÄN</t>
        </is>
      </c>
      <c r="G216" t="inlineStr">
        <is>
          <t>SANDVIKEN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24940-2025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46266</v>
      </c>
      <c r="F217" t="inlineStr">
        <is>
          <t>GÄVLEBORGS LÄN</t>
        </is>
      </c>
      <c r="G217" t="inlineStr">
        <is>
          <t>SANDVIKEN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46266</v>
      </c>
      <c r="F218" t="inlineStr">
        <is>
          <t>GÄVLEBORGS LÄN</t>
        </is>
      </c>
      <c r="G218" t="inlineStr">
        <is>
          <t>SANDVIKEN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46266</v>
      </c>
      <c r="F219" t="inlineStr">
        <is>
          <t>GÄVLEBORGS LÄN</t>
        </is>
      </c>
      <c r="G219" t="inlineStr">
        <is>
          <t>SANDVIKEN</t>
        </is>
      </c>
      <c r="I219" t="n">
        <v>10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45126</v>
      </c>
      <c r="E220" s="1" t="n">
        <v>46266</v>
      </c>
      <c r="F220" t="inlineStr">
        <is>
          <t>GÄVLEBORGS LÄN</t>
        </is>
      </c>
      <c r="G220" t="inlineStr">
        <is>
          <t>SANDVIKEN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46266</v>
      </c>
      <c r="F221" t="inlineStr">
        <is>
          <t>GÄVLEBORGS LÄN</t>
        </is>
      </c>
      <c r="G221" t="inlineStr">
        <is>
          <t>SANDVIKEN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25300-2025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45800</v>
      </c>
      <c r="E222" s="1" t="n">
        <v>46266</v>
      </c>
      <c r="F222" t="inlineStr">
        <is>
          <t>GÄVLEBORGS LÄN</t>
        </is>
      </c>
      <c r="G222" t="inlineStr">
        <is>
          <t>SANDVIKEN</t>
        </is>
      </c>
      <c r="H222" t="inlineStr">
        <is>
          <t>Sveaskog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45800</v>
      </c>
      <c r="E223" s="1" t="n">
        <v>46266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46266</v>
      </c>
      <c r="F224" t="inlineStr">
        <is>
          <t>GÄVLEBORGS LÄN</t>
        </is>
      </c>
      <c r="G224" t="inlineStr">
        <is>
          <t>SANDVIKEN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45800</v>
      </c>
      <c r="E225" s="1" t="n">
        <v>46266</v>
      </c>
      <c r="F225" t="inlineStr">
        <is>
          <t>GÄVLEBORGS LÄN</t>
        </is>
      </c>
      <c r="G225" t="inlineStr">
        <is>
          <t>SANDVIKEN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46266</v>
      </c>
      <c r="F226" t="inlineStr">
        <is>
          <t>GÄVLEBORGS LÄN</t>
        </is>
      </c>
      <c r="G226" t="inlineStr">
        <is>
          <t>SANDVIKEN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45805</v>
      </c>
      <c r="E227" s="1" t="n">
        <v>46266</v>
      </c>
      <c r="F227" t="inlineStr">
        <is>
          <t>GÄVLEBORGS LÄN</t>
        </is>
      </c>
      <c r="G227" t="inlineStr">
        <is>
          <t>SANDVIKEN</t>
        </is>
      </c>
      <c r="H227" t="inlineStr">
        <is>
          <t>Sveaskog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45365</v>
      </c>
      <c r="E228" s="1" t="n">
        <v>46266</v>
      </c>
      <c r="F228" t="inlineStr">
        <is>
          <t>GÄVLEBORGS LÄN</t>
        </is>
      </c>
      <c r="G228" t="inlineStr">
        <is>
          <t>SANDVIKEN</t>
        </is>
      </c>
      <c r="H228" t="inlineStr">
        <is>
          <t>Kommuner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46266</v>
      </c>
      <c r="F229" t="inlineStr">
        <is>
          <t>GÄVLEBORGS LÄN</t>
        </is>
      </c>
      <c r="G229" t="inlineStr">
        <is>
          <t>SANDVIKEN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46266</v>
      </c>
      <c r="F230" t="inlineStr">
        <is>
          <t>GÄVLEBORGS LÄN</t>
        </is>
      </c>
      <c r="G230" t="inlineStr">
        <is>
          <t>SANDVIKEN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46266</v>
      </c>
      <c r="F231" t="inlineStr">
        <is>
          <t>GÄVLEBORGS LÄN</t>
        </is>
      </c>
      <c r="G231" t="inlineStr">
        <is>
          <t>SANDVIKEN</t>
        </is>
      </c>
      <c r="H231" t="inlineStr">
        <is>
          <t>Kyrkan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45090-2025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45919</v>
      </c>
      <c r="E232" s="1" t="n">
        <v>46266</v>
      </c>
      <c r="F232" t="inlineStr">
        <is>
          <t>GÄVLEBORGS LÄN</t>
        </is>
      </c>
      <c r="G232" t="inlineStr">
        <is>
          <t>SANDVIKEN</t>
        </is>
      </c>
      <c r="H232" t="inlineStr">
        <is>
          <t>Kyrkan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45810</v>
      </c>
      <c r="E233" s="1" t="n">
        <v>46266</v>
      </c>
      <c r="F233" t="inlineStr">
        <is>
          <t>GÄVLEBORGS LÄN</t>
        </is>
      </c>
      <c r="G233" t="inlineStr">
        <is>
          <t>SANDVIKEN</t>
        </is>
      </c>
      <c r="H233" t="inlineStr">
        <is>
          <t>Sveaskog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46266</v>
      </c>
      <c r="F234" t="inlineStr">
        <is>
          <t>GÄVLEBORGS LÄN</t>
        </is>
      </c>
      <c r="G234" t="inlineStr">
        <is>
          <t>SANDVIKEN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45701</v>
      </c>
      <c r="E235" s="1" t="n">
        <v>46266</v>
      </c>
      <c r="F235" t="inlineStr">
        <is>
          <t>GÄVLEBORGS LÄN</t>
        </is>
      </c>
      <c r="G235" t="inlineStr">
        <is>
          <t>SANDVIKEN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45544</v>
      </c>
      <c r="E236" s="1" t="n">
        <v>46266</v>
      </c>
      <c r="F236" t="inlineStr">
        <is>
          <t>GÄVLEBORGS LÄN</t>
        </is>
      </c>
      <c r="G236" t="inlineStr">
        <is>
          <t>SANDVIKEN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56310-2021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44477</v>
      </c>
      <c r="E237" s="1" t="n">
        <v>46266</v>
      </c>
      <c r="F237" t="inlineStr">
        <is>
          <t>GÄVLEBORGS LÄN</t>
        </is>
      </c>
      <c r="G237" t="inlineStr">
        <is>
          <t>SANDVIKEN</t>
        </is>
      </c>
      <c r="H237" t="inlineStr">
        <is>
          <t>Bergvik skog väst AB</t>
        </is>
      </c>
      <c r="I237" t="n">
        <v>18.5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46321-2025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46266</v>
      </c>
      <c r="F238" t="inlineStr">
        <is>
          <t>GÄVLEBORGS LÄN</t>
        </is>
      </c>
      <c r="G238" t="inlineStr">
        <is>
          <t>SANDVIKEN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46269-2025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46266</v>
      </c>
      <c r="F239" t="inlineStr">
        <is>
          <t>GÄVLEBORGS LÄN</t>
        </is>
      </c>
      <c r="G239" t="inlineStr">
        <is>
          <t>SANDVIKEN</t>
        </is>
      </c>
      <c r="I239" t="n">
        <v>10.3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46266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45284-2023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45191</v>
      </c>
      <c r="E241" s="1" t="n">
        <v>46266</v>
      </c>
      <c r="F241" t="inlineStr">
        <is>
          <t>GÄVLEBORGS LÄN</t>
        </is>
      </c>
      <c r="G241" t="inlineStr">
        <is>
          <t>SANDVIKEN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45638</v>
      </c>
      <c r="E242" s="1" t="n">
        <v>46266</v>
      </c>
      <c r="F242" t="inlineStr">
        <is>
          <t>GÄVLEBORGS LÄN</t>
        </is>
      </c>
      <c r="G242" t="inlineStr">
        <is>
          <t>SANDVIKEN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46266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46266</v>
      </c>
      <c r="F244" t="inlineStr">
        <is>
          <t>GÄVLEBORGS LÄN</t>
        </is>
      </c>
      <c r="G244" t="inlineStr">
        <is>
          <t>SANDVIKEN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46266</v>
      </c>
      <c r="F245" t="inlineStr">
        <is>
          <t>GÄVLEBORGS LÄN</t>
        </is>
      </c>
      <c r="G245" t="inlineStr">
        <is>
          <t>SANDVIKEN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46266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45819</v>
      </c>
      <c r="E247" s="1" t="n">
        <v>46266</v>
      </c>
      <c r="F247" t="inlineStr">
        <is>
          <t>GÄVLEBORGS LÄN</t>
        </is>
      </c>
      <c r="G247" t="inlineStr">
        <is>
          <t>SANDVIKEN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28476-2025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46266</v>
      </c>
      <c r="F248" t="inlineStr">
        <is>
          <t>GÄVLEBORGS LÄN</t>
        </is>
      </c>
      <c r="G248" t="inlineStr">
        <is>
          <t>SANDVIKEN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44988</v>
      </c>
      <c r="E249" s="1" t="n">
        <v>46266</v>
      </c>
      <c r="F249" t="inlineStr">
        <is>
          <t>GÄVLEBORGS LÄN</t>
        </is>
      </c>
      <c r="G249" t="inlineStr">
        <is>
          <t>SANDVIKEN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46266</v>
      </c>
      <c r="F250" t="inlineStr">
        <is>
          <t>GÄVLEBORGS LÄN</t>
        </is>
      </c>
      <c r="G250" t="inlineStr">
        <is>
          <t>SANDVIKEN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46266</v>
      </c>
      <c r="F251" t="inlineStr">
        <is>
          <t>GÄVLEBORGS LÄN</t>
        </is>
      </c>
      <c r="G251" t="inlineStr">
        <is>
          <t>SANDVIKEN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47396-2025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46266</v>
      </c>
      <c r="F252" t="inlineStr">
        <is>
          <t>GÄVLEBORGS LÄN</t>
        </is>
      </c>
      <c r="G252" t="inlineStr">
        <is>
          <t>SANDVIKEN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45945</v>
      </c>
      <c r="E253" s="1" t="n">
        <v>46266</v>
      </c>
      <c r="F253" t="inlineStr">
        <is>
          <t>GÄVLEBORGS LÄN</t>
        </is>
      </c>
      <c r="G253" t="inlineStr">
        <is>
          <t>SANDVIKEN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46266</v>
      </c>
      <c r="F254" t="inlineStr">
        <is>
          <t>GÄVLEBORGS LÄN</t>
        </is>
      </c>
      <c r="G254" t="inlineStr">
        <is>
          <t>SANDVIKEN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29738-2025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46266</v>
      </c>
      <c r="F255" t="inlineStr">
        <is>
          <t>GÄVLEBORGS LÄN</t>
        </is>
      </c>
      <c r="G255" t="inlineStr">
        <is>
          <t>SANDVIKEN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44744</v>
      </c>
      <c r="E256" s="1" t="n">
        <v>46266</v>
      </c>
      <c r="F256" t="inlineStr">
        <is>
          <t>GÄVLEBORGS LÄN</t>
        </is>
      </c>
      <c r="G256" t="inlineStr">
        <is>
          <t>SANDVIKEN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50851-2025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45946</v>
      </c>
      <c r="E257" s="1" t="n">
        <v>46266</v>
      </c>
      <c r="F257" t="inlineStr">
        <is>
          <t>GÄVLEBORGS LÄN</t>
        </is>
      </c>
      <c r="G257" t="inlineStr">
        <is>
          <t>SANDVIKEN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46266</v>
      </c>
      <c r="F258" t="inlineStr">
        <is>
          <t>GÄVLEBORGS LÄN</t>
        </is>
      </c>
      <c r="G258" t="inlineStr">
        <is>
          <t>SANDVIKEN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46266</v>
      </c>
      <c r="F259" t="inlineStr">
        <is>
          <t>GÄVLEBORGS LÄN</t>
        </is>
      </c>
      <c r="G259" t="inlineStr">
        <is>
          <t>SANDVIKEN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16683-2024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46266</v>
      </c>
      <c r="F260" t="inlineStr">
        <is>
          <t>GÄVLEBORGS LÄN</t>
        </is>
      </c>
      <c r="G260" t="inlineStr">
        <is>
          <t>SANDVIKEN</t>
        </is>
      </c>
      <c r="H260" t="inlineStr">
        <is>
          <t>Bergvik skog väst AB</t>
        </is>
      </c>
      <c r="I260" t="n">
        <v>14.2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45833</v>
      </c>
      <c r="E261" s="1" t="n">
        <v>46266</v>
      </c>
      <c r="F261" t="inlineStr">
        <is>
          <t>GÄVLEBORGS LÄN</t>
        </is>
      </c>
      <c r="G261" t="inlineStr">
        <is>
          <t>SANDVIKEN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45832</v>
      </c>
      <c r="E262" s="1" t="n">
        <v>46266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30843-2025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45831</v>
      </c>
      <c r="E263" s="1" t="n">
        <v>46266</v>
      </c>
      <c r="F263" t="inlineStr">
        <is>
          <t>GÄVLEBORGS LÄN</t>
        </is>
      </c>
      <c r="G263" t="inlineStr">
        <is>
          <t>SANDVIKEN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45162</v>
      </c>
      <c r="E264" s="1" t="n">
        <v>46266</v>
      </c>
      <c r="F264" t="inlineStr">
        <is>
          <t>GÄVLEBORGS LÄN</t>
        </is>
      </c>
      <c r="G264" t="inlineStr">
        <is>
          <t>SANDVIKEN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46266</v>
      </c>
      <c r="F265" t="inlineStr">
        <is>
          <t>GÄVLEBORGS LÄN</t>
        </is>
      </c>
      <c r="G265" t="inlineStr">
        <is>
          <t>SANDVIKEN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45162</v>
      </c>
      <c r="E266" s="1" t="n">
        <v>46266</v>
      </c>
      <c r="F266" t="inlineStr">
        <is>
          <t>GÄVLEBORGS LÄN</t>
        </is>
      </c>
      <c r="G266" t="inlineStr">
        <is>
          <t>SANDVIKEN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45649</v>
      </c>
      <c r="E267" s="1" t="n">
        <v>46266</v>
      </c>
      <c r="F267" t="inlineStr">
        <is>
          <t>GÄVLEBORGS LÄN</t>
        </is>
      </c>
      <c r="G267" t="inlineStr">
        <is>
          <t>SANDVIKEN</t>
        </is>
      </c>
      <c r="I267" t="n">
        <v>11.1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45208</v>
      </c>
      <c r="E268" s="1" t="n">
        <v>46266</v>
      </c>
      <c r="F268" t="inlineStr">
        <is>
          <t>GÄVLEBORGS LÄN</t>
        </is>
      </c>
      <c r="G268" t="inlineStr">
        <is>
          <t>SANDVIKEN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33015-2025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45840</v>
      </c>
      <c r="E269" s="1" t="n">
        <v>46266</v>
      </c>
      <c r="F269" t="inlineStr">
        <is>
          <t>GÄVLEBORGS LÄN</t>
        </is>
      </c>
      <c r="G269" t="inlineStr">
        <is>
          <t>SANDVIKEN</t>
        </is>
      </c>
      <c r="H269" t="inlineStr">
        <is>
          <t>Bergvik skog öst AB</t>
        </is>
      </c>
      <c r="I269" t="n">
        <v>27.3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45730</v>
      </c>
      <c r="E270" s="1" t="n">
        <v>46266</v>
      </c>
      <c r="F270" t="inlineStr">
        <is>
          <t>GÄVLEBORGS LÄN</t>
        </is>
      </c>
      <c r="G270" t="inlineStr">
        <is>
          <t>SANDVIKEN</t>
        </is>
      </c>
      <c r="H270" t="inlineStr">
        <is>
          <t>Bergvik skog öst AB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45845</v>
      </c>
      <c r="E271" s="1" t="n">
        <v>46266</v>
      </c>
      <c r="F271" t="inlineStr">
        <is>
          <t>GÄVLEBORGS LÄN</t>
        </is>
      </c>
      <c r="G271" t="inlineStr">
        <is>
          <t>SANDVIKEN</t>
        </is>
      </c>
      <c r="H271" t="inlineStr">
        <is>
          <t>Sveaskog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45649</v>
      </c>
      <c r="E272" s="1" t="n">
        <v>46266</v>
      </c>
      <c r="F272" t="inlineStr">
        <is>
          <t>GÄVLEBORGS LÄN</t>
        </is>
      </c>
      <c r="G272" t="inlineStr">
        <is>
          <t>SANDVIKEN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46266</v>
      </c>
      <c r="F273" t="inlineStr">
        <is>
          <t>GÄVLEBORGS LÄN</t>
        </is>
      </c>
      <c r="G273" t="inlineStr">
        <is>
          <t>SANDVIKEN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46266</v>
      </c>
      <c r="F274" t="inlineStr">
        <is>
          <t>GÄVLEBORGS LÄN</t>
        </is>
      </c>
      <c r="G274" t="inlineStr">
        <is>
          <t>SANDVIKEN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47974-2024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45589</v>
      </c>
      <c r="E275" s="1" t="n">
        <v>46266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43121-2024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46266</v>
      </c>
      <c r="F276" t="inlineStr">
        <is>
          <t>GÄVLEBORGS LÄN</t>
        </is>
      </c>
      <c r="G276" t="inlineStr">
        <is>
          <t>SANDVIKEN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45260</v>
      </c>
      <c r="E277" s="1" t="n">
        <v>46266</v>
      </c>
      <c r="F277" t="inlineStr">
        <is>
          <t>GÄVLEBORGS LÄN</t>
        </is>
      </c>
      <c r="G277" t="inlineStr">
        <is>
          <t>SANDVIKEN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45863</v>
      </c>
      <c r="E278" s="1" t="n">
        <v>46266</v>
      </c>
      <c r="F278" t="inlineStr">
        <is>
          <t>GÄVLEBORGS LÄN</t>
        </is>
      </c>
      <c r="G278" t="inlineStr">
        <is>
          <t>SANDVIKEN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46266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36091-2025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45866</v>
      </c>
      <c r="E280" s="1" t="n">
        <v>46266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53867-2024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45615</v>
      </c>
      <c r="E281" s="1" t="n">
        <v>46266</v>
      </c>
      <c r="F281" t="inlineStr">
        <is>
          <t>GÄVLEBORGS LÄN</t>
        </is>
      </c>
      <c r="G281" t="inlineStr">
        <is>
          <t>SANDVIKEN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53718-2024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45615</v>
      </c>
      <c r="E282" s="1" t="n">
        <v>46266</v>
      </c>
      <c r="F282" t="inlineStr">
        <is>
          <t>GÄVLEBORGS LÄN</t>
        </is>
      </c>
      <c r="G282" t="inlineStr">
        <is>
          <t>SANDVIKEN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36212-2025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45867</v>
      </c>
      <c r="E283" s="1" t="n">
        <v>46266</v>
      </c>
      <c r="F283" t="inlineStr">
        <is>
          <t>GÄVLEBORGS LÄN</t>
        </is>
      </c>
      <c r="G283" t="inlineStr">
        <is>
          <t>SANDVIKEN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32849-2022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44784</v>
      </c>
      <c r="E284" s="1" t="n">
        <v>46266</v>
      </c>
      <c r="F284" t="inlineStr">
        <is>
          <t>GÄVLEBORGS LÄN</t>
        </is>
      </c>
      <c r="G284" t="inlineStr">
        <is>
          <t>SANDVIKEN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45870</v>
      </c>
      <c r="E285" s="1" t="n">
        <v>46266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45957</v>
      </c>
      <c r="E286" s="1" t="n">
        <v>46266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  <c r="Z286">
        <f>HYPERLINK("https://klasma.github.io/Logging_2181/knärot/A 52786-2025 karta knärot.png", "A 52786-2025")</f>
        <v/>
      </c>
      <c r="AA286">
        <f>HYPERLINK("https://klasma.github.io/Logging_2181/klagomål/A 52786-2025 FSC-klagomål.docx", "A 52786-2025")</f>
        <v/>
      </c>
      <c r="AB286">
        <f>HYPERLINK("https://klasma.github.io/Logging_2181/klagomålsmail/A 52786-2025 FSC-klagomål mail.docx", "A 52786-2025")</f>
        <v/>
      </c>
      <c r="AC286">
        <f>HYPERLINK("https://klasma.github.io/Logging_2181/tillsyn/A 52786-2025 tillsynsbegäran.docx", "A 52786-2025")</f>
        <v/>
      </c>
      <c r="AD286">
        <f>HYPERLINK("https://klasma.github.io/Logging_2181/tillsynsmail/A 52786-2025 tillsynsbegäran mail.docx", "A 52786-2025")</f>
        <v/>
      </c>
    </row>
    <row r="287" ht="15" customHeight="1">
      <c r="A287" t="inlineStr">
        <is>
          <t>A 38609-2022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44813</v>
      </c>
      <c r="E287" s="1" t="n">
        <v>46266</v>
      </c>
      <c r="F287" t="inlineStr">
        <is>
          <t>GÄVLEBORGS LÄN</t>
        </is>
      </c>
      <c r="G287" t="inlineStr">
        <is>
          <t>SANDVIKEN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36732-2025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45873</v>
      </c>
      <c r="E288" s="1" t="n">
        <v>46266</v>
      </c>
      <c r="F288" t="inlineStr">
        <is>
          <t>GÄVLEBORGS LÄN</t>
        </is>
      </c>
      <c r="G288" t="inlineStr">
        <is>
          <t>SANDVIKEN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52772-2023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45226</v>
      </c>
      <c r="E289" s="1" t="n">
        <v>46266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öst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45873</v>
      </c>
      <c r="E290" s="1" t="n">
        <v>46266</v>
      </c>
      <c r="F290" t="inlineStr">
        <is>
          <t>GÄVLEBORGS LÄN</t>
        </is>
      </c>
      <c r="G290" t="inlineStr">
        <is>
          <t>SANDVIKEN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36795-2025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45873</v>
      </c>
      <c r="E291" s="1" t="n">
        <v>46266</v>
      </c>
      <c r="F291" t="inlineStr">
        <is>
          <t>GÄVLEBORGS LÄN</t>
        </is>
      </c>
      <c r="G291" t="inlineStr">
        <is>
          <t>SANDVIKEN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45873</v>
      </c>
      <c r="E292" s="1" t="n">
        <v>46266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28897-2024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45480</v>
      </c>
      <c r="E293" s="1" t="n">
        <v>46266</v>
      </c>
      <c r="F293" t="inlineStr">
        <is>
          <t>GÄVLEBORGS LÄN</t>
        </is>
      </c>
      <c r="G293" t="inlineStr">
        <is>
          <t>SANDVIKEN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58562-2023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45251</v>
      </c>
      <c r="E294" s="1" t="n">
        <v>46266</v>
      </c>
      <c r="F294" t="inlineStr">
        <is>
          <t>GÄVLEBORGS LÄN</t>
        </is>
      </c>
      <c r="G294" t="inlineStr">
        <is>
          <t>SANDVIKEN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35184-2022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44797</v>
      </c>
      <c r="E295" s="1" t="n">
        <v>46266</v>
      </c>
      <c r="F295" t="inlineStr">
        <is>
          <t>GÄVLEBORGS LÄN</t>
        </is>
      </c>
      <c r="G295" t="inlineStr">
        <is>
          <t>SANDVIKEN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46266</v>
      </c>
      <c r="F296" t="inlineStr">
        <is>
          <t>GÄVLEBORGS LÄN</t>
        </is>
      </c>
      <c r="G296" t="inlineStr">
        <is>
          <t>SANDVIKEN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46266</v>
      </c>
      <c r="F297" t="inlineStr">
        <is>
          <t>GÄVLEBORGS LÄN</t>
        </is>
      </c>
      <c r="G297" t="inlineStr">
        <is>
          <t>SANDVIKEN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38423-2025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45883</v>
      </c>
      <c r="E298" s="1" t="n">
        <v>46266</v>
      </c>
      <c r="F298" t="inlineStr">
        <is>
          <t>GÄVLEBORGS LÄN</t>
        </is>
      </c>
      <c r="G298" t="inlineStr">
        <is>
          <t>SANDVIKEN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3119-2022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44582</v>
      </c>
      <c r="E299" s="1" t="n">
        <v>46266</v>
      </c>
      <c r="F299" t="inlineStr">
        <is>
          <t>GÄVLEBORGS LÄN</t>
        </is>
      </c>
      <c r="G299" t="inlineStr">
        <is>
          <t>SANDVIKEN</t>
        </is>
      </c>
      <c r="H299" t="inlineStr">
        <is>
          <t>Kyrkan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36646-2022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44804</v>
      </c>
      <c r="E300" s="1" t="n">
        <v>46266</v>
      </c>
      <c r="F300" t="inlineStr">
        <is>
          <t>GÄVLEBORGS LÄN</t>
        </is>
      </c>
      <c r="G300" t="inlineStr">
        <is>
          <t>SANDVIKEN</t>
        </is>
      </c>
      <c r="I300" t="n">
        <v>9.199999999999999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64112-2023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46266</v>
      </c>
      <c r="F301" t="inlineStr">
        <is>
          <t>GÄVLEBORGS LÄN</t>
        </is>
      </c>
      <c r="G301" t="inlineStr">
        <is>
          <t>SANDVIKEN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46266</v>
      </c>
      <c r="F302" t="inlineStr">
        <is>
          <t>GÄVLEBORGS LÄN</t>
        </is>
      </c>
      <c r="G302" t="inlineStr">
        <is>
          <t>SANDVIKEN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55355-2025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46266</v>
      </c>
      <c r="F303" t="inlineStr">
        <is>
          <t>GÄVLEBORGS LÄN</t>
        </is>
      </c>
      <c r="G303" t="inlineStr">
        <is>
          <t>SANDVIKEN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45968</v>
      </c>
      <c r="E304" s="1" t="n">
        <v>46266</v>
      </c>
      <c r="F304" t="inlineStr">
        <is>
          <t>GÄVLEBORGS LÄN</t>
        </is>
      </c>
      <c r="G304" t="inlineStr">
        <is>
          <t>SANDVIKEN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30718-2023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45112</v>
      </c>
      <c r="E305" s="1" t="n">
        <v>46266</v>
      </c>
      <c r="F305" t="inlineStr">
        <is>
          <t>GÄVLEBORGS LÄN</t>
        </is>
      </c>
      <c r="G305" t="inlineStr">
        <is>
          <t>SANDVIKEN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45330</v>
      </c>
      <c r="E306" s="1" t="n">
        <v>46266</v>
      </c>
      <c r="F306" t="inlineStr">
        <is>
          <t>GÄVLEBORGS LÄN</t>
        </is>
      </c>
      <c r="G306" t="inlineStr">
        <is>
          <t>SANDVIKEN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46266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46266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46266</v>
      </c>
      <c r="F309" t="inlineStr">
        <is>
          <t>GÄVLEBORGS LÄN</t>
        </is>
      </c>
      <c r="G309" t="inlineStr">
        <is>
          <t>SANDVIKEN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45884</v>
      </c>
      <c r="E310" s="1" t="n">
        <v>46266</v>
      </c>
      <c r="F310" t="inlineStr">
        <is>
          <t>GÄVLEBORGS LÄN</t>
        </is>
      </c>
      <c r="G310" t="inlineStr">
        <is>
          <t>SANDVIKEN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45667</v>
      </c>
      <c r="E311" s="1" t="n">
        <v>46266</v>
      </c>
      <c r="F311" t="inlineStr">
        <is>
          <t>GÄVLEBORGS LÄN</t>
        </is>
      </c>
      <c r="G311" t="inlineStr">
        <is>
          <t>SANDVIKEN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58885-2023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45252</v>
      </c>
      <c r="E312" s="1" t="n">
        <v>46266</v>
      </c>
      <c r="F312" t="inlineStr">
        <is>
          <t>GÄVLEBORGS LÄN</t>
        </is>
      </c>
      <c r="G312" t="inlineStr">
        <is>
          <t>SANDVIKEN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45977</v>
      </c>
      <c r="E313" s="1" t="n">
        <v>46266</v>
      </c>
      <c r="F313" t="inlineStr">
        <is>
          <t>GÄVLEBORGS LÄN</t>
        </is>
      </c>
      <c r="G313" t="inlineStr">
        <is>
          <t>SANDVIKEN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45540</v>
      </c>
      <c r="E314" s="1" t="n">
        <v>46266</v>
      </c>
      <c r="F314" t="inlineStr">
        <is>
          <t>GÄVLEBORGS LÄN</t>
        </is>
      </c>
      <c r="G314" t="inlineStr">
        <is>
          <t>SANDVIKEN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56150-2023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46266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46266</v>
      </c>
      <c r="F316" t="inlineStr">
        <is>
          <t>GÄVLEBORGS LÄN</t>
        </is>
      </c>
      <c r="G316" t="inlineStr">
        <is>
          <t>SANDVIKEN</t>
        </is>
      </c>
      <c r="I316" t="n">
        <v>10.4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57261-2025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46266</v>
      </c>
      <c r="F317" t="inlineStr">
        <is>
          <t>GÄVLEBORGS LÄN</t>
        </is>
      </c>
      <c r="G317" t="inlineStr">
        <is>
          <t>SANDVIKEN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58184-2025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45983</v>
      </c>
      <c r="E318" s="1" t="n">
        <v>46266</v>
      </c>
      <c r="F318" t="inlineStr">
        <is>
          <t>GÄVLEBORGS LÄN</t>
        </is>
      </c>
      <c r="G318" t="inlineStr">
        <is>
          <t>SANDVIKEN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45984</v>
      </c>
      <c r="E319" s="1" t="n">
        <v>46266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58199-2025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45984</v>
      </c>
      <c r="E320" s="1" t="n">
        <v>46266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45984</v>
      </c>
      <c r="E321" s="1" t="n">
        <v>46266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46266</v>
      </c>
      <c r="F322" t="inlineStr">
        <is>
          <t>GÄVLEBORGS LÄN</t>
        </is>
      </c>
      <c r="G322" t="inlineStr">
        <is>
          <t>SANDVIKEN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46266</v>
      </c>
      <c r="F323" t="inlineStr">
        <is>
          <t>GÄVLEBORGS LÄN</t>
        </is>
      </c>
      <c r="G323" t="inlineStr">
        <is>
          <t>SANDVIKEN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46266</v>
      </c>
      <c r="F324" t="inlineStr">
        <is>
          <t>GÄVLEBORGS LÄN</t>
        </is>
      </c>
      <c r="G324" t="inlineStr">
        <is>
          <t>SANDVIKEN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58592-2025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46266</v>
      </c>
      <c r="F325" t="inlineStr">
        <is>
          <t>GÄVLEBORGS LÄN</t>
        </is>
      </c>
      <c r="G325" t="inlineStr">
        <is>
          <t>SANDVIKEN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25828-2024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45467</v>
      </c>
      <c r="E326" s="1" t="n">
        <v>46266</v>
      </c>
      <c r="F326" t="inlineStr">
        <is>
          <t>GÄVLEBORGS LÄN</t>
        </is>
      </c>
      <c r="G326" t="inlineStr">
        <is>
          <t>SANDVIKEN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61694-2021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44501</v>
      </c>
      <c r="E327" s="1" t="n">
        <v>46266</v>
      </c>
      <c r="F327" t="inlineStr">
        <is>
          <t>GÄVLEBORGS LÄN</t>
        </is>
      </c>
      <c r="G327" t="inlineStr">
        <is>
          <t>SANDVIKEN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59750-2025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45992</v>
      </c>
      <c r="E328" s="1" t="n">
        <v>46266</v>
      </c>
      <c r="F328" t="inlineStr">
        <is>
          <t>GÄVLEBORGS LÄN</t>
        </is>
      </c>
      <c r="G328" t="inlineStr">
        <is>
          <t>SANDVIKEN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72997-2021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44549</v>
      </c>
      <c r="E329" s="1" t="n">
        <v>46266</v>
      </c>
      <c r="F329" t="inlineStr">
        <is>
          <t>GÄVLEBORGS LÄN</t>
        </is>
      </c>
      <c r="G329" t="inlineStr">
        <is>
          <t>SANDVIKEN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46266</v>
      </c>
      <c r="F330" t="inlineStr">
        <is>
          <t>GÄVLEBORGS LÄN</t>
        </is>
      </c>
      <c r="G330" t="inlineStr">
        <is>
          <t>SANDVIKEN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59755-2025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46266</v>
      </c>
      <c r="F331" t="inlineStr">
        <is>
          <t>GÄVLEBORGS LÄN</t>
        </is>
      </c>
      <c r="G331" t="inlineStr">
        <is>
          <t>SANDVIKEN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59718-2025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46266</v>
      </c>
      <c r="F332" t="inlineStr">
        <is>
          <t>GÄVLEBORGS LÄN</t>
        </is>
      </c>
      <c r="G332" t="inlineStr">
        <is>
          <t>SANDVIKEN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46266</v>
      </c>
      <c r="F333" t="inlineStr">
        <is>
          <t>GÄVLEBORGS LÄN</t>
        </is>
      </c>
      <c r="G333" t="inlineStr">
        <is>
          <t>SANDVIKEN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45121</v>
      </c>
      <c r="E334" s="1" t="n">
        <v>46266</v>
      </c>
      <c r="F334" t="inlineStr">
        <is>
          <t>GÄVLEBORGS LÄN</t>
        </is>
      </c>
      <c r="G334" t="inlineStr">
        <is>
          <t>SANDVIKEN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59623-2025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46266</v>
      </c>
      <c r="F335" t="inlineStr">
        <is>
          <t>GÄVLEBORGS LÄN</t>
        </is>
      </c>
      <c r="G335" t="inlineStr">
        <is>
          <t>SANDVIKEN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45769</v>
      </c>
      <c r="E336" s="1" t="n">
        <v>46266</v>
      </c>
      <c r="F336" t="inlineStr">
        <is>
          <t>GÄVLEBORGS LÄN</t>
        </is>
      </c>
      <c r="G336" t="inlineStr">
        <is>
          <t>SANDVIKEN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13632-2024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45390</v>
      </c>
      <c r="E337" s="1" t="n">
        <v>46266</v>
      </c>
      <c r="F337" t="inlineStr">
        <is>
          <t>GÄVLEBORGS LÄN</t>
        </is>
      </c>
      <c r="G337" t="inlineStr">
        <is>
          <t>SANDVIKEN</t>
        </is>
      </c>
      <c r="H337" t="inlineStr">
        <is>
          <t>Kyrkan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45252</v>
      </c>
      <c r="E338" s="1" t="n">
        <v>46266</v>
      </c>
      <c r="F338" t="inlineStr">
        <is>
          <t>GÄVLEBORGS LÄN</t>
        </is>
      </c>
      <c r="G338" t="inlineStr">
        <is>
          <t>SANDVIKEN</t>
        </is>
      </c>
      <c r="H338" t="inlineStr">
        <is>
          <t>Bergvik skog öst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7679-2025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46266</v>
      </c>
      <c r="F339" t="inlineStr">
        <is>
          <t>GÄVLEBORGS LÄN</t>
        </is>
      </c>
      <c r="G339" t="inlineStr">
        <is>
          <t>SANDVIKEN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45660</v>
      </c>
      <c r="E340" s="1" t="n">
        <v>46266</v>
      </c>
      <c r="F340" t="inlineStr">
        <is>
          <t>GÄVLEBORGS LÄN</t>
        </is>
      </c>
      <c r="G340" t="inlineStr">
        <is>
          <t>SANDVIKEN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45670</v>
      </c>
      <c r="E341" s="1" t="n">
        <v>46266</v>
      </c>
      <c r="F341" t="inlineStr">
        <is>
          <t>GÄVLEBORGS LÄN</t>
        </is>
      </c>
      <c r="G341" t="inlineStr">
        <is>
          <t>SANDVIKEN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46266</v>
      </c>
      <c r="F342" t="inlineStr">
        <is>
          <t>GÄVLEBORGS LÄN</t>
        </is>
      </c>
      <c r="G342" t="inlineStr">
        <is>
          <t>SANDVIKEN</t>
        </is>
      </c>
      <c r="I342" t="n">
        <v>9.6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57609-2023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46266</v>
      </c>
      <c r="F343" t="inlineStr">
        <is>
          <t>GÄVLEBORGS LÄN</t>
        </is>
      </c>
      <c r="G343" t="inlineStr">
        <is>
          <t>SANDVIKEN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28523-2024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45478</v>
      </c>
      <c r="E344" s="1" t="n">
        <v>46266</v>
      </c>
      <c r="F344" t="inlineStr">
        <is>
          <t>GÄVLEBORGS LÄN</t>
        </is>
      </c>
      <c r="G344" t="inlineStr">
        <is>
          <t>SANDVIKEN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46266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46266</v>
      </c>
      <c r="F346" t="inlineStr">
        <is>
          <t>GÄVLEBORGS LÄN</t>
        </is>
      </c>
      <c r="G346" t="inlineStr">
        <is>
          <t>SANDVIKEN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45984</v>
      </c>
      <c r="E347" s="1" t="n">
        <v>46266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45986</v>
      </c>
      <c r="E348" s="1" t="n">
        <v>46266</v>
      </c>
      <c r="F348" t="inlineStr">
        <is>
          <t>GÄVLEBORGS LÄN</t>
        </is>
      </c>
      <c r="G348" t="inlineStr">
        <is>
          <t>SANDVIKEN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32260-2023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45120</v>
      </c>
      <c r="E349" s="1" t="n">
        <v>46266</v>
      </c>
      <c r="F349" t="inlineStr">
        <is>
          <t>GÄVLEBORGS LÄN</t>
        </is>
      </c>
      <c r="G349" t="inlineStr">
        <is>
          <t>SANDVIKEN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46266</v>
      </c>
      <c r="F350" t="inlineStr">
        <is>
          <t>GÄVLEBORGS LÄN</t>
        </is>
      </c>
      <c r="G350" t="inlineStr">
        <is>
          <t>SANDVIKEN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46266</v>
      </c>
      <c r="F351" t="inlineStr">
        <is>
          <t>GÄVLEBORGS LÄN</t>
        </is>
      </c>
      <c r="G351" t="inlineStr">
        <is>
          <t>SANDVIKEN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61301-2025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46266</v>
      </c>
      <c r="F352" t="inlineStr">
        <is>
          <t>GÄVLEBORGS LÄN</t>
        </is>
      </c>
      <c r="G352" t="inlineStr">
        <is>
          <t>SANDVIKEN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58200-2025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45984</v>
      </c>
      <c r="E353" s="1" t="n">
        <v>46266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44586</v>
      </c>
      <c r="E354" s="1" t="n">
        <v>46266</v>
      </c>
      <c r="F354" t="inlineStr">
        <is>
          <t>GÄVLEBORGS LÄN</t>
        </is>
      </c>
      <c r="G354" t="inlineStr">
        <is>
          <t>SANDVIKEN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49512-2023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45211</v>
      </c>
      <c r="E355" s="1" t="n">
        <v>46266</v>
      </c>
      <c r="F355" t="inlineStr">
        <is>
          <t>GÄVLEBORGS LÄN</t>
        </is>
      </c>
      <c r="G355" t="inlineStr">
        <is>
          <t>SANDVIKEN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46013</v>
      </c>
      <c r="E356" s="1" t="n">
        <v>46266</v>
      </c>
      <c r="F356" t="inlineStr">
        <is>
          <t>GÄVLEBORGS LÄN</t>
        </is>
      </c>
      <c r="G356" t="inlineStr">
        <is>
          <t>SANDVIKEN</t>
        </is>
      </c>
      <c r="H356" t="inlineStr">
        <is>
          <t>Sveaskog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45070</v>
      </c>
      <c r="E357" s="1" t="n">
        <v>46266</v>
      </c>
      <c r="F357" t="inlineStr">
        <is>
          <t>GÄVLEBORGS LÄN</t>
        </is>
      </c>
      <c r="G357" t="inlineStr">
        <is>
          <t>SANDVIKEN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58796-2024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45636</v>
      </c>
      <c r="E358" s="1" t="n">
        <v>46266</v>
      </c>
      <c r="F358" t="inlineStr">
        <is>
          <t>GÄVLEBORGS LÄN</t>
        </is>
      </c>
      <c r="G358" t="inlineStr">
        <is>
          <t>SANDVIKEN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45087</v>
      </c>
      <c r="E359" s="1" t="n">
        <v>46266</v>
      </c>
      <c r="F359" t="inlineStr">
        <is>
          <t>GÄVLEBORGS LÄN</t>
        </is>
      </c>
      <c r="G359" t="inlineStr">
        <is>
          <t>SANDVIKEN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35252-2024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45530</v>
      </c>
      <c r="E360" s="1" t="n">
        <v>46266</v>
      </c>
      <c r="F360" t="inlineStr">
        <is>
          <t>GÄVLEBORGS LÄN</t>
        </is>
      </c>
      <c r="G360" t="inlineStr">
        <is>
          <t>SANDVIKEN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32291-2024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45512</v>
      </c>
      <c r="E361" s="1" t="n">
        <v>46266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46021</v>
      </c>
      <c r="E362" s="1" t="n">
        <v>46266</v>
      </c>
      <c r="F362" t="inlineStr">
        <is>
          <t>GÄVLEBORGS LÄN</t>
        </is>
      </c>
      <c r="G362" t="inlineStr">
        <is>
          <t>SANDVIKEN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24764-2024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45460</v>
      </c>
      <c r="E363" s="1" t="n">
        <v>46266</v>
      </c>
      <c r="F363" t="inlineStr">
        <is>
          <t>GÄVLEBORGS LÄN</t>
        </is>
      </c>
      <c r="G363" t="inlineStr">
        <is>
          <t>SANDVIKEN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45153</v>
      </c>
      <c r="E364" s="1" t="n">
        <v>46266</v>
      </c>
      <c r="F364" t="inlineStr">
        <is>
          <t>GÄVLEBORGS LÄN</t>
        </is>
      </c>
      <c r="G364" t="inlineStr">
        <is>
          <t>SANDVIKEN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60897-2023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45261</v>
      </c>
      <c r="E365" s="1" t="n">
        <v>46266</v>
      </c>
      <c r="F365" t="inlineStr">
        <is>
          <t>GÄVLEBORGS LÄN</t>
        </is>
      </c>
      <c r="G365" t="inlineStr">
        <is>
          <t>SANDVIKEN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62047-2022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44918</v>
      </c>
      <c r="E366" s="1" t="n">
        <v>46266</v>
      </c>
      <c r="F366" t="inlineStr">
        <is>
          <t>GÄVLEBORGS LÄN</t>
        </is>
      </c>
      <c r="G366" t="inlineStr">
        <is>
          <t>SANDVIKEN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46031</v>
      </c>
      <c r="E367" s="1" t="n">
        <v>46266</v>
      </c>
      <c r="F367" t="inlineStr">
        <is>
          <t>GÄVLEBORGS LÄN</t>
        </is>
      </c>
      <c r="G367" t="inlineStr">
        <is>
          <t>SANDVIKEN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45331-2024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45576</v>
      </c>
      <c r="E368" s="1" t="n">
        <v>46266</v>
      </c>
      <c r="F368" t="inlineStr">
        <is>
          <t>GÄVLEBORGS LÄN</t>
        </is>
      </c>
      <c r="G368" t="inlineStr">
        <is>
          <t>SANDVIKEN</t>
        </is>
      </c>
      <c r="H368" t="inlineStr">
        <is>
          <t>Bergvik skog öst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46031</v>
      </c>
      <c r="E369" s="1" t="n">
        <v>46266</v>
      </c>
      <c r="F369" t="inlineStr">
        <is>
          <t>GÄVLEBORGS LÄN</t>
        </is>
      </c>
      <c r="G369" t="inlineStr">
        <is>
          <t>SANDVIKEN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62642-2023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45271</v>
      </c>
      <c r="E370" s="1" t="n">
        <v>46266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62056-2022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44918</v>
      </c>
      <c r="E371" s="1" t="n">
        <v>46266</v>
      </c>
      <c r="F371" t="inlineStr">
        <is>
          <t>GÄVLEBORGS LÄN</t>
        </is>
      </c>
      <c r="G371" t="inlineStr">
        <is>
          <t>SANDVIKEN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46034</v>
      </c>
      <c r="E372" s="1" t="n">
        <v>46266</v>
      </c>
      <c r="F372" t="inlineStr">
        <is>
          <t>GÄVLEBORGS LÄN</t>
        </is>
      </c>
      <c r="G372" t="inlineStr">
        <is>
          <t>SANDVIKEN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46035</v>
      </c>
      <c r="E373" s="1" t="n">
        <v>46266</v>
      </c>
      <c r="F373" t="inlineStr">
        <is>
          <t>GÄVLEBORGS LÄN</t>
        </is>
      </c>
      <c r="G373" t="inlineStr">
        <is>
          <t>SANDVIKEN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46266</v>
      </c>
      <c r="F374" t="inlineStr">
        <is>
          <t>GÄVLEBORGS LÄN</t>
        </is>
      </c>
      <c r="G374" t="inlineStr">
        <is>
          <t>SANDVIKEN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46035</v>
      </c>
      <c r="E375" s="1" t="n">
        <v>46266</v>
      </c>
      <c r="F375" t="inlineStr">
        <is>
          <t>GÄVLEBORGS LÄN</t>
        </is>
      </c>
      <c r="G375" t="inlineStr">
        <is>
          <t>SANDVIKEN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58182-2023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45245</v>
      </c>
      <c r="E376" s="1" t="n">
        <v>46266</v>
      </c>
      <c r="F376" t="inlineStr">
        <is>
          <t>GÄVLEBORGS LÄN</t>
        </is>
      </c>
      <c r="G376" t="inlineStr">
        <is>
          <t>SANDVIKEN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46266</v>
      </c>
      <c r="F377" t="inlineStr">
        <is>
          <t>GÄVLEBORGS LÄN</t>
        </is>
      </c>
      <c r="G377" t="inlineStr">
        <is>
          <t>SANDVIKEN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45404</v>
      </c>
      <c r="E378" s="1" t="n">
        <v>46266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2094-2026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46266</v>
      </c>
      <c r="F379" t="inlineStr">
        <is>
          <t>GÄVLEBORGS LÄN</t>
        </is>
      </c>
      <c r="G379" t="inlineStr">
        <is>
          <t>SANDVIKEN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46266</v>
      </c>
      <c r="F380" t="inlineStr">
        <is>
          <t>GÄVLEBORGS LÄN</t>
        </is>
      </c>
      <c r="G380" t="inlineStr">
        <is>
          <t>SANDVIKEN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46266</v>
      </c>
      <c r="F381" t="inlineStr">
        <is>
          <t>GÄVLEBORGS LÄN</t>
        </is>
      </c>
      <c r="G381" t="inlineStr">
        <is>
          <t>SANDVIKEN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46266</v>
      </c>
      <c r="F382" t="inlineStr">
        <is>
          <t>GÄVLEBORGS LÄN</t>
        </is>
      </c>
      <c r="G382" t="inlineStr">
        <is>
          <t>SANDVIKEN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45069</v>
      </c>
      <c r="E383" s="1" t="n">
        <v>46266</v>
      </c>
      <c r="F383" t="inlineStr">
        <is>
          <t>GÄVLEBORGS LÄN</t>
        </is>
      </c>
      <c r="G383" t="inlineStr">
        <is>
          <t>SANDVIKEN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46036</v>
      </c>
      <c r="E384" s="1" t="n">
        <v>46266</v>
      </c>
      <c r="F384" t="inlineStr">
        <is>
          <t>GÄVLEBORGS LÄN</t>
        </is>
      </c>
      <c r="G384" t="inlineStr">
        <is>
          <t>SANDVIKEN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45666</v>
      </c>
      <c r="E385" s="1" t="n">
        <v>46266</v>
      </c>
      <c r="F385" t="inlineStr">
        <is>
          <t>GÄVLEBORGS LÄN</t>
        </is>
      </c>
      <c r="G385" t="inlineStr">
        <is>
          <t>SANDVIKEN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16980-2025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46266</v>
      </c>
      <c r="F386" t="inlineStr">
        <is>
          <t>GÄVLEBORGS LÄN</t>
        </is>
      </c>
      <c r="G386" t="inlineStr">
        <is>
          <t>SANDVIKEN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17498-2024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45415</v>
      </c>
      <c r="E387" s="1" t="n">
        <v>46266</v>
      </c>
      <c r="F387" t="inlineStr">
        <is>
          <t>GÄVLEBORGS LÄN</t>
        </is>
      </c>
      <c r="G387" t="inlineStr">
        <is>
          <t>SANDVIKEN</t>
        </is>
      </c>
      <c r="H387" t="inlineStr">
        <is>
          <t>Kommuner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11756-2023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44994</v>
      </c>
      <c r="E388" s="1" t="n">
        <v>46266</v>
      </c>
      <c r="F388" t="inlineStr">
        <is>
          <t>GÄVLEBORGS LÄN</t>
        </is>
      </c>
      <c r="G388" t="inlineStr">
        <is>
          <t>SANDVIKEN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44994</v>
      </c>
      <c r="E389" s="1" t="n">
        <v>46266</v>
      </c>
      <c r="F389" t="inlineStr">
        <is>
          <t>GÄVLEBORGS LÄN</t>
        </is>
      </c>
      <c r="G389" t="inlineStr">
        <is>
          <t>SANDVIKEN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46038</v>
      </c>
      <c r="E390" s="1" t="n">
        <v>46266</v>
      </c>
      <c r="F390" t="inlineStr">
        <is>
          <t>GÄVLEBORGS LÄN</t>
        </is>
      </c>
      <c r="G390" t="inlineStr">
        <is>
          <t>SANDVIKEN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46266</v>
      </c>
      <c r="F391" t="inlineStr">
        <is>
          <t>GÄVLEBORGS LÄN</t>
        </is>
      </c>
      <c r="G391" t="inlineStr">
        <is>
          <t>SANDVIKEN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46266</v>
      </c>
      <c r="F392" t="inlineStr">
        <is>
          <t>GÄVLEBORGS LÄN</t>
        </is>
      </c>
      <c r="G392" t="inlineStr">
        <is>
          <t>SANDVIKEN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46266</v>
      </c>
      <c r="F393" t="inlineStr">
        <is>
          <t>GÄVLEBORGS LÄN</t>
        </is>
      </c>
      <c r="G393" t="inlineStr">
        <is>
          <t>SANDVIKEN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17256-2024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45414</v>
      </c>
      <c r="E394" s="1" t="n">
        <v>46266</v>
      </c>
      <c r="F394" t="inlineStr">
        <is>
          <t>GÄVLEBORGS LÄN</t>
        </is>
      </c>
      <c r="G394" t="inlineStr">
        <is>
          <t>SANDVIKEN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45649</v>
      </c>
      <c r="E395" s="1" t="n">
        <v>46266</v>
      </c>
      <c r="F395" t="inlineStr">
        <is>
          <t>GÄVLEBORGS LÄN</t>
        </is>
      </c>
      <c r="G395" t="inlineStr">
        <is>
          <t>SANDVIKEN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6951-2024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45343</v>
      </c>
      <c r="E396" s="1" t="n">
        <v>46266</v>
      </c>
      <c r="F396" t="inlineStr">
        <is>
          <t>GÄVLEBORGS LÄN</t>
        </is>
      </c>
      <c r="G396" t="inlineStr">
        <is>
          <t>SANDVIKEN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46266</v>
      </c>
      <c r="F397" t="inlineStr">
        <is>
          <t>GÄVLEBORGS LÄN</t>
        </is>
      </c>
      <c r="G397" t="inlineStr">
        <is>
          <t>SANDVIKEN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46044</v>
      </c>
      <c r="E398" s="1" t="n">
        <v>46266</v>
      </c>
      <c r="F398" t="inlineStr">
        <is>
          <t>GÄVLEBORGS LÄN</t>
        </is>
      </c>
      <c r="G398" t="inlineStr">
        <is>
          <t>SANDVIKEN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46045</v>
      </c>
      <c r="E399" s="1" t="n">
        <v>46266</v>
      </c>
      <c r="F399" t="inlineStr">
        <is>
          <t>GÄVLEBORGS LÄN</t>
        </is>
      </c>
      <c r="G399" t="inlineStr">
        <is>
          <t>SANDVIKEN</t>
        </is>
      </c>
      <c r="H399" t="inlineStr">
        <is>
          <t>Kommuner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46045</v>
      </c>
      <c r="E400" s="1" t="n">
        <v>46266</v>
      </c>
      <c r="F400" t="inlineStr">
        <is>
          <t>GÄVLEBORGS LÄN</t>
        </is>
      </c>
      <c r="G400" t="inlineStr">
        <is>
          <t>SANDVIKEN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45730</v>
      </c>
      <c r="E401" s="1" t="n">
        <v>46266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45730</v>
      </c>
      <c r="E402" s="1" t="n">
        <v>46266</v>
      </c>
      <c r="F402" t="inlineStr">
        <is>
          <t>GÄVLEBORGS LÄN</t>
        </is>
      </c>
      <c r="G402" t="inlineStr">
        <is>
          <t>SANDVIKEN</t>
        </is>
      </c>
      <c r="H402" t="inlineStr">
        <is>
          <t>Bergvik skog öst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46050</v>
      </c>
      <c r="E403" s="1" t="n">
        <v>46266</v>
      </c>
      <c r="F403" t="inlineStr">
        <is>
          <t>GÄVLEBORGS LÄN</t>
        </is>
      </c>
      <c r="G403" t="inlineStr">
        <is>
          <t>SANDVIKEN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46050</v>
      </c>
      <c r="E404" s="1" t="n">
        <v>46266</v>
      </c>
      <c r="F404" t="inlineStr">
        <is>
          <t>GÄVLEBORGS LÄN</t>
        </is>
      </c>
      <c r="G404" t="inlineStr">
        <is>
          <t>SANDVIKEN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46051</v>
      </c>
      <c r="E405" s="1" t="n">
        <v>46266</v>
      </c>
      <c r="F405" t="inlineStr">
        <is>
          <t>GÄVLEBORGS LÄN</t>
        </is>
      </c>
      <c r="G405" t="inlineStr">
        <is>
          <t>SANDVIKEN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45261</v>
      </c>
      <c r="E406" s="1" t="n">
        <v>46266</v>
      </c>
      <c r="F406" t="inlineStr">
        <is>
          <t>GÄVLEBORGS LÄN</t>
        </is>
      </c>
      <c r="G406" t="inlineStr">
        <is>
          <t>SANDVIKEN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46051</v>
      </c>
      <c r="E407" s="1" t="n">
        <v>46266</v>
      </c>
      <c r="F407" t="inlineStr">
        <is>
          <t>GÄVLEBORGS LÄN</t>
        </is>
      </c>
      <c r="G407" t="inlineStr">
        <is>
          <t>SANDVIKEN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46266</v>
      </c>
      <c r="F408" t="inlineStr">
        <is>
          <t>GÄVLEBORGS LÄN</t>
        </is>
      </c>
      <c r="G408" t="inlineStr">
        <is>
          <t>SANDVIKEN</t>
        </is>
      </c>
      <c r="H408" t="inlineStr">
        <is>
          <t>Kommuner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46055</v>
      </c>
      <c r="E409" s="1" t="n">
        <v>46266</v>
      </c>
      <c r="F409" t="inlineStr">
        <is>
          <t>GÄVLEBORGS LÄN</t>
        </is>
      </c>
      <c r="G409" t="inlineStr">
        <is>
          <t>SANDVIKEN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45293</v>
      </c>
      <c r="E410" s="1" t="n">
        <v>46266</v>
      </c>
      <c r="F410" t="inlineStr">
        <is>
          <t>GÄVLEBORGS LÄN</t>
        </is>
      </c>
      <c r="G410" t="inlineStr">
        <is>
          <t>SANDVIKEN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45293</v>
      </c>
      <c r="E411" s="1" t="n">
        <v>46266</v>
      </c>
      <c r="F411" t="inlineStr">
        <is>
          <t>GÄVLEBORGS LÄN</t>
        </is>
      </c>
      <c r="G411" t="inlineStr">
        <is>
          <t>SANDVIKEN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46055</v>
      </c>
      <c r="E412" s="1" t="n">
        <v>46266</v>
      </c>
      <c r="F412" t="inlineStr">
        <is>
          <t>GÄVLEBORGS LÄN</t>
        </is>
      </c>
      <c r="G412" t="inlineStr">
        <is>
          <t>SANDVIKEN</t>
        </is>
      </c>
      <c r="H412" t="inlineStr">
        <is>
          <t>Kommuner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46266</v>
      </c>
      <c r="F413" t="inlineStr">
        <is>
          <t>GÄVLEBORGS LÄN</t>
        </is>
      </c>
      <c r="G413" t="inlineStr">
        <is>
          <t>SANDVIKEN</t>
        </is>
      </c>
      <c r="I413" t="n">
        <v>8.800000000000001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4498-2024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45327</v>
      </c>
      <c r="E414" s="1" t="n">
        <v>46266</v>
      </c>
      <c r="F414" t="inlineStr">
        <is>
          <t>GÄVLEBORGS LÄN</t>
        </is>
      </c>
      <c r="G414" t="inlineStr">
        <is>
          <t>SANDVIKEN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46043</v>
      </c>
      <c r="E415" s="1" t="n">
        <v>46266</v>
      </c>
      <c r="F415" t="inlineStr">
        <is>
          <t>GÄVLEBORGS LÄN</t>
        </is>
      </c>
      <c r="G415" t="inlineStr">
        <is>
          <t>SANDVIKEN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46056</v>
      </c>
      <c r="E416" s="1" t="n">
        <v>46266</v>
      </c>
      <c r="F416" t="inlineStr">
        <is>
          <t>GÄVLEBORGS LÄN</t>
        </is>
      </c>
      <c r="G416" t="inlineStr">
        <is>
          <t>SANDVIKEN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46056</v>
      </c>
      <c r="E417" s="1" t="n">
        <v>46266</v>
      </c>
      <c r="F417" t="inlineStr">
        <is>
          <t>GÄVLEBORGS LÄN</t>
        </is>
      </c>
      <c r="G417" t="inlineStr">
        <is>
          <t>SANDVIKEN</t>
        </is>
      </c>
      <c r="H417" t="inlineStr">
        <is>
          <t>Kommuner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46058</v>
      </c>
      <c r="E418" s="1" t="n">
        <v>46266</v>
      </c>
      <c r="F418" t="inlineStr">
        <is>
          <t>GÄVLEBORGS LÄN</t>
        </is>
      </c>
      <c r="G418" t="inlineStr">
        <is>
          <t>SANDVIKEN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46266</v>
      </c>
      <c r="F419" t="inlineStr">
        <is>
          <t>GÄVLEBORGS LÄN</t>
        </is>
      </c>
      <c r="G419" t="inlineStr">
        <is>
          <t>SANDVIKEN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7350-2026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46058</v>
      </c>
      <c r="E420" s="1" t="n">
        <v>46266</v>
      </c>
      <c r="F420" t="inlineStr">
        <is>
          <t>GÄVLEBORGS LÄN</t>
        </is>
      </c>
      <c r="G420" t="inlineStr">
        <is>
          <t>SANDVIKEN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46266</v>
      </c>
      <c r="F421" t="inlineStr">
        <is>
          <t>GÄVLEBORGS LÄN</t>
        </is>
      </c>
      <c r="G421" t="inlineStr">
        <is>
          <t>SANDVIKEN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7360-2026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46058</v>
      </c>
      <c r="E422" s="1" t="n">
        <v>46266</v>
      </c>
      <c r="F422" t="inlineStr">
        <is>
          <t>GÄVLEBORGS LÄN</t>
        </is>
      </c>
      <c r="G422" t="inlineStr">
        <is>
          <t>SANDVIKEN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7890-2026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46266</v>
      </c>
      <c r="F423" t="inlineStr">
        <is>
          <t>GÄVLEBORGS LÄN</t>
        </is>
      </c>
      <c r="G423" t="inlineStr">
        <is>
          <t>SANDVIKEN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7885-2026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46063</v>
      </c>
      <c r="E424" s="1" t="n">
        <v>46266</v>
      </c>
      <c r="F424" t="inlineStr">
        <is>
          <t>GÄVLEBORGS LÄN</t>
        </is>
      </c>
      <c r="G424" t="inlineStr">
        <is>
          <t>SANDVIKEN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7886-2026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46266</v>
      </c>
      <c r="F425" t="inlineStr">
        <is>
          <t>GÄVLEBORGS LÄN</t>
        </is>
      </c>
      <c r="G425" t="inlineStr">
        <is>
          <t>SANDVIKEN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7725-2026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46062</v>
      </c>
      <c r="E426" s="1" t="n">
        <v>46266</v>
      </c>
      <c r="F426" t="inlineStr">
        <is>
          <t>GÄVLEBORGS LÄN</t>
        </is>
      </c>
      <c r="G426" t="inlineStr">
        <is>
          <t>SANDVIKEN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7910-2026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46063</v>
      </c>
      <c r="E427" s="1" t="n">
        <v>46266</v>
      </c>
      <c r="F427" t="inlineStr">
        <is>
          <t>GÄVLEBORGS LÄN</t>
        </is>
      </c>
      <c r="G427" t="inlineStr">
        <is>
          <t>SANDVIKEN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7914-2026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46063</v>
      </c>
      <c r="E428" s="1" t="n">
        <v>46266</v>
      </c>
      <c r="F428" t="inlineStr">
        <is>
          <t>GÄVLEBORGS LÄN</t>
        </is>
      </c>
      <c r="G428" t="inlineStr">
        <is>
          <t>SANDVIKEN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46063</v>
      </c>
      <c r="E429" s="1" t="n">
        <v>46266</v>
      </c>
      <c r="F429" t="inlineStr">
        <is>
          <t>GÄVLEBORGS LÄN</t>
        </is>
      </c>
      <c r="G429" t="inlineStr">
        <is>
          <t>SANDVIKEN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46266</v>
      </c>
      <c r="F430" t="inlineStr">
        <is>
          <t>GÄVLEBORGS LÄN</t>
        </is>
      </c>
      <c r="G430" t="inlineStr">
        <is>
          <t>SANDVIKEN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45321</v>
      </c>
      <c r="E431" s="1" t="n">
        <v>46266</v>
      </c>
      <c r="F431" t="inlineStr">
        <is>
          <t>GÄVLEBORGS LÄN</t>
        </is>
      </c>
      <c r="G431" t="inlineStr">
        <is>
          <t>SANDVIKEN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46062</v>
      </c>
      <c r="E432" s="1" t="n">
        <v>46266</v>
      </c>
      <c r="F432" t="inlineStr">
        <is>
          <t>GÄVLEBORGS LÄN</t>
        </is>
      </c>
      <c r="G432" t="inlineStr">
        <is>
          <t>SANDVIKEN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8295-2026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46063</v>
      </c>
      <c r="E433" s="1" t="n">
        <v>46266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väst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46266</v>
      </c>
      <c r="F434" t="inlineStr">
        <is>
          <t>GÄVLEBORGS LÄN</t>
        </is>
      </c>
      <c r="G434" t="inlineStr">
        <is>
          <t>SANDVIKEN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8612-2026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46065</v>
      </c>
      <c r="E435" s="1" t="n">
        <v>46266</v>
      </c>
      <c r="F435" t="inlineStr">
        <is>
          <t>GÄVLEBORGS LÄN</t>
        </is>
      </c>
      <c r="G435" t="inlineStr">
        <is>
          <t>SANDVIKEN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46266</v>
      </c>
      <c r="F436" t="inlineStr">
        <is>
          <t>GÄVLEBORGS LÄN</t>
        </is>
      </c>
      <c r="G436" t="inlineStr">
        <is>
          <t>SANDVIKEN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62459-2023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45268</v>
      </c>
      <c r="E437" s="1" t="n">
        <v>46266</v>
      </c>
      <c r="F437" t="inlineStr">
        <is>
          <t>GÄVLEBORGS LÄN</t>
        </is>
      </c>
      <c r="G437" t="inlineStr">
        <is>
          <t>SANDVIKEN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46064</v>
      </c>
      <c r="E438" s="1" t="n">
        <v>46266</v>
      </c>
      <c r="F438" t="inlineStr">
        <is>
          <t>GÄVLEBORGS LÄN</t>
        </is>
      </c>
      <c r="G438" t="inlineStr">
        <is>
          <t>SANDVIKEN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8574-2026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46266</v>
      </c>
      <c r="F439" t="inlineStr">
        <is>
          <t>GÄVLEBORGS LÄN</t>
        </is>
      </c>
      <c r="G439" t="inlineStr">
        <is>
          <t>SANDVIKEN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46069</v>
      </c>
      <c r="E440" s="1" t="n">
        <v>46266</v>
      </c>
      <c r="F440" t="inlineStr">
        <is>
          <t>GÄVLEBORGS LÄN</t>
        </is>
      </c>
      <c r="G440" t="inlineStr">
        <is>
          <t>SANDVIKEN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46266</v>
      </c>
      <c r="F441" t="inlineStr">
        <is>
          <t>GÄVLEBORGS LÄN</t>
        </is>
      </c>
      <c r="G441" t="inlineStr">
        <is>
          <t>SANDVIKEN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9142-2026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46069</v>
      </c>
      <c r="E442" s="1" t="n">
        <v>46266</v>
      </c>
      <c r="F442" t="inlineStr">
        <is>
          <t>GÄVLEBORGS LÄN</t>
        </is>
      </c>
      <c r="G442" t="inlineStr">
        <is>
          <t>SANDVIKEN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46266</v>
      </c>
      <c r="F443" t="inlineStr">
        <is>
          <t>GÄVLEBORGS LÄN</t>
        </is>
      </c>
      <c r="G443" t="inlineStr">
        <is>
          <t>SANDVIKEN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8706-2026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46066</v>
      </c>
      <c r="E444" s="1" t="n">
        <v>46266</v>
      </c>
      <c r="F444" t="inlineStr">
        <is>
          <t>GÄVLEBORGS LÄN</t>
        </is>
      </c>
      <c r="G444" t="inlineStr">
        <is>
          <t>SANDVIKEN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36660-2023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45153</v>
      </c>
      <c r="E445" s="1" t="n">
        <v>46266</v>
      </c>
      <c r="F445" t="inlineStr">
        <is>
          <t>GÄVLEBORGS LÄN</t>
        </is>
      </c>
      <c r="G445" t="inlineStr">
        <is>
          <t>SANDVIKEN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9480-2026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46266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10022-2026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46073</v>
      </c>
      <c r="E447" s="1" t="n">
        <v>46266</v>
      </c>
      <c r="F447" t="inlineStr">
        <is>
          <t>GÄVLEBORGS LÄN</t>
        </is>
      </c>
      <c r="G447" t="inlineStr">
        <is>
          <t>SANDVIKEN</t>
        </is>
      </c>
      <c r="H447" t="inlineStr">
        <is>
          <t>Sveaskog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46073</v>
      </c>
      <c r="E448" s="1" t="n">
        <v>46266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46266</v>
      </c>
      <c r="F449" t="inlineStr">
        <is>
          <t>GÄVLEBORGS LÄN</t>
        </is>
      </c>
      <c r="G449" t="inlineStr">
        <is>
          <t>SANDVIKEN</t>
        </is>
      </c>
      <c r="I449" t="n">
        <v>6.1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9653-2026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46072</v>
      </c>
      <c r="E450" s="1" t="n">
        <v>46266</v>
      </c>
      <c r="F450" t="inlineStr">
        <is>
          <t>GÄVLEBORGS LÄN</t>
        </is>
      </c>
      <c r="G450" t="inlineStr">
        <is>
          <t>SANDVIKEN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9714-2026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46266</v>
      </c>
      <c r="F451" t="inlineStr">
        <is>
          <t>GÄVLEBORGS LÄN</t>
        </is>
      </c>
      <c r="G451" t="inlineStr">
        <is>
          <t>SANDVIKEN</t>
        </is>
      </c>
      <c r="H451" t="inlineStr">
        <is>
          <t>Naturvårdsverket</t>
        </is>
      </c>
      <c r="I451" t="n">
        <v>19.5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46076</v>
      </c>
      <c r="E452" s="1" t="n">
        <v>46266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10107-2026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46074</v>
      </c>
      <c r="E453" s="1" t="n">
        <v>46266</v>
      </c>
      <c r="F453" t="inlineStr">
        <is>
          <t>GÄVLEBORGS LÄN</t>
        </is>
      </c>
      <c r="G453" t="inlineStr">
        <is>
          <t>SANDVIKEN</t>
        </is>
      </c>
      <c r="I453" t="n">
        <v>7.6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10346-2026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46076</v>
      </c>
      <c r="E454" s="1" t="n">
        <v>46266</v>
      </c>
      <c r="F454" t="inlineStr">
        <is>
          <t>GÄVLEBORGS LÄN</t>
        </is>
      </c>
      <c r="G454" t="inlineStr">
        <is>
          <t>SANDVIKEN</t>
        </is>
      </c>
      <c r="H454" t="inlineStr">
        <is>
          <t>Kommuner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45196</v>
      </c>
      <c r="E455" s="1" t="n">
        <v>46266</v>
      </c>
      <c r="F455" t="inlineStr">
        <is>
          <t>GÄVLEBORGS LÄN</t>
        </is>
      </c>
      <c r="G455" t="inlineStr">
        <is>
          <t>SANDVIKEN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46031</v>
      </c>
      <c r="E456" s="1" t="n">
        <v>46266</v>
      </c>
      <c r="F456" t="inlineStr">
        <is>
          <t>GÄVLEBORGS LÄN</t>
        </is>
      </c>
      <c r="G456" t="inlineStr">
        <is>
          <t>SANDVIKEN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10808-2026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46078</v>
      </c>
      <c r="E457" s="1" t="n">
        <v>46266</v>
      </c>
      <c r="F457" t="inlineStr">
        <is>
          <t>GÄVLEBORGS LÄN</t>
        </is>
      </c>
      <c r="G457" t="inlineStr">
        <is>
          <t>SANDVIKEN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1562-2026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46266</v>
      </c>
      <c r="F458" t="inlineStr">
        <is>
          <t>GÄVLEBORGS LÄN</t>
        </is>
      </c>
      <c r="G458" t="inlineStr">
        <is>
          <t>SANDVIKEN</t>
        </is>
      </c>
      <c r="I458" t="n">
        <v>9.300000000000001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11191-2026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46080</v>
      </c>
      <c r="E459" s="1" t="n">
        <v>46266</v>
      </c>
      <c r="F459" t="inlineStr">
        <is>
          <t>GÄVLEBORGS LÄN</t>
        </is>
      </c>
      <c r="G459" t="inlineStr">
        <is>
          <t>SANDVIKEN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46036</v>
      </c>
      <c r="E460" s="1" t="n">
        <v>46266</v>
      </c>
      <c r="F460" t="inlineStr">
        <is>
          <t>GÄVLEBORGS LÄN</t>
        </is>
      </c>
      <c r="G460" t="inlineStr">
        <is>
          <t>SANDVIKEN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65098-2023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45288</v>
      </c>
      <c r="E461" s="1" t="n">
        <v>46266</v>
      </c>
      <c r="F461" t="inlineStr">
        <is>
          <t>GÄVLEBORGS LÄN</t>
        </is>
      </c>
      <c r="G461" t="inlineStr">
        <is>
          <t>SANDVIKEN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35185-2022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44797</v>
      </c>
      <c r="E462" s="1" t="n">
        <v>46266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61052-2024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45645</v>
      </c>
      <c r="E463" s="1" t="n">
        <v>46266</v>
      </c>
      <c r="F463" t="inlineStr">
        <is>
          <t>GÄVLEBORGS LÄN</t>
        </is>
      </c>
      <c r="G463" t="inlineStr">
        <is>
          <t>SANDVIKEN</t>
        </is>
      </c>
      <c r="H463" t="inlineStr">
        <is>
          <t>Naturvårdsverket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11213-2026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46080</v>
      </c>
      <c r="E464" s="1" t="n">
        <v>46266</v>
      </c>
      <c r="F464" t="inlineStr">
        <is>
          <t>GÄVLEBORGS LÄN</t>
        </is>
      </c>
      <c r="G464" t="inlineStr">
        <is>
          <t>SANDVIKEN</t>
        </is>
      </c>
      <c r="I464" t="n">
        <v>14.5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52785-2023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45226</v>
      </c>
      <c r="E465" s="1" t="n">
        <v>46266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5.4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46084</v>
      </c>
      <c r="E466" s="1" t="n">
        <v>46266</v>
      </c>
      <c r="F466" t="inlineStr">
        <is>
          <t>GÄVLEBORGS LÄN</t>
        </is>
      </c>
      <c r="G466" t="inlineStr">
        <is>
          <t>SANDVIKEN</t>
        </is>
      </c>
      <c r="H466" t="inlineStr">
        <is>
          <t>Bergvik skog öst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11725-2026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46084</v>
      </c>
      <c r="E467" s="1" t="n">
        <v>46266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10.5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45701</v>
      </c>
      <c r="E468" s="1" t="n">
        <v>46266</v>
      </c>
      <c r="F468" t="inlineStr">
        <is>
          <t>GÄVLEBORGS LÄN</t>
        </is>
      </c>
      <c r="G468" t="inlineStr">
        <is>
          <t>SANDVIKEN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11726-2026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46084</v>
      </c>
      <c r="E469" s="1" t="n">
        <v>46266</v>
      </c>
      <c r="F469" t="inlineStr">
        <is>
          <t>GÄVLEBORGS LÄN</t>
        </is>
      </c>
      <c r="G469" t="inlineStr">
        <is>
          <t>SANDVIKEN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46037</v>
      </c>
      <c r="E470" s="1" t="n">
        <v>46266</v>
      </c>
      <c r="F470" t="inlineStr">
        <is>
          <t>GÄVLEBORGS LÄN</t>
        </is>
      </c>
      <c r="G470" t="inlineStr">
        <is>
          <t>SANDVIKEN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46266</v>
      </c>
      <c r="F471" t="inlineStr">
        <is>
          <t>GÄVLEBORGS LÄN</t>
        </is>
      </c>
      <c r="G471" t="inlineStr">
        <is>
          <t>SANDVIKEN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12064-2026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46086</v>
      </c>
      <c r="E472" s="1" t="n">
        <v>46266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71995-2021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44544</v>
      </c>
      <c r="E473" s="1" t="n">
        <v>46266</v>
      </c>
      <c r="F473" t="inlineStr">
        <is>
          <t>GÄVLEBORGS LÄN</t>
        </is>
      </c>
      <c r="G473" t="inlineStr">
        <is>
          <t>SANDVIKEN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11914-2026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46085</v>
      </c>
      <c r="E474" s="1" t="n">
        <v>46266</v>
      </c>
      <c r="F474" t="inlineStr">
        <is>
          <t>GÄVLEBORGS LÄN</t>
        </is>
      </c>
      <c r="G474" t="inlineStr">
        <is>
          <t>SANDVIKEN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12166-2026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46086</v>
      </c>
      <c r="E475" s="1" t="n">
        <v>46266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12132-2026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46086</v>
      </c>
      <c r="E476" s="1" t="n">
        <v>46266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46085</v>
      </c>
      <c r="E477" s="1" t="n">
        <v>46266</v>
      </c>
      <c r="F477" t="inlineStr">
        <is>
          <t>GÄVLEBORGS LÄN</t>
        </is>
      </c>
      <c r="G477" t="inlineStr">
        <is>
          <t>SANDVIKEN</t>
        </is>
      </c>
      <c r="H477" t="inlineStr">
        <is>
          <t>Naturvårdsverket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12146-2026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46086</v>
      </c>
      <c r="E478" s="1" t="n">
        <v>46266</v>
      </c>
      <c r="F478" t="inlineStr">
        <is>
          <t>GÄVLEBORGS LÄN</t>
        </is>
      </c>
      <c r="G478" t="inlineStr">
        <is>
          <t>SANDVIKEN</t>
        </is>
      </c>
      <c r="H478" t="inlineStr">
        <is>
          <t>Bergvik skog öst AB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38570-2023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45162</v>
      </c>
      <c r="E479" s="1" t="n">
        <v>46266</v>
      </c>
      <c r="F479" t="inlineStr">
        <is>
          <t>GÄVLEBORGS LÄN</t>
        </is>
      </c>
      <c r="G479" t="inlineStr">
        <is>
          <t>SANDVIKEN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46266</v>
      </c>
      <c r="F480" t="inlineStr">
        <is>
          <t>GÄVLEBORGS LÄN</t>
        </is>
      </c>
      <c r="G480" t="inlineStr">
        <is>
          <t>SANDVIKEN</t>
        </is>
      </c>
      <c r="H480" t="inlineStr">
        <is>
          <t>Naturvårdsverket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11913-2026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46085</v>
      </c>
      <c r="E481" s="1" t="n">
        <v>46266</v>
      </c>
      <c r="F481" t="inlineStr">
        <is>
          <t>GÄVLEBORGS LÄN</t>
        </is>
      </c>
      <c r="G481" t="inlineStr">
        <is>
          <t>SANDVIKEN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46266</v>
      </c>
      <c r="F482" t="inlineStr">
        <is>
          <t>GÄVLEBORGS LÄN</t>
        </is>
      </c>
      <c r="G482" t="inlineStr">
        <is>
          <t>SANDVIKEN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12091-2026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46086</v>
      </c>
      <c r="E483" s="1" t="n">
        <v>46266</v>
      </c>
      <c r="F483" t="inlineStr">
        <is>
          <t>GÄVLEBORGS LÄN</t>
        </is>
      </c>
      <c r="G483" t="inlineStr">
        <is>
          <t>SANDVIKEN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12099-2026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46086</v>
      </c>
      <c r="E484" s="1" t="n">
        <v>46266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12081-2026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46086</v>
      </c>
      <c r="E485" s="1" t="n">
        <v>46266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12062-2026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46086</v>
      </c>
      <c r="E486" s="1" t="n">
        <v>46266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12098-2026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46086</v>
      </c>
      <c r="E487" s="1" t="n">
        <v>46266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11397-2023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44988</v>
      </c>
      <c r="E488" s="1" t="n">
        <v>46266</v>
      </c>
      <c r="F488" t="inlineStr">
        <is>
          <t>GÄVLEBORGS LÄN</t>
        </is>
      </c>
      <c r="G488" t="inlineStr">
        <is>
          <t>SANDVIKEN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48799-2023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45209</v>
      </c>
      <c r="E489" s="1" t="n">
        <v>46266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12208-2026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46087</v>
      </c>
      <c r="E490" s="1" t="n">
        <v>46266</v>
      </c>
      <c r="F490" t="inlineStr">
        <is>
          <t>GÄVLEBORGS LÄN</t>
        </is>
      </c>
      <c r="G490" t="inlineStr">
        <is>
          <t>SANDVIKEN</t>
        </is>
      </c>
      <c r="I490" t="n">
        <v>9.4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46090</v>
      </c>
      <c r="E491" s="1" t="n">
        <v>46266</v>
      </c>
      <c r="F491" t="inlineStr">
        <is>
          <t>GÄVLEBORGS LÄN</t>
        </is>
      </c>
      <c r="G491" t="inlineStr">
        <is>
          <t>SANDVIKEN</t>
        </is>
      </c>
      <c r="H491" t="inlineStr">
        <is>
          <t>Kommuner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46087</v>
      </c>
      <c r="E492" s="1" t="n">
        <v>46266</v>
      </c>
      <c r="F492" t="inlineStr">
        <is>
          <t>GÄVLEBORGS LÄN</t>
        </is>
      </c>
      <c r="G492" t="inlineStr">
        <is>
          <t>SANDVIKEN</t>
        </is>
      </c>
      <c r="H492" t="inlineStr">
        <is>
          <t>Kommuner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12317-2026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46087</v>
      </c>
      <c r="E493" s="1" t="n">
        <v>46266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27.2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12426-2026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46266</v>
      </c>
      <c r="F494" t="inlineStr">
        <is>
          <t>GÄVLEBORGS LÄN</t>
        </is>
      </c>
      <c r="G494" t="inlineStr">
        <is>
          <t>SANDVIKEN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12586-2026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46266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12891-2026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46092</v>
      </c>
      <c r="E496" s="1" t="n">
        <v>46266</v>
      </c>
      <c r="F496" t="inlineStr">
        <is>
          <t>GÄVLEBORGS LÄN</t>
        </is>
      </c>
      <c r="G496" t="inlineStr">
        <is>
          <t>SANDVIKEN</t>
        </is>
      </c>
      <c r="H496" t="inlineStr">
        <is>
          <t>Naturvårdsverket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12826-2026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46092</v>
      </c>
      <c r="E497" s="1" t="n">
        <v>46266</v>
      </c>
      <c r="F497" t="inlineStr">
        <is>
          <t>GÄVLEBORGS LÄN</t>
        </is>
      </c>
      <c r="G497" t="inlineStr">
        <is>
          <t>SANDVIKEN</t>
        </is>
      </c>
      <c r="H497" t="inlineStr">
        <is>
          <t>Naturvårdsverket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46091</v>
      </c>
      <c r="E498" s="1" t="n">
        <v>46266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46091</v>
      </c>
      <c r="E499" s="1" t="n">
        <v>46266</v>
      </c>
      <c r="F499" t="inlineStr">
        <is>
          <t>GÄVLEBORGS LÄN</t>
        </is>
      </c>
      <c r="G499" t="inlineStr">
        <is>
          <t>SANDVIKEN</t>
        </is>
      </c>
      <c r="H499" t="inlineStr">
        <is>
          <t>Naturvårdsverket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37741-2023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45159</v>
      </c>
      <c r="E500" s="1" t="n">
        <v>46266</v>
      </c>
      <c r="F500" t="inlineStr">
        <is>
          <t>GÄVLEBORGS LÄN</t>
        </is>
      </c>
      <c r="G500" t="inlineStr">
        <is>
          <t>SANDVIKEN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12847-2026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46092</v>
      </c>
      <c r="E501" s="1" t="n">
        <v>46266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12857-2026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46092</v>
      </c>
      <c r="E502" s="1" t="n">
        <v>46266</v>
      </c>
      <c r="F502" t="inlineStr">
        <is>
          <t>GÄVLEBORGS LÄN</t>
        </is>
      </c>
      <c r="G502" t="inlineStr">
        <is>
          <t>SANDVIKEN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46266</v>
      </c>
      <c r="F503" t="inlineStr">
        <is>
          <t>GÄVLEBORGS LÄN</t>
        </is>
      </c>
      <c r="G503" t="inlineStr">
        <is>
          <t>SANDVIKEN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3442-2023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44949</v>
      </c>
      <c r="E504" s="1" t="n">
        <v>46266</v>
      </c>
      <c r="F504" t="inlineStr">
        <is>
          <t>GÄVLEBORGS LÄN</t>
        </is>
      </c>
      <c r="G504" t="inlineStr">
        <is>
          <t>SANDVIKEN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46266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12704-2026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46091</v>
      </c>
      <c r="E506" s="1" t="n">
        <v>46266</v>
      </c>
      <c r="F506" t="inlineStr">
        <is>
          <t>GÄVLEBORGS LÄN</t>
        </is>
      </c>
      <c r="G506" t="inlineStr">
        <is>
          <t>SANDVIKEN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13138-2026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46093</v>
      </c>
      <c r="E507" s="1" t="n">
        <v>46266</v>
      </c>
      <c r="F507" t="inlineStr">
        <is>
          <t>GÄVLEBORGS LÄN</t>
        </is>
      </c>
      <c r="G507" t="inlineStr">
        <is>
          <t>SANDVIKEN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13409-2026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46094</v>
      </c>
      <c r="E508" s="1" t="n">
        <v>46266</v>
      </c>
      <c r="F508" t="inlineStr">
        <is>
          <t>GÄVLEBORGS LÄN</t>
        </is>
      </c>
      <c r="G508" t="inlineStr">
        <is>
          <t>SANDVIKEN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46093</v>
      </c>
      <c r="E509" s="1" t="n">
        <v>46266</v>
      </c>
      <c r="F509" t="inlineStr">
        <is>
          <t>GÄVLEBORGS LÄN</t>
        </is>
      </c>
      <c r="G509" t="inlineStr">
        <is>
          <t>SANDVIKEN</t>
        </is>
      </c>
      <c r="I509" t="n">
        <v>22.5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2251-2026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46036</v>
      </c>
      <c r="E510" s="1" t="n">
        <v>46266</v>
      </c>
      <c r="F510" t="inlineStr">
        <is>
          <t>GÄVLEBORGS LÄN</t>
        </is>
      </c>
      <c r="G510" t="inlineStr">
        <is>
          <t>SANDVIKEN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13552-2026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46094</v>
      </c>
      <c r="E511" s="1" t="n">
        <v>46266</v>
      </c>
      <c r="F511" t="inlineStr">
        <is>
          <t>GÄVLEBORGS LÄN</t>
        </is>
      </c>
      <c r="G511" t="inlineStr">
        <is>
          <t>SANDVIKEN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46097</v>
      </c>
      <c r="E512" s="1" t="n">
        <v>46266</v>
      </c>
      <c r="F512" t="inlineStr">
        <is>
          <t>GÄVLEBORGS LÄN</t>
        </is>
      </c>
      <c r="G512" t="inlineStr">
        <is>
          <t>SANDVIKEN</t>
        </is>
      </c>
      <c r="H512" t="inlineStr">
        <is>
          <t>Kommuner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13727-2026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46097</v>
      </c>
      <c r="E513" s="1" t="n">
        <v>46266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31317-2023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45103</v>
      </c>
      <c r="E514" s="1" t="n">
        <v>46266</v>
      </c>
      <c r="F514" t="inlineStr">
        <is>
          <t>GÄVLEBORGS LÄN</t>
        </is>
      </c>
      <c r="G514" t="inlineStr">
        <is>
          <t>SANDVIKEN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13582-2026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46095</v>
      </c>
      <c r="E515" s="1" t="n">
        <v>46266</v>
      </c>
      <c r="F515" t="inlineStr">
        <is>
          <t>GÄVLEBORGS LÄN</t>
        </is>
      </c>
      <c r="G515" t="inlineStr">
        <is>
          <t>SANDVIKEN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13577-2026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46095</v>
      </c>
      <c r="E516" s="1" t="n">
        <v>46266</v>
      </c>
      <c r="F516" t="inlineStr">
        <is>
          <t>GÄVLEBORGS LÄN</t>
        </is>
      </c>
      <c r="G516" t="inlineStr">
        <is>
          <t>SANDVIKEN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46095</v>
      </c>
      <c r="E517" s="1" t="n">
        <v>46266</v>
      </c>
      <c r="F517" t="inlineStr">
        <is>
          <t>GÄVLEBORGS LÄN</t>
        </is>
      </c>
      <c r="G517" t="inlineStr">
        <is>
          <t>SANDVIKEN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13585-2026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46095</v>
      </c>
      <c r="E518" s="1" t="n">
        <v>46266</v>
      </c>
      <c r="F518" t="inlineStr">
        <is>
          <t>GÄVLEBORGS LÄN</t>
        </is>
      </c>
      <c r="G518" t="inlineStr">
        <is>
          <t>SANDVIKEN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13580-2026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46095</v>
      </c>
      <c r="E519" s="1" t="n">
        <v>46266</v>
      </c>
      <c r="F519" t="inlineStr">
        <is>
          <t>GÄVLEBORGS LÄN</t>
        </is>
      </c>
      <c r="G519" t="inlineStr">
        <is>
          <t>SANDVIKEN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13584-2026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46095</v>
      </c>
      <c r="E520" s="1" t="n">
        <v>46266</v>
      </c>
      <c r="F520" t="inlineStr">
        <is>
          <t>GÄVLEBORGS LÄN</t>
        </is>
      </c>
      <c r="G520" t="inlineStr">
        <is>
          <t>SANDVIKEN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13966-2026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46098</v>
      </c>
      <c r="E521" s="1" t="n">
        <v>46266</v>
      </c>
      <c r="F521" t="inlineStr">
        <is>
          <t>GÄVLEBORGS LÄN</t>
        </is>
      </c>
      <c r="G521" t="inlineStr">
        <is>
          <t>SANDVIKEN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14044-2026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46266</v>
      </c>
      <c r="F522" t="inlineStr">
        <is>
          <t>GÄVLEBORGS LÄN</t>
        </is>
      </c>
      <c r="G522" t="inlineStr">
        <is>
          <t>SANDVIKEN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13586-2026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46095</v>
      </c>
      <c r="E523" s="1" t="n">
        <v>46266</v>
      </c>
      <c r="F523" t="inlineStr">
        <is>
          <t>GÄVLEBORGS LÄN</t>
        </is>
      </c>
      <c r="G523" t="inlineStr">
        <is>
          <t>SANDVIKEN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13605-2026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46097</v>
      </c>
      <c r="E524" s="1" t="n">
        <v>46266</v>
      </c>
      <c r="F524" t="inlineStr">
        <is>
          <t>GÄVLEBORGS LÄN</t>
        </is>
      </c>
      <c r="G524" t="inlineStr">
        <is>
          <t>SANDVIKEN</t>
        </is>
      </c>
      <c r="H524" t="inlineStr">
        <is>
          <t>Kommuner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46266</v>
      </c>
      <c r="F525" t="inlineStr">
        <is>
          <t>GÄVLEBORGS LÄN</t>
        </is>
      </c>
      <c r="G525" t="inlineStr">
        <is>
          <t>SANDVIKEN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14423-2026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46100</v>
      </c>
      <c r="E526" s="1" t="n">
        <v>46266</v>
      </c>
      <c r="F526" t="inlineStr">
        <is>
          <t>GÄVLEBORGS LÄN</t>
        </is>
      </c>
      <c r="G526" t="inlineStr">
        <is>
          <t>SANDVIKEN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14330-2026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46100</v>
      </c>
      <c r="E527" s="1" t="n">
        <v>46266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14119-2026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46099</v>
      </c>
      <c r="E528" s="1" t="n">
        <v>46266</v>
      </c>
      <c r="F528" t="inlineStr">
        <is>
          <t>GÄVLEBORGS LÄN</t>
        </is>
      </c>
      <c r="G528" t="inlineStr">
        <is>
          <t>SANDVIKEN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14094-2026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46099</v>
      </c>
      <c r="E529" s="1" t="n">
        <v>46266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46099</v>
      </c>
      <c r="E530" s="1" t="n">
        <v>46266</v>
      </c>
      <c r="F530" t="inlineStr">
        <is>
          <t>GÄVLEBORGS LÄN</t>
        </is>
      </c>
      <c r="G530" t="inlineStr">
        <is>
          <t>SANDVIKEN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14219-2026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46099</v>
      </c>
      <c r="E531" s="1" t="n">
        <v>46266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10895-2025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45722</v>
      </c>
      <c r="E532" s="1" t="n">
        <v>46266</v>
      </c>
      <c r="F532" t="inlineStr">
        <is>
          <t>GÄVLEBORGS LÄN</t>
        </is>
      </c>
      <c r="G532" t="inlineStr">
        <is>
          <t>SANDVIKEN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14093-2026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46099</v>
      </c>
      <c r="E533" s="1" t="n">
        <v>46266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54443-2024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45617</v>
      </c>
      <c r="E534" s="1" t="n">
        <v>46266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14676-2026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46101</v>
      </c>
      <c r="E535" s="1" t="n">
        <v>46266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14663-2026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46101</v>
      </c>
      <c r="E536" s="1" t="n">
        <v>46266</v>
      </c>
      <c r="F536" t="inlineStr">
        <is>
          <t>GÄVLEBORGS LÄN</t>
        </is>
      </c>
      <c r="G536" t="inlineStr">
        <is>
          <t>SANDVIKEN</t>
        </is>
      </c>
      <c r="H536" t="inlineStr">
        <is>
          <t>Kommuner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14649-2026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46101</v>
      </c>
      <c r="E537" s="1" t="n">
        <v>46266</v>
      </c>
      <c r="F537" t="inlineStr">
        <is>
          <t>GÄVLEBORGS LÄN</t>
        </is>
      </c>
      <c r="G537" t="inlineStr">
        <is>
          <t>SANDVIKEN</t>
        </is>
      </c>
      <c r="H537" t="inlineStr">
        <is>
          <t>Kommuner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46058</v>
      </c>
      <c r="E538" s="1" t="n">
        <v>46266</v>
      </c>
      <c r="F538" t="inlineStr">
        <is>
          <t>GÄVLEBORGS LÄN</t>
        </is>
      </c>
      <c r="G538" t="inlineStr">
        <is>
          <t>SANDVIKEN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45666</v>
      </c>
      <c r="E539" s="1" t="n">
        <v>46266</v>
      </c>
      <c r="F539" t="inlineStr">
        <is>
          <t>GÄVLEBORGS LÄN</t>
        </is>
      </c>
      <c r="G539" t="inlineStr">
        <is>
          <t>SANDVIKEN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15131-2026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46105</v>
      </c>
      <c r="E540" s="1" t="n">
        <v>46266</v>
      </c>
      <c r="F540" t="inlineStr">
        <is>
          <t>GÄVLEBORGS LÄN</t>
        </is>
      </c>
      <c r="G540" t="inlineStr">
        <is>
          <t>SANDVIKEN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15529-2026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46266</v>
      </c>
      <c r="F541" t="inlineStr">
        <is>
          <t>GÄVLEBORGS LÄN</t>
        </is>
      </c>
      <c r="G541" t="inlineStr">
        <is>
          <t>SANDVIKEN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46105</v>
      </c>
      <c r="E542" s="1" t="n">
        <v>46266</v>
      </c>
      <c r="F542" t="inlineStr">
        <is>
          <t>GÄVLEBORGS LÄN</t>
        </is>
      </c>
      <c r="G542" t="inlineStr">
        <is>
          <t>SANDVIKEN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44972</v>
      </c>
      <c r="E543" s="1" t="n">
        <v>46266</v>
      </c>
      <c r="F543" t="inlineStr">
        <is>
          <t>GÄVLEBORGS LÄN</t>
        </is>
      </c>
      <c r="G543" t="inlineStr">
        <is>
          <t>SANDVIKEN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49706-2023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45212</v>
      </c>
      <c r="E544" s="1" t="n">
        <v>46266</v>
      </c>
      <c r="F544" t="inlineStr">
        <is>
          <t>GÄVLEBORGS LÄN</t>
        </is>
      </c>
      <c r="G544" t="inlineStr">
        <is>
          <t>SANDVIKEN</t>
        </is>
      </c>
      <c r="H544" t="inlineStr">
        <is>
          <t>Sveaskog</t>
        </is>
      </c>
      <c r="I544" t="n">
        <v>0.2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15770-2026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46266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15778-2026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46107</v>
      </c>
      <c r="E546" s="1" t="n">
        <v>46266</v>
      </c>
      <c r="F546" t="inlineStr">
        <is>
          <t>GÄVLEBORGS LÄN</t>
        </is>
      </c>
      <c r="G546" t="inlineStr">
        <is>
          <t>SANDVIKEN</t>
        </is>
      </c>
      <c r="H546" t="inlineStr">
        <is>
          <t>Kommuner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46266</v>
      </c>
      <c r="F547" t="inlineStr">
        <is>
          <t>GÄVLEBORGS LÄN</t>
        </is>
      </c>
      <c r="G547" t="inlineStr">
        <is>
          <t>SANDVIKEN</t>
        </is>
      </c>
      <c r="H547" t="inlineStr">
        <is>
          <t>Kommuner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16019-2026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46108</v>
      </c>
      <c r="E548" s="1" t="n">
        <v>46266</v>
      </c>
      <c r="F548" t="inlineStr">
        <is>
          <t>GÄVLEBORGS LÄN</t>
        </is>
      </c>
      <c r="G548" t="inlineStr">
        <is>
          <t>SANDVIKEN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10575-2025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46266</v>
      </c>
      <c r="F549" t="inlineStr">
        <is>
          <t>GÄVLEBORGS LÄN</t>
        </is>
      </c>
      <c r="G549" t="inlineStr">
        <is>
          <t>SANDVIKEN</t>
        </is>
      </c>
      <c r="H549" t="inlineStr">
        <is>
          <t>Sveaskog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45721</v>
      </c>
      <c r="E550" s="1" t="n">
        <v>46266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10.9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10580-2025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45721</v>
      </c>
      <c r="E551" s="1" t="n">
        <v>46266</v>
      </c>
      <c r="F551" t="inlineStr">
        <is>
          <t>GÄVLEBORGS LÄN</t>
        </is>
      </c>
      <c r="G551" t="inlineStr">
        <is>
          <t>SANDVIKEN</t>
        </is>
      </c>
      <c r="H551" t="inlineStr">
        <is>
          <t>Sveaskog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16060-2026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46108</v>
      </c>
      <c r="E552" s="1" t="n">
        <v>46266</v>
      </c>
      <c r="F552" t="inlineStr">
        <is>
          <t>GÄVLEBORGS LÄN</t>
        </is>
      </c>
      <c r="G552" t="inlineStr">
        <is>
          <t>SANDVIKEN</t>
        </is>
      </c>
      <c r="H552" t="inlineStr">
        <is>
          <t>Kommuner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46111</v>
      </c>
      <c r="E553" s="1" t="n">
        <v>46266</v>
      </c>
      <c r="F553" t="inlineStr">
        <is>
          <t>GÄVLEBORGS LÄN</t>
        </is>
      </c>
      <c r="G553" t="inlineStr">
        <is>
          <t>SANDVIKEN</t>
        </is>
      </c>
      <c r="H553" t="inlineStr">
        <is>
          <t>Kommuner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16270-2026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46111</v>
      </c>
      <c r="E554" s="1" t="n">
        <v>46266</v>
      </c>
      <c r="F554" t="inlineStr">
        <is>
          <t>GÄVLEBORGS LÄN</t>
        </is>
      </c>
      <c r="G554" t="inlineStr">
        <is>
          <t>SANDVIKEN</t>
        </is>
      </c>
      <c r="H554" t="inlineStr">
        <is>
          <t>Kommuner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16328-2026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46266</v>
      </c>
      <c r="F555" t="inlineStr">
        <is>
          <t>GÄVLEBORGS LÄN</t>
        </is>
      </c>
      <c r="G555" t="inlineStr">
        <is>
          <t>SANDVIKEN</t>
        </is>
      </c>
      <c r="H555" t="inlineStr">
        <is>
          <t>Kommuner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46049</v>
      </c>
      <c r="E556" s="1" t="n">
        <v>46266</v>
      </c>
      <c r="F556" t="inlineStr">
        <is>
          <t>GÄVLEBORGS LÄN</t>
        </is>
      </c>
      <c r="G556" t="inlineStr">
        <is>
          <t>SANDVIKEN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23162-2023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45075</v>
      </c>
      <c r="E557" s="1" t="n">
        <v>46266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16569-2026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46266</v>
      </c>
      <c r="F558" t="inlineStr">
        <is>
          <t>GÄVLEBORGS LÄN</t>
        </is>
      </c>
      <c r="G558" t="inlineStr">
        <is>
          <t>SANDVIKEN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45483</v>
      </c>
      <c r="E559" s="1" t="n">
        <v>46266</v>
      </c>
      <c r="F559" t="inlineStr">
        <is>
          <t>GÄVLEBORGS LÄN</t>
        </is>
      </c>
      <c r="G559" t="inlineStr">
        <is>
          <t>SANDVIKEN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16958-2026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46114</v>
      </c>
      <c r="E560" s="1" t="n">
        <v>46266</v>
      </c>
      <c r="F560" t="inlineStr">
        <is>
          <t>GÄVLEBORGS LÄN</t>
        </is>
      </c>
      <c r="G560" t="inlineStr">
        <is>
          <t>SANDVIKEN</t>
        </is>
      </c>
      <c r="I560" t="n">
        <v>10.3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17172-2026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46115</v>
      </c>
      <c r="E561" s="1" t="n">
        <v>46266</v>
      </c>
      <c r="F561" t="inlineStr">
        <is>
          <t>GÄVLEBORGS LÄN</t>
        </is>
      </c>
      <c r="G561" t="inlineStr">
        <is>
          <t>SANDVIKEN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17182-2026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46116</v>
      </c>
      <c r="E562" s="1" t="n">
        <v>46266</v>
      </c>
      <c r="F562" t="inlineStr">
        <is>
          <t>GÄVLEBORGS LÄN</t>
        </is>
      </c>
      <c r="G562" t="inlineStr">
        <is>
          <t>SANDVIKEN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17165-2026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46115</v>
      </c>
      <c r="E563" s="1" t="n">
        <v>46266</v>
      </c>
      <c r="F563" t="inlineStr">
        <is>
          <t>GÄVLEBORGS LÄN</t>
        </is>
      </c>
      <c r="G563" t="inlineStr">
        <is>
          <t>SANDVIKEN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17175-2026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46115</v>
      </c>
      <c r="E564" s="1" t="n">
        <v>46266</v>
      </c>
      <c r="F564" t="inlineStr">
        <is>
          <t>GÄVLEBORGS LÄN</t>
        </is>
      </c>
      <c r="G564" t="inlineStr">
        <is>
          <t>SANDVIKEN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17180-2026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46116</v>
      </c>
      <c r="E565" s="1" t="n">
        <v>46266</v>
      </c>
      <c r="F565" t="inlineStr">
        <is>
          <t>GÄVLEBORGS LÄN</t>
        </is>
      </c>
      <c r="G565" t="inlineStr">
        <is>
          <t>SANDVIKEN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17171-2026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46115</v>
      </c>
      <c r="E566" s="1" t="n">
        <v>46266</v>
      </c>
      <c r="F566" t="inlineStr">
        <is>
          <t>GÄVLEBORGS LÄN</t>
        </is>
      </c>
      <c r="G566" t="inlineStr">
        <is>
          <t>SANDVIKEN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17183-2026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46116</v>
      </c>
      <c r="E567" s="1" t="n">
        <v>46266</v>
      </c>
      <c r="F567" t="inlineStr">
        <is>
          <t>GÄVLEBORGS LÄN</t>
        </is>
      </c>
      <c r="G567" t="inlineStr">
        <is>
          <t>SANDVIKEN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17166-2026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46115</v>
      </c>
      <c r="E568" s="1" t="n">
        <v>46266</v>
      </c>
      <c r="F568" t="inlineStr">
        <is>
          <t>GÄVLEBORGS LÄN</t>
        </is>
      </c>
      <c r="G568" t="inlineStr">
        <is>
          <t>SANDVIKEN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17173-2026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46115</v>
      </c>
      <c r="E569" s="1" t="n">
        <v>46266</v>
      </c>
      <c r="F569" t="inlineStr">
        <is>
          <t>GÄVLEBORGS LÄN</t>
        </is>
      </c>
      <c r="G569" t="inlineStr">
        <is>
          <t>SANDVIKEN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17359-2026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46119</v>
      </c>
      <c r="E570" s="1" t="n">
        <v>46266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17363-2026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46119</v>
      </c>
      <c r="E571" s="1" t="n">
        <v>46266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46119</v>
      </c>
      <c r="E572" s="1" t="n">
        <v>46266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46266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17366-2026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46119</v>
      </c>
      <c r="E574" s="1" t="n">
        <v>46266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46266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17473-2026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46120</v>
      </c>
      <c r="E576" s="1" t="n">
        <v>46266</v>
      </c>
      <c r="F576" t="inlineStr">
        <is>
          <t>GÄVLEBORGS LÄN</t>
        </is>
      </c>
      <c r="G576" t="inlineStr">
        <is>
          <t>SANDVIKEN</t>
        </is>
      </c>
      <c r="H576" t="inlineStr">
        <is>
          <t>Sveaskog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43090-2023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45182</v>
      </c>
      <c r="E577" s="1" t="n">
        <v>46266</v>
      </c>
      <c r="F577" t="inlineStr">
        <is>
          <t>GÄVLEBORGS LÄN</t>
        </is>
      </c>
      <c r="G577" t="inlineStr">
        <is>
          <t>SANDVIKEN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17626-2026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46121</v>
      </c>
      <c r="E578" s="1" t="n">
        <v>46266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17596-2026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46121</v>
      </c>
      <c r="E579" s="1" t="n">
        <v>46266</v>
      </c>
      <c r="F579" t="inlineStr">
        <is>
          <t>GÄVLEBORGS LÄN</t>
        </is>
      </c>
      <c r="G579" t="inlineStr">
        <is>
          <t>SANDVIKEN</t>
        </is>
      </c>
      <c r="H579" t="inlineStr">
        <is>
          <t>Bergvik skog öst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23539-2026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46163</v>
      </c>
      <c r="E580" s="1" t="n">
        <v>46266</v>
      </c>
      <c r="F580" t="inlineStr">
        <is>
          <t>GÄVLEBORGS LÄN</t>
        </is>
      </c>
      <c r="G580" t="inlineStr">
        <is>
          <t>SANDVIKEN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45102-2022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44843</v>
      </c>
      <c r="E581" s="1" t="n">
        <v>46266</v>
      </c>
      <c r="F581" t="inlineStr">
        <is>
          <t>GÄVLEBORGS LÄN</t>
        </is>
      </c>
      <c r="G581" t="inlineStr">
        <is>
          <t>SANDVIKEN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18218-2026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46126</v>
      </c>
      <c r="E582" s="1" t="n">
        <v>46266</v>
      </c>
      <c r="F582" t="inlineStr">
        <is>
          <t>GÄVLEBORGS LÄN</t>
        </is>
      </c>
      <c r="G582" t="inlineStr">
        <is>
          <t>SANDVIKEN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18224-2026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46126</v>
      </c>
      <c r="E583" s="1" t="n">
        <v>46266</v>
      </c>
      <c r="F583" t="inlineStr">
        <is>
          <t>GÄVLEBORGS LÄN</t>
        </is>
      </c>
      <c r="G583" t="inlineStr">
        <is>
          <t>SANDVIKEN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18395-2026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46126</v>
      </c>
      <c r="E584" s="1" t="n">
        <v>46266</v>
      </c>
      <c r="F584" t="inlineStr">
        <is>
          <t>GÄVLEBORGS LÄN</t>
        </is>
      </c>
      <c r="G584" t="inlineStr">
        <is>
          <t>SANDVIKEN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45327</v>
      </c>
      <c r="E585" s="1" t="n">
        <v>46266</v>
      </c>
      <c r="F585" t="inlineStr">
        <is>
          <t>GÄVLEBORGS LÄN</t>
        </is>
      </c>
      <c r="G585" t="inlineStr">
        <is>
          <t>SANDVIKEN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18219-2026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46126</v>
      </c>
      <c r="E586" s="1" t="n">
        <v>46266</v>
      </c>
      <c r="F586" t="inlineStr">
        <is>
          <t>GÄVLEBORGS LÄN</t>
        </is>
      </c>
      <c r="G586" t="inlineStr">
        <is>
          <t>SANDVIKEN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18988-2026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46129</v>
      </c>
      <c r="E587" s="1" t="n">
        <v>46266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18992-2026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46129</v>
      </c>
      <c r="E588" s="1" t="n">
        <v>46266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18997-2026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46129</v>
      </c>
      <c r="E589" s="1" t="n">
        <v>46266</v>
      </c>
      <c r="F589" t="inlineStr">
        <is>
          <t>GÄVLEBORGS LÄN</t>
        </is>
      </c>
      <c r="G589" t="inlineStr">
        <is>
          <t>SANDVIKEN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18750-2026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46128</v>
      </c>
      <c r="E590" s="1" t="n">
        <v>46266</v>
      </c>
      <c r="F590" t="inlineStr">
        <is>
          <t>GÄVLEBORGS LÄN</t>
        </is>
      </c>
      <c r="G590" t="inlineStr">
        <is>
          <t>SANDVIKEN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18656-2026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46266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18991-2026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46129</v>
      </c>
      <c r="E592" s="1" t="n">
        <v>46266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14092-2026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46099</v>
      </c>
      <c r="E593" s="1" t="n">
        <v>46266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18990-2026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46129</v>
      </c>
      <c r="E594" s="1" t="n">
        <v>46266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46129</v>
      </c>
      <c r="E595" s="1" t="n">
        <v>46266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18749-2026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46266</v>
      </c>
      <c r="F596" t="inlineStr">
        <is>
          <t>GÄVLEBORGS LÄN</t>
        </is>
      </c>
      <c r="G596" t="inlineStr">
        <is>
          <t>SANDVIKEN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18811-2026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46128</v>
      </c>
      <c r="E597" s="1" t="n">
        <v>46266</v>
      </c>
      <c r="F597" t="inlineStr">
        <is>
          <t>GÄVLEBORGS LÄN</t>
        </is>
      </c>
      <c r="G597" t="inlineStr">
        <is>
          <t>SANDVIKEN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15855-2026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46266</v>
      </c>
      <c r="F598" t="inlineStr">
        <is>
          <t>GÄVLEBORGS LÄN</t>
        </is>
      </c>
      <c r="G598" t="inlineStr">
        <is>
          <t>SANDVIKEN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37697-2022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44810</v>
      </c>
      <c r="E599" s="1" t="n">
        <v>46266</v>
      </c>
      <c r="F599" t="inlineStr">
        <is>
          <t>GÄVLEBORGS LÄN</t>
        </is>
      </c>
      <c r="G599" t="inlineStr">
        <is>
          <t>SANDVIKEN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19189-2026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46132</v>
      </c>
      <c r="E600" s="1" t="n">
        <v>46266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45698</v>
      </c>
      <c r="E601" s="1" t="n">
        <v>46266</v>
      </c>
      <c r="F601" t="inlineStr">
        <is>
          <t>GÄVLEBORGS LÄN</t>
        </is>
      </c>
      <c r="G601" t="inlineStr">
        <is>
          <t>SANDVIKEN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49211-2023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45210</v>
      </c>
      <c r="E602" s="1" t="n">
        <v>46266</v>
      </c>
      <c r="F602" t="inlineStr">
        <is>
          <t>GÄVLEBORGS LÄN</t>
        </is>
      </c>
      <c r="G602" t="inlineStr">
        <is>
          <t>SANDVIKEN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7825-2026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46266</v>
      </c>
      <c r="F603" t="inlineStr">
        <is>
          <t>GÄVLEBORGS LÄN</t>
        </is>
      </c>
      <c r="G603" t="inlineStr">
        <is>
          <t>SANDVIKEN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46130</v>
      </c>
      <c r="E604" s="1" t="n">
        <v>46266</v>
      </c>
      <c r="F604" t="inlineStr">
        <is>
          <t>GÄVLEBORGS LÄN</t>
        </is>
      </c>
      <c r="G604" t="inlineStr">
        <is>
          <t>SANDVIKEN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19083-2026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46132</v>
      </c>
      <c r="E605" s="1" t="n">
        <v>46266</v>
      </c>
      <c r="F605" t="inlineStr">
        <is>
          <t>GÄVLEBORGS LÄN</t>
        </is>
      </c>
      <c r="G605" t="inlineStr">
        <is>
          <t>SANDVIKEN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12732-2026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46091</v>
      </c>
      <c r="E606" s="1" t="n">
        <v>46266</v>
      </c>
      <c r="F606" t="inlineStr">
        <is>
          <t>GÄVLEBORGS LÄN</t>
        </is>
      </c>
      <c r="G606" t="inlineStr">
        <is>
          <t>SANDVIKEN</t>
        </is>
      </c>
      <c r="H606" t="inlineStr">
        <is>
          <t>Naturvårdsverket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19467-2026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46132</v>
      </c>
      <c r="E607" s="1" t="n">
        <v>46266</v>
      </c>
      <c r="F607" t="inlineStr">
        <is>
          <t>GÄVLEBORGS LÄN</t>
        </is>
      </c>
      <c r="G607" t="inlineStr">
        <is>
          <t>SANDVIKEN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46266</v>
      </c>
      <c r="F608" t="inlineStr">
        <is>
          <t>GÄVLEBORGS LÄN</t>
        </is>
      </c>
      <c r="G608" t="inlineStr">
        <is>
          <t>SANDVIKEN</t>
        </is>
      </c>
      <c r="H608" t="inlineStr">
        <is>
          <t>Bergvik skog öst AB</t>
        </is>
      </c>
      <c r="I608" t="n">
        <v>10.1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19080-2026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46132</v>
      </c>
      <c r="E609" s="1" t="n">
        <v>46266</v>
      </c>
      <c r="F609" t="inlineStr">
        <is>
          <t>GÄVLEBORGS LÄN</t>
        </is>
      </c>
      <c r="G609" t="inlineStr">
        <is>
          <t>SANDVIKEN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12675-2026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46091</v>
      </c>
      <c r="E610" s="1" t="n">
        <v>46266</v>
      </c>
      <c r="F610" t="inlineStr">
        <is>
          <t>GÄVLEBORGS LÄN</t>
        </is>
      </c>
      <c r="G610" t="inlineStr">
        <is>
          <t>SANDVIKEN</t>
        </is>
      </c>
      <c r="H610" t="inlineStr">
        <is>
          <t>Naturvårdsverket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61537-2023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45265</v>
      </c>
      <c r="E611" s="1" t="n">
        <v>46266</v>
      </c>
      <c r="F611" t="inlineStr">
        <is>
          <t>GÄVLEBORGS LÄN</t>
        </is>
      </c>
      <c r="G611" t="inlineStr">
        <is>
          <t>SANDVIKEN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3748-2022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44586</v>
      </c>
      <c r="E612" s="1" t="n">
        <v>46266</v>
      </c>
      <c r="F612" t="inlineStr">
        <is>
          <t>GÄVLEBORGS LÄN</t>
        </is>
      </c>
      <c r="G612" t="inlineStr">
        <is>
          <t>SANDVIKEN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19865-2026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46135</v>
      </c>
      <c r="E613" s="1" t="n">
        <v>46266</v>
      </c>
      <c r="F613" t="inlineStr">
        <is>
          <t>GÄVLEBORGS LÄN</t>
        </is>
      </c>
      <c r="G613" t="inlineStr">
        <is>
          <t>SANDVIKEN</t>
        </is>
      </c>
      <c r="H613" t="inlineStr">
        <is>
          <t>Sveaskog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19827-2026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46135</v>
      </c>
      <c r="E614" s="1" t="n">
        <v>46266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16.4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12115-2026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46086</v>
      </c>
      <c r="E615" s="1" t="n">
        <v>46266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58911-2023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45250</v>
      </c>
      <c r="E616" s="1" t="n">
        <v>46266</v>
      </c>
      <c r="F616" t="inlineStr">
        <is>
          <t>GÄVLEBORGS LÄN</t>
        </is>
      </c>
      <c r="G616" t="inlineStr">
        <is>
          <t>SANDVIKEN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8603-2026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46065</v>
      </c>
      <c r="E617" s="1" t="n">
        <v>46266</v>
      </c>
      <c r="F617" t="inlineStr">
        <is>
          <t>GÄVLEBORGS LÄN</t>
        </is>
      </c>
      <c r="G617" t="inlineStr">
        <is>
          <t>SANDVIKEN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12382-2026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46266</v>
      </c>
      <c r="F618" t="inlineStr">
        <is>
          <t>GÄVLEBORGS LÄN</t>
        </is>
      </c>
      <c r="G618" t="inlineStr">
        <is>
          <t>SANDVIKEN</t>
        </is>
      </c>
      <c r="H618" t="inlineStr">
        <is>
          <t>Bergvik skog öst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12776-2026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46091</v>
      </c>
      <c r="E619" s="1" t="n">
        <v>46266</v>
      </c>
      <c r="F619" t="inlineStr">
        <is>
          <t>GÄVLEBORGS LÄN</t>
        </is>
      </c>
      <c r="G619" t="inlineStr">
        <is>
          <t>SANDVIKEN</t>
        </is>
      </c>
      <c r="H619" t="inlineStr">
        <is>
          <t>Naturvårdsverket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30714-2023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45112</v>
      </c>
      <c r="E620" s="1" t="n">
        <v>46266</v>
      </c>
      <c r="F620" t="inlineStr">
        <is>
          <t>GÄVLEBORGS LÄN</t>
        </is>
      </c>
      <c r="G620" t="inlineStr">
        <is>
          <t>SANDVIKEN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36203-2025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45867</v>
      </c>
      <c r="E621" s="1" t="n">
        <v>46266</v>
      </c>
      <c r="F621" t="inlineStr">
        <is>
          <t>GÄVLEBORGS LÄN</t>
        </is>
      </c>
      <c r="G621" t="inlineStr">
        <is>
          <t>SANDVIKEN</t>
        </is>
      </c>
      <c r="I621" t="n">
        <v>4.5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27969-2024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45476</v>
      </c>
      <c r="E622" s="1" t="n">
        <v>46266</v>
      </c>
      <c r="F622" t="inlineStr">
        <is>
          <t>GÄVLEBORGS LÄN</t>
        </is>
      </c>
      <c r="G622" t="inlineStr">
        <is>
          <t>SANDVIKEN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2189-2026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46036</v>
      </c>
      <c r="E623" s="1" t="n">
        <v>46266</v>
      </c>
      <c r="F623" t="inlineStr">
        <is>
          <t>GÄVLEBORGS LÄN</t>
        </is>
      </c>
      <c r="G623" t="inlineStr">
        <is>
          <t>SANDVIKEN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45303</v>
      </c>
      <c r="E624" s="1" t="n">
        <v>46266</v>
      </c>
      <c r="F624" t="inlineStr">
        <is>
          <t>GÄVLEBORGS LÄN</t>
        </is>
      </c>
      <c r="G624" t="inlineStr">
        <is>
          <t>SANDVIKEN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56734-2021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44481</v>
      </c>
      <c r="E625" s="1" t="n">
        <v>46266</v>
      </c>
      <c r="F625" t="inlineStr">
        <is>
          <t>GÄVLEBORGS LÄN</t>
        </is>
      </c>
      <c r="G625" t="inlineStr">
        <is>
          <t>SANDVIKEN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63309-2023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45274</v>
      </c>
      <c r="E626" s="1" t="n">
        <v>46266</v>
      </c>
      <c r="F626" t="inlineStr">
        <is>
          <t>GÄVLEBORGS LÄN</t>
        </is>
      </c>
      <c r="G626" t="inlineStr">
        <is>
          <t>SANDVIKEN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49209-2024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45595</v>
      </c>
      <c r="E627" s="1" t="n">
        <v>46266</v>
      </c>
      <c r="F627" t="inlineStr">
        <is>
          <t>GÄVLEBORGS LÄN</t>
        </is>
      </c>
      <c r="G627" t="inlineStr">
        <is>
          <t>SANDVIKEN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42495-2025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45905</v>
      </c>
      <c r="E628" s="1" t="n">
        <v>46266</v>
      </c>
      <c r="F628" t="inlineStr">
        <is>
          <t>GÄVLEBORGS LÄN</t>
        </is>
      </c>
      <c r="G628" t="inlineStr">
        <is>
          <t>SANDVIKEN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8379-2025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45709</v>
      </c>
      <c r="E629" s="1" t="n">
        <v>46266</v>
      </c>
      <c r="F629" t="inlineStr">
        <is>
          <t>GÄVLEBORGS LÄN</t>
        </is>
      </c>
      <c r="G629" t="inlineStr">
        <is>
          <t>SANDVIKEN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46035</v>
      </c>
      <c r="E630" s="1" t="n">
        <v>46266</v>
      </c>
      <c r="F630" t="inlineStr">
        <is>
          <t>GÄVLEBORGS LÄN</t>
        </is>
      </c>
      <c r="G630" t="inlineStr">
        <is>
          <t>SANDVIKEN</t>
        </is>
      </c>
      <c r="I630" t="n">
        <v>6.9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17818-2025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45758</v>
      </c>
      <c r="E631" s="1" t="n">
        <v>46266</v>
      </c>
      <c r="F631" t="inlineStr">
        <is>
          <t>GÄVLEBORGS LÄN</t>
        </is>
      </c>
      <c r="G631" t="inlineStr">
        <is>
          <t>SANDVIKEN</t>
        </is>
      </c>
      <c r="H631" t="inlineStr">
        <is>
          <t>Sveaskog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46266</v>
      </c>
      <c r="F632" t="inlineStr">
        <is>
          <t>GÄVLEBORGS LÄN</t>
        </is>
      </c>
      <c r="G632" t="inlineStr">
        <is>
          <t>SANDVIKEN</t>
        </is>
      </c>
      <c r="I632" t="n">
        <v>10.1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11205-2026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46080</v>
      </c>
      <c r="E633" s="1" t="n">
        <v>46266</v>
      </c>
      <c r="F633" t="inlineStr">
        <is>
          <t>GÄVLEBORGS LÄN</t>
        </is>
      </c>
      <c r="G633" t="inlineStr">
        <is>
          <t>SANDVIKEN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27987-2024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45476</v>
      </c>
      <c r="E634" s="1" t="n">
        <v>46266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46030</v>
      </c>
      <c r="E635" s="1" t="n">
        <v>46266</v>
      </c>
      <c r="F635" t="inlineStr">
        <is>
          <t>GÄVLEBORGS LÄN</t>
        </is>
      </c>
      <c r="G635" t="inlineStr">
        <is>
          <t>SANDVIKEN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46266</v>
      </c>
      <c r="F636" t="inlineStr">
        <is>
          <t>GÄVLEBORGS LÄN</t>
        </is>
      </c>
      <c r="G636" t="inlineStr">
        <is>
          <t>SANDVIKEN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46029</v>
      </c>
      <c r="E637" s="1" t="n">
        <v>46266</v>
      </c>
      <c r="F637" t="inlineStr">
        <is>
          <t>GÄVLEBORGS LÄN</t>
        </is>
      </c>
      <c r="G637" t="inlineStr">
        <is>
          <t>SANDVIKEN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55539-2023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45238</v>
      </c>
      <c r="E638" s="1" t="n">
        <v>46266</v>
      </c>
      <c r="F638" t="inlineStr">
        <is>
          <t>GÄVLEBORGS LÄN</t>
        </is>
      </c>
      <c r="G638" t="inlineStr">
        <is>
          <t>SANDVIKEN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7599-2026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46061</v>
      </c>
      <c r="E639" s="1" t="n">
        <v>46266</v>
      </c>
      <c r="F639" t="inlineStr">
        <is>
          <t>GÄVLEBORGS LÄN</t>
        </is>
      </c>
      <c r="G639" t="inlineStr">
        <is>
          <t>SANDVIKEN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46037</v>
      </c>
      <c r="E640" s="1" t="n">
        <v>46266</v>
      </c>
      <c r="F640" t="inlineStr">
        <is>
          <t>GÄVLEBORGS LÄN</t>
        </is>
      </c>
      <c r="G640" t="inlineStr">
        <is>
          <t>SANDVIKEN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6078-2026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46266</v>
      </c>
      <c r="F641" t="inlineStr">
        <is>
          <t>GÄVLEBORGS LÄN</t>
        </is>
      </c>
      <c r="G641" t="inlineStr">
        <is>
          <t>SANDVIKEN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7898-2026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46266</v>
      </c>
      <c r="F642" t="inlineStr">
        <is>
          <t>GÄVLEBORGS LÄN</t>
        </is>
      </c>
      <c r="G642" t="inlineStr">
        <is>
          <t>SANDVIKEN</t>
        </is>
      </c>
      <c r="I642" t="n">
        <v>5.6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42107-2024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45562</v>
      </c>
      <c r="E643" s="1" t="n">
        <v>46266</v>
      </c>
      <c r="F643" t="inlineStr">
        <is>
          <t>GÄVLEBORGS LÄN</t>
        </is>
      </c>
      <c r="G643" t="inlineStr">
        <is>
          <t>SANDVIKEN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14910-2026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46104</v>
      </c>
      <c r="E644" s="1" t="n">
        <v>46266</v>
      </c>
      <c r="F644" t="inlineStr">
        <is>
          <t>GÄVLEBORGS LÄN</t>
        </is>
      </c>
      <c r="G644" t="inlineStr">
        <is>
          <t>SANDVIKEN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45279-2023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45191</v>
      </c>
      <c r="E645" s="1" t="n">
        <v>46266</v>
      </c>
      <c r="F645" t="inlineStr">
        <is>
          <t>GÄVLEBORGS LÄN</t>
        </is>
      </c>
      <c r="G645" t="inlineStr">
        <is>
          <t>SANDVIKEN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19910-2026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46136</v>
      </c>
      <c r="E646" s="1" t="n">
        <v>46266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13258-2026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46266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6.6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8698-2024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45356</v>
      </c>
      <c r="E648" s="1" t="n">
        <v>46266</v>
      </c>
      <c r="F648" t="inlineStr">
        <is>
          <t>GÄVLEBORGS LÄN</t>
        </is>
      </c>
      <c r="G648" t="inlineStr">
        <is>
          <t>SANDVIKEN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46046</v>
      </c>
      <c r="E649" s="1" t="n">
        <v>46266</v>
      </c>
      <c r="F649" t="inlineStr">
        <is>
          <t>GÄVLEBORGS LÄN</t>
        </is>
      </c>
      <c r="G649" t="inlineStr">
        <is>
          <t>SANDVIKEN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11897-2024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45376</v>
      </c>
      <c r="E650" s="1" t="n">
        <v>46266</v>
      </c>
      <c r="F650" t="inlineStr">
        <is>
          <t>GÄVLEBORGS LÄN</t>
        </is>
      </c>
      <c r="G650" t="inlineStr">
        <is>
          <t>SANDVIKEN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40745-2024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45558</v>
      </c>
      <c r="E651" s="1" t="n">
        <v>46266</v>
      </c>
      <c r="F651" t="inlineStr">
        <is>
          <t>GÄVLEBORGS LÄN</t>
        </is>
      </c>
      <c r="G651" t="inlineStr">
        <is>
          <t>SANDVIKEN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50900-2024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45602</v>
      </c>
      <c r="E652" s="1" t="n">
        <v>46266</v>
      </c>
      <c r="F652" t="inlineStr">
        <is>
          <t>GÄVLEBORGS LÄN</t>
        </is>
      </c>
      <c r="G652" t="inlineStr">
        <is>
          <t>SANDVIKEN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23217-2023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45075</v>
      </c>
      <c r="E653" s="1" t="n">
        <v>46266</v>
      </c>
      <c r="F653" t="inlineStr">
        <is>
          <t>GÄVLEBORGS LÄN</t>
        </is>
      </c>
      <c r="G653" t="inlineStr">
        <is>
          <t>SANDVIKEN</t>
        </is>
      </c>
      <c r="H653" t="inlineStr">
        <is>
          <t>Sveaskog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13194-2025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45735</v>
      </c>
      <c r="E654" s="1" t="n">
        <v>46266</v>
      </c>
      <c r="F654" t="inlineStr">
        <is>
          <t>GÄVLEBORGS LÄN</t>
        </is>
      </c>
      <c r="G654" t="inlineStr">
        <is>
          <t>SANDVIKEN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9601-2026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46071</v>
      </c>
      <c r="E655" s="1" t="n">
        <v>46266</v>
      </c>
      <c r="F655" t="inlineStr">
        <is>
          <t>GÄVLEBORGS LÄN</t>
        </is>
      </c>
      <c r="G655" t="inlineStr">
        <is>
          <t>SANDVIKEN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19904-2026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46136</v>
      </c>
      <c r="E656" s="1" t="n">
        <v>46266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10.9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9139-2026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46266</v>
      </c>
      <c r="F657" t="inlineStr">
        <is>
          <t>GÄVLEBORGS LÄN</t>
        </is>
      </c>
      <c r="G657" t="inlineStr">
        <is>
          <t>SANDVIKEN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44717-2025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45917</v>
      </c>
      <c r="E658" s="1" t="n">
        <v>46266</v>
      </c>
      <c r="F658" t="inlineStr">
        <is>
          <t>GÄVLEBORGS LÄN</t>
        </is>
      </c>
      <c r="G658" t="inlineStr">
        <is>
          <t>SANDVIKEN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42069-2024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45562</v>
      </c>
      <c r="E659" s="1" t="n">
        <v>46266</v>
      </c>
      <c r="F659" t="inlineStr">
        <is>
          <t>GÄVLEBORGS LÄN</t>
        </is>
      </c>
      <c r="G659" t="inlineStr">
        <is>
          <t>SANDVIKEN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22070-2023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45069</v>
      </c>
      <c r="E660" s="1" t="n">
        <v>46266</v>
      </c>
      <c r="F660" t="inlineStr">
        <is>
          <t>GÄVLEBORGS LÄN</t>
        </is>
      </c>
      <c r="G660" t="inlineStr">
        <is>
          <t>SANDVIKEN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46048</v>
      </c>
      <c r="E661" s="1" t="n">
        <v>46266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36656-2024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45537</v>
      </c>
      <c r="E662" s="1" t="n">
        <v>46266</v>
      </c>
      <c r="F662" t="inlineStr">
        <is>
          <t>GÄVLEBORGS LÄN</t>
        </is>
      </c>
      <c r="G662" t="inlineStr">
        <is>
          <t>SANDVIKEN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21178-2025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45779</v>
      </c>
      <c r="E663" s="1" t="n">
        <v>46266</v>
      </c>
      <c r="F663" t="inlineStr">
        <is>
          <t>GÄVLEBORGS LÄN</t>
        </is>
      </c>
      <c r="G663" t="inlineStr">
        <is>
          <t>SANDVIKEN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4768-2026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46266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46042</v>
      </c>
      <c r="E665" s="1" t="n">
        <v>46266</v>
      </c>
      <c r="F665" t="inlineStr">
        <is>
          <t>GÄVLEBORGS LÄN</t>
        </is>
      </c>
      <c r="G665" t="inlineStr">
        <is>
          <t>SANDVIKEN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11967-2025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45728</v>
      </c>
      <c r="E666" s="1" t="n">
        <v>46266</v>
      </c>
      <c r="F666" t="inlineStr">
        <is>
          <t>GÄVLEBORGS LÄN</t>
        </is>
      </c>
      <c r="G666" t="inlineStr">
        <is>
          <t>SANDVIKEN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6956-2026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46057</v>
      </c>
      <c r="E667" s="1" t="n">
        <v>46266</v>
      </c>
      <c r="F667" t="inlineStr">
        <is>
          <t>GÄVLEBORGS LÄN</t>
        </is>
      </c>
      <c r="G667" t="inlineStr">
        <is>
          <t>SANDVIKEN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46044</v>
      </c>
      <c r="E668" s="1" t="n">
        <v>46266</v>
      </c>
      <c r="F668" t="inlineStr">
        <is>
          <t>GÄVLEBORGS LÄN</t>
        </is>
      </c>
      <c r="G668" t="inlineStr">
        <is>
          <t>SANDVIKEN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23085-2023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45075</v>
      </c>
      <c r="E669" s="1" t="n">
        <v>46266</v>
      </c>
      <c r="F669" t="inlineStr">
        <is>
          <t>GÄVLEBORGS LÄN</t>
        </is>
      </c>
      <c r="G669" t="inlineStr">
        <is>
          <t>SANDVIKEN</t>
        </is>
      </c>
      <c r="I669" t="n">
        <v>8.300000000000001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36833-2022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44805</v>
      </c>
      <c r="E670" s="1" t="n">
        <v>46266</v>
      </c>
      <c r="F670" t="inlineStr">
        <is>
          <t>GÄVLEBORGS LÄN</t>
        </is>
      </c>
      <c r="G670" t="inlineStr">
        <is>
          <t>SANDVIKEN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9603-2026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46071</v>
      </c>
      <c r="E671" s="1" t="n">
        <v>46266</v>
      </c>
      <c r="F671" t="inlineStr">
        <is>
          <t>GÄVLEBORGS LÄN</t>
        </is>
      </c>
      <c r="G671" t="inlineStr">
        <is>
          <t>SANDVIKEN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8952-2026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46069</v>
      </c>
      <c r="E672" s="1" t="n">
        <v>46266</v>
      </c>
      <c r="F672" t="inlineStr">
        <is>
          <t>GÄVLEBORGS LÄN</t>
        </is>
      </c>
      <c r="G672" t="inlineStr">
        <is>
          <t>SANDVIKEN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8570-2026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46065</v>
      </c>
      <c r="E673" s="1" t="n">
        <v>46266</v>
      </c>
      <c r="F673" t="inlineStr">
        <is>
          <t>GÄVLEBORGS LÄN</t>
        </is>
      </c>
      <c r="G673" t="inlineStr">
        <is>
          <t>SANDVIKEN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7911-2026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46063</v>
      </c>
      <c r="E674" s="1" t="n">
        <v>46266</v>
      </c>
      <c r="F674" t="inlineStr">
        <is>
          <t>GÄVLEBORGS LÄN</t>
        </is>
      </c>
      <c r="G674" t="inlineStr">
        <is>
          <t>SANDVIKEN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46058</v>
      </c>
      <c r="E675" s="1" t="n">
        <v>46266</v>
      </c>
      <c r="F675" t="inlineStr">
        <is>
          <t>GÄVLEBORGS LÄN</t>
        </is>
      </c>
      <c r="G675" t="inlineStr">
        <is>
          <t>SANDVIKEN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46058</v>
      </c>
      <c r="E676" s="1" t="n">
        <v>46266</v>
      </c>
      <c r="F676" t="inlineStr">
        <is>
          <t>GÄVLEBORGS LÄN</t>
        </is>
      </c>
      <c r="G676" t="inlineStr">
        <is>
          <t>SANDVIKEN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12477-2026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46090</v>
      </c>
      <c r="E677" s="1" t="n">
        <v>46266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46065</v>
      </c>
      <c r="E678" s="1" t="n">
        <v>46266</v>
      </c>
      <c r="F678" t="inlineStr">
        <is>
          <t>GÄVLEBORGS LÄN</t>
        </is>
      </c>
      <c r="G678" t="inlineStr">
        <is>
          <t>SANDVIKEN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28063-2023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45099</v>
      </c>
      <c r="E679" s="1" t="n">
        <v>46266</v>
      </c>
      <c r="F679" t="inlineStr">
        <is>
          <t>GÄVLEBORGS LÄN</t>
        </is>
      </c>
      <c r="G679" t="inlineStr">
        <is>
          <t>SANDVIKEN</t>
        </is>
      </c>
      <c r="I679" t="n">
        <v>8.1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20618-2026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46140</v>
      </c>
      <c r="E680" s="1" t="n">
        <v>46266</v>
      </c>
      <c r="F680" t="inlineStr">
        <is>
          <t>GÄVLEBORGS LÄN</t>
        </is>
      </c>
      <c r="G680" t="inlineStr">
        <is>
          <t>SANDVIKEN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59738-2022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44908</v>
      </c>
      <c r="E681" s="1" t="n">
        <v>46266</v>
      </c>
      <c r="F681" t="inlineStr">
        <is>
          <t>GÄVLEBORGS LÄN</t>
        </is>
      </c>
      <c r="G681" t="inlineStr">
        <is>
          <t>SANDVIKEN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46266</v>
      </c>
      <c r="F682" t="inlineStr">
        <is>
          <t>GÄVLEBORGS LÄN</t>
        </is>
      </c>
      <c r="G682" t="inlineStr">
        <is>
          <t>SANDVIKEN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56017-2023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45240</v>
      </c>
      <c r="E683" s="1" t="n">
        <v>46266</v>
      </c>
      <c r="F683" t="inlineStr">
        <is>
          <t>GÄVLEBORGS LÄN</t>
        </is>
      </c>
      <c r="G683" t="inlineStr">
        <is>
          <t>SANDVIKEN</t>
        </is>
      </c>
      <c r="H683" t="inlineStr">
        <is>
          <t>Sveaskog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7924-2026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46063</v>
      </c>
      <c r="E684" s="1" t="n">
        <v>46266</v>
      </c>
      <c r="F684" t="inlineStr">
        <is>
          <t>GÄVLEBORGS LÄN</t>
        </is>
      </c>
      <c r="G684" t="inlineStr">
        <is>
          <t>SANDVIKEN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20636-2026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46141</v>
      </c>
      <c r="E685" s="1" t="n">
        <v>46266</v>
      </c>
      <c r="F685" t="inlineStr">
        <is>
          <t>GÄVLEBORGS LÄN</t>
        </is>
      </c>
      <c r="G685" t="inlineStr">
        <is>
          <t>SANDVIKEN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59661-2024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45639</v>
      </c>
      <c r="E686" s="1" t="n">
        <v>46266</v>
      </c>
      <c r="F686" t="inlineStr">
        <is>
          <t>GÄVLEBORGS LÄN</t>
        </is>
      </c>
      <c r="G686" t="inlineStr">
        <is>
          <t>SANDVIKEN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45320</v>
      </c>
      <c r="E687" s="1" t="n">
        <v>46266</v>
      </c>
      <c r="F687" t="inlineStr">
        <is>
          <t>GÄVLEBORGS LÄN</t>
        </is>
      </c>
      <c r="G687" t="inlineStr">
        <is>
          <t>SANDVIKEN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38319-2025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45883</v>
      </c>
      <c r="E688" s="1" t="n">
        <v>46266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11894-2026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46266</v>
      </c>
      <c r="F689" t="inlineStr">
        <is>
          <t>GÄVLEBORGS LÄN</t>
        </is>
      </c>
      <c r="G689" t="inlineStr">
        <is>
          <t>SANDVIKEN</t>
        </is>
      </c>
      <c r="I689" t="n">
        <v>8.199999999999999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46043</v>
      </c>
      <c r="E690" s="1" t="n">
        <v>46266</v>
      </c>
      <c r="F690" t="inlineStr">
        <is>
          <t>GÄVLEBORGS LÄN</t>
        </is>
      </c>
      <c r="G690" t="inlineStr">
        <is>
          <t>SANDVIKEN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46031</v>
      </c>
      <c r="E691" s="1" t="n">
        <v>46266</v>
      </c>
      <c r="F691" t="inlineStr">
        <is>
          <t>GÄVLEBORGS LÄN</t>
        </is>
      </c>
      <c r="G691" t="inlineStr">
        <is>
          <t>SANDVIKEN</t>
        </is>
      </c>
      <c r="I691" t="n">
        <v>11.2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12427-2026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46090</v>
      </c>
      <c r="E692" s="1" t="n">
        <v>46266</v>
      </c>
      <c r="F692" t="inlineStr">
        <is>
          <t>GÄVLEBORGS LÄN</t>
        </is>
      </c>
      <c r="G692" t="inlineStr">
        <is>
          <t>SANDVIKEN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46030</v>
      </c>
      <c r="E693" s="1" t="n">
        <v>46266</v>
      </c>
      <c r="F693" t="inlineStr">
        <is>
          <t>GÄVLEBORGS LÄN</t>
        </is>
      </c>
      <c r="G693" t="inlineStr">
        <is>
          <t>SANDVIKEN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46038</v>
      </c>
      <c r="E694" s="1" t="n">
        <v>46266</v>
      </c>
      <c r="F694" t="inlineStr">
        <is>
          <t>GÄVLEBORGS LÄN</t>
        </is>
      </c>
      <c r="G694" t="inlineStr">
        <is>
          <t>SANDVIKEN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15237-2026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46105</v>
      </c>
      <c r="E695" s="1" t="n">
        <v>46266</v>
      </c>
      <c r="F695" t="inlineStr">
        <is>
          <t>GÄVLEBORGS LÄN</t>
        </is>
      </c>
      <c r="G695" t="inlineStr">
        <is>
          <t>SANDVIKEN</t>
        </is>
      </c>
      <c r="I695" t="n">
        <v>6.8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20917-2026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46142</v>
      </c>
      <c r="E696" s="1" t="n">
        <v>46266</v>
      </c>
      <c r="F696" t="inlineStr">
        <is>
          <t>GÄVLEBORGS LÄN</t>
        </is>
      </c>
      <c r="G696" t="inlineStr">
        <is>
          <t>SANDVIKEN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9694-2026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46072</v>
      </c>
      <c r="E697" s="1" t="n">
        <v>46266</v>
      </c>
      <c r="F697" t="inlineStr">
        <is>
          <t>GÄVLEBORGS LÄN</t>
        </is>
      </c>
      <c r="G697" t="inlineStr">
        <is>
          <t>SANDVIKEN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11778-2024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45374</v>
      </c>
      <c r="E698" s="1" t="n">
        <v>46266</v>
      </c>
      <c r="F698" t="inlineStr">
        <is>
          <t>GÄVLEBORGS LÄN</t>
        </is>
      </c>
      <c r="G698" t="inlineStr">
        <is>
          <t>SANDVIKEN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47710-2022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44854</v>
      </c>
      <c r="E699" s="1" t="n">
        <v>46266</v>
      </c>
      <c r="F699" t="inlineStr">
        <is>
          <t>GÄVLEBORGS LÄN</t>
        </is>
      </c>
      <c r="G699" t="inlineStr">
        <is>
          <t>SANDVIKEN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8600-2026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46266</v>
      </c>
      <c r="F700" t="inlineStr">
        <is>
          <t>GÄVLEBORGS LÄN</t>
        </is>
      </c>
      <c r="G700" t="inlineStr">
        <is>
          <t>SANDVIKEN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48300-2023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45205</v>
      </c>
      <c r="E701" s="1" t="n">
        <v>46266</v>
      </c>
      <c r="F701" t="inlineStr">
        <is>
          <t>GÄVLEBORGS LÄN</t>
        </is>
      </c>
      <c r="G701" t="inlineStr">
        <is>
          <t>SANDVIKEN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21377-2026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46147</v>
      </c>
      <c r="E702" s="1" t="n">
        <v>46266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10578-2025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45721</v>
      </c>
      <c r="E703" s="1" t="n">
        <v>46266</v>
      </c>
      <c r="F703" t="inlineStr">
        <is>
          <t>GÄVLEBORGS LÄN</t>
        </is>
      </c>
      <c r="G703" t="inlineStr">
        <is>
          <t>SANDVIKEN</t>
        </is>
      </c>
      <c r="H703" t="inlineStr">
        <is>
          <t>Sveaskog</t>
        </is>
      </c>
      <c r="I703" t="n">
        <v>5.8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21288-2026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46147</v>
      </c>
      <c r="E704" s="1" t="n">
        <v>46266</v>
      </c>
      <c r="F704" t="inlineStr">
        <is>
          <t>GÄVLEBORGS LÄN</t>
        </is>
      </c>
      <c r="G704" t="inlineStr">
        <is>
          <t>SANDVIKEN</t>
        </is>
      </c>
      <c r="H704" t="inlineStr">
        <is>
          <t>Kommuner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21334-2026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46147</v>
      </c>
      <c r="E705" s="1" t="n">
        <v>46266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44101-2023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45188</v>
      </c>
      <c r="E706" s="1" t="n">
        <v>46266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öst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29297-2024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45483</v>
      </c>
      <c r="E707" s="1" t="n">
        <v>46266</v>
      </c>
      <c r="F707" t="inlineStr">
        <is>
          <t>GÄVLEBORGS LÄN</t>
        </is>
      </c>
      <c r="G707" t="inlineStr">
        <is>
          <t>SANDVIKEN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17177-2026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46115</v>
      </c>
      <c r="E708" s="1" t="n">
        <v>46266</v>
      </c>
      <c r="F708" t="inlineStr">
        <is>
          <t>GÄVLEBORGS LÄN</t>
        </is>
      </c>
      <c r="G708" t="inlineStr">
        <is>
          <t>SANDVIKEN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46266</v>
      </c>
      <c r="F709" t="inlineStr">
        <is>
          <t>GÄVLEBORGS LÄN</t>
        </is>
      </c>
      <c r="G709" t="inlineStr">
        <is>
          <t>SANDVIKEN</t>
        </is>
      </c>
      <c r="H709" t="inlineStr">
        <is>
          <t>Kommuner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53007-2023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45226</v>
      </c>
      <c r="E710" s="1" t="n">
        <v>46266</v>
      </c>
      <c r="F710" t="inlineStr">
        <is>
          <t>GÄVLEBORGS LÄN</t>
        </is>
      </c>
      <c r="G710" t="inlineStr">
        <is>
          <t>SANDVIKEN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21343-2026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46147</v>
      </c>
      <c r="E711" s="1" t="n">
        <v>46266</v>
      </c>
      <c r="F711" t="inlineStr">
        <is>
          <t>GÄVLEBORGS LÄN</t>
        </is>
      </c>
      <c r="G711" t="inlineStr">
        <is>
          <t>SANDVIKEN</t>
        </is>
      </c>
      <c r="H711" t="inlineStr">
        <is>
          <t>Kommuner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2905-2026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46038</v>
      </c>
      <c r="E712" s="1" t="n">
        <v>46266</v>
      </c>
      <c r="F712" t="inlineStr">
        <is>
          <t>GÄVLEBORGS LÄN</t>
        </is>
      </c>
      <c r="G712" t="inlineStr">
        <is>
          <t>SANDVIKEN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39566-2022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44818</v>
      </c>
      <c r="E713" s="1" t="n">
        <v>46266</v>
      </c>
      <c r="F713" t="inlineStr">
        <is>
          <t>GÄVLEBORGS LÄN</t>
        </is>
      </c>
      <c r="G713" t="inlineStr">
        <is>
          <t>SANDVIKEN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11385-2023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44988</v>
      </c>
      <c r="E714" s="1" t="n">
        <v>46266</v>
      </c>
      <c r="F714" t="inlineStr">
        <is>
          <t>GÄVLEBORGS LÄN</t>
        </is>
      </c>
      <c r="G714" t="inlineStr">
        <is>
          <t>SANDVIKEN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21576-2026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46148</v>
      </c>
      <c r="E715" s="1" t="n">
        <v>46266</v>
      </c>
      <c r="F715" t="inlineStr">
        <is>
          <t>GÄVLEBORGS LÄN</t>
        </is>
      </c>
      <c r="G715" t="inlineStr">
        <is>
          <t>SANDVIKEN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21951-2026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46151</v>
      </c>
      <c r="E716" s="1" t="n">
        <v>46266</v>
      </c>
      <c r="F716" t="inlineStr">
        <is>
          <t>GÄVLEBORGS LÄN</t>
        </is>
      </c>
      <c r="G716" t="inlineStr">
        <is>
          <t>SANDVIKEN</t>
        </is>
      </c>
      <c r="I716" t="n">
        <v>11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46050</v>
      </c>
      <c r="E717" s="1" t="n">
        <v>46266</v>
      </c>
      <c r="F717" t="inlineStr">
        <is>
          <t>GÄVLEBORGS LÄN</t>
        </is>
      </c>
      <c r="G717" t="inlineStr">
        <is>
          <t>SANDVIKEN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52932-2022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44875</v>
      </c>
      <c r="E718" s="1" t="n">
        <v>46266</v>
      </c>
      <c r="F718" t="inlineStr">
        <is>
          <t>GÄVLEBORGS LÄN</t>
        </is>
      </c>
      <c r="G718" t="inlineStr">
        <is>
          <t>SANDVIKEN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2016-2026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46035</v>
      </c>
      <c r="E719" s="1" t="n">
        <v>46266</v>
      </c>
      <c r="F719" t="inlineStr">
        <is>
          <t>GÄVLEBORGS LÄN</t>
        </is>
      </c>
      <c r="G719" t="inlineStr">
        <is>
          <t>SANDVIKEN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21773-2026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46150</v>
      </c>
      <c r="E720" s="1" t="n">
        <v>46266</v>
      </c>
      <c r="F720" t="inlineStr">
        <is>
          <t>GÄVLEBORGS LÄN</t>
        </is>
      </c>
      <c r="G720" t="inlineStr">
        <is>
          <t>SANDVIKEN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3635-2026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46043</v>
      </c>
      <c r="E721" s="1" t="n">
        <v>46266</v>
      </c>
      <c r="F721" t="inlineStr">
        <is>
          <t>GÄVLEBORGS LÄN</t>
        </is>
      </c>
      <c r="G721" t="inlineStr">
        <is>
          <t>SANDVIKEN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48765-2021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44452</v>
      </c>
      <c r="E722" s="1" t="n">
        <v>46266</v>
      </c>
      <c r="F722" t="inlineStr">
        <is>
          <t>GÄVLEBORGS LÄN</t>
        </is>
      </c>
      <c r="G722" t="inlineStr">
        <is>
          <t>SANDVIKEN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22068-2026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46153</v>
      </c>
      <c r="E723" s="1" t="n">
        <v>46266</v>
      </c>
      <c r="F723" t="inlineStr">
        <is>
          <t>GÄVLEBORGS LÄN</t>
        </is>
      </c>
      <c r="G723" t="inlineStr">
        <is>
          <t>SANDVIKEN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30721-2023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45112</v>
      </c>
      <c r="E724" s="1" t="n">
        <v>46266</v>
      </c>
      <c r="F724" t="inlineStr">
        <is>
          <t>GÄVLEBORGS LÄN</t>
        </is>
      </c>
      <c r="G724" t="inlineStr">
        <is>
          <t>SANDVIKEN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16012-2026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46266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11089-2026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46079</v>
      </c>
      <c r="E726" s="1" t="n">
        <v>46266</v>
      </c>
      <c r="F726" t="inlineStr">
        <is>
          <t>GÄVLEBORGS LÄN</t>
        </is>
      </c>
      <c r="G726" t="inlineStr">
        <is>
          <t>SANDVIKEN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34946-2022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44796</v>
      </c>
      <c r="E727" s="1" t="n">
        <v>46266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4848-2026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46048</v>
      </c>
      <c r="E728" s="1" t="n">
        <v>46266</v>
      </c>
      <c r="F728" t="inlineStr">
        <is>
          <t>GÄVLEBORGS LÄN</t>
        </is>
      </c>
      <c r="G728" t="inlineStr">
        <is>
          <t>SANDVIKEN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38200-2024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45545</v>
      </c>
      <c r="E729" s="1" t="n">
        <v>46266</v>
      </c>
      <c r="F729" t="inlineStr">
        <is>
          <t>GÄVLEBORGS LÄN</t>
        </is>
      </c>
      <c r="G729" t="inlineStr">
        <is>
          <t>SANDVIKEN</t>
        </is>
      </c>
      <c r="H729" t="inlineStr">
        <is>
          <t>Sveaskog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12149-2026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46086</v>
      </c>
      <c r="E730" s="1" t="n">
        <v>46266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12120-2026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46086</v>
      </c>
      <c r="E731" s="1" t="n">
        <v>46266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13551-2026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46094</v>
      </c>
      <c r="E732" s="1" t="n">
        <v>46266</v>
      </c>
      <c r="F732" t="inlineStr">
        <is>
          <t>GÄVLEBORGS LÄN</t>
        </is>
      </c>
      <c r="G732" t="inlineStr">
        <is>
          <t>SANDVIKEN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22238-2023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45070</v>
      </c>
      <c r="E733" s="1" t="n">
        <v>46266</v>
      </c>
      <c r="F733" t="inlineStr">
        <is>
          <t>GÄVLEBORGS LÄN</t>
        </is>
      </c>
      <c r="G733" t="inlineStr">
        <is>
          <t>SANDVIKEN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14867-2026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46104</v>
      </c>
      <c r="E734" s="1" t="n">
        <v>46266</v>
      </c>
      <c r="F734" t="inlineStr">
        <is>
          <t>GÄVLEBORGS LÄN</t>
        </is>
      </c>
      <c r="G734" t="inlineStr">
        <is>
          <t>SANDVIKEN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16102-2026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46108</v>
      </c>
      <c r="E735" s="1" t="n">
        <v>46266</v>
      </c>
      <c r="F735" t="inlineStr">
        <is>
          <t>GÄVLEBORGS LÄN</t>
        </is>
      </c>
      <c r="G735" t="inlineStr">
        <is>
          <t>SANDVIKEN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4461-2023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44956</v>
      </c>
      <c r="E736" s="1" t="n">
        <v>46266</v>
      </c>
      <c r="F736" t="inlineStr">
        <is>
          <t>GÄVLEBORGS LÄN</t>
        </is>
      </c>
      <c r="G736" t="inlineStr">
        <is>
          <t>SANDVIKEN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23144-2026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46161</v>
      </c>
      <c r="E737" s="1" t="n">
        <v>46266</v>
      </c>
      <c r="F737" t="inlineStr">
        <is>
          <t>GÄVLEBORGS LÄN</t>
        </is>
      </c>
      <c r="G737" t="inlineStr">
        <is>
          <t>SANDVIKEN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716-2024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45300</v>
      </c>
      <c r="E738" s="1" t="n">
        <v>46266</v>
      </c>
      <c r="F738" t="inlineStr">
        <is>
          <t>GÄVLEBORGS LÄN</t>
        </is>
      </c>
      <c r="G738" t="inlineStr">
        <is>
          <t>SANDVIKEN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64801-2023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45282</v>
      </c>
      <c r="E739" s="1" t="n">
        <v>46266</v>
      </c>
      <c r="F739" t="inlineStr">
        <is>
          <t>GÄVLEBORGS LÄN</t>
        </is>
      </c>
      <c r="G739" t="inlineStr">
        <is>
          <t>SANDVIKEN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15769-2026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46107</v>
      </c>
      <c r="E740" s="1" t="n">
        <v>46266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17164-2026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46115</v>
      </c>
      <c r="E741" s="1" t="n">
        <v>46266</v>
      </c>
      <c r="F741" t="inlineStr">
        <is>
          <t>GÄVLEBORGS LÄN</t>
        </is>
      </c>
      <c r="G741" t="inlineStr">
        <is>
          <t>SANDVIKEN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46034</v>
      </c>
      <c r="E742" s="1" t="n">
        <v>46266</v>
      </c>
      <c r="F742" t="inlineStr">
        <is>
          <t>GÄVLEBORGS LÄN</t>
        </is>
      </c>
      <c r="G742" t="inlineStr">
        <is>
          <t>SANDVIKEN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23465-2026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46163</v>
      </c>
      <c r="E743" s="1" t="n">
        <v>46266</v>
      </c>
      <c r="F743" t="inlineStr">
        <is>
          <t>GÄVLEBORGS LÄN</t>
        </is>
      </c>
      <c r="G743" t="inlineStr">
        <is>
          <t>SANDVIKEN</t>
        </is>
      </c>
      <c r="H743" t="inlineStr">
        <is>
          <t>Övriga statliga verk och myndigheter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23429-2026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46266</v>
      </c>
      <c r="F744" t="inlineStr">
        <is>
          <t>GÄVLEBORGS LÄN</t>
        </is>
      </c>
      <c r="G744" t="inlineStr">
        <is>
          <t>SANDVIKEN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50765-2024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45602</v>
      </c>
      <c r="E745" s="1" t="n">
        <v>46266</v>
      </c>
      <c r="F745" t="inlineStr">
        <is>
          <t>GÄVLEBORGS LÄN</t>
        </is>
      </c>
      <c r="G745" t="inlineStr">
        <is>
          <t>SANDVIKEN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58363-2022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44901</v>
      </c>
      <c r="E746" s="1" t="n">
        <v>46266</v>
      </c>
      <c r="F746" t="inlineStr">
        <is>
          <t>GÄVLEBORGS LÄN</t>
        </is>
      </c>
      <c r="G746" t="inlineStr">
        <is>
          <t>SANDVIKEN</t>
        </is>
      </c>
      <c r="I746" t="n">
        <v>7.3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23493-2026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46163</v>
      </c>
      <c r="E747" s="1" t="n">
        <v>46266</v>
      </c>
      <c r="F747" t="inlineStr">
        <is>
          <t>GÄVLEBORGS LÄN</t>
        </is>
      </c>
      <c r="G747" t="inlineStr">
        <is>
          <t>SANDVIKEN</t>
        </is>
      </c>
      <c r="H747" t="inlineStr">
        <is>
          <t>Övriga statliga verk och myndigheter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46030</v>
      </c>
      <c r="E748" s="1" t="n">
        <v>46266</v>
      </c>
      <c r="F748" t="inlineStr">
        <is>
          <t>GÄVLEBORGS LÄN</t>
        </is>
      </c>
      <c r="G748" t="inlineStr">
        <is>
          <t>SANDVIKEN</t>
        </is>
      </c>
      <c r="I748" t="n">
        <v>14.2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58983-2023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45252</v>
      </c>
      <c r="E749" s="1" t="n">
        <v>46266</v>
      </c>
      <c r="F749" t="inlineStr">
        <is>
          <t>GÄVLEBORGS LÄN</t>
        </is>
      </c>
      <c r="G749" t="inlineStr">
        <is>
          <t>SANDVIKEN</t>
        </is>
      </c>
      <c r="H749" t="inlineStr">
        <is>
          <t>Bergvik skog öst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23474-2026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46163</v>
      </c>
      <c r="E750" s="1" t="n">
        <v>46266</v>
      </c>
      <c r="F750" t="inlineStr">
        <is>
          <t>GÄVLEBORGS LÄN</t>
        </is>
      </c>
      <c r="G750" t="inlineStr">
        <is>
          <t>SANDVIKEN</t>
        </is>
      </c>
      <c r="H750" t="inlineStr">
        <is>
          <t>Övriga statliga verk och myndigheter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24465-2023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45082</v>
      </c>
      <c r="E751" s="1" t="n">
        <v>46266</v>
      </c>
      <c r="F751" t="inlineStr">
        <is>
          <t>GÄVLEBORGS LÄN</t>
        </is>
      </c>
      <c r="G751" t="inlineStr">
        <is>
          <t>SANDVIKEN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23471-2026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46163</v>
      </c>
      <c r="E752" s="1" t="n">
        <v>46266</v>
      </c>
      <c r="F752" t="inlineStr">
        <is>
          <t>GÄVLEBORGS LÄN</t>
        </is>
      </c>
      <c r="G752" t="inlineStr">
        <is>
          <t>SANDVIKEN</t>
        </is>
      </c>
      <c r="H752" t="inlineStr">
        <is>
          <t>Övriga statliga verk och myndigheter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2290-2025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45673</v>
      </c>
      <c r="E753" s="1" t="n">
        <v>46266</v>
      </c>
      <c r="F753" t="inlineStr">
        <is>
          <t>GÄVLEBORGS LÄN</t>
        </is>
      </c>
      <c r="G753" t="inlineStr">
        <is>
          <t>SANDVIKEN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23459-2026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46163</v>
      </c>
      <c r="E754" s="1" t="n">
        <v>46266</v>
      </c>
      <c r="F754" t="inlineStr">
        <is>
          <t>GÄVLEBORGS LÄN</t>
        </is>
      </c>
      <c r="G754" t="inlineStr">
        <is>
          <t>SANDVIKEN</t>
        </is>
      </c>
      <c r="H754" t="inlineStr">
        <is>
          <t>Övriga statliga verk och myndigheter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23821-2026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46165</v>
      </c>
      <c r="E755" s="1" t="n">
        <v>46266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23848-2026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46167</v>
      </c>
      <c r="E756" s="1" t="n">
        <v>46266</v>
      </c>
      <c r="F756" t="inlineStr">
        <is>
          <t>GÄVLEBORGS LÄN</t>
        </is>
      </c>
      <c r="G756" t="inlineStr">
        <is>
          <t>SANDVIKEN</t>
        </is>
      </c>
      <c r="I756" t="n">
        <v>5.4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23820-2026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46165</v>
      </c>
      <c r="E757" s="1" t="n">
        <v>46266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7.9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23822-2026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46165</v>
      </c>
      <c r="E758" s="1" t="n">
        <v>46266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23823-2026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46165</v>
      </c>
      <c r="E759" s="1" t="n">
        <v>46266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5.8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23824-2026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46165</v>
      </c>
      <c r="E760" s="1" t="n">
        <v>46266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1418-2025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45668</v>
      </c>
      <c r="E761" s="1" t="n">
        <v>46266</v>
      </c>
      <c r="F761" t="inlineStr">
        <is>
          <t>GÄVLEBORGS LÄN</t>
        </is>
      </c>
      <c r="G761" t="inlineStr">
        <is>
          <t>SANDVIKEN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24261-2026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46169</v>
      </c>
      <c r="E762" s="1" t="n">
        <v>46266</v>
      </c>
      <c r="F762" t="inlineStr">
        <is>
          <t>GÄVLEBORGS LÄN</t>
        </is>
      </c>
      <c r="G762" t="inlineStr">
        <is>
          <t>SANDVIKEN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24313-2026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46169</v>
      </c>
      <c r="E763" s="1" t="n">
        <v>46266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60908-2022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44914</v>
      </c>
      <c r="E764" s="1" t="n">
        <v>46266</v>
      </c>
      <c r="F764" t="inlineStr">
        <is>
          <t>GÄVLEBORGS LÄN</t>
        </is>
      </c>
      <c r="G764" t="inlineStr">
        <is>
          <t>SANDVIKEN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24149-2026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46168</v>
      </c>
      <c r="E765" s="1" t="n">
        <v>46266</v>
      </c>
      <c r="F765" t="inlineStr">
        <is>
          <t>GÄVLEBORGS LÄN</t>
        </is>
      </c>
      <c r="G765" t="inlineStr">
        <is>
          <t>SANDVIKEN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24177-2026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46266</v>
      </c>
      <c r="F766" t="inlineStr">
        <is>
          <t>GÄVLEBORGS LÄN</t>
        </is>
      </c>
      <c r="G766" t="inlineStr">
        <is>
          <t>SANDVIKEN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24355-2026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46169</v>
      </c>
      <c r="E767" s="1" t="n">
        <v>46266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8.9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24356-2026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46169</v>
      </c>
      <c r="E768" s="1" t="n">
        <v>46266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24297-2026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46169</v>
      </c>
      <c r="E769" s="1" t="n">
        <v>46266</v>
      </c>
      <c r="F769" t="inlineStr">
        <is>
          <t>GÄVLEBORGS LÄN</t>
        </is>
      </c>
      <c r="G769" t="inlineStr">
        <is>
          <t>SANDVIKEN</t>
        </is>
      </c>
      <c r="H769" t="inlineStr">
        <is>
          <t>Kommuner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24303-2026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46169</v>
      </c>
      <c r="E770" s="1" t="n">
        <v>46266</v>
      </c>
      <c r="F770" t="inlineStr">
        <is>
          <t>GÄVLEBORGS LÄN</t>
        </is>
      </c>
      <c r="G770" t="inlineStr">
        <is>
          <t>SANDVIKEN</t>
        </is>
      </c>
      <c r="H770" t="inlineStr">
        <is>
          <t>Kommuner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59841-2023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45257</v>
      </c>
      <c r="E771" s="1" t="n">
        <v>46266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18752-2026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46128</v>
      </c>
      <c r="E772" s="1" t="n">
        <v>46266</v>
      </c>
      <c r="F772" t="inlineStr">
        <is>
          <t>GÄVLEBORGS LÄN</t>
        </is>
      </c>
      <c r="G772" t="inlineStr">
        <is>
          <t>SANDVIKEN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4783-2025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45688</v>
      </c>
      <c r="E773" s="1" t="n">
        <v>46266</v>
      </c>
      <c r="F773" t="inlineStr">
        <is>
          <t>GÄVLEBORGS LÄN</t>
        </is>
      </c>
      <c r="G773" t="inlineStr">
        <is>
          <t>SANDVIKEN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46266</v>
      </c>
      <c r="F774" t="inlineStr">
        <is>
          <t>GÄVLEBORGS LÄN</t>
        </is>
      </c>
      <c r="G774" t="inlineStr">
        <is>
          <t>SANDVIKEN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27006-2023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45094</v>
      </c>
      <c r="E775" s="1" t="n">
        <v>46266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9.5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46177-2022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44847</v>
      </c>
      <c r="E776" s="1" t="n">
        <v>46266</v>
      </c>
      <c r="F776" t="inlineStr">
        <is>
          <t>GÄVLEBORGS LÄN</t>
        </is>
      </c>
      <c r="G776" t="inlineStr">
        <is>
          <t>SANDVIKEN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24627-2026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46171</v>
      </c>
      <c r="E777" s="1" t="n">
        <v>46266</v>
      </c>
      <c r="F777" t="inlineStr">
        <is>
          <t>GÄVLEBORGS LÄN</t>
        </is>
      </c>
      <c r="G777" t="inlineStr">
        <is>
          <t>SANDVIKEN</t>
        </is>
      </c>
      <c r="I777" t="n">
        <v>6.9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19346-2023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45049</v>
      </c>
      <c r="E778" s="1" t="n">
        <v>46266</v>
      </c>
      <c r="F778" t="inlineStr">
        <is>
          <t>GÄVLEBORGS LÄN</t>
        </is>
      </c>
      <c r="G778" t="inlineStr">
        <is>
          <t>SANDVIKEN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4483-2026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46045</v>
      </c>
      <c r="E779" s="1" t="n">
        <v>46266</v>
      </c>
      <c r="F779" t="inlineStr">
        <is>
          <t>GÄVLEBORGS LÄN</t>
        </is>
      </c>
      <c r="G779" t="inlineStr">
        <is>
          <t>SANDVIKEN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61363-2023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45264</v>
      </c>
      <c r="E780" s="1" t="n">
        <v>46266</v>
      </c>
      <c r="F780" t="inlineStr">
        <is>
          <t>GÄVLEBORGS LÄN</t>
        </is>
      </c>
      <c r="G780" t="inlineStr">
        <is>
          <t>SANDVIKEN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4488-2026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46045</v>
      </c>
      <c r="E781" s="1" t="n">
        <v>46266</v>
      </c>
      <c r="F781" t="inlineStr">
        <is>
          <t>GÄVLEBORGS LÄN</t>
        </is>
      </c>
      <c r="G781" t="inlineStr">
        <is>
          <t>SANDVIKEN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46482-2023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45197</v>
      </c>
      <c r="E782" s="1" t="n">
        <v>46266</v>
      </c>
      <c r="F782" t="inlineStr">
        <is>
          <t>GÄVLEBORGS LÄN</t>
        </is>
      </c>
      <c r="G782" t="inlineStr">
        <is>
          <t>SANDVIKEN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5960-2026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46266</v>
      </c>
      <c r="F783" t="inlineStr">
        <is>
          <t>GÄVLEBORGS LÄN</t>
        </is>
      </c>
      <c r="G783" t="inlineStr">
        <is>
          <t>SANDVIKEN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25249-2026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46175</v>
      </c>
      <c r="E784" s="1" t="n">
        <v>46266</v>
      </c>
      <c r="F784" t="inlineStr">
        <is>
          <t>GÄVLEBORGS LÄN</t>
        </is>
      </c>
      <c r="G784" t="inlineStr">
        <is>
          <t>SANDVIKEN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25220-2026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46175</v>
      </c>
      <c r="E785" s="1" t="n">
        <v>46266</v>
      </c>
      <c r="F785" t="inlineStr">
        <is>
          <t>GÄVLEBORGS LÄN</t>
        </is>
      </c>
      <c r="G785" t="inlineStr">
        <is>
          <t>SANDVIKEN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25412-2026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46176</v>
      </c>
      <c r="E786" s="1" t="n">
        <v>46266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4.6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25413-2026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46176</v>
      </c>
      <c r="E787" s="1" t="n">
        <v>46266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25175-2026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46175</v>
      </c>
      <c r="E788" s="1" t="n">
        <v>46266</v>
      </c>
      <c r="F788" t="inlineStr">
        <is>
          <t>GÄVLEBORGS LÄN</t>
        </is>
      </c>
      <c r="G788" t="inlineStr">
        <is>
          <t>SANDVIKEN</t>
        </is>
      </c>
      <c r="H788" t="inlineStr">
        <is>
          <t>Kommuner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25691-2026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46178</v>
      </c>
      <c r="E789" s="1" t="n">
        <v>46266</v>
      </c>
      <c r="F789" t="inlineStr">
        <is>
          <t>GÄVLEBORGS LÄN</t>
        </is>
      </c>
      <c r="G789" t="inlineStr">
        <is>
          <t>SANDVIKEN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19186-2026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46132</v>
      </c>
      <c r="E790" s="1" t="n">
        <v>46266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25826-2026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46178</v>
      </c>
      <c r="E791" s="1" t="n">
        <v>46266</v>
      </c>
      <c r="F791" t="inlineStr">
        <is>
          <t>GÄVLEBORGS LÄN</t>
        </is>
      </c>
      <c r="G791" t="inlineStr">
        <is>
          <t>SANDVIKEN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50797-2023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45217</v>
      </c>
      <c r="E792" s="1" t="n">
        <v>46266</v>
      </c>
      <c r="F792" t="inlineStr">
        <is>
          <t>GÄVLEBORGS LÄN</t>
        </is>
      </c>
      <c r="G792" t="inlineStr">
        <is>
          <t>SANDVIKEN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25836-2026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46178</v>
      </c>
      <c r="E793" s="1" t="n">
        <v>46266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4.6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25840-2026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46266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8.699999999999999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44564</v>
      </c>
      <c r="E795" s="1" t="n">
        <v>46266</v>
      </c>
      <c r="F795" t="inlineStr">
        <is>
          <t>GÄVLEBORGS LÄN</t>
        </is>
      </c>
      <c r="G795" t="inlineStr">
        <is>
          <t>SANDVIKEN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25842-2026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46178</v>
      </c>
      <c r="E796" s="1" t="n">
        <v>46266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8940-2026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46069</v>
      </c>
      <c r="E797" s="1" t="n">
        <v>46266</v>
      </c>
      <c r="F797" t="inlineStr">
        <is>
          <t>GÄVLEBORGS LÄN</t>
        </is>
      </c>
      <c r="G797" t="inlineStr">
        <is>
          <t>SANDVIKEN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25835-2026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46178</v>
      </c>
      <c r="E798" s="1" t="n">
        <v>46266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25837-2026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46178</v>
      </c>
      <c r="E799" s="1" t="n">
        <v>46266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25841-2026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46178</v>
      </c>
      <c r="E800" s="1" t="n">
        <v>46266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25834-2026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46266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4.3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25647-2026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46177</v>
      </c>
      <c r="E802" s="1" t="n">
        <v>46266</v>
      </c>
      <c r="F802" t="inlineStr">
        <is>
          <t>GÄVLEBORGS LÄN</t>
        </is>
      </c>
      <c r="G802" t="inlineStr">
        <is>
          <t>SANDVIKEN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25456-2026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46177</v>
      </c>
      <c r="E803" s="1" t="n">
        <v>46266</v>
      </c>
      <c r="F803" t="inlineStr">
        <is>
          <t>GÄVLEBORGS LÄN</t>
        </is>
      </c>
      <c r="G803" t="inlineStr">
        <is>
          <t>SANDVIKEN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73331-2021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44551</v>
      </c>
      <c r="E804" s="1" t="n">
        <v>46266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41790-2024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45561</v>
      </c>
      <c r="E805" s="1" t="n">
        <v>46266</v>
      </c>
      <c r="F805" t="inlineStr">
        <is>
          <t>GÄVLEBORGS LÄN</t>
        </is>
      </c>
      <c r="G805" t="inlineStr">
        <is>
          <t>SANDVIKEN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21456-2023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45063</v>
      </c>
      <c r="E806" s="1" t="n">
        <v>46266</v>
      </c>
      <c r="F806" t="inlineStr">
        <is>
          <t>GÄVLEBORGS LÄN</t>
        </is>
      </c>
      <c r="G806" t="inlineStr">
        <is>
          <t>SANDVIKEN</t>
        </is>
      </c>
      <c r="H806" t="inlineStr">
        <is>
          <t>Kommuner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15788-2025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45748</v>
      </c>
      <c r="E807" s="1" t="n">
        <v>46266</v>
      </c>
      <c r="F807" t="inlineStr">
        <is>
          <t>GÄVLEBORGS LÄN</t>
        </is>
      </c>
      <c r="G807" t="inlineStr">
        <is>
          <t>SANDVIKEN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26763-2026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46184</v>
      </c>
      <c r="E808" s="1" t="n">
        <v>46266</v>
      </c>
      <c r="F808" t="inlineStr">
        <is>
          <t>GÄVLEBORGS LÄN</t>
        </is>
      </c>
      <c r="G808" t="inlineStr">
        <is>
          <t>SANDVIKEN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31723-2026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46227</v>
      </c>
      <c r="E809" s="1" t="n">
        <v>46266</v>
      </c>
      <c r="F809" t="inlineStr">
        <is>
          <t>GÄVLEBORGS LÄN</t>
        </is>
      </c>
      <c r="G809" t="inlineStr">
        <is>
          <t>SANDVIKEN</t>
        </is>
      </c>
      <c r="H809" t="inlineStr">
        <is>
          <t>Kommuner</t>
        </is>
      </c>
      <c r="I809" t="n">
        <v>9.300000000000001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26780-2026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46184</v>
      </c>
      <c r="E810" s="1" t="n">
        <v>46266</v>
      </c>
      <c r="F810" t="inlineStr">
        <is>
          <t>GÄVLEBORGS LÄN</t>
        </is>
      </c>
      <c r="G810" t="inlineStr">
        <is>
          <t>SANDVIKEN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46183</v>
      </c>
      <c r="E811" s="1" t="n">
        <v>46266</v>
      </c>
      <c r="F811" t="inlineStr">
        <is>
          <t>GÄVLEBORGS LÄN</t>
        </is>
      </c>
      <c r="G811" t="inlineStr">
        <is>
          <t>SANDVIKEN</t>
        </is>
      </c>
      <c r="H811" t="inlineStr">
        <is>
          <t>Bergvik skog öst AB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58797-2024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45636</v>
      </c>
      <c r="E812" s="1" t="n">
        <v>46266</v>
      </c>
      <c r="F812" t="inlineStr">
        <is>
          <t>GÄVLEBORGS LÄN</t>
        </is>
      </c>
      <c r="G812" t="inlineStr">
        <is>
          <t>SANDVIKEN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24992-2023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45085</v>
      </c>
      <c r="E813" s="1" t="n">
        <v>46266</v>
      </c>
      <c r="F813" t="inlineStr">
        <is>
          <t>GÄVLEBORGS LÄN</t>
        </is>
      </c>
      <c r="G813" t="inlineStr">
        <is>
          <t>SANDVIKEN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26882-2026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46185</v>
      </c>
      <c r="E814" s="1" t="n">
        <v>46266</v>
      </c>
      <c r="F814" t="inlineStr">
        <is>
          <t>GÄVLEBORGS LÄN</t>
        </is>
      </c>
      <c r="G814" t="inlineStr">
        <is>
          <t>SANDVIKEN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31802-2026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46230</v>
      </c>
      <c r="E815" s="1" t="n">
        <v>46266</v>
      </c>
      <c r="F815" t="inlineStr">
        <is>
          <t>GÄVLEBORGS LÄN</t>
        </is>
      </c>
      <c r="G815" t="inlineStr">
        <is>
          <t>SANDVIKEN</t>
        </is>
      </c>
      <c r="H815" t="inlineStr">
        <is>
          <t>Kommuner</t>
        </is>
      </c>
      <c r="I815" t="n">
        <v>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31807-2026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46230</v>
      </c>
      <c r="E816" s="1" t="n">
        <v>46266</v>
      </c>
      <c r="F816" t="inlineStr">
        <is>
          <t>GÄVLEBORGS LÄN</t>
        </is>
      </c>
      <c r="G816" t="inlineStr">
        <is>
          <t>SANDVIKEN</t>
        </is>
      </c>
      <c r="H816" t="inlineStr">
        <is>
          <t>Kommuner</t>
        </is>
      </c>
      <c r="I816" t="n">
        <v>11.2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26872-2026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46266</v>
      </c>
      <c r="F817" t="inlineStr">
        <is>
          <t>GÄVLEBORGS LÄN</t>
        </is>
      </c>
      <c r="G817" t="inlineStr">
        <is>
          <t>SANDVIKEN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26964-2026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46266</v>
      </c>
      <c r="F818" t="inlineStr">
        <is>
          <t>GÄVLEBORGS LÄN</t>
        </is>
      </c>
      <c r="G818" t="inlineStr">
        <is>
          <t>SANDVIKEN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26818-2026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46266</v>
      </c>
      <c r="F819" t="inlineStr">
        <is>
          <t>GÄVLEBORGS LÄN</t>
        </is>
      </c>
      <c r="G819" t="inlineStr">
        <is>
          <t>SANDVIKEN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7056-2025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45701</v>
      </c>
      <c r="E820" s="1" t="n">
        <v>46266</v>
      </c>
      <c r="F820" t="inlineStr">
        <is>
          <t>GÄVLEBORGS LÄN</t>
        </is>
      </c>
      <c r="G820" t="inlineStr">
        <is>
          <t>SANDVIKEN</t>
        </is>
      </c>
      <c r="I820" t="n">
        <v>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6765-2025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45700</v>
      </c>
      <c r="E821" s="1" t="n">
        <v>46266</v>
      </c>
      <c r="F821" t="inlineStr">
        <is>
          <t>GÄVLEBORGS LÄN</t>
        </is>
      </c>
      <c r="G821" t="inlineStr">
        <is>
          <t>SANDVIKEN</t>
        </is>
      </c>
      <c r="I821" t="n">
        <v>7.1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47889-2022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44855</v>
      </c>
      <c r="E822" s="1" t="n">
        <v>46266</v>
      </c>
      <c r="F822" t="inlineStr">
        <is>
          <t>GÄVLEBORGS LÄN</t>
        </is>
      </c>
      <c r="G822" t="inlineStr">
        <is>
          <t>SANDVIKEN</t>
        </is>
      </c>
      <c r="H822" t="inlineStr">
        <is>
          <t>Sveaskog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29972-2022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44756</v>
      </c>
      <c r="E823" s="1" t="n">
        <v>46266</v>
      </c>
      <c r="F823" t="inlineStr">
        <is>
          <t>GÄVLEBORGS LÄN</t>
        </is>
      </c>
      <c r="G823" t="inlineStr">
        <is>
          <t>SANDVIKEN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16385-2023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45022</v>
      </c>
      <c r="E824" s="1" t="n">
        <v>46266</v>
      </c>
      <c r="F824" t="inlineStr">
        <is>
          <t>GÄVLEBORGS LÄN</t>
        </is>
      </c>
      <c r="G824" t="inlineStr">
        <is>
          <t>SANDVIKEN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27533-2026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46190</v>
      </c>
      <c r="E825" s="1" t="n">
        <v>46266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27588-2026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46190</v>
      </c>
      <c r="E826" s="1" t="n">
        <v>46266</v>
      </c>
      <c r="F826" t="inlineStr">
        <is>
          <t>GÄVLEBORGS LÄN</t>
        </is>
      </c>
      <c r="G826" t="inlineStr">
        <is>
          <t>SANDVIKEN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25544-2024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45463</v>
      </c>
      <c r="E827" s="1" t="n">
        <v>46266</v>
      </c>
      <c r="F827" t="inlineStr">
        <is>
          <t>GÄVLEBORGS LÄN</t>
        </is>
      </c>
      <c r="G827" t="inlineStr">
        <is>
          <t>SANDVIKEN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14720-2026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46266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37641-2024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45541</v>
      </c>
      <c r="E829" s="1" t="n">
        <v>46266</v>
      </c>
      <c r="F829" t="inlineStr">
        <is>
          <t>GÄVLEBORGS LÄN</t>
        </is>
      </c>
      <c r="G829" t="inlineStr">
        <is>
          <t>SANDVIKEN</t>
        </is>
      </c>
      <c r="H829" t="inlineStr">
        <is>
          <t>Sveaskog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37643-2024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45541</v>
      </c>
      <c r="E830" s="1" t="n">
        <v>46266</v>
      </c>
      <c r="F830" t="inlineStr">
        <is>
          <t>GÄVLEBORGS LÄN</t>
        </is>
      </c>
      <c r="G830" t="inlineStr">
        <is>
          <t>SANDVIKEN</t>
        </is>
      </c>
      <c r="H830" t="inlineStr">
        <is>
          <t>Sveaskog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1676-2026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46034</v>
      </c>
      <c r="E831" s="1" t="n">
        <v>46266</v>
      </c>
      <c r="F831" t="inlineStr">
        <is>
          <t>GÄVLEBORGS LÄN</t>
        </is>
      </c>
      <c r="G831" t="inlineStr">
        <is>
          <t>SANDVIKEN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27743-2026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46191</v>
      </c>
      <c r="E832" s="1" t="n">
        <v>46266</v>
      </c>
      <c r="F832" t="inlineStr">
        <is>
          <t>GÄVLEBORGS LÄN</t>
        </is>
      </c>
      <c r="G832" t="inlineStr">
        <is>
          <t>SANDVIKEN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28845-2026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46195</v>
      </c>
      <c r="E833" s="1" t="n">
        <v>46266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32158-2026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46236</v>
      </c>
      <c r="E834" s="1" t="n">
        <v>46266</v>
      </c>
      <c r="F834" t="inlineStr">
        <is>
          <t>GÄVLEBORGS LÄN</t>
        </is>
      </c>
      <c r="G834" t="inlineStr">
        <is>
          <t>SANDVIKEN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23228-2026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46266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3899-2022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44587</v>
      </c>
      <c r="E836" s="1" t="n">
        <v>46266</v>
      </c>
      <c r="F836" t="inlineStr">
        <is>
          <t>GÄVLEBORGS LÄN</t>
        </is>
      </c>
      <c r="G836" t="inlineStr">
        <is>
          <t>SANDVIKEN</t>
        </is>
      </c>
      <c r="H836" t="inlineStr">
        <is>
          <t>Kyrkan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28369-2026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46196</v>
      </c>
      <c r="E837" s="1" t="n">
        <v>46266</v>
      </c>
      <c r="F837" t="inlineStr">
        <is>
          <t>GÄVLEBORGS LÄN</t>
        </is>
      </c>
      <c r="G837" t="inlineStr">
        <is>
          <t>SANDVIKEN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4511-2024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45327</v>
      </c>
      <c r="E838" s="1" t="n">
        <v>46266</v>
      </c>
      <c r="F838" t="inlineStr">
        <is>
          <t>GÄVLEBORGS LÄN</t>
        </is>
      </c>
      <c r="G838" t="inlineStr">
        <is>
          <t>SANDVIKEN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28340-2026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46196</v>
      </c>
      <c r="E839" s="1" t="n">
        <v>46266</v>
      </c>
      <c r="F839" t="inlineStr">
        <is>
          <t>GÄVLEBORGS LÄN</t>
        </is>
      </c>
      <c r="G839" t="inlineStr">
        <is>
          <t>SANDVIKEN</t>
        </is>
      </c>
      <c r="H839" t="inlineStr">
        <is>
          <t>Bergvik skog öst AB</t>
        </is>
      </c>
      <c r="I839" t="n">
        <v>26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28344-2026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46196</v>
      </c>
      <c r="E840" s="1" t="n">
        <v>46266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28349-2026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46196</v>
      </c>
      <c r="E841" s="1" t="n">
        <v>46266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öst AB</t>
        </is>
      </c>
      <c r="I841" t="n">
        <v>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28346-2026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46196</v>
      </c>
      <c r="E842" s="1" t="n">
        <v>46266</v>
      </c>
      <c r="F842" t="inlineStr">
        <is>
          <t>GÄVLEBORGS LÄN</t>
        </is>
      </c>
      <c r="G842" t="inlineStr">
        <is>
          <t>SANDVIKEN</t>
        </is>
      </c>
      <c r="H842" t="inlineStr">
        <is>
          <t>Sveaskog</t>
        </is>
      </c>
      <c r="I842" t="n">
        <v>11.9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19269-2025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45769</v>
      </c>
      <c r="E843" s="1" t="n">
        <v>46266</v>
      </c>
      <c r="F843" t="inlineStr">
        <is>
          <t>GÄVLEBORGS LÄN</t>
        </is>
      </c>
      <c r="G843" t="inlineStr">
        <is>
          <t>SANDVIKEN</t>
        </is>
      </c>
      <c r="I843" t="n">
        <v>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15671-2024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45404</v>
      </c>
      <c r="E844" s="1" t="n">
        <v>46266</v>
      </c>
      <c r="F844" t="inlineStr">
        <is>
          <t>GÄVLEBORGS LÄN</t>
        </is>
      </c>
      <c r="G844" t="inlineStr">
        <is>
          <t>SANDVIKEN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28728-2026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46198</v>
      </c>
      <c r="E845" s="1" t="n">
        <v>46266</v>
      </c>
      <c r="F845" t="inlineStr">
        <is>
          <t>GÄVLEBORGS LÄN</t>
        </is>
      </c>
      <c r="G845" t="inlineStr">
        <is>
          <t>SANDVIKEN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48435-2024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45590</v>
      </c>
      <c r="E846" s="1" t="n">
        <v>46266</v>
      </c>
      <c r="F846" t="inlineStr">
        <is>
          <t>GÄVLEBORGS LÄN</t>
        </is>
      </c>
      <c r="G846" t="inlineStr">
        <is>
          <t>SANDVIKEN</t>
        </is>
      </c>
      <c r="I846" t="n">
        <v>6.7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32875-2026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46244</v>
      </c>
      <c r="E847" s="1" t="n">
        <v>46266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29115-2026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46201</v>
      </c>
      <c r="E848" s="1" t="n">
        <v>46266</v>
      </c>
      <c r="F848" t="inlineStr">
        <is>
          <t>GÄVLEBORGS LÄN</t>
        </is>
      </c>
      <c r="G848" t="inlineStr">
        <is>
          <t>SANDVIKEN</t>
        </is>
      </c>
      <c r="H848" t="inlineStr">
        <is>
          <t>Kommuner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29321-2026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46202</v>
      </c>
      <c r="E849" s="1" t="n">
        <v>46266</v>
      </c>
      <c r="F849" t="inlineStr">
        <is>
          <t>GÄVLEBORGS LÄN</t>
        </is>
      </c>
      <c r="G849" t="inlineStr">
        <is>
          <t>SANDVIKEN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32989-2026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46244</v>
      </c>
      <c r="E850" s="1" t="n">
        <v>46266</v>
      </c>
      <c r="F850" t="inlineStr">
        <is>
          <t>GÄVLEBORGS LÄN</t>
        </is>
      </c>
      <c r="G850" t="inlineStr">
        <is>
          <t>SANDVIKEN</t>
        </is>
      </c>
      <c r="H850" t="inlineStr">
        <is>
          <t>Kommuner</t>
        </is>
      </c>
      <c r="I850" t="n">
        <v>8.6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32998-2026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46244</v>
      </c>
      <c r="E851" s="1" t="n">
        <v>46266</v>
      </c>
      <c r="F851" t="inlineStr">
        <is>
          <t>GÄVLEBORGS LÄN</t>
        </is>
      </c>
      <c r="G851" t="inlineStr">
        <is>
          <t>SANDVIKEN</t>
        </is>
      </c>
      <c r="H851" t="inlineStr">
        <is>
          <t>Kommuner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29682-2026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46204</v>
      </c>
      <c r="E852" s="1" t="n">
        <v>46266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29726-2026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46204</v>
      </c>
      <c r="E853" s="1" t="n">
        <v>46266</v>
      </c>
      <c r="F853" t="inlineStr">
        <is>
          <t>GÄVLEBORGS LÄN</t>
        </is>
      </c>
      <c r="G853" t="inlineStr">
        <is>
          <t>SANDVIKEN</t>
        </is>
      </c>
      <c r="H853" t="inlineStr">
        <is>
          <t>Naturvårdsverket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29471-2026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46203</v>
      </c>
      <c r="E854" s="1" t="n">
        <v>46266</v>
      </c>
      <c r="F854" t="inlineStr">
        <is>
          <t>GÄVLEBORGS LÄN</t>
        </is>
      </c>
      <c r="G854" t="inlineStr">
        <is>
          <t>SANDVIKEN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29572-2026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46204</v>
      </c>
      <c r="E855" s="1" t="n">
        <v>46266</v>
      </c>
      <c r="F855" t="inlineStr">
        <is>
          <t>GÄVLEBORGS LÄN</t>
        </is>
      </c>
      <c r="G855" t="inlineStr">
        <is>
          <t>SANDVIKEN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29681-2026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46204</v>
      </c>
      <c r="E856" s="1" t="n">
        <v>46266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29715-2026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46204</v>
      </c>
      <c r="E857" s="1" t="n">
        <v>46266</v>
      </c>
      <c r="F857" t="inlineStr">
        <is>
          <t>GÄVLEBORGS LÄN</t>
        </is>
      </c>
      <c r="G857" t="inlineStr">
        <is>
          <t>SANDVIKEN</t>
        </is>
      </c>
      <c r="H857" t="inlineStr">
        <is>
          <t>Naturvårdsverket</t>
        </is>
      </c>
      <c r="I857" t="n">
        <v>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29717-2026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46204</v>
      </c>
      <c r="E858" s="1" t="n">
        <v>46266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29661-2026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46204</v>
      </c>
      <c r="E859" s="1" t="n">
        <v>46266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29616-2026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46204</v>
      </c>
      <c r="E860" s="1" t="n">
        <v>46266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33310-2026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46246</v>
      </c>
      <c r="E861" s="1" t="n">
        <v>46266</v>
      </c>
      <c r="F861" t="inlineStr">
        <is>
          <t>GÄVLEBORGS LÄN</t>
        </is>
      </c>
      <c r="G861" t="inlineStr">
        <is>
          <t>SANDVIKEN</t>
        </is>
      </c>
      <c r="H861" t="inlineStr">
        <is>
          <t>Kommuner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29613-2026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46204</v>
      </c>
      <c r="E862" s="1" t="n">
        <v>46266</v>
      </c>
      <c r="F862" t="inlineStr">
        <is>
          <t>GÄVLEBORGS LÄN</t>
        </is>
      </c>
      <c r="G862" t="inlineStr">
        <is>
          <t>SANDVIKEN</t>
        </is>
      </c>
      <c r="I862" t="n">
        <v>5.3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33383-2026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46247</v>
      </c>
      <c r="E863" s="1" t="n">
        <v>46266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29620-2026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46266</v>
      </c>
      <c r="F864" t="inlineStr">
        <is>
          <t>GÄVLEBORGS LÄN</t>
        </is>
      </c>
      <c r="G864" t="inlineStr">
        <is>
          <t>SANDVIKEN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29608-2026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46204</v>
      </c>
      <c r="E865" s="1" t="n">
        <v>46266</v>
      </c>
      <c r="F865" t="inlineStr">
        <is>
          <t>GÄVLEBORGS LÄN</t>
        </is>
      </c>
      <c r="G865" t="inlineStr">
        <is>
          <t>SANDVIKEN</t>
        </is>
      </c>
      <c r="I865" t="n">
        <v>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33873-2026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46251</v>
      </c>
      <c r="E866" s="1" t="n">
        <v>46266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33877-2026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46251</v>
      </c>
      <c r="E867" s="1" t="n">
        <v>46266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33874-2026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46251</v>
      </c>
      <c r="E868" s="1" t="n">
        <v>46266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22851-2026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46160</v>
      </c>
      <c r="E869" s="1" t="n">
        <v>46266</v>
      </c>
      <c r="F869" t="inlineStr">
        <is>
          <t>GÄVLEBORGS LÄN</t>
        </is>
      </c>
      <c r="G869" t="inlineStr">
        <is>
          <t>SANDVIKEN</t>
        </is>
      </c>
      <c r="H869" t="inlineStr">
        <is>
          <t>Kommuner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29833-2026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46205</v>
      </c>
      <c r="E870" s="1" t="n">
        <v>46266</v>
      </c>
      <c r="F870" t="inlineStr">
        <is>
          <t>GÄVLEBORGS LÄN</t>
        </is>
      </c>
      <c r="G870" t="inlineStr">
        <is>
          <t>SANDVIKEN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29842-2026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46205</v>
      </c>
      <c r="E871" s="1" t="n">
        <v>46266</v>
      </c>
      <c r="F871" t="inlineStr">
        <is>
          <t>GÄVLEBORGS LÄN</t>
        </is>
      </c>
      <c r="G871" t="inlineStr">
        <is>
          <t>SANDVIKEN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33007-2026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46266</v>
      </c>
      <c r="F872" t="inlineStr">
        <is>
          <t>GÄVLEBORGS LÄN</t>
        </is>
      </c>
      <c r="G872" t="inlineStr">
        <is>
          <t>SANDVIKEN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15340-2026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46105</v>
      </c>
      <c r="E873" s="1" t="n">
        <v>46266</v>
      </c>
      <c r="F873" t="inlineStr">
        <is>
          <t>GÄVLEBORGS LÄN</t>
        </is>
      </c>
      <c r="G873" t="inlineStr">
        <is>
          <t>SANDVIKEN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34036-2026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46252</v>
      </c>
      <c r="E874" s="1" t="n">
        <v>46266</v>
      </c>
      <c r="F874" t="inlineStr">
        <is>
          <t>GÄVLEBORGS LÄN</t>
        </is>
      </c>
      <c r="G874" t="inlineStr">
        <is>
          <t>SANDVIKEN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34253-2026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46253</v>
      </c>
      <c r="E875" s="1" t="n">
        <v>46266</v>
      </c>
      <c r="F875" t="inlineStr">
        <is>
          <t>GÄVLEBORGS LÄN</t>
        </is>
      </c>
      <c r="G875" t="inlineStr">
        <is>
          <t>SANDVIKEN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25498-2026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46177</v>
      </c>
      <c r="E876" s="1" t="n">
        <v>46266</v>
      </c>
      <c r="F876" t="inlineStr">
        <is>
          <t>GÄVLEBORGS LÄN</t>
        </is>
      </c>
      <c r="G876" t="inlineStr">
        <is>
          <t>SANDVIKEN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34408-2026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46254</v>
      </c>
      <c r="E877" s="1" t="n">
        <v>46266</v>
      </c>
      <c r="F877" t="inlineStr">
        <is>
          <t>GÄVLEBORGS LÄN</t>
        </is>
      </c>
      <c r="G877" t="inlineStr">
        <is>
          <t>SANDVIKEN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34603-2026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46255</v>
      </c>
      <c r="E878" s="1" t="n">
        <v>46266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34606-2026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46266</v>
      </c>
      <c r="F879" t="inlineStr">
        <is>
          <t>GÄVLEBORGS LÄN</t>
        </is>
      </c>
      <c r="G879" t="inlineStr">
        <is>
          <t>SANDVIKEN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34879-2026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46258</v>
      </c>
      <c r="E880" s="1" t="n">
        <v>46266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34608-2026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46255</v>
      </c>
      <c r="E881" s="1" t="n">
        <v>46266</v>
      </c>
      <c r="F881" t="inlineStr">
        <is>
          <t>GÄVLEBORGS LÄN</t>
        </is>
      </c>
      <c r="G881" t="inlineStr">
        <is>
          <t>SANDVIKEN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1062-2026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46030</v>
      </c>
      <c r="E882" s="1" t="n">
        <v>46266</v>
      </c>
      <c r="F882" t="inlineStr">
        <is>
          <t>GÄVLEBORGS LÄN</t>
        </is>
      </c>
      <c r="G882" t="inlineStr">
        <is>
          <t>SANDVIKEN</t>
        </is>
      </c>
      <c r="I882" t="n">
        <v>10.2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34997-2026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46259</v>
      </c>
      <c r="E883" s="1" t="n">
        <v>46266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35107-2026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46260</v>
      </c>
      <c r="E884" s="1" t="n">
        <v>46266</v>
      </c>
      <c r="F884" t="inlineStr">
        <is>
          <t>GÄVLEBORGS LÄN</t>
        </is>
      </c>
      <c r="G884" t="inlineStr">
        <is>
          <t>SANDVIKEN</t>
        </is>
      </c>
      <c r="I884" t="n">
        <v>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35253-2026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46261</v>
      </c>
      <c r="E885" s="1" t="n">
        <v>46266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35255-2026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46266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35345-2026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46266</v>
      </c>
      <c r="F887" t="inlineStr">
        <is>
          <t>GÄVLEBORGS LÄN</t>
        </is>
      </c>
      <c r="G887" t="inlineStr">
        <is>
          <t>SANDVIKEN</t>
        </is>
      </c>
      <c r="H887" t="inlineStr">
        <is>
          <t>Bergvik skog öst AB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35416-2026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46266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35417-2026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46261</v>
      </c>
      <c r="E889" s="1" t="n">
        <v>46266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öst AB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35324-2026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46261</v>
      </c>
      <c r="E890" s="1" t="n">
        <v>46266</v>
      </c>
      <c r="F890" t="inlineStr">
        <is>
          <t>GÄVLEBORGS LÄN</t>
        </is>
      </c>
      <c r="G890" t="inlineStr">
        <is>
          <t>SANDVIKEN</t>
        </is>
      </c>
      <c r="H890" t="inlineStr">
        <is>
          <t>Naturvårdsverket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35325-2026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46261</v>
      </c>
      <c r="E891" s="1" t="n">
        <v>46266</v>
      </c>
      <c r="F891" t="inlineStr">
        <is>
          <t>GÄVLEBORGS LÄN</t>
        </is>
      </c>
      <c r="G891" t="inlineStr">
        <is>
          <t>SANDVIKEN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35320-2026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46266</v>
      </c>
      <c r="F892" t="inlineStr">
        <is>
          <t>GÄVLEBORGS LÄN</t>
        </is>
      </c>
      <c r="G892" t="inlineStr">
        <is>
          <t>SANDVIKEN</t>
        </is>
      </c>
      <c r="I892" t="n">
        <v>2.7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35370-2026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46266</v>
      </c>
      <c r="F893" t="inlineStr">
        <is>
          <t>GÄVLEBORGS LÄN</t>
        </is>
      </c>
      <c r="G893" t="inlineStr">
        <is>
          <t>SANDVIKEN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35376-2026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46266</v>
      </c>
      <c r="F894" t="inlineStr">
        <is>
          <t>GÄVLEBORGS LÄN</t>
        </is>
      </c>
      <c r="G894" t="inlineStr">
        <is>
          <t>SANDVIKEN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35414-2026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46261</v>
      </c>
      <c r="E895" s="1" t="n">
        <v>46266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öst AB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35254-2026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46261</v>
      </c>
      <c r="E896" s="1" t="n">
        <v>46266</v>
      </c>
      <c r="F896" t="inlineStr">
        <is>
          <t>GÄVLEBORGS LÄN</t>
        </is>
      </c>
      <c r="G896" t="inlineStr">
        <is>
          <t>SANDVIKEN</t>
        </is>
      </c>
      <c r="H896" t="inlineStr">
        <is>
          <t>Sveaskog</t>
        </is>
      </c>
      <c r="I896" t="n">
        <v>5.3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35348-2026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46261</v>
      </c>
      <c r="E897" s="1" t="n">
        <v>46266</v>
      </c>
      <c r="F897" t="inlineStr">
        <is>
          <t>GÄVLEBORGS LÄN</t>
        </is>
      </c>
      <c r="G897" t="inlineStr">
        <is>
          <t>SANDVIKEN</t>
        </is>
      </c>
      <c r="H897" t="inlineStr">
        <is>
          <t>Bergvik skog öst AB</t>
        </is>
      </c>
      <c r="I897" t="n">
        <v>3.7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35420-2026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46266</v>
      </c>
      <c r="F898" t="inlineStr">
        <is>
          <t>GÄVLEBORGS LÄN</t>
        </is>
      </c>
      <c r="G898" t="inlineStr">
        <is>
          <t>SANDVIKEN</t>
        </is>
      </c>
      <c r="H898" t="inlineStr">
        <is>
          <t>Bergvik skog öst AB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35317-2026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46261</v>
      </c>
      <c r="E899" s="1" t="n">
        <v>46266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öst AB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35578-2026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46262</v>
      </c>
      <c r="E900" s="1" t="n">
        <v>46266</v>
      </c>
      <c r="F900" t="inlineStr">
        <is>
          <t>GÄVLEBORGS LÄN</t>
        </is>
      </c>
      <c r="G900" t="inlineStr">
        <is>
          <t>SANDVIKEN</t>
        </is>
      </c>
      <c r="H900" t="inlineStr">
        <is>
          <t>Naturvårdsverket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35432-2026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46262</v>
      </c>
      <c r="E901" s="1" t="n">
        <v>46266</v>
      </c>
      <c r="F901" t="inlineStr">
        <is>
          <t>GÄVLEBORGS LÄN</t>
        </is>
      </c>
      <c r="G901" t="inlineStr">
        <is>
          <t>SANDVIKEN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35434-2026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46262</v>
      </c>
      <c r="E902" s="1" t="n">
        <v>46266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öst AB</t>
        </is>
      </c>
      <c r="I902" t="n">
        <v>2.3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35575-2026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46262</v>
      </c>
      <c r="E903" s="1" t="n">
        <v>46266</v>
      </c>
      <c r="F903" t="inlineStr">
        <is>
          <t>GÄVLEBORGS LÄN</t>
        </is>
      </c>
      <c r="G903" t="inlineStr">
        <is>
          <t>SANDVIKEN</t>
        </is>
      </c>
      <c r="H903" t="inlineStr">
        <is>
          <t>Naturvårdsverket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31314-2026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46219</v>
      </c>
      <c r="E904" s="1" t="n">
        <v>46266</v>
      </c>
      <c r="F904" t="inlineStr">
        <is>
          <t>GÄVLEBORGS LÄN</t>
        </is>
      </c>
      <c r="G904" t="inlineStr">
        <is>
          <t>SANDVIKEN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35481-2026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46262</v>
      </c>
      <c r="E905" s="1" t="n">
        <v>46266</v>
      </c>
      <c r="F905" t="inlineStr">
        <is>
          <t>GÄVLEBORGS LÄN</t>
        </is>
      </c>
      <c r="G905" t="inlineStr">
        <is>
          <t>SANDVIKEN</t>
        </is>
      </c>
      <c r="H905" t="inlineStr">
        <is>
          <t>Kommuner</t>
        </is>
      </c>
      <c r="I905" t="n">
        <v>6.7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35492-2026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46262</v>
      </c>
      <c r="E906" s="1" t="n">
        <v>46266</v>
      </c>
      <c r="F906" t="inlineStr">
        <is>
          <t>GÄVLEBORGS LÄN</t>
        </is>
      </c>
      <c r="G906" t="inlineStr">
        <is>
          <t>SANDVIKEN</t>
        </is>
      </c>
      <c r="I906" t="n">
        <v>5.2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35451-2026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46262</v>
      </c>
      <c r="E907" s="1" t="n">
        <v>46266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öst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35576-2026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46262</v>
      </c>
      <c r="E908" s="1" t="n">
        <v>46266</v>
      </c>
      <c r="F908" t="inlineStr">
        <is>
          <t>GÄVLEBORGS LÄN</t>
        </is>
      </c>
      <c r="G908" t="inlineStr">
        <is>
          <t>SANDVIKEN</t>
        </is>
      </c>
      <c r="H908" t="inlineStr">
        <is>
          <t>Naturvårdsverket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2071-2020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44102</v>
      </c>
      <c r="E909" s="1" t="n">
        <v>46266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42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219-2024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45316</v>
      </c>
      <c r="E910" s="1" t="n">
        <v>46266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21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198-2024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45315</v>
      </c>
      <c r="E911" s="1" t="n">
        <v>46266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64.59999999999999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7975-2021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44484</v>
      </c>
      <c r="E912" s="1" t="n">
        <v>46266</v>
      </c>
      <c r="F912" t="inlineStr">
        <is>
          <t>GÄVLEBORGS LÄN</t>
        </is>
      </c>
      <c r="G912" t="inlineStr">
        <is>
          <t>SANDVIKEN</t>
        </is>
      </c>
      <c r="H912" t="inlineStr">
        <is>
          <t>Kommuner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2574-2023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45142</v>
      </c>
      <c r="E913" s="1" t="n">
        <v>46266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31.8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10363-2021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44550</v>
      </c>
      <c r="E914" s="1" t="n">
        <v>46266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73.3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513-2025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45706</v>
      </c>
      <c r="E915" s="1" t="n">
        <v>46266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29.5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706-2025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45720</v>
      </c>
      <c r="E916" s="1" t="n">
        <v>46266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väst AB</t>
        </is>
      </c>
      <c r="I916" t="n">
        <v>24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531-2025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45707</v>
      </c>
      <c r="E917" s="1" t="n">
        <v>46266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14.4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530-2025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45707</v>
      </c>
      <c r="E918" s="1" t="n">
        <v>46266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23.1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318-2026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46059</v>
      </c>
      <c r="E919" s="1" t="n">
        <v>46266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14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320-2026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46059</v>
      </c>
      <c r="E920" s="1" t="n">
        <v>46266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36.3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664-2026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46089</v>
      </c>
      <c r="E921" s="1" t="n">
        <v>46266</v>
      </c>
      <c r="F921" t="inlineStr">
        <is>
          <t>GÄVLEBORGS LÄN</t>
        </is>
      </c>
      <c r="G921" t="inlineStr">
        <is>
          <t>SANDVIKEN</t>
        </is>
      </c>
      <c r="H921" t="inlineStr">
        <is>
          <t>Bergvik skog öst AB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>
      <c r="A922" t="inlineStr">
        <is>
          <t>S 677-2026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46089</v>
      </c>
      <c r="E922" s="1" t="n">
        <v>46266</v>
      </c>
      <c r="F922" t="inlineStr">
        <is>
          <t>GÄVLEBORGS LÄN</t>
        </is>
      </c>
      <c r="G922" t="inlineStr">
        <is>
          <t>SANDVIKEN</t>
        </is>
      </c>
      <c r="H922" t="inlineStr">
        <is>
          <t>Bergvik skog öst AB</t>
        </is>
      </c>
      <c r="I922" t="n">
        <v>61.3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2026-09-01T02:06:01Z</dcterms:created>
  <dcterms:modified xmlns:dcterms="http://purl.org/dc/terms/" xmlns:xsi="http://www.w3.org/2001/XMLSchema-instance" xsi:type="dcterms:W3CDTF">2026-09-01T02:06:02Z</dcterms:modified>
</cp:coreProperties>
</file>