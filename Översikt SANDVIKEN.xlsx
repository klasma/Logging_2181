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46322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46322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46322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46322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46322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12192-2026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46086</v>
      </c>
      <c r="E15" s="1" t="n">
        <v>46322</v>
      </c>
      <c r="F15" t="inlineStr">
        <is>
          <t>GÄVLEBORGS LÄN</t>
        </is>
      </c>
      <c r="G15" t="inlineStr">
        <is>
          <t>SANDVIKEN</t>
        </is>
      </c>
      <c r="I15" t="n">
        <v>0.6</v>
      </c>
      <c r="J15" t="n">
        <v>3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Kattfotslav
Tretåig hackspett
Spillkråka</t>
        </is>
      </c>
      <c r="W15">
        <f>HYPERLINK("https://klasma.github.io/Logging_2181/artfynd/A 12192-2026 artfynd.xlsx", "A 12192-2026")</f>
        <v/>
      </c>
      <c r="X15">
        <f>HYPERLINK("https://klasma.github.io/Logging_2181/kartor/A 12192-2026 karta.png", "A 12192-2026")</f>
        <v/>
      </c>
      <c r="Y15">
        <f>HYPERLINK("https://klasma.github.io/Logging_2181/kartor_geotiff/A 12192-2026 georefererad karta.tif", "A 12192-2026")</f>
        <v/>
      </c>
      <c r="Z15">
        <f>HYPERLINK("https://klasma.github.io/Logging_2181/knärot/A 12192-2026 karta knärot.png", "A 12192-2026")</f>
        <v/>
      </c>
      <c r="AA15">
        <f>HYPERLINK("https://klasma.github.io/Logging_2181/klagomål/A 12192-2026 FSC-klagomål.docx", "A 12192-2026")</f>
        <v/>
      </c>
      <c r="AB15">
        <f>HYPERLINK("https://klasma.github.io/Logging_2181/klagomålsmail/A 12192-2026 FSC-klagomål mail.docx", "A 12192-2026")</f>
        <v/>
      </c>
      <c r="AC15">
        <f>HYPERLINK("https://klasma.github.io/Logging_2181/tillsyn/A 12192-2026 tillsynsbegäran.docx", "A 12192-2026")</f>
        <v/>
      </c>
      <c r="AD15">
        <f>HYPERLINK("https://klasma.github.io/Logging_2181/tillsynsmail/A 12192-2026 tillsynsbegäran mail.docx", "A 12192-2026")</f>
        <v/>
      </c>
      <c r="AE15">
        <f>HYPERLINK("https://klasma.github.io/Logging_2181/fåglar/A 12192-2026 prioriterade fågelarter.docx", "A 12192-2026")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46322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46322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46322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46322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26047-2026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46181</v>
      </c>
      <c r="E20" s="1" t="n">
        <v>46322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8.199999999999999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Blå taggsvamp
Nordfladdermus
Talltita
Kungsfågel</t>
        </is>
      </c>
      <c r="W20">
        <f>HYPERLINK("https://klasma.github.io/Logging_2181/artfynd/A 26047-2026 artfynd.xlsx", "A 26047-2026")</f>
        <v/>
      </c>
      <c r="X20">
        <f>HYPERLINK("https://klasma.github.io/Logging_2181/kartor/A 26047-2026 karta.png", "A 26047-2026")</f>
        <v/>
      </c>
      <c r="Y20">
        <f>HYPERLINK("https://klasma.github.io/Logging_2181/kartor_geotiff/A 26047-2026 georefererad karta.tif", "A 26047-2026")</f>
        <v/>
      </c>
      <c r="AA20">
        <f>HYPERLINK("https://klasma.github.io/Logging_2181/klagomål/A 26047-2026 FSC-klagomål.docx", "A 26047-2026")</f>
        <v/>
      </c>
      <c r="AB20">
        <f>HYPERLINK("https://klasma.github.io/Logging_2181/klagomålsmail/A 26047-2026 FSC-klagomål mail.docx", "A 26047-2026")</f>
        <v/>
      </c>
      <c r="AC20">
        <f>HYPERLINK("https://klasma.github.io/Logging_2181/tillsyn/A 26047-2026 tillsynsbegäran.docx", "A 26047-2026")</f>
        <v/>
      </c>
      <c r="AD20">
        <f>HYPERLINK("https://klasma.github.io/Logging_2181/tillsynsmail/A 26047-2026 tillsynsbegäran mail.docx", "A 26047-2026")</f>
        <v/>
      </c>
      <c r="AE20">
        <f>HYPERLINK("https://klasma.github.io/Logging_2181/fåglar/A 26047-2026 prioriterade fågelarter.docx", "A 26047-2026")</f>
        <v/>
      </c>
    </row>
    <row r="21" ht="15" customHeight="1">
      <c r="A21" t="inlineStr">
        <is>
          <t>A 26271-2026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46322</v>
      </c>
      <c r="F21" t="inlineStr">
        <is>
          <t>GÄVLEBORGS LÄN</t>
        </is>
      </c>
      <c r="G21" t="inlineStr">
        <is>
          <t>SANDVIKEN</t>
        </is>
      </c>
      <c r="H21" t="inlineStr">
        <is>
          <t>Kommuner</t>
        </is>
      </c>
      <c r="I21" t="n">
        <v>3.8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5</v>
      </c>
      <c r="U21" t="n">
        <v>5</v>
      </c>
      <c r="V21" s="2" t="inlineStr">
        <is>
          <t>Brunlångöra
Nordfladdermus
Vattenfladdermus
Fläcknycklar</t>
        </is>
      </c>
      <c r="W21">
        <f>HYPERLINK("https://klasma.github.io/Logging_2181/artfynd/A 26271-2026 artfynd.xlsx", "A 26271-2026")</f>
        <v/>
      </c>
      <c r="X21">
        <f>HYPERLINK("https://klasma.github.io/Logging_2181/kartor/A 26271-2026 karta.png", "A 26271-2026")</f>
        <v/>
      </c>
      <c r="Y21">
        <f>HYPERLINK("https://klasma.github.io/Logging_2181/kartor_geotiff/A 26271-2026 georefererad karta.tif", "A 26271-2026")</f>
        <v/>
      </c>
      <c r="AA21">
        <f>HYPERLINK("https://klasma.github.io/Logging_2181/klagomål/A 26271-2026 FSC-klagomål.docx", "A 26271-2026")</f>
        <v/>
      </c>
      <c r="AB21">
        <f>HYPERLINK("https://klasma.github.io/Logging_2181/klagomålsmail/A 26271-2026 FSC-klagomål mail.docx", "A 26271-2026")</f>
        <v/>
      </c>
      <c r="AC21">
        <f>HYPERLINK("https://klasma.github.io/Logging_2181/tillsyn/A 26271-2026 tillsynsbegäran.docx", "A 26271-2026")</f>
        <v/>
      </c>
      <c r="AD21">
        <f>HYPERLINK("https://klasma.github.io/Logging_2181/tillsynsmail/A 26271-2026 tillsynsbegäran mail.docx", "A 26271-2026")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46322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46322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46322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46322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46322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46322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12696-2026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46091</v>
      </c>
      <c r="E29" s="1" t="n">
        <v>46322</v>
      </c>
      <c r="F29" t="inlineStr">
        <is>
          <t>GÄVLEBORGS LÄN</t>
        </is>
      </c>
      <c r="G29" t="inlineStr">
        <is>
          <t>SANDVIKEN</t>
        </is>
      </c>
      <c r="H29" t="inlineStr">
        <is>
          <t>Sveaskog</t>
        </is>
      </c>
      <c r="I29" t="n">
        <v>1.3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Blåsippa
Fläcknycklar
Äkta lopplummer</t>
        </is>
      </c>
      <c r="W29">
        <f>HYPERLINK("https://klasma.github.io/Logging_2181/artfynd/A 12696-2026 artfynd.xlsx", "A 12696-2026")</f>
        <v/>
      </c>
      <c r="X29">
        <f>HYPERLINK("https://klasma.github.io/Logging_2181/kartor/A 12696-2026 karta.png", "A 12696-2026")</f>
        <v/>
      </c>
      <c r="Y29">
        <f>HYPERLINK("https://klasma.github.io/Logging_2181/kartor_geotiff/A 12696-2026 georefererad karta.tif", "A 12696-2026")</f>
        <v/>
      </c>
      <c r="AA29">
        <f>HYPERLINK("https://klasma.github.io/Logging_2181/klagomål/A 12696-2026 FSC-klagomål.docx", "A 12696-2026")</f>
        <v/>
      </c>
      <c r="AB29">
        <f>HYPERLINK("https://klasma.github.io/Logging_2181/klagomålsmail/A 12696-2026 FSC-klagomål mail.docx", "A 12696-2026")</f>
        <v/>
      </c>
      <c r="AC29">
        <f>HYPERLINK("https://klasma.github.io/Logging_2181/tillsyn/A 12696-2026 tillsynsbegäran.docx", "A 12696-2026")</f>
        <v/>
      </c>
      <c r="AD29">
        <f>HYPERLINK("https://klasma.github.io/Logging_2181/tillsynsmail/A 12696-2026 tillsynsbegäran mail.docx", "A 12696-2026")</f>
        <v/>
      </c>
    </row>
    <row r="30" ht="15" customHeight="1">
      <c r="A30" t="inlineStr">
        <is>
          <t>A 6378-2023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44965</v>
      </c>
      <c r="E30" s="1" t="n">
        <v>46322</v>
      </c>
      <c r="F30" t="inlineStr">
        <is>
          <t>GÄVLEBORGS LÄN</t>
        </is>
      </c>
      <c r="G30" t="inlineStr">
        <is>
          <t>SANDVIKEN</t>
        </is>
      </c>
      <c r="I30" t="n">
        <v>4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Rödvingetrast
Törnskata
Vanlig groda</t>
        </is>
      </c>
      <c r="W30">
        <f>HYPERLINK("https://klasma.github.io/Logging_2181/artfynd/A 6378-2023 artfynd.xlsx", "A 6378-2023")</f>
        <v/>
      </c>
      <c r="X30">
        <f>HYPERLINK("https://klasma.github.io/Logging_2181/kartor/A 6378-2023 karta.png", "A 6378-2023")</f>
        <v/>
      </c>
      <c r="Y30">
        <f>HYPERLINK("https://klasma.github.io/Logging_2181/kartor_geotiff/A 6378-2023 georefererad karta.tif", "A 6378-2023")</f>
        <v/>
      </c>
      <c r="AA30">
        <f>HYPERLINK("https://klasma.github.io/Logging_2181/klagomål/A 6378-2023 FSC-klagomål.docx", "A 6378-2023")</f>
        <v/>
      </c>
      <c r="AB30">
        <f>HYPERLINK("https://klasma.github.io/Logging_2181/klagomålsmail/A 6378-2023 FSC-klagomål mail.docx", "A 6378-2023")</f>
        <v/>
      </c>
      <c r="AC30">
        <f>HYPERLINK("https://klasma.github.io/Logging_2181/tillsyn/A 6378-2023 tillsynsbegäran.docx", "A 6378-2023")</f>
        <v/>
      </c>
      <c r="AD30">
        <f>HYPERLINK("https://klasma.github.io/Logging_2181/tillsynsmail/A 6378-2023 tillsynsbegäran mail.docx", "A 6378-2023")</f>
        <v/>
      </c>
      <c r="AE30">
        <f>HYPERLINK("https://klasma.github.io/Logging_2181/fåglar/A 6378-2023 prioriterade fågelarter.docx", "A 6378-2023")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46322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46322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27184-2026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46322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Talltita</t>
        </is>
      </c>
      <c r="W35">
        <f>HYPERLINK("https://klasma.github.io/Logging_2181/artfynd/A 27184-2026 artfynd.xlsx", "A 27184-2026")</f>
        <v/>
      </c>
      <c r="X35">
        <f>HYPERLINK("https://klasma.github.io/Logging_2181/kartor/A 27184-2026 karta.png", "A 27184-2026")</f>
        <v/>
      </c>
      <c r="Y35">
        <f>HYPERLINK("https://klasma.github.io/Logging_2181/kartor_geotiff/A 27184-2026 georefererad karta.tif", "A 27184-2026")</f>
        <v/>
      </c>
      <c r="AA35">
        <f>HYPERLINK("https://klasma.github.io/Logging_2181/klagomål/A 27184-2026 FSC-klagomål.docx", "A 27184-2026")</f>
        <v/>
      </c>
      <c r="AB35">
        <f>HYPERLINK("https://klasma.github.io/Logging_2181/klagomålsmail/A 27184-2026 FSC-klagomål mail.docx", "A 27184-2026")</f>
        <v/>
      </c>
      <c r="AC35">
        <f>HYPERLINK("https://klasma.github.io/Logging_2181/tillsyn/A 27184-2026 tillsynsbegäran.docx", "A 27184-2026")</f>
        <v/>
      </c>
      <c r="AD35">
        <f>HYPERLINK("https://klasma.github.io/Logging_2181/tillsynsmail/A 27184-2026 tillsynsbegäran mail.docx", "A 27184-2026")</f>
        <v/>
      </c>
      <c r="AE35">
        <f>HYPERLINK("https://klasma.github.io/Logging_2181/fåglar/A 27184-2026 prioriterade fågelarter.docx", "A 27184-2026")</f>
        <v/>
      </c>
    </row>
    <row r="36" ht="15" customHeight="1">
      <c r="A36" t="inlineStr">
        <is>
          <t>A 27014-2026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46322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4.8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Nordfladdermus
Tjäder</t>
        </is>
      </c>
      <c r="W36">
        <f>HYPERLINK("https://klasma.github.io/Logging_2181/artfynd/A 27014-2026 artfynd.xlsx", "A 27014-2026")</f>
        <v/>
      </c>
      <c r="X36">
        <f>HYPERLINK("https://klasma.github.io/Logging_2181/kartor/A 27014-2026 karta.png", "A 27014-2026")</f>
        <v/>
      </c>
      <c r="Y36">
        <f>HYPERLINK("https://klasma.github.io/Logging_2181/kartor_geotiff/A 27014-2026 georefererad karta.tif", "A 27014-2026")</f>
        <v/>
      </c>
      <c r="AA36">
        <f>HYPERLINK("https://klasma.github.io/Logging_2181/klagomål/A 27014-2026 FSC-klagomål.docx", "A 27014-2026")</f>
        <v/>
      </c>
      <c r="AB36">
        <f>HYPERLINK("https://klasma.github.io/Logging_2181/klagomålsmail/A 27014-2026 FSC-klagomål mail.docx", "A 27014-2026")</f>
        <v/>
      </c>
      <c r="AC36">
        <f>HYPERLINK("https://klasma.github.io/Logging_2181/tillsyn/A 27014-2026 tillsynsbegäran.docx", "A 27014-2026")</f>
        <v/>
      </c>
      <c r="AD36">
        <f>HYPERLINK("https://klasma.github.io/Logging_2181/tillsynsmail/A 27014-2026 tillsynsbegäran mail.docx", "A 27014-2026")</f>
        <v/>
      </c>
      <c r="AE36">
        <f>HYPERLINK("https://klasma.github.io/Logging_2181/fåglar/A 27014-2026 prioriterade fågelarter.docx", "A 27014-2026")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46322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29111-2026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46201</v>
      </c>
      <c r="E38" s="1" t="n">
        <v>46322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Knärot
Tallticka</t>
        </is>
      </c>
      <c r="W38">
        <f>HYPERLINK("https://klasma.github.io/Logging_2181/artfynd/A 29111-2026 artfynd.xlsx", "A 29111-2026")</f>
        <v/>
      </c>
      <c r="X38">
        <f>HYPERLINK("https://klasma.github.io/Logging_2181/kartor/A 29111-2026 karta.png", "A 29111-2026")</f>
        <v/>
      </c>
      <c r="Y38">
        <f>HYPERLINK("https://klasma.github.io/Logging_2181/kartor_geotiff/A 29111-2026 georefererad karta.tif", "A 29111-2026")</f>
        <v/>
      </c>
      <c r="Z38">
        <f>HYPERLINK("https://klasma.github.io/Logging_2181/knärot/A 29111-2026 karta knärot.png", "A 29111-2026")</f>
        <v/>
      </c>
      <c r="AA38">
        <f>HYPERLINK("https://klasma.github.io/Logging_2181/klagomål/A 29111-2026 FSC-klagomål.docx", "A 29111-2026")</f>
        <v/>
      </c>
      <c r="AB38">
        <f>HYPERLINK("https://klasma.github.io/Logging_2181/klagomålsmail/A 29111-2026 FSC-klagomål mail.docx", "A 29111-2026")</f>
        <v/>
      </c>
      <c r="AC38">
        <f>HYPERLINK("https://klasma.github.io/Logging_2181/tillsyn/A 29111-2026 tillsynsbegäran.docx", "A 29111-2026")</f>
        <v/>
      </c>
      <c r="AD38">
        <f>HYPERLINK("https://klasma.github.io/Logging_2181/tillsynsmail/A 29111-2026 tillsynsbegäran mail.docx", "A 29111-2026")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46322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39510-2026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46322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8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Mörk vedstrit
Plattlummer</t>
        </is>
      </c>
      <c r="W40">
        <f>HYPERLINK("https://klasma.github.io/Logging_2181/artfynd/A 39510-2026 artfynd.xlsx", "A 39510-2026")</f>
        <v/>
      </c>
      <c r="X40">
        <f>HYPERLINK("https://klasma.github.io/Logging_2181/kartor/A 39510-2026 karta.png", "A 39510-2026")</f>
        <v/>
      </c>
      <c r="Y40">
        <f>HYPERLINK("https://klasma.github.io/Logging_2181/kartor_geotiff/A 39510-2026 georefererad karta.tif", "A 39510-2026")</f>
        <v/>
      </c>
      <c r="AA40">
        <f>HYPERLINK("https://klasma.github.io/Logging_2181/klagomål/A 39510-2026 FSC-klagomål.docx", "A 39510-2026")</f>
        <v/>
      </c>
      <c r="AB40">
        <f>HYPERLINK("https://klasma.github.io/Logging_2181/klagomålsmail/A 39510-2026 FSC-klagomål mail.docx", "A 39510-2026")</f>
        <v/>
      </c>
      <c r="AC40">
        <f>HYPERLINK("https://klasma.github.io/Logging_2181/tillsyn/A 39510-2026 tillsynsbegäran.docx", "A 39510-2026")</f>
        <v/>
      </c>
      <c r="AD40">
        <f>HYPERLINK("https://klasma.github.io/Logging_2181/tillsynsmail/A 39510-2026 tillsynsbegäran mail.docx", "A 39510-2026")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46322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33867-2026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46322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Kortskaftad ärgspik</t>
        </is>
      </c>
      <c r="W42">
        <f>HYPERLINK("https://klasma.github.io/Logging_2181/artfynd/A 33867-2026 artfynd.xlsx", "A 33867-2026")</f>
        <v/>
      </c>
      <c r="X42">
        <f>HYPERLINK("https://klasma.github.io/Logging_2181/kartor/A 33867-2026 karta.png", "A 33867-2026")</f>
        <v/>
      </c>
      <c r="Y42">
        <f>HYPERLINK("https://klasma.github.io/Logging_2181/kartor_geotiff/A 33867-2026 georefererad karta.tif", "A 33867-2026")</f>
        <v/>
      </c>
      <c r="AA42">
        <f>HYPERLINK("https://klasma.github.io/Logging_2181/klagomål/A 33867-2026 FSC-klagomål.docx", "A 33867-2026")</f>
        <v/>
      </c>
      <c r="AB42">
        <f>HYPERLINK("https://klasma.github.io/Logging_2181/klagomålsmail/A 33867-2026 FSC-klagomål mail.docx", "A 33867-2026")</f>
        <v/>
      </c>
      <c r="AC42">
        <f>HYPERLINK("https://klasma.github.io/Logging_2181/tillsyn/A 33867-2026 tillsynsbegäran.docx", "A 33867-2026")</f>
        <v/>
      </c>
      <c r="AD42">
        <f>HYPERLINK("https://klasma.github.io/Logging_2181/tillsynsmail/A 33867-2026 tillsynsbegäran mail.docx", "A 33867-2026")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46322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34124-2026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46322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2.1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Blåsippa
Revlummer</t>
        </is>
      </c>
      <c r="W44">
        <f>HYPERLINK("https://klasma.github.io/Logging_2181/artfynd/A 34124-2026 artfynd.xlsx", "A 34124-2026")</f>
        <v/>
      </c>
      <c r="X44">
        <f>HYPERLINK("https://klasma.github.io/Logging_2181/kartor/A 34124-2026 karta.png", "A 34124-2026")</f>
        <v/>
      </c>
      <c r="Y44">
        <f>HYPERLINK("https://klasma.github.io/Logging_2181/kartor_geotiff/A 34124-2026 georefererad karta.tif", "A 34124-2026")</f>
        <v/>
      </c>
      <c r="AA44">
        <f>HYPERLINK("https://klasma.github.io/Logging_2181/klagomål/A 34124-2026 FSC-klagomål.docx", "A 34124-2026")</f>
        <v/>
      </c>
      <c r="AB44">
        <f>HYPERLINK("https://klasma.github.io/Logging_2181/klagomålsmail/A 34124-2026 FSC-klagomål mail.docx", "A 34124-2026")</f>
        <v/>
      </c>
      <c r="AC44">
        <f>HYPERLINK("https://klasma.github.io/Logging_2181/tillsyn/A 34124-2026 tillsynsbegäran.docx", "A 34124-2026")</f>
        <v/>
      </c>
      <c r="AD44">
        <f>HYPERLINK("https://klasma.github.io/Logging_2181/tillsynsmail/A 34124-2026 tillsynsbegäran mail.docx", "A 34124-2026")</f>
        <v/>
      </c>
    </row>
    <row r="45" ht="15" customHeight="1">
      <c r="A45" t="inlineStr">
        <is>
          <t>A 15895-2026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46322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10.2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Mattlummer
Revlummer</t>
        </is>
      </c>
      <c r="W45">
        <f>HYPERLINK("https://klasma.github.io/Logging_2181/artfynd/A 15895-2026 artfynd.xlsx", "A 15895-2026")</f>
        <v/>
      </c>
      <c r="X45">
        <f>HYPERLINK("https://klasma.github.io/Logging_2181/kartor/A 15895-2026 karta.png", "A 15895-2026")</f>
        <v/>
      </c>
      <c r="Y45">
        <f>HYPERLINK("https://klasma.github.io/Logging_2181/kartor_geotiff/A 15895-2026 georefererad karta.tif", "A 15895-2026")</f>
        <v/>
      </c>
      <c r="AA45">
        <f>HYPERLINK("https://klasma.github.io/Logging_2181/klagomål/A 15895-2026 FSC-klagomål.docx", "A 15895-2026")</f>
        <v/>
      </c>
      <c r="AB45">
        <f>HYPERLINK("https://klasma.github.io/Logging_2181/klagomålsmail/A 15895-2026 FSC-klagomål mail.docx", "A 15895-2026")</f>
        <v/>
      </c>
      <c r="AC45">
        <f>HYPERLINK("https://klasma.github.io/Logging_2181/tillsyn/A 15895-2026 tillsynsbegäran.docx", "A 15895-2026")</f>
        <v/>
      </c>
      <c r="AD45">
        <f>HYPERLINK("https://klasma.github.io/Logging_2181/tillsynsmail/A 15895-2026 tillsynsbegäran mail.docx", "A 15895-2026")</f>
        <v/>
      </c>
    </row>
    <row r="46" ht="15" customHeight="1">
      <c r="A46" t="inlineStr">
        <is>
          <t>A 7733-2026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46062</v>
      </c>
      <c r="E46" s="1" t="n">
        <v>46322</v>
      </c>
      <c r="F46" t="inlineStr">
        <is>
          <t>GÄVLEBORGS LÄN</t>
        </is>
      </c>
      <c r="G46" t="inlineStr">
        <is>
          <t>SANDVIKEN</t>
        </is>
      </c>
      <c r="I46" t="n">
        <v>6.9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Vedticka</t>
        </is>
      </c>
      <c r="W46">
        <f>HYPERLINK("https://klasma.github.io/Logging_2181/artfynd/A 7733-2026 artfynd.xlsx", "A 7733-2026")</f>
        <v/>
      </c>
      <c r="X46">
        <f>HYPERLINK("https://klasma.github.io/Logging_2181/kartor/A 7733-2026 karta.png", "A 7733-2026")</f>
        <v/>
      </c>
      <c r="Y46">
        <f>HYPERLINK("https://klasma.github.io/Logging_2181/kartor_geotiff/A 7733-2026 georefererad karta.tif", "A 7733-2026")</f>
        <v/>
      </c>
      <c r="Z46">
        <f>HYPERLINK("https://klasma.github.io/Logging_2181/knärot/A 7733-2026 karta knärot.png", "A 7733-2026")</f>
        <v/>
      </c>
      <c r="AA46">
        <f>HYPERLINK("https://klasma.github.io/Logging_2181/klagomål/A 7733-2026 FSC-klagomål.docx", "A 7733-2026")</f>
        <v/>
      </c>
      <c r="AB46">
        <f>HYPERLINK("https://klasma.github.io/Logging_2181/klagomålsmail/A 7733-2026 FSC-klagomål mail.docx", "A 7733-2026")</f>
        <v/>
      </c>
      <c r="AC46">
        <f>HYPERLINK("https://klasma.github.io/Logging_2181/tillsyn/A 7733-2026 tillsynsbegäran.docx", "A 7733-2026")</f>
        <v/>
      </c>
      <c r="AD46">
        <f>HYPERLINK("https://klasma.github.io/Logging_2181/tillsynsmail/A 7733-2026 tillsynsbegäran mail.docx", "A 7733-2026")</f>
        <v/>
      </c>
    </row>
    <row r="47" ht="15" customHeight="1">
      <c r="A47" t="inlineStr">
        <is>
          <t>A 35377-2026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46322</v>
      </c>
      <c r="F47" t="inlineStr">
        <is>
          <t>GÄVLEBORGS LÄN</t>
        </is>
      </c>
      <c r="G47" t="inlineStr">
        <is>
          <t>SANDVIKEN</t>
        </is>
      </c>
      <c r="I47" t="n">
        <v>1.8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Garnlav
Tallticka</t>
        </is>
      </c>
      <c r="W47">
        <f>HYPERLINK("https://klasma.github.io/Logging_2181/artfynd/A 35377-2026 artfynd.xlsx", "A 35377-2026")</f>
        <v/>
      </c>
      <c r="X47">
        <f>HYPERLINK("https://klasma.github.io/Logging_2181/kartor/A 35377-2026 karta.png", "A 35377-2026")</f>
        <v/>
      </c>
      <c r="Y47">
        <f>HYPERLINK("https://klasma.github.io/Logging_2181/kartor_geotiff/A 35377-2026 georefererad karta.tif", "A 35377-2026")</f>
        <v/>
      </c>
      <c r="AA47">
        <f>HYPERLINK("https://klasma.github.io/Logging_2181/klagomål/A 35377-2026 FSC-klagomål.docx", "A 35377-2026")</f>
        <v/>
      </c>
      <c r="AB47">
        <f>HYPERLINK("https://klasma.github.io/Logging_2181/klagomålsmail/A 35377-2026 FSC-klagomål mail.docx", "A 35377-2026")</f>
        <v/>
      </c>
      <c r="AC47">
        <f>HYPERLINK("https://klasma.github.io/Logging_2181/tillsyn/A 35377-2026 tillsynsbegäran.docx", "A 35377-2026")</f>
        <v/>
      </c>
      <c r="AD47">
        <f>HYPERLINK("https://klasma.github.io/Logging_2181/tillsynsmail/A 35377-2026 tillsynsbegäran mail.docx", "A 35377-2026")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46322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46322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46322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46322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46322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46322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46322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46322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46322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46322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46322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46322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58845-2023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46322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0</v>
      </c>
      <c r="V60" s="2" t="inlineStr">
        <is>
          <t>Vanlig padda</t>
        </is>
      </c>
      <c r="W60">
        <f>HYPERLINK("https://klasma.github.io/Logging_2181/artfynd/A 58845-2023 artfynd.xlsx", "A 58845-2023")</f>
        <v/>
      </c>
      <c r="X60">
        <f>HYPERLINK("https://klasma.github.io/Logging_2181/kartor/A 58845-2023 karta.png", "A 58845-2023")</f>
        <v/>
      </c>
      <c r="Y60">
        <f>HYPERLINK("https://klasma.github.io/Logging_2181/kartor_geotiff/A 58845-2023 georefererad karta.tif", "A 58845-2023")</f>
        <v/>
      </c>
      <c r="AA60">
        <f>HYPERLINK("https://klasma.github.io/Logging_2181/klagomål/A 58845-2023 FSC-klagomål.docx", "A 58845-2023")</f>
        <v/>
      </c>
      <c r="AB60">
        <f>HYPERLINK("https://klasma.github.io/Logging_2181/klagomålsmail/A 58845-2023 FSC-klagomål mail.docx", "A 58845-2023")</f>
        <v/>
      </c>
      <c r="AC60">
        <f>HYPERLINK("https://klasma.github.io/Logging_2181/tillsyn/A 58845-2023 tillsynsbegäran.docx", "A 58845-2023")</f>
        <v/>
      </c>
      <c r="AD60">
        <f>HYPERLINK("https://klasma.github.io/Logging_2181/tillsynsmail/A 58845-2023 tillsynsbegäran mail.docx", "A 58845-2023")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46322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27207-2026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46322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HYPERLINK("https://klasma.github.io/Logging_2181/artfynd/A 27207-2026 artfynd.xlsx", "A 27207-2026")</f>
        <v/>
      </c>
      <c r="X62">
        <f>HYPERLINK("https://klasma.github.io/Logging_2181/kartor/A 27207-2026 karta.png", "A 27207-2026")</f>
        <v/>
      </c>
      <c r="Y62">
        <f>HYPERLINK("https://klasma.github.io/Logging_2181/kartor_geotiff/A 27207-2026 georefererad karta.tif", "A 27207-2026")</f>
        <v/>
      </c>
      <c r="AA62">
        <f>HYPERLINK("https://klasma.github.io/Logging_2181/klagomål/A 27207-2026 FSC-klagomål.docx", "A 27207-2026")</f>
        <v/>
      </c>
      <c r="AB62">
        <f>HYPERLINK("https://klasma.github.io/Logging_2181/klagomålsmail/A 27207-2026 FSC-klagomål mail.docx", "A 27207-2026")</f>
        <v/>
      </c>
      <c r="AC62">
        <f>HYPERLINK("https://klasma.github.io/Logging_2181/tillsyn/A 27207-2026 tillsynsbegäran.docx", "A 27207-2026")</f>
        <v/>
      </c>
      <c r="AD62">
        <f>HYPERLINK("https://klasma.github.io/Logging_2181/tillsynsmail/A 27207-2026 tillsynsbegäran mail.docx", "A 27207-2026")</f>
        <v/>
      </c>
    </row>
    <row r="63" ht="15" customHeight="1">
      <c r="A63" t="inlineStr">
        <is>
          <t>A 57934-2025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45981</v>
      </c>
      <c r="E63" s="1" t="n">
        <v>46322</v>
      </c>
      <c r="F63" t="inlineStr">
        <is>
          <t>GÄVLEBORGS LÄN</t>
        </is>
      </c>
      <c r="G63" t="inlineStr">
        <is>
          <t>SANDVIKEN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Grönsiska</t>
        </is>
      </c>
      <c r="W63">
        <f>HYPERLINK("https://klasma.github.io/Logging_2181/artfynd/A 57934-2025 artfynd.xlsx", "A 57934-2025")</f>
        <v/>
      </c>
      <c r="X63">
        <f>HYPERLINK("https://klasma.github.io/Logging_2181/kartor/A 57934-2025 karta.png", "A 57934-2025")</f>
        <v/>
      </c>
      <c r="Y63">
        <f>HYPERLINK("https://klasma.github.io/Logging_2181/kartor_geotiff/A 57934-2025 georefererad karta.tif", "A 57934-2025")</f>
        <v/>
      </c>
      <c r="AA63">
        <f>HYPERLINK("https://klasma.github.io/Logging_2181/klagomål/A 57934-2025 FSC-klagomål.docx", "A 57934-2025")</f>
        <v/>
      </c>
      <c r="AB63">
        <f>HYPERLINK("https://klasma.github.io/Logging_2181/klagomålsmail/A 57934-2025 FSC-klagomål mail.docx", "A 57934-2025")</f>
        <v/>
      </c>
      <c r="AC63">
        <f>HYPERLINK("https://klasma.github.io/Logging_2181/tillsyn/A 57934-2025 tillsynsbegäran.docx", "A 57934-2025")</f>
        <v/>
      </c>
      <c r="AD63">
        <f>HYPERLINK("https://klasma.github.io/Logging_2181/tillsynsmail/A 57934-2025 tillsynsbegäran mail.docx", "A 57934-2025")</f>
        <v/>
      </c>
    </row>
    <row r="64" ht="15" customHeight="1">
      <c r="A64" t="inlineStr">
        <is>
          <t>A 25314-2025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46322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2.1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25314-2025 artfynd.xlsx", "A 25314-2025")</f>
        <v/>
      </c>
      <c r="X64">
        <f>HYPERLINK("https://klasma.github.io/Logging_2181/kartor/A 25314-2025 karta.png", "A 25314-2025")</f>
        <v/>
      </c>
      <c r="Y64">
        <f>HYPERLINK("https://klasma.github.io/Logging_2181/kartor_geotiff/A 25314-2025 georefererad karta.tif", "A 25314-2025")</f>
        <v/>
      </c>
      <c r="AA64">
        <f>HYPERLINK("https://klasma.github.io/Logging_2181/klagomål/A 25314-2025 FSC-klagomål.docx", "A 25314-2025")</f>
        <v/>
      </c>
      <c r="AB64">
        <f>HYPERLINK("https://klasma.github.io/Logging_2181/klagomålsmail/A 25314-2025 FSC-klagomål mail.docx", "A 25314-2025")</f>
        <v/>
      </c>
      <c r="AC64">
        <f>HYPERLINK("https://klasma.github.io/Logging_2181/tillsyn/A 25314-2025 tillsynsbegäran.docx", "A 25314-2025")</f>
        <v/>
      </c>
      <c r="AD64">
        <f>HYPERLINK("https://klasma.github.io/Logging_2181/tillsynsmail/A 25314-2025 tillsynsbegäran mail.docx", "A 25314-2025")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46322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Plattlummer</t>
        </is>
      </c>
      <c r="W65">
        <f>HYPERLINK("https://klasma.github.io/Logging_2181/artfynd/A 25323-2025 artfynd.xlsx", "A 25323-2025")</f>
        <v/>
      </c>
      <c r="X65">
        <f>HYPERLINK("https://klasma.github.io/Logging_2181/kartor/A 25323-2025 karta.png", "A 25323-2025")</f>
        <v/>
      </c>
      <c r="Y65">
        <f>HYPERLINK("https://klasma.github.io/Logging_2181/kartor_geotiff/A 25323-2025 georefererad karta.tif", "A 25323-2025")</f>
        <v/>
      </c>
      <c r="AA65">
        <f>HYPERLINK("https://klasma.github.io/Logging_2181/klagomål/A 25323-2025 FSC-klagomål.docx", "A 25323-2025")</f>
        <v/>
      </c>
      <c r="AB65">
        <f>HYPERLINK("https://klasma.github.io/Logging_2181/klagomålsmail/A 25323-2025 FSC-klagomål mail.docx", "A 25323-2025")</f>
        <v/>
      </c>
      <c r="AC65">
        <f>HYPERLINK("https://klasma.github.io/Logging_2181/tillsyn/A 25323-2025 tillsynsbegäran.docx", "A 25323-2025")</f>
        <v/>
      </c>
      <c r="AD65">
        <f>HYPERLINK("https://klasma.github.io/Logging_2181/tillsynsmail/A 25323-2025 tillsynsbegäran mail.docx", "A 25323-2025")</f>
        <v/>
      </c>
    </row>
    <row r="66" ht="15" customHeight="1">
      <c r="A66" t="inlineStr">
        <is>
          <t>A 3316-2023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44949</v>
      </c>
      <c r="E66" s="1" t="n">
        <v>46322</v>
      </c>
      <c r="F66" t="inlineStr">
        <is>
          <t>GÄVLEBORGS LÄN</t>
        </is>
      </c>
      <c r="G66" t="inlineStr">
        <is>
          <t>SANDVIKEN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HYPERLINK("https://klasma.github.io/Logging_2181/artfynd/A 3316-2023 artfynd.xlsx", "A 3316-2023")</f>
        <v/>
      </c>
      <c r="X66">
        <f>HYPERLINK("https://klasma.github.io/Logging_2181/kartor/A 3316-2023 karta.png", "A 3316-2023")</f>
        <v/>
      </c>
      <c r="Y66">
        <f>HYPERLINK("https://klasma.github.io/Logging_2181/kartor_geotiff/A 3316-2023 georefererad karta.tif", "A 3316-2023")</f>
        <v/>
      </c>
      <c r="AA66">
        <f>HYPERLINK("https://klasma.github.io/Logging_2181/klagomål/A 3316-2023 FSC-klagomål.docx", "A 3316-2023")</f>
        <v/>
      </c>
      <c r="AB66">
        <f>HYPERLINK("https://klasma.github.io/Logging_2181/klagomålsmail/A 3316-2023 FSC-klagomål mail.docx", "A 3316-2023")</f>
        <v/>
      </c>
      <c r="AC66">
        <f>HYPERLINK("https://klasma.github.io/Logging_2181/tillsyn/A 3316-2023 tillsynsbegäran.docx", "A 3316-2023")</f>
        <v/>
      </c>
      <c r="AD66">
        <f>HYPERLINK("https://klasma.github.io/Logging_2181/tillsynsmail/A 3316-2023 tillsynsbegäran mail.docx", "A 3316-2023")</f>
        <v/>
      </c>
      <c r="AE66">
        <f>HYPERLINK("https://klasma.github.io/Logging_2181/fåglar/A 3316-2023 prioriterade fågelarter.docx", "A 3316-2023")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46322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15729-2022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46322</v>
      </c>
      <c r="F68" t="inlineStr">
        <is>
          <t>GÄVLEBORGS LÄN</t>
        </is>
      </c>
      <c r="G68" t="inlineStr">
        <is>
          <t>SANDVIKEN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HYPERLINK("https://klasma.github.io/Logging_2181/artfynd/A 15729-2022 artfynd.xlsx", "A 15729-2022")</f>
        <v/>
      </c>
      <c r="X68">
        <f>HYPERLINK("https://klasma.github.io/Logging_2181/kartor/A 15729-2022 karta.png", "A 15729-2022")</f>
        <v/>
      </c>
      <c r="Y68">
        <f>HYPERLINK("https://klasma.github.io/Logging_2181/kartor_geotiff/A 15729-2022 georefererad karta.tif", "A 15729-2022")</f>
        <v/>
      </c>
      <c r="Z68">
        <f>HYPERLINK("https://klasma.github.io/Logging_2181/knärot/A 15729-2022 karta knärot.png", "A 15729-2022")</f>
        <v/>
      </c>
      <c r="AA68">
        <f>HYPERLINK("https://klasma.github.io/Logging_2181/klagomål/A 15729-2022 FSC-klagomål.docx", "A 15729-2022")</f>
        <v/>
      </c>
      <c r="AB68">
        <f>HYPERLINK("https://klasma.github.io/Logging_2181/klagomålsmail/A 15729-2022 FSC-klagomål mail.docx", "A 15729-2022")</f>
        <v/>
      </c>
      <c r="AC68">
        <f>HYPERLINK("https://klasma.github.io/Logging_2181/tillsyn/A 15729-2022 tillsynsbegäran.docx", "A 15729-2022")</f>
        <v/>
      </c>
      <c r="AD68">
        <f>HYPERLINK("https://klasma.github.io/Logging_2181/tillsynsmail/A 15729-2022 tillsynsbegäran mail.docx", "A 15729-2022")</f>
        <v/>
      </c>
    </row>
    <row r="69" ht="15" customHeight="1">
      <c r="A69" t="inlineStr">
        <is>
          <t>A 448-2026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46021</v>
      </c>
      <c r="E69" s="1" t="n">
        <v>46322</v>
      </c>
      <c r="F69" t="inlineStr">
        <is>
          <t>GÄVLEBORGS LÄN</t>
        </is>
      </c>
      <c r="G69" t="inlineStr">
        <is>
          <t>SANDVIKEN</t>
        </is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Dvärghäxört</t>
        </is>
      </c>
      <c r="W69">
        <f>HYPERLINK("https://klasma.github.io/Logging_2181/artfynd/A 448-2026 artfynd.xlsx", "A 448-2026")</f>
        <v/>
      </c>
      <c r="X69">
        <f>HYPERLINK("https://klasma.github.io/Logging_2181/kartor/A 448-2026 karta.png", "A 448-2026")</f>
        <v/>
      </c>
      <c r="Y69">
        <f>HYPERLINK("https://klasma.github.io/Logging_2181/kartor_geotiff/A 448-2026 georefererad karta.tif", "A 448-2026")</f>
        <v/>
      </c>
      <c r="AA69">
        <f>HYPERLINK("https://klasma.github.io/Logging_2181/klagomål/A 448-2026 FSC-klagomål.docx", "A 448-2026")</f>
        <v/>
      </c>
      <c r="AB69">
        <f>HYPERLINK("https://klasma.github.io/Logging_2181/klagomålsmail/A 448-2026 FSC-klagomål mail.docx", "A 448-2026")</f>
        <v/>
      </c>
      <c r="AC69">
        <f>HYPERLINK("https://klasma.github.io/Logging_2181/tillsyn/A 448-2026 tillsynsbegäran.docx", "A 448-2026")</f>
        <v/>
      </c>
      <c r="AD69">
        <f>HYPERLINK("https://klasma.github.io/Logging_2181/tillsynsmail/A 448-2026 tillsynsbegäran mail.docx", "A 448-2026")</f>
        <v/>
      </c>
    </row>
    <row r="70" ht="15" customHeight="1">
      <c r="A70" t="inlineStr">
        <is>
          <t>A 45427-2023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46322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HYPERLINK("https://klasma.github.io/Logging_2181/artfynd/A 45427-2023 artfynd.xlsx", "A 45427-2023")</f>
        <v/>
      </c>
      <c r="X70">
        <f>HYPERLINK("https://klasma.github.io/Logging_2181/kartor/A 45427-2023 karta.png", "A 45427-2023")</f>
        <v/>
      </c>
      <c r="Y70">
        <f>HYPERLINK("https://klasma.github.io/Logging_2181/kartor_geotiff/A 45427-2023 georefererad karta.tif", "A 45427-2023")</f>
        <v/>
      </c>
      <c r="AA70">
        <f>HYPERLINK("https://klasma.github.io/Logging_2181/klagomål/A 45427-2023 FSC-klagomål.docx", "A 45427-2023")</f>
        <v/>
      </c>
      <c r="AB70">
        <f>HYPERLINK("https://klasma.github.io/Logging_2181/klagomålsmail/A 45427-2023 FSC-klagomål mail.docx", "A 45427-2023")</f>
        <v/>
      </c>
      <c r="AC70">
        <f>HYPERLINK("https://klasma.github.io/Logging_2181/tillsyn/A 45427-2023 tillsynsbegäran.docx", "A 45427-2023")</f>
        <v/>
      </c>
      <c r="AD70">
        <f>HYPERLINK("https://klasma.github.io/Logging_2181/tillsynsmail/A 45427-2023 tillsynsbegäran mail.docx", "A 45427-2023")</f>
        <v/>
      </c>
    </row>
    <row r="71" ht="15" customHeight="1">
      <c r="A71" t="inlineStr">
        <is>
          <t>A 1083-2026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46322</v>
      </c>
      <c r="F71" t="inlineStr">
        <is>
          <t>GÄVLEBORGS LÄN</t>
        </is>
      </c>
      <c r="G71" t="inlineStr">
        <is>
          <t>SANDVIKEN</t>
        </is>
      </c>
      <c r="I71" t="n">
        <v>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HYPERLINK("https://klasma.github.io/Logging_2181/artfynd/A 1083-2026 artfynd.xlsx", "A 1083-2026")</f>
        <v/>
      </c>
      <c r="X71">
        <f>HYPERLINK("https://klasma.github.io/Logging_2181/kartor/A 1083-2026 karta.png", "A 1083-2026")</f>
        <v/>
      </c>
      <c r="Y71">
        <f>HYPERLINK("https://klasma.github.io/Logging_2181/kartor_geotiff/A 1083-2026 georefererad karta.tif", "A 1083-2026")</f>
        <v/>
      </c>
      <c r="AA71">
        <f>HYPERLINK("https://klasma.github.io/Logging_2181/klagomål/A 1083-2026 FSC-klagomål.docx", "A 1083-2026")</f>
        <v/>
      </c>
      <c r="AB71">
        <f>HYPERLINK("https://klasma.github.io/Logging_2181/klagomålsmail/A 1083-2026 FSC-klagomål mail.docx", "A 1083-2026")</f>
        <v/>
      </c>
      <c r="AC71">
        <f>HYPERLINK("https://klasma.github.io/Logging_2181/tillsyn/A 1083-2026 tillsynsbegäran.docx", "A 1083-2026")</f>
        <v/>
      </c>
      <c r="AD71">
        <f>HYPERLINK("https://klasma.github.io/Logging_2181/tillsynsmail/A 1083-2026 tillsynsbegäran mail.docx", "A 1083-2026")</f>
        <v/>
      </c>
    </row>
    <row r="72" ht="15" customHeight="1">
      <c r="A72" t="inlineStr">
        <is>
          <t>A 23289-2024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45453</v>
      </c>
      <c r="E72" s="1" t="n">
        <v>46322</v>
      </c>
      <c r="F72" t="inlineStr">
        <is>
          <t>GÄVLEBORGS LÄN</t>
        </is>
      </c>
      <c r="G72" t="inlineStr">
        <is>
          <t>SANDVIKEN</t>
        </is>
      </c>
      <c r="H72" t="inlineStr">
        <is>
          <t>Kyrkan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Skogsödla</t>
        </is>
      </c>
      <c r="W72">
        <f>HYPERLINK("https://klasma.github.io/Logging_2181/artfynd/A 23289-2024 artfynd.xlsx", "A 23289-2024")</f>
        <v/>
      </c>
      <c r="X72">
        <f>HYPERLINK("https://klasma.github.io/Logging_2181/kartor/A 23289-2024 karta.png", "A 23289-2024")</f>
        <v/>
      </c>
      <c r="Y72">
        <f>HYPERLINK("https://klasma.github.io/Logging_2181/kartor_geotiff/A 23289-2024 georefererad karta.tif", "A 23289-2024")</f>
        <v/>
      </c>
      <c r="AA72">
        <f>HYPERLINK("https://klasma.github.io/Logging_2181/klagomål/A 23289-2024 FSC-klagomål.docx", "A 23289-2024")</f>
        <v/>
      </c>
      <c r="AB72">
        <f>HYPERLINK("https://klasma.github.io/Logging_2181/klagomålsmail/A 23289-2024 FSC-klagomål mail.docx", "A 23289-2024")</f>
        <v/>
      </c>
      <c r="AC72">
        <f>HYPERLINK("https://klasma.github.io/Logging_2181/tillsyn/A 23289-2024 tillsynsbegäran.docx", "A 23289-2024")</f>
        <v/>
      </c>
      <c r="AD72">
        <f>HYPERLINK("https://klasma.github.io/Logging_2181/tillsynsmail/A 23289-2024 tillsynsbegäran mail.docx", "A 23289-2024")</f>
        <v/>
      </c>
    </row>
    <row r="73" ht="15" customHeight="1">
      <c r="A73" t="inlineStr">
        <is>
          <t>A 36417-2025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45868</v>
      </c>
      <c r="E73" s="1" t="n">
        <v>46322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3.9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HYPERLINK("https://klasma.github.io/Logging_2181/artfynd/A 36417-2025 artfynd.xlsx", "A 36417-2025")</f>
        <v/>
      </c>
      <c r="X73">
        <f>HYPERLINK("https://klasma.github.io/Logging_2181/kartor/A 36417-2025 karta.png", "A 36417-2025")</f>
        <v/>
      </c>
      <c r="Y73">
        <f>HYPERLINK("https://klasma.github.io/Logging_2181/kartor_geotiff/A 36417-2025 georefererad karta.tif", "A 36417-2025")</f>
        <v/>
      </c>
      <c r="Z73">
        <f>HYPERLINK("https://klasma.github.io/Logging_2181/knärot/A 36417-2025 karta knärot.png", "A 36417-2025")</f>
        <v/>
      </c>
      <c r="AA73">
        <f>HYPERLINK("https://klasma.github.io/Logging_2181/klagomål/A 36417-2025 FSC-klagomål.docx", "A 36417-2025")</f>
        <v/>
      </c>
      <c r="AB73">
        <f>HYPERLINK("https://klasma.github.io/Logging_2181/klagomålsmail/A 36417-2025 FSC-klagomål mail.docx", "A 36417-2025")</f>
        <v/>
      </c>
      <c r="AC73">
        <f>HYPERLINK("https://klasma.github.io/Logging_2181/tillsyn/A 36417-2025 tillsynsbegäran.docx", "A 36417-2025")</f>
        <v/>
      </c>
      <c r="AD73">
        <f>HYPERLINK("https://klasma.github.io/Logging_2181/tillsynsmail/A 36417-2025 tillsynsbegäran mail.docx", "A 36417-2025")</f>
        <v/>
      </c>
    </row>
    <row r="74" ht="15" customHeight="1">
      <c r="A74" t="inlineStr">
        <is>
          <t>A 38350-2025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46322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väst AB</t>
        </is>
      </c>
      <c r="I74" t="n">
        <v>25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Brandticka</t>
        </is>
      </c>
      <c r="W74">
        <f>HYPERLINK("https://klasma.github.io/Logging_2181/artfynd/A 38350-2025 artfynd.xlsx", "A 38350-2025")</f>
        <v/>
      </c>
      <c r="X74">
        <f>HYPERLINK("https://klasma.github.io/Logging_2181/kartor/A 38350-2025 karta.png", "A 38350-2025")</f>
        <v/>
      </c>
      <c r="Y74">
        <f>HYPERLINK("https://klasma.github.io/Logging_2181/kartor_geotiff/A 38350-2025 georefererad karta.tif", "A 38350-2025")</f>
        <v/>
      </c>
      <c r="AA74">
        <f>HYPERLINK("https://klasma.github.io/Logging_2181/klagomål/A 38350-2025 FSC-klagomål.docx", "A 38350-2025")</f>
        <v/>
      </c>
      <c r="AB74">
        <f>HYPERLINK("https://klasma.github.io/Logging_2181/klagomålsmail/A 38350-2025 FSC-klagomål mail.docx", "A 38350-2025")</f>
        <v/>
      </c>
      <c r="AC74">
        <f>HYPERLINK("https://klasma.github.io/Logging_2181/tillsyn/A 38350-2025 tillsynsbegäran.docx", "A 38350-2025")</f>
        <v/>
      </c>
      <c r="AD74">
        <f>HYPERLINK("https://klasma.github.io/Logging_2181/tillsynsmail/A 38350-2025 tillsynsbegäran mail.docx", "A 38350-2025")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46322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Brunklöver</t>
        </is>
      </c>
      <c r="W75">
        <f>HYPERLINK("https://klasma.github.io/Logging_2181/artfynd/A 7393-2026 artfynd.xlsx", "A 7393-2026")</f>
        <v/>
      </c>
      <c r="X75">
        <f>HYPERLINK("https://klasma.github.io/Logging_2181/kartor/A 7393-2026 karta.png", "A 7393-2026")</f>
        <v/>
      </c>
      <c r="Y75">
        <f>HYPERLINK("https://klasma.github.io/Logging_2181/kartor_geotiff/A 7393-2026 georefererad karta.tif", "A 7393-2026")</f>
        <v/>
      </c>
      <c r="AA75">
        <f>HYPERLINK("https://klasma.github.io/Logging_2181/klagomål/A 7393-2026 FSC-klagomål.docx", "A 7393-2026")</f>
        <v/>
      </c>
      <c r="AB75">
        <f>HYPERLINK("https://klasma.github.io/Logging_2181/klagomålsmail/A 7393-2026 FSC-klagomål mail.docx", "A 7393-2026")</f>
        <v/>
      </c>
      <c r="AC75">
        <f>HYPERLINK("https://klasma.github.io/Logging_2181/tillsyn/A 7393-2026 tillsynsbegäran.docx", "A 7393-2026")</f>
        <v/>
      </c>
      <c r="AD75">
        <f>HYPERLINK("https://klasma.github.io/Logging_2181/tillsynsmail/A 7393-2026 tillsynsbegäran mail.docx", "A 7393-2026")</f>
        <v/>
      </c>
    </row>
    <row r="76" ht="15" customHeight="1">
      <c r="A76" t="inlineStr">
        <is>
          <t>A 9267-2026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46322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Gullpudra</t>
        </is>
      </c>
      <c r="W76">
        <f>HYPERLINK("https://klasma.github.io/Logging_2181/artfynd/A 9267-2026 artfynd.xlsx", "A 9267-2026")</f>
        <v/>
      </c>
      <c r="X76">
        <f>HYPERLINK("https://klasma.github.io/Logging_2181/kartor/A 9267-2026 karta.png", "A 9267-2026")</f>
        <v/>
      </c>
      <c r="Y76">
        <f>HYPERLINK("https://klasma.github.io/Logging_2181/kartor_geotiff/A 9267-2026 georefererad karta.tif", "A 9267-2026")</f>
        <v/>
      </c>
      <c r="AA76">
        <f>HYPERLINK("https://klasma.github.io/Logging_2181/klagomål/A 9267-2026 FSC-klagomål.docx", "A 9267-2026")</f>
        <v/>
      </c>
      <c r="AB76">
        <f>HYPERLINK("https://klasma.github.io/Logging_2181/klagomålsmail/A 9267-2026 FSC-klagomål mail.docx", "A 9267-2026")</f>
        <v/>
      </c>
      <c r="AC76">
        <f>HYPERLINK("https://klasma.github.io/Logging_2181/tillsyn/A 9267-2026 tillsynsbegäran.docx", "A 9267-2026")</f>
        <v/>
      </c>
      <c r="AD76">
        <f>HYPERLINK("https://klasma.github.io/Logging_2181/tillsynsmail/A 9267-2026 tillsynsbegäran mail.docx", "A 9267-2026")</f>
        <v/>
      </c>
    </row>
    <row r="77" ht="15" customHeight="1">
      <c r="A77" t="inlineStr">
        <is>
          <t>A 31311-2026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46219</v>
      </c>
      <c r="E77" s="1" t="n">
        <v>46322</v>
      </c>
      <c r="F77" t="inlineStr">
        <is>
          <t>GÄVLEBORGS LÄN</t>
        </is>
      </c>
      <c r="G77" t="inlineStr">
        <is>
          <t>SANDVIKEN</t>
        </is>
      </c>
      <c r="I77" t="n">
        <v>1.7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31311-2026 artfynd.xlsx", "A 31311-2026")</f>
        <v/>
      </c>
      <c r="X77">
        <f>HYPERLINK("https://klasma.github.io/Logging_2181/kartor/A 31311-2026 karta.png", "A 31311-2026")</f>
        <v/>
      </c>
      <c r="Y77">
        <f>HYPERLINK("https://klasma.github.io/Logging_2181/kartor_geotiff/A 31311-2026 georefererad karta.tif", "A 31311-2026")</f>
        <v/>
      </c>
      <c r="AA77">
        <f>HYPERLINK("https://klasma.github.io/Logging_2181/klagomål/A 31311-2026 FSC-klagomål.docx", "A 31311-2026")</f>
        <v/>
      </c>
      <c r="AB77">
        <f>HYPERLINK("https://klasma.github.io/Logging_2181/klagomålsmail/A 31311-2026 FSC-klagomål mail.docx", "A 31311-2026")</f>
        <v/>
      </c>
      <c r="AC77">
        <f>HYPERLINK("https://klasma.github.io/Logging_2181/tillsyn/A 31311-2026 tillsynsbegäran.docx", "A 31311-2026")</f>
        <v/>
      </c>
      <c r="AD77">
        <f>HYPERLINK("https://klasma.github.io/Logging_2181/tillsynsmail/A 31311-2026 tillsynsbegäran mail.docx", "A 31311-2026")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46322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HYPERLINK("https://klasma.github.io/Logging_2181/artfynd/A 11784-2026 artfynd.xlsx", "A 11784-2026")</f>
        <v/>
      </c>
      <c r="X78">
        <f>HYPERLINK("https://klasma.github.io/Logging_2181/kartor/A 11784-2026 karta.png", "A 11784-2026")</f>
        <v/>
      </c>
      <c r="Y78">
        <f>HYPERLINK("https://klasma.github.io/Logging_2181/kartor_geotiff/A 11784-2026 georefererad karta.tif", "A 11784-2026")</f>
        <v/>
      </c>
      <c r="AA78">
        <f>HYPERLINK("https://klasma.github.io/Logging_2181/klagomål/A 11784-2026 FSC-klagomål.docx", "A 11784-2026")</f>
        <v/>
      </c>
      <c r="AB78">
        <f>HYPERLINK("https://klasma.github.io/Logging_2181/klagomålsmail/A 11784-2026 FSC-klagomål mail.docx", "A 11784-2026")</f>
        <v/>
      </c>
      <c r="AC78">
        <f>HYPERLINK("https://klasma.github.io/Logging_2181/tillsyn/A 11784-2026 tillsynsbegäran.docx", "A 11784-2026")</f>
        <v/>
      </c>
      <c r="AD78">
        <f>HYPERLINK("https://klasma.github.io/Logging_2181/tillsynsmail/A 11784-2026 tillsynsbegäran mail.docx", "A 11784-2026")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46322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38109-2026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46281</v>
      </c>
      <c r="E80" s="1" t="n">
        <v>46322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11.9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Linmåra/småsnärjmåra</t>
        </is>
      </c>
      <c r="W80">
        <f>HYPERLINK("https://klasma.github.io/Logging_2181/artfynd/A 38109-2026 artfynd.xlsx", "A 38109-2026")</f>
        <v/>
      </c>
      <c r="X80">
        <f>HYPERLINK("https://klasma.github.io/Logging_2181/kartor/A 38109-2026 karta.png", "A 38109-2026")</f>
        <v/>
      </c>
      <c r="Y80">
        <f>HYPERLINK("https://klasma.github.io/Logging_2181/kartor_geotiff/A 38109-2026 georefererad karta.tif", "A 38109-2026")</f>
        <v/>
      </c>
      <c r="AA80">
        <f>HYPERLINK("https://klasma.github.io/Logging_2181/klagomål/A 38109-2026 FSC-klagomål.docx", "A 38109-2026")</f>
        <v/>
      </c>
      <c r="AB80">
        <f>HYPERLINK("https://klasma.github.io/Logging_2181/klagomålsmail/A 38109-2026 FSC-klagomål mail.docx", "A 38109-2026")</f>
        <v/>
      </c>
      <c r="AC80">
        <f>HYPERLINK("https://klasma.github.io/Logging_2181/tillsyn/A 38109-2026 tillsynsbegäran.docx", "A 38109-2026")</f>
        <v/>
      </c>
      <c r="AD80">
        <f>HYPERLINK("https://klasma.github.io/Logging_2181/tillsynsmail/A 38109-2026 tillsynsbegäran mail.docx", "A 38109-2026")</f>
        <v/>
      </c>
    </row>
    <row r="81" ht="15" customHeight="1">
      <c r="A81" t="inlineStr">
        <is>
          <t>A 13645-2026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46097</v>
      </c>
      <c r="E81" s="1" t="n">
        <v>46322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HYPERLINK("https://klasma.github.io/Logging_2181/artfynd/A 13645-2026 artfynd.xlsx", "A 13645-2026")</f>
        <v/>
      </c>
      <c r="X81">
        <f>HYPERLINK("https://klasma.github.io/Logging_2181/kartor/A 13645-2026 karta.png", "A 13645-2026")</f>
        <v/>
      </c>
      <c r="Y81">
        <f>HYPERLINK("https://klasma.github.io/Logging_2181/kartor_geotiff/A 13645-2026 georefererad karta.tif", "A 13645-2026")</f>
        <v/>
      </c>
      <c r="AA81">
        <f>HYPERLINK("https://klasma.github.io/Logging_2181/klagomål/A 13645-2026 FSC-klagomål.docx", "A 13645-2026")</f>
        <v/>
      </c>
      <c r="AB81">
        <f>HYPERLINK("https://klasma.github.io/Logging_2181/klagomålsmail/A 13645-2026 FSC-klagomål mail.docx", "A 13645-2026")</f>
        <v/>
      </c>
      <c r="AC81">
        <f>HYPERLINK("https://klasma.github.io/Logging_2181/tillsyn/A 13645-2026 tillsynsbegäran.docx", "A 13645-2026")</f>
        <v/>
      </c>
      <c r="AD81">
        <f>HYPERLINK("https://klasma.github.io/Logging_2181/tillsynsmail/A 13645-2026 tillsynsbegäran mail.docx", "A 13645-2026")</f>
        <v/>
      </c>
      <c r="AE81">
        <f>HYPERLINK("https://klasma.github.io/Logging_2181/fåglar/A 13645-2026 prioriterade fågelarter.docx", "A 13645-2026")</f>
        <v/>
      </c>
    </row>
    <row r="82" ht="15" customHeight="1">
      <c r="A82" t="inlineStr">
        <is>
          <t>A 14835-2026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46322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2.5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Höstlåsbräken</t>
        </is>
      </c>
      <c r="W82">
        <f>HYPERLINK("https://klasma.github.io/Logging_2181/artfynd/A 14835-2026 artfynd.xlsx", "A 14835-2026")</f>
        <v/>
      </c>
      <c r="X82">
        <f>HYPERLINK("https://klasma.github.io/Logging_2181/kartor/A 14835-2026 karta.png", "A 14835-2026")</f>
        <v/>
      </c>
      <c r="Y82">
        <f>HYPERLINK("https://klasma.github.io/Logging_2181/kartor_geotiff/A 14835-2026 georefererad karta.tif", "A 14835-2026")</f>
        <v/>
      </c>
      <c r="AA82">
        <f>HYPERLINK("https://klasma.github.io/Logging_2181/klagomål/A 14835-2026 FSC-klagomål.docx", "A 14835-2026")</f>
        <v/>
      </c>
      <c r="AB82">
        <f>HYPERLINK("https://klasma.github.io/Logging_2181/klagomålsmail/A 14835-2026 FSC-klagomål mail.docx", "A 14835-2026")</f>
        <v/>
      </c>
      <c r="AC82">
        <f>HYPERLINK("https://klasma.github.io/Logging_2181/tillsyn/A 14835-2026 tillsynsbegäran.docx", "A 14835-2026")</f>
        <v/>
      </c>
      <c r="AD82">
        <f>HYPERLINK("https://klasma.github.io/Logging_2181/tillsynsmail/A 14835-2026 tillsynsbegäran mail.docx", "A 14835-2026")</f>
        <v/>
      </c>
    </row>
    <row r="83" ht="15" customHeight="1">
      <c r="A83" t="inlineStr">
        <is>
          <t>A 15121-2026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46322</v>
      </c>
      <c r="F83" t="inlineStr">
        <is>
          <t>GÄVLEBORGS LÄN</t>
        </is>
      </c>
      <c r="G83" t="inlineStr">
        <is>
          <t>SANDVIKEN</t>
        </is>
      </c>
      <c r="I83" t="n">
        <v>2.7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Brandticka</t>
        </is>
      </c>
      <c r="W83">
        <f>HYPERLINK("https://klasma.github.io/Logging_2181/artfynd/A 15121-2026 artfynd.xlsx", "A 15121-2026")</f>
        <v/>
      </c>
      <c r="X83">
        <f>HYPERLINK("https://klasma.github.io/Logging_2181/kartor/A 15121-2026 karta.png", "A 15121-2026")</f>
        <v/>
      </c>
      <c r="Y83">
        <f>HYPERLINK("https://klasma.github.io/Logging_2181/kartor_geotiff/A 15121-2026 georefererad karta.tif", "A 15121-2026")</f>
        <v/>
      </c>
      <c r="AA83">
        <f>HYPERLINK("https://klasma.github.io/Logging_2181/klagomål/A 15121-2026 FSC-klagomål.docx", "A 15121-2026")</f>
        <v/>
      </c>
      <c r="AB83">
        <f>HYPERLINK("https://klasma.github.io/Logging_2181/klagomålsmail/A 15121-2026 FSC-klagomål mail.docx", "A 15121-2026")</f>
        <v/>
      </c>
      <c r="AC83">
        <f>HYPERLINK("https://klasma.github.io/Logging_2181/tillsyn/A 15121-2026 tillsynsbegäran.docx", "A 15121-2026")</f>
        <v/>
      </c>
      <c r="AD83">
        <f>HYPERLINK("https://klasma.github.io/Logging_2181/tillsynsmail/A 15121-2026 tillsynsbegäran mail.docx", "A 15121-2026")</f>
        <v/>
      </c>
    </row>
    <row r="84" ht="15" customHeight="1">
      <c r="A84" t="inlineStr">
        <is>
          <t>A 17062-2026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46322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5.7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Vårärt</t>
        </is>
      </c>
      <c r="W84">
        <f>HYPERLINK("https://klasma.github.io/Logging_2181/artfynd/A 17062-2026 artfynd.xlsx", "A 17062-2026")</f>
        <v/>
      </c>
      <c r="X84">
        <f>HYPERLINK("https://klasma.github.io/Logging_2181/kartor/A 17062-2026 karta.png", "A 17062-2026")</f>
        <v/>
      </c>
      <c r="Y84">
        <f>HYPERLINK("https://klasma.github.io/Logging_2181/kartor_geotiff/A 17062-2026 georefererad karta.tif", "A 17062-2026")</f>
        <v/>
      </c>
      <c r="AA84">
        <f>HYPERLINK("https://klasma.github.io/Logging_2181/klagomål/A 17062-2026 FSC-klagomål.docx", "A 17062-2026")</f>
        <v/>
      </c>
      <c r="AB84">
        <f>HYPERLINK("https://klasma.github.io/Logging_2181/klagomålsmail/A 17062-2026 FSC-klagomål mail.docx", "A 17062-2026")</f>
        <v/>
      </c>
      <c r="AC84">
        <f>HYPERLINK("https://klasma.github.io/Logging_2181/tillsyn/A 17062-2026 tillsynsbegäran.docx", "A 17062-2026")</f>
        <v/>
      </c>
      <c r="AD84">
        <f>HYPERLINK("https://klasma.github.io/Logging_2181/tillsynsmail/A 17062-2026 tillsynsbegäran mail.docx", "A 17062-2026")</f>
        <v/>
      </c>
    </row>
    <row r="85" ht="15" customHeight="1">
      <c r="A85" t="inlineStr">
        <is>
          <t>A 17364-2026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46322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3.2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17364-2026 artfynd.xlsx", "A 17364-2026")</f>
        <v/>
      </c>
      <c r="X85">
        <f>HYPERLINK("https://klasma.github.io/Logging_2181/kartor/A 17364-2026 karta.png", "A 17364-2026")</f>
        <v/>
      </c>
      <c r="Y85">
        <f>HYPERLINK("https://klasma.github.io/Logging_2181/kartor_geotiff/A 17364-2026 georefererad karta.tif", "A 17364-2026")</f>
        <v/>
      </c>
      <c r="AA85">
        <f>HYPERLINK("https://klasma.github.io/Logging_2181/klagomål/A 17364-2026 FSC-klagomål.docx", "A 17364-2026")</f>
        <v/>
      </c>
      <c r="AB85">
        <f>HYPERLINK("https://klasma.github.io/Logging_2181/klagomålsmail/A 17364-2026 FSC-klagomål mail.docx", "A 17364-2026")</f>
        <v/>
      </c>
      <c r="AC85">
        <f>HYPERLINK("https://klasma.github.io/Logging_2181/tillsyn/A 17364-2026 tillsynsbegäran.docx", "A 17364-2026")</f>
        <v/>
      </c>
      <c r="AD85">
        <f>HYPERLINK("https://klasma.github.io/Logging_2181/tillsynsmail/A 17364-2026 tillsynsbegäran mail.docx", "A 17364-2026")</f>
        <v/>
      </c>
    </row>
    <row r="86" ht="15" customHeight="1">
      <c r="A86" t="inlineStr">
        <is>
          <t>A 32539-2026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46239</v>
      </c>
      <c r="E86" s="1" t="n">
        <v>46322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Grönsiska</t>
        </is>
      </c>
      <c r="W86">
        <f>HYPERLINK("https://klasma.github.io/Logging_2181/artfynd/A 32539-2026 artfynd.xlsx", "A 32539-2026")</f>
        <v/>
      </c>
      <c r="X86">
        <f>HYPERLINK("https://klasma.github.io/Logging_2181/kartor/A 32539-2026 karta.png", "A 32539-2026")</f>
        <v/>
      </c>
      <c r="Y86">
        <f>HYPERLINK("https://klasma.github.io/Logging_2181/kartor_geotiff/A 32539-2026 georefererad karta.tif", "A 32539-2026")</f>
        <v/>
      </c>
      <c r="AA86">
        <f>HYPERLINK("https://klasma.github.io/Logging_2181/klagomål/A 32539-2026 FSC-klagomål.docx", "A 32539-2026")</f>
        <v/>
      </c>
      <c r="AB86">
        <f>HYPERLINK("https://klasma.github.io/Logging_2181/klagomålsmail/A 32539-2026 FSC-klagomål mail.docx", "A 32539-2026")</f>
        <v/>
      </c>
      <c r="AC86">
        <f>HYPERLINK("https://klasma.github.io/Logging_2181/tillsyn/A 32539-2026 tillsynsbegäran.docx", "A 32539-2026")</f>
        <v/>
      </c>
      <c r="AD86">
        <f>HYPERLINK("https://klasma.github.io/Logging_2181/tillsynsmail/A 32539-2026 tillsynsbegäran mail.docx", "A 32539-2026")</f>
        <v/>
      </c>
    </row>
    <row r="87" ht="15" customHeight="1">
      <c r="A87" t="inlineStr">
        <is>
          <t>A 32544-2026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46239</v>
      </c>
      <c r="E87" s="1" t="n">
        <v>46322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3.8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Igelkott</t>
        </is>
      </c>
      <c r="W87">
        <f>HYPERLINK("https://klasma.github.io/Logging_2181/artfynd/A 32544-2026 artfynd.xlsx", "A 32544-2026")</f>
        <v/>
      </c>
      <c r="X87">
        <f>HYPERLINK("https://klasma.github.io/Logging_2181/kartor/A 32544-2026 karta.png", "A 32544-2026")</f>
        <v/>
      </c>
      <c r="Y87">
        <f>HYPERLINK("https://klasma.github.io/Logging_2181/kartor_geotiff/A 32544-2026 georefererad karta.tif", "A 32544-2026")</f>
        <v/>
      </c>
      <c r="AA87">
        <f>HYPERLINK("https://klasma.github.io/Logging_2181/klagomål/A 32544-2026 FSC-klagomål.docx", "A 32544-2026")</f>
        <v/>
      </c>
      <c r="AB87">
        <f>HYPERLINK("https://klasma.github.io/Logging_2181/klagomålsmail/A 32544-2026 FSC-klagomål mail.docx", "A 32544-2026")</f>
        <v/>
      </c>
      <c r="AC87">
        <f>HYPERLINK("https://klasma.github.io/Logging_2181/tillsyn/A 32544-2026 tillsynsbegäran.docx", "A 32544-2026")</f>
        <v/>
      </c>
      <c r="AD87">
        <f>HYPERLINK("https://klasma.github.io/Logging_2181/tillsynsmail/A 32544-2026 tillsynsbegäran mail.docx", "A 32544-2026")</f>
        <v/>
      </c>
    </row>
    <row r="88" ht="15" customHeight="1">
      <c r="A88" t="inlineStr">
        <is>
          <t>A 32533-2026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46239</v>
      </c>
      <c r="E88" s="1" t="n">
        <v>46322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3.1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Järnsparv</t>
        </is>
      </c>
      <c r="W88">
        <f>HYPERLINK("https://klasma.github.io/Logging_2181/artfynd/A 32533-2026 artfynd.xlsx", "A 32533-2026")</f>
        <v/>
      </c>
      <c r="X88">
        <f>HYPERLINK("https://klasma.github.io/Logging_2181/kartor/A 32533-2026 karta.png", "A 32533-2026")</f>
        <v/>
      </c>
      <c r="Y88">
        <f>HYPERLINK("https://klasma.github.io/Logging_2181/kartor_geotiff/A 32533-2026 georefererad karta.tif", "A 32533-2026")</f>
        <v/>
      </c>
      <c r="AA88">
        <f>HYPERLINK("https://klasma.github.io/Logging_2181/klagomål/A 32533-2026 FSC-klagomål.docx", "A 32533-2026")</f>
        <v/>
      </c>
      <c r="AB88">
        <f>HYPERLINK("https://klasma.github.io/Logging_2181/klagomålsmail/A 32533-2026 FSC-klagomål mail.docx", "A 32533-2026")</f>
        <v/>
      </c>
      <c r="AC88">
        <f>HYPERLINK("https://klasma.github.io/Logging_2181/tillsyn/A 32533-2026 tillsynsbegäran.docx", "A 32533-2026")</f>
        <v/>
      </c>
      <c r="AD88">
        <f>HYPERLINK("https://klasma.github.io/Logging_2181/tillsynsmail/A 32533-2026 tillsynsbegäran mail.docx", "A 32533-2026")</f>
        <v/>
      </c>
      <c r="AE88">
        <f>HYPERLINK("https://klasma.github.io/Logging_2181/fåglar/A 32533-2026 prioriterade fågelarter.docx", "A 32533-2026")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46322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4324-2026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46322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11.2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Järpe</t>
        </is>
      </c>
      <c r="W90">
        <f>HYPERLINK("https://klasma.github.io/Logging_2181/artfynd/A 4324-2026 artfynd.xlsx", "A 4324-2026")</f>
        <v/>
      </c>
      <c r="X90">
        <f>HYPERLINK("https://klasma.github.io/Logging_2181/kartor/A 4324-2026 karta.png", "A 4324-2026")</f>
        <v/>
      </c>
      <c r="Y90">
        <f>HYPERLINK("https://klasma.github.io/Logging_2181/kartor_geotiff/A 4324-2026 georefererad karta.tif", "A 4324-2026")</f>
        <v/>
      </c>
      <c r="AA90">
        <f>HYPERLINK("https://klasma.github.io/Logging_2181/klagomål/A 4324-2026 FSC-klagomål.docx", "A 4324-2026")</f>
        <v/>
      </c>
      <c r="AB90">
        <f>HYPERLINK("https://klasma.github.io/Logging_2181/klagomålsmail/A 4324-2026 FSC-klagomål mail.docx", "A 4324-2026")</f>
        <v/>
      </c>
      <c r="AC90">
        <f>HYPERLINK("https://klasma.github.io/Logging_2181/tillsyn/A 4324-2026 tillsynsbegäran.docx", "A 4324-2026")</f>
        <v/>
      </c>
      <c r="AD90">
        <f>HYPERLINK("https://klasma.github.io/Logging_2181/tillsynsmail/A 4324-2026 tillsynsbegäran mail.docx", "A 4324-2026")</f>
        <v/>
      </c>
      <c r="AE90">
        <f>HYPERLINK("https://klasma.github.io/Logging_2181/fåglar/A 4324-2026 prioriterade fågelarter.docx", "A 4324-2026")</f>
        <v/>
      </c>
    </row>
    <row r="91" ht="15" customHeight="1">
      <c r="A91" t="inlineStr">
        <is>
          <t>A 22275-2024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46322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Ekorrbär</t>
        </is>
      </c>
      <c r="W91">
        <f>HYPERLINK("https://klasma.github.io/Logging_2181/artfynd/A 22275-2024 artfynd.xlsx", "A 22275-2024")</f>
        <v/>
      </c>
      <c r="X91">
        <f>HYPERLINK("https://klasma.github.io/Logging_2181/kartor/A 22275-2024 karta.png", "A 22275-2024")</f>
        <v/>
      </c>
      <c r="Y91">
        <f>HYPERLINK("https://klasma.github.io/Logging_2181/kartor_geotiff/A 22275-2024 georefererad karta.tif", "A 22275-2024")</f>
        <v/>
      </c>
      <c r="AA91">
        <f>HYPERLINK("https://klasma.github.io/Logging_2181/klagomål/A 22275-2024 FSC-klagomål.docx", "A 22275-2024")</f>
        <v/>
      </c>
      <c r="AB91">
        <f>HYPERLINK("https://klasma.github.io/Logging_2181/klagomålsmail/A 22275-2024 FSC-klagomål mail.docx", "A 22275-2024")</f>
        <v/>
      </c>
      <c r="AC91">
        <f>HYPERLINK("https://klasma.github.io/Logging_2181/tillsyn/A 22275-2024 tillsynsbegäran.docx", "A 22275-2024")</f>
        <v/>
      </c>
      <c r="AD91">
        <f>HYPERLINK("https://klasma.github.io/Logging_2181/tillsynsmail/A 22275-2024 tillsynsbegäran mail.docx", "A 22275-2024")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46322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Slåtterfibbla</t>
        </is>
      </c>
      <c r="W92">
        <f>HYPERLINK("https://klasma.github.io/Logging_2181/artfynd/A 5015-2023 artfynd.xlsx", "A 5015-2023")</f>
        <v/>
      </c>
      <c r="X92">
        <f>HYPERLINK("https://klasma.github.io/Logging_2181/kartor/A 5015-2023 karta.png", "A 5015-2023")</f>
        <v/>
      </c>
      <c r="Y92">
        <f>HYPERLINK("https://klasma.github.io/Logging_2181/kartor_geotiff/A 5015-2023 georefererad karta.tif", "A 5015-2023")</f>
        <v/>
      </c>
      <c r="AA92">
        <f>HYPERLINK("https://klasma.github.io/Logging_2181/klagomål/A 5015-2023 FSC-klagomål.docx", "A 5015-2023")</f>
        <v/>
      </c>
      <c r="AB92">
        <f>HYPERLINK("https://klasma.github.io/Logging_2181/klagomålsmail/A 5015-2023 FSC-klagomål mail.docx", "A 5015-2023")</f>
        <v/>
      </c>
      <c r="AC92">
        <f>HYPERLINK("https://klasma.github.io/Logging_2181/tillsyn/A 5015-2023 tillsynsbegäran.docx", "A 5015-2023")</f>
        <v/>
      </c>
      <c r="AD92">
        <f>HYPERLINK("https://klasma.github.io/Logging_2181/tillsynsmail/A 5015-2023 tillsynsbegäran mail.docx", "A 5015-2023")</f>
        <v/>
      </c>
    </row>
    <row r="93" ht="15" customHeight="1">
      <c r="A93" t="inlineStr">
        <is>
          <t>A 6972-2026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46322</v>
      </c>
      <c r="F93" t="inlineStr">
        <is>
          <t>GÄVLEBORGS LÄN</t>
        </is>
      </c>
      <c r="G93" t="inlineStr">
        <is>
          <t>SANDVIKEN</t>
        </is>
      </c>
      <c r="H93" t="inlineStr">
        <is>
          <t>Naturvårdsverket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Svartvit flugsnappare</t>
        </is>
      </c>
      <c r="W93">
        <f>HYPERLINK("https://klasma.github.io/Logging_2181/artfynd/A 6972-2026 artfynd.xlsx", "A 6972-2026")</f>
        <v/>
      </c>
      <c r="X93">
        <f>HYPERLINK("https://klasma.github.io/Logging_2181/kartor/A 6972-2026 karta.png", "A 6972-2026")</f>
        <v/>
      </c>
      <c r="Y93">
        <f>HYPERLINK("https://klasma.github.io/Logging_2181/kartor_geotiff/A 6972-2026 georefererad karta.tif", "A 6972-2026")</f>
        <v/>
      </c>
      <c r="AA93">
        <f>HYPERLINK("https://klasma.github.io/Logging_2181/klagomål/A 6972-2026 FSC-klagomål.docx", "A 6972-2026")</f>
        <v/>
      </c>
      <c r="AB93">
        <f>HYPERLINK("https://klasma.github.io/Logging_2181/klagomålsmail/A 6972-2026 FSC-klagomål mail.docx", "A 6972-2026")</f>
        <v/>
      </c>
      <c r="AC93">
        <f>HYPERLINK("https://klasma.github.io/Logging_2181/tillsyn/A 6972-2026 tillsynsbegäran.docx", "A 6972-2026")</f>
        <v/>
      </c>
      <c r="AD93">
        <f>HYPERLINK("https://klasma.github.io/Logging_2181/tillsynsmail/A 6972-2026 tillsynsbegäran mail.docx", "A 6972-2026")</f>
        <v/>
      </c>
    </row>
    <row r="94" ht="15" customHeight="1">
      <c r="A94" t="inlineStr">
        <is>
          <t>A 41349-2025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46322</v>
      </c>
      <c r="F94" t="inlineStr">
        <is>
          <t>GÄVLEBORGS LÄN</t>
        </is>
      </c>
      <c r="G94" t="inlineStr">
        <is>
          <t>SANDVIKEN</t>
        </is>
      </c>
      <c r="I94" t="n">
        <v>3.7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Skogsklocka</t>
        </is>
      </c>
      <c r="W94">
        <f>HYPERLINK("https://klasma.github.io/Logging_2181/artfynd/A 41349-2025 artfynd.xlsx", "A 41349-2025")</f>
        <v/>
      </c>
      <c r="X94">
        <f>HYPERLINK("https://klasma.github.io/Logging_2181/kartor/A 41349-2025 karta.png", "A 41349-2025")</f>
        <v/>
      </c>
      <c r="Y94">
        <f>HYPERLINK("https://klasma.github.io/Logging_2181/kartor_geotiff/A 41349-2025 georefererad karta.tif", "A 41349-2025")</f>
        <v/>
      </c>
      <c r="AA94">
        <f>HYPERLINK("https://klasma.github.io/Logging_2181/klagomål/A 41349-2025 FSC-klagomål.docx", "A 41349-2025")</f>
        <v/>
      </c>
      <c r="AB94">
        <f>HYPERLINK("https://klasma.github.io/Logging_2181/klagomålsmail/A 41349-2025 FSC-klagomål mail.docx", "A 41349-2025")</f>
        <v/>
      </c>
      <c r="AC94">
        <f>HYPERLINK("https://klasma.github.io/Logging_2181/tillsyn/A 41349-2025 tillsynsbegäran.docx", "A 41349-2025")</f>
        <v/>
      </c>
      <c r="AD94">
        <f>HYPERLINK("https://klasma.github.io/Logging_2181/tillsynsmail/A 41349-2025 tillsynsbegäran mail.docx", "A 41349-2025")</f>
        <v/>
      </c>
    </row>
    <row r="95" ht="15" customHeight="1">
      <c r="A95" t="inlineStr">
        <is>
          <t>A 21532-2026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46148</v>
      </c>
      <c r="E95" s="1" t="n">
        <v>46322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Svartvit flugsnappare</t>
        </is>
      </c>
      <c r="W95">
        <f>HYPERLINK("https://klasma.github.io/Logging_2181/artfynd/A 21532-2026 artfynd.xlsx", "A 21532-2026")</f>
        <v/>
      </c>
      <c r="X95">
        <f>HYPERLINK("https://klasma.github.io/Logging_2181/kartor/A 21532-2026 karta.png", "A 21532-2026")</f>
        <v/>
      </c>
      <c r="Y95">
        <f>HYPERLINK("https://klasma.github.io/Logging_2181/kartor_geotiff/A 21532-2026 georefererad karta.tif", "A 21532-2026")</f>
        <v/>
      </c>
      <c r="AA95">
        <f>HYPERLINK("https://klasma.github.io/Logging_2181/klagomål/A 21532-2026 FSC-klagomål.docx", "A 21532-2026")</f>
        <v/>
      </c>
      <c r="AB95">
        <f>HYPERLINK("https://klasma.github.io/Logging_2181/klagomålsmail/A 21532-2026 FSC-klagomål mail.docx", "A 21532-2026")</f>
        <v/>
      </c>
      <c r="AC95">
        <f>HYPERLINK("https://klasma.github.io/Logging_2181/tillsyn/A 21532-2026 tillsynsbegäran.docx", "A 21532-2026")</f>
        <v/>
      </c>
      <c r="AD95">
        <f>HYPERLINK("https://klasma.github.io/Logging_2181/tillsynsmail/A 21532-2026 tillsynsbegäran mail.docx", "A 21532-2026")</f>
        <v/>
      </c>
    </row>
    <row r="96" ht="15" customHeight="1">
      <c r="A96" t="inlineStr">
        <is>
          <t>A 23225-2026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46322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1.3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Rödvingetrast</t>
        </is>
      </c>
      <c r="W96">
        <f>HYPERLINK("https://klasma.github.io/Logging_2181/artfynd/A 23225-2026 artfynd.xlsx", "A 23225-2026")</f>
        <v/>
      </c>
      <c r="X96">
        <f>HYPERLINK("https://klasma.github.io/Logging_2181/kartor/A 23225-2026 karta.png", "A 23225-2026")</f>
        <v/>
      </c>
      <c r="Y96">
        <f>HYPERLINK("https://klasma.github.io/Logging_2181/kartor_geotiff/A 23225-2026 georefererad karta.tif", "A 23225-2026")</f>
        <v/>
      </c>
      <c r="AA96">
        <f>HYPERLINK("https://klasma.github.io/Logging_2181/klagomål/A 23225-2026 FSC-klagomål.docx", "A 23225-2026")</f>
        <v/>
      </c>
      <c r="AB96">
        <f>HYPERLINK("https://klasma.github.io/Logging_2181/klagomålsmail/A 23225-2026 FSC-klagomål mail.docx", "A 23225-2026")</f>
        <v/>
      </c>
      <c r="AC96">
        <f>HYPERLINK("https://klasma.github.io/Logging_2181/tillsyn/A 23225-2026 tillsynsbegäran.docx", "A 23225-2026")</f>
        <v/>
      </c>
      <c r="AD96">
        <f>HYPERLINK("https://klasma.github.io/Logging_2181/tillsynsmail/A 23225-2026 tillsynsbegäran mail.docx", "A 23225-2026")</f>
        <v/>
      </c>
      <c r="AE96">
        <f>HYPERLINK("https://klasma.github.io/Logging_2181/fåglar/A 23225-2026 prioriterade fågelarter.docx", "A 23225-2026")</f>
        <v/>
      </c>
    </row>
    <row r="97" ht="15" customHeight="1">
      <c r="A97" t="inlineStr">
        <is>
          <t>A 24171-2026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46168</v>
      </c>
      <c r="E97" s="1" t="n">
        <v>46322</v>
      </c>
      <c r="F97" t="inlineStr">
        <is>
          <t>GÄVLEBORGS LÄN</t>
        </is>
      </c>
      <c r="G97" t="inlineStr">
        <is>
          <t>SANDVIKEN</t>
        </is>
      </c>
      <c r="I97" t="n">
        <v>1.4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Svedjenäva</t>
        </is>
      </c>
      <c r="W97">
        <f>HYPERLINK("https://klasma.github.io/Logging_2181/artfynd/A 24171-2026 artfynd.xlsx", "A 24171-2026")</f>
        <v/>
      </c>
      <c r="X97">
        <f>HYPERLINK("https://klasma.github.io/Logging_2181/kartor/A 24171-2026 karta.png", "A 24171-2026")</f>
        <v/>
      </c>
      <c r="Y97">
        <f>HYPERLINK("https://klasma.github.io/Logging_2181/kartor_geotiff/A 24171-2026 georefererad karta.tif", "A 24171-2026")</f>
        <v/>
      </c>
      <c r="AA97">
        <f>HYPERLINK("https://klasma.github.io/Logging_2181/klagomål/A 24171-2026 FSC-klagomål.docx", "A 24171-2026")</f>
        <v/>
      </c>
      <c r="AB97">
        <f>HYPERLINK("https://klasma.github.io/Logging_2181/klagomålsmail/A 24171-2026 FSC-klagomål mail.docx", "A 24171-2026")</f>
        <v/>
      </c>
      <c r="AC97">
        <f>HYPERLINK("https://klasma.github.io/Logging_2181/tillsyn/A 24171-2026 tillsynsbegäran.docx", "A 24171-2026")</f>
        <v/>
      </c>
      <c r="AD97">
        <f>HYPERLINK("https://klasma.github.io/Logging_2181/tillsynsmail/A 24171-2026 tillsynsbegäran mail.docx", "A 24171-2026")</f>
        <v/>
      </c>
    </row>
    <row r="98" ht="15" customHeight="1">
      <c r="A98" t="inlineStr">
        <is>
          <t>A 25247-2026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46322</v>
      </c>
      <c r="F98" t="inlineStr">
        <is>
          <t>GÄVLEBORGS LÄN</t>
        </is>
      </c>
      <c r="G98" t="inlineStr">
        <is>
          <t>SANDVIKEN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Skinnlav</t>
        </is>
      </c>
      <c r="W98">
        <f>HYPERLINK("https://klasma.github.io/Logging_2181/artfynd/A 25247-2026 artfynd.xlsx", "A 25247-2026")</f>
        <v/>
      </c>
      <c r="X98">
        <f>HYPERLINK("https://klasma.github.io/Logging_2181/kartor/A 25247-2026 karta.png", "A 25247-2026")</f>
        <v/>
      </c>
      <c r="Y98">
        <f>HYPERLINK("https://klasma.github.io/Logging_2181/kartor_geotiff/A 25247-2026 georefererad karta.tif", "A 25247-2026")</f>
        <v/>
      </c>
      <c r="AA98">
        <f>HYPERLINK("https://klasma.github.io/Logging_2181/klagomål/A 25247-2026 FSC-klagomål.docx", "A 25247-2026")</f>
        <v/>
      </c>
      <c r="AB98">
        <f>HYPERLINK("https://klasma.github.io/Logging_2181/klagomålsmail/A 25247-2026 FSC-klagomål mail.docx", "A 25247-2026")</f>
        <v/>
      </c>
      <c r="AC98">
        <f>HYPERLINK("https://klasma.github.io/Logging_2181/tillsyn/A 25247-2026 tillsynsbegäran.docx", "A 25247-2026")</f>
        <v/>
      </c>
      <c r="AD98">
        <f>HYPERLINK("https://klasma.github.io/Logging_2181/tillsynsmail/A 25247-2026 tillsynsbegäran mail.docx", "A 25247-2026")</f>
        <v/>
      </c>
    </row>
    <row r="99" ht="15" customHeight="1">
      <c r="A99" t="inlineStr">
        <is>
          <t>A 34406-2026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46322</v>
      </c>
      <c r="F99" t="inlineStr">
        <is>
          <t>GÄVLEBORGS LÄN</t>
        </is>
      </c>
      <c r="G99" t="inlineStr">
        <is>
          <t>SANDVIKEN</t>
        </is>
      </c>
      <c r="I99" t="n">
        <v>15.1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Loppstarr</t>
        </is>
      </c>
      <c r="W99">
        <f>HYPERLINK("https://klasma.github.io/Logging_2181/artfynd/A 34406-2026 artfynd.xlsx", "A 34406-2026")</f>
        <v/>
      </c>
      <c r="X99">
        <f>HYPERLINK("https://klasma.github.io/Logging_2181/kartor/A 34406-2026 karta.png", "A 34406-2026")</f>
        <v/>
      </c>
      <c r="Y99">
        <f>HYPERLINK("https://klasma.github.io/Logging_2181/kartor_geotiff/A 34406-2026 georefererad karta.tif", "A 34406-2026")</f>
        <v/>
      </c>
      <c r="AA99">
        <f>HYPERLINK("https://klasma.github.io/Logging_2181/klagomål/A 34406-2026 FSC-klagomål.docx", "A 34406-2026")</f>
        <v/>
      </c>
      <c r="AB99">
        <f>HYPERLINK("https://klasma.github.io/Logging_2181/klagomålsmail/A 34406-2026 FSC-klagomål mail.docx", "A 34406-2026")</f>
        <v/>
      </c>
      <c r="AC99">
        <f>HYPERLINK("https://klasma.github.io/Logging_2181/tillsyn/A 34406-2026 tillsynsbegäran.docx", "A 34406-2026")</f>
        <v/>
      </c>
      <c r="AD99">
        <f>HYPERLINK("https://klasma.github.io/Logging_2181/tillsynsmail/A 34406-2026 tillsynsbegäran mail.docx", "A 34406-2026")</f>
        <v/>
      </c>
    </row>
    <row r="100" ht="15" customHeight="1">
      <c r="A100" t="inlineStr">
        <is>
          <t>A 26212-2026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46182</v>
      </c>
      <c r="E100" s="1" t="n">
        <v>46322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HYPERLINK("https://klasma.github.io/Logging_2181/artfynd/A 26212-2026 artfynd.xlsx", "A 26212-2026")</f>
        <v/>
      </c>
      <c r="X100">
        <f>HYPERLINK("https://klasma.github.io/Logging_2181/kartor/A 26212-2026 karta.png", "A 26212-2026")</f>
        <v/>
      </c>
      <c r="Y100">
        <f>HYPERLINK("https://klasma.github.io/Logging_2181/kartor_geotiff/A 26212-2026 georefererad karta.tif", "A 26212-2026")</f>
        <v/>
      </c>
      <c r="Z100">
        <f>HYPERLINK("https://klasma.github.io/Logging_2181/knärot/A 26212-2026 karta knärot.png", "A 26212-2026")</f>
        <v/>
      </c>
      <c r="AA100">
        <f>HYPERLINK("https://klasma.github.io/Logging_2181/klagomål/A 26212-2026 FSC-klagomål.docx", "A 26212-2026")</f>
        <v/>
      </c>
      <c r="AB100">
        <f>HYPERLINK("https://klasma.github.io/Logging_2181/klagomålsmail/A 26212-2026 FSC-klagomål mail.docx", "A 26212-2026")</f>
        <v/>
      </c>
      <c r="AC100">
        <f>HYPERLINK("https://klasma.github.io/Logging_2181/tillsyn/A 26212-2026 tillsynsbegäran.docx", "A 26212-2026")</f>
        <v/>
      </c>
      <c r="AD100">
        <f>HYPERLINK("https://klasma.github.io/Logging_2181/tillsynsmail/A 26212-2026 tillsynsbegäran mail.docx", "A 26212-2026")</f>
        <v/>
      </c>
    </row>
    <row r="101" ht="15" customHeight="1">
      <c r="A101" t="inlineStr">
        <is>
          <t>A 42115-2023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46322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HYPERLINK("https://klasma.github.io/Logging_2181/artfynd/A 42115-2023 artfynd.xlsx", "A 42115-2023")</f>
        <v/>
      </c>
      <c r="X101">
        <f>HYPERLINK("https://klasma.github.io/Logging_2181/kartor/A 42115-2023 karta.png", "A 42115-2023")</f>
        <v/>
      </c>
      <c r="Y101">
        <f>HYPERLINK("https://klasma.github.io/Logging_2181/kartor_geotiff/A 42115-2023 georefererad karta.tif", "A 42115-2023")</f>
        <v/>
      </c>
      <c r="AA101">
        <f>HYPERLINK("https://klasma.github.io/Logging_2181/klagomål/A 42115-2023 FSC-klagomål.docx", "A 42115-2023")</f>
        <v/>
      </c>
      <c r="AB101">
        <f>HYPERLINK("https://klasma.github.io/Logging_2181/klagomålsmail/A 42115-2023 FSC-klagomål mail.docx", "A 42115-2023")</f>
        <v/>
      </c>
      <c r="AC101">
        <f>HYPERLINK("https://klasma.github.io/Logging_2181/tillsyn/A 42115-2023 tillsynsbegäran.docx", "A 42115-2023")</f>
        <v/>
      </c>
      <c r="AD101">
        <f>HYPERLINK("https://klasma.github.io/Logging_2181/tillsynsmail/A 42115-2023 tillsynsbegäran mail.docx", "A 42115-2023")</f>
        <v/>
      </c>
      <c r="AE101">
        <f>HYPERLINK("https://klasma.github.io/Logging_2181/fåglar/A 42115-2023 prioriterade fågelarter.docx", "A 42115-2023")</f>
        <v/>
      </c>
    </row>
    <row r="102" ht="15" customHeight="1">
      <c r="A102" t="inlineStr">
        <is>
          <t>A 41792-2026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46303</v>
      </c>
      <c r="E102" s="1" t="n">
        <v>46322</v>
      </c>
      <c r="F102" t="inlineStr">
        <is>
          <t>GÄVLEBORGS LÄN</t>
        </is>
      </c>
      <c r="G102" t="inlineStr">
        <is>
          <t>SANDVIKEN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41792-2026 artfynd.xlsx", "A 41792-2026")</f>
        <v/>
      </c>
      <c r="X102">
        <f>HYPERLINK("https://klasma.github.io/Logging_2181/kartor/A 41792-2026 karta.png", "A 41792-2026")</f>
        <v/>
      </c>
      <c r="Y102">
        <f>HYPERLINK("https://klasma.github.io/Logging_2181/kartor_geotiff/A 41792-2026 georefererad karta.tif", "A 41792-2026")</f>
        <v/>
      </c>
      <c r="AA102">
        <f>HYPERLINK("https://klasma.github.io/Logging_2181/klagomål/A 41792-2026 FSC-klagomål.docx", "A 41792-2026")</f>
        <v/>
      </c>
      <c r="AB102">
        <f>HYPERLINK("https://klasma.github.io/Logging_2181/klagomålsmail/A 41792-2026 FSC-klagomål mail.docx", "A 41792-2026")</f>
        <v/>
      </c>
      <c r="AC102">
        <f>HYPERLINK("https://klasma.github.io/Logging_2181/tillsyn/A 41792-2026 tillsynsbegäran.docx", "A 41792-2026")</f>
        <v/>
      </c>
      <c r="AD102">
        <f>HYPERLINK("https://klasma.github.io/Logging_2181/tillsynsmail/A 41792-2026 tillsynsbegäran mail.docx", "A 41792-2026")</f>
        <v/>
      </c>
    </row>
    <row r="103" ht="15" customHeight="1">
      <c r="A103" t="inlineStr">
        <is>
          <t>A 41678-2026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46301</v>
      </c>
      <c r="E103" s="1" t="n">
        <v>46322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väst AB</t>
        </is>
      </c>
      <c r="I103" t="n">
        <v>3.4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HYPERLINK("https://klasma.github.io/Logging_2181/artfynd/A 41678-2026 artfynd.xlsx", "A 41678-2026")</f>
        <v/>
      </c>
      <c r="X103">
        <f>HYPERLINK("https://klasma.github.io/Logging_2181/kartor/A 41678-2026 karta.png", "A 41678-2026")</f>
        <v/>
      </c>
      <c r="Y103">
        <f>HYPERLINK("https://klasma.github.io/Logging_2181/kartor_geotiff/A 41678-2026 georefererad karta.tif", "A 41678-2026")</f>
        <v/>
      </c>
      <c r="AA103">
        <f>HYPERLINK("https://klasma.github.io/Logging_2181/klagomål/A 41678-2026 FSC-klagomål.docx", "A 41678-2026")</f>
        <v/>
      </c>
      <c r="AB103">
        <f>HYPERLINK("https://klasma.github.io/Logging_2181/klagomålsmail/A 41678-2026 FSC-klagomål mail.docx", "A 41678-2026")</f>
        <v/>
      </c>
      <c r="AC103">
        <f>HYPERLINK("https://klasma.github.io/Logging_2181/tillsyn/A 41678-2026 tillsynsbegäran.docx", "A 41678-2026")</f>
        <v/>
      </c>
      <c r="AD103">
        <f>HYPERLINK("https://klasma.github.io/Logging_2181/tillsynsmail/A 41678-2026 tillsynsbegäran mail.docx", "A 41678-2026")</f>
        <v/>
      </c>
    </row>
    <row r="104" ht="15" customHeight="1">
      <c r="A104" t="inlineStr">
        <is>
          <t>A 42018-2026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46304</v>
      </c>
      <c r="E104" s="1" t="n">
        <v>46322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Kransmossa</t>
        </is>
      </c>
      <c r="W104">
        <f>HYPERLINK("https://klasma.github.io/Logging_2181/artfynd/A 42018-2026 artfynd.xlsx", "A 42018-2026")</f>
        <v/>
      </c>
      <c r="X104">
        <f>HYPERLINK("https://klasma.github.io/Logging_2181/kartor/A 42018-2026 karta.png", "A 42018-2026")</f>
        <v/>
      </c>
      <c r="Y104">
        <f>HYPERLINK("https://klasma.github.io/Logging_2181/kartor_geotiff/A 42018-2026 georefererad karta.tif", "A 42018-2026")</f>
        <v/>
      </c>
      <c r="AA104">
        <f>HYPERLINK("https://klasma.github.io/Logging_2181/klagomål/A 42018-2026 FSC-klagomål.docx", "A 42018-2026")</f>
        <v/>
      </c>
      <c r="AB104">
        <f>HYPERLINK("https://klasma.github.io/Logging_2181/klagomålsmail/A 42018-2026 FSC-klagomål mail.docx", "A 42018-2026")</f>
        <v/>
      </c>
      <c r="AC104">
        <f>HYPERLINK("https://klasma.github.io/Logging_2181/tillsyn/A 42018-2026 tillsynsbegäran.docx", "A 42018-2026")</f>
        <v/>
      </c>
      <c r="AD104">
        <f>HYPERLINK("https://klasma.github.io/Logging_2181/tillsynsmail/A 42018-2026 tillsynsbegäran mail.docx", "A 42018-2026")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46322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35540-2026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46322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Lopplummer (aggregat)</t>
        </is>
      </c>
      <c r="W106">
        <f>HYPERLINK("https://klasma.github.io/Logging_2181/artfynd/A 35540-2026 artfynd.xlsx", "A 35540-2026")</f>
        <v/>
      </c>
      <c r="X106">
        <f>HYPERLINK("https://klasma.github.io/Logging_2181/kartor/A 35540-2026 karta.png", "A 35540-2026")</f>
        <v/>
      </c>
      <c r="Y106">
        <f>HYPERLINK("https://klasma.github.io/Logging_2181/kartor_geotiff/A 35540-2026 georefererad karta.tif", "A 35540-2026")</f>
        <v/>
      </c>
      <c r="AA106">
        <f>HYPERLINK("https://klasma.github.io/Logging_2181/klagomål/A 35540-2026 FSC-klagomål.docx", "A 35540-2026")</f>
        <v/>
      </c>
      <c r="AB106">
        <f>HYPERLINK("https://klasma.github.io/Logging_2181/klagomålsmail/A 35540-2026 FSC-klagomål mail.docx", "A 35540-2026")</f>
        <v/>
      </c>
      <c r="AC106">
        <f>HYPERLINK("https://klasma.github.io/Logging_2181/tillsyn/A 35540-2026 tillsynsbegäran.docx", "A 35540-2026")</f>
        <v/>
      </c>
      <c r="AD106">
        <f>HYPERLINK("https://klasma.github.io/Logging_2181/tillsynsmail/A 35540-2026 tillsynsbegäran mail.docx", "A 35540-2026")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46322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36596-2026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46269</v>
      </c>
      <c r="E108" s="1" t="n">
        <v>46322</v>
      </c>
      <c r="F108" t="inlineStr">
        <is>
          <t>GÄVLEBORGS LÄN</t>
        </is>
      </c>
      <c r="G108" t="inlineStr">
        <is>
          <t>SANDVIKEN</t>
        </is>
      </c>
      <c r="I108" t="n">
        <v>10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HYPERLINK("https://klasma.github.io/Logging_2181/artfynd/A 36596-2026 artfynd.xlsx", "A 36596-2026")</f>
        <v/>
      </c>
      <c r="X108">
        <f>HYPERLINK("https://klasma.github.io/Logging_2181/kartor/A 36596-2026 karta.png", "A 36596-2026")</f>
        <v/>
      </c>
      <c r="Y108">
        <f>HYPERLINK("https://klasma.github.io/Logging_2181/kartor_geotiff/A 36596-2026 georefererad karta.tif", "A 36596-2026")</f>
        <v/>
      </c>
      <c r="AA108">
        <f>HYPERLINK("https://klasma.github.io/Logging_2181/klagomål/A 36596-2026 FSC-klagomål.docx", "A 36596-2026")</f>
        <v/>
      </c>
      <c r="AB108">
        <f>HYPERLINK("https://klasma.github.io/Logging_2181/klagomålsmail/A 36596-2026 FSC-klagomål mail.docx", "A 36596-2026")</f>
        <v/>
      </c>
      <c r="AC108">
        <f>HYPERLINK("https://klasma.github.io/Logging_2181/tillsyn/A 36596-2026 tillsynsbegäran.docx", "A 36596-2026")</f>
        <v/>
      </c>
      <c r="AD108">
        <f>HYPERLINK("https://klasma.github.io/Logging_2181/tillsynsmail/A 36596-2026 tillsynsbegäran mail.docx", "A 36596-2026")</f>
        <v/>
      </c>
    </row>
    <row r="109" ht="15" customHeight="1">
      <c r="A109" t="inlineStr">
        <is>
          <t>A 43566-2026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46311</v>
      </c>
      <c r="E109" s="1" t="n">
        <v>46322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väst AB</t>
        </is>
      </c>
      <c r="I109" t="n">
        <v>24.3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HYPERLINK("https://klasma.github.io/Logging_2181/artfynd/A 43566-2026 artfynd.xlsx", "A 43566-2026")</f>
        <v/>
      </c>
      <c r="X109">
        <f>HYPERLINK("https://klasma.github.io/Logging_2181/kartor/A 43566-2026 karta.png", "A 43566-2026")</f>
        <v/>
      </c>
      <c r="Y109">
        <f>HYPERLINK("https://klasma.github.io/Logging_2181/kartor_geotiff/A 43566-2026 georefererad karta.tif", "A 43566-2026")</f>
        <v/>
      </c>
      <c r="AA109">
        <f>HYPERLINK("https://klasma.github.io/Logging_2181/klagomål/A 43566-2026 FSC-klagomål.docx", "A 43566-2026")</f>
        <v/>
      </c>
      <c r="AB109">
        <f>HYPERLINK("https://klasma.github.io/Logging_2181/klagomålsmail/A 43566-2026 FSC-klagomål mail.docx", "A 43566-2026")</f>
        <v/>
      </c>
      <c r="AC109">
        <f>HYPERLINK("https://klasma.github.io/Logging_2181/tillsyn/A 43566-2026 tillsynsbegäran.docx", "A 43566-2026")</f>
        <v/>
      </c>
      <c r="AD109">
        <f>HYPERLINK("https://klasma.github.io/Logging_2181/tillsynsmail/A 43566-2026 tillsynsbegäran mail.docx", "A 43566-2026")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46322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46322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46322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46322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46322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46322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46322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46322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46322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46322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46322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46322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46322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46322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46322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46322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46322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46322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46322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46322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46322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46322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46322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46322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46322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46322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46322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46322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46322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44603</v>
      </c>
      <c r="E139" s="1" t="n">
        <v>46322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46322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46322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46322</v>
      </c>
      <c r="F142" t="inlineStr">
        <is>
          <t>GÄVLEBORGS LÄN</t>
        </is>
      </c>
      <c r="G142" t="inlineStr">
        <is>
          <t>SANDVIKEN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46322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46322</v>
      </c>
      <c r="F144" t="inlineStr">
        <is>
          <t>GÄVLEBORGS LÄN</t>
        </is>
      </c>
      <c r="G144" t="inlineStr">
        <is>
          <t>SANDVIKEN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45552</v>
      </c>
      <c r="E145" s="1" t="n">
        <v>46322</v>
      </c>
      <c r="F145" t="inlineStr">
        <is>
          <t>GÄVLEBORGS LÄN</t>
        </is>
      </c>
      <c r="G145" t="inlineStr">
        <is>
          <t>SANDVIKEN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46322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46322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46322</v>
      </c>
      <c r="F148" t="inlineStr">
        <is>
          <t>GÄVLEBORGS LÄN</t>
        </is>
      </c>
      <c r="G148" t="inlineStr">
        <is>
          <t>SANDVIKEN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46322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46322</v>
      </c>
      <c r="F150" t="inlineStr">
        <is>
          <t>GÄVLEBORGS LÄN</t>
        </is>
      </c>
      <c r="G150" t="inlineStr">
        <is>
          <t>SANDVIKEN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44564</v>
      </c>
      <c r="E151" s="1" t="n">
        <v>46322</v>
      </c>
      <c r="F151" t="inlineStr">
        <is>
          <t>GÄVLEBORGS LÄN</t>
        </is>
      </c>
      <c r="G151" t="inlineStr">
        <is>
          <t>SANDVIKEN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46322</v>
      </c>
      <c r="F152" t="inlineStr">
        <is>
          <t>GÄVLEBORGS LÄN</t>
        </is>
      </c>
      <c r="G152" t="inlineStr">
        <is>
          <t>SANDVIKEN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46322</v>
      </c>
      <c r="F153" t="inlineStr">
        <is>
          <t>GÄVLEBORGS LÄN</t>
        </is>
      </c>
      <c r="G153" t="inlineStr">
        <is>
          <t>SANDVIKEN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45022</v>
      </c>
      <c r="E154" s="1" t="n">
        <v>46322</v>
      </c>
      <c r="F154" t="inlineStr">
        <is>
          <t>GÄVLEBORGS LÄN</t>
        </is>
      </c>
      <c r="G154" t="inlineStr">
        <is>
          <t>SANDVIKEN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45488</v>
      </c>
      <c r="E155" s="1" t="n">
        <v>46322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46322</v>
      </c>
      <c r="F156" t="inlineStr">
        <is>
          <t>GÄVLEBORGS LÄN</t>
        </is>
      </c>
      <c r="G156" t="inlineStr">
        <is>
          <t>SANDVIKEN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46322</v>
      </c>
      <c r="F157" t="inlineStr">
        <is>
          <t>GÄVLEBORGS LÄN</t>
        </is>
      </c>
      <c r="G157" t="inlineStr">
        <is>
          <t>SANDVIKEN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46322</v>
      </c>
      <c r="F158" t="inlineStr">
        <is>
          <t>GÄVLEBORGS LÄN</t>
        </is>
      </c>
      <c r="G158" t="inlineStr">
        <is>
          <t>SANDVIKEN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46322</v>
      </c>
      <c r="F159" t="inlineStr">
        <is>
          <t>GÄVLEBORGS LÄN</t>
        </is>
      </c>
      <c r="G159" t="inlineStr">
        <is>
          <t>SANDVIKEN</t>
        </is>
      </c>
      <c r="H159" t="inlineStr">
        <is>
          <t>Bergvik skog väst AB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46322</v>
      </c>
      <c r="F160" t="inlineStr">
        <is>
          <t>GÄVLEBORGS LÄN</t>
        </is>
      </c>
      <c r="G160" t="inlineStr">
        <is>
          <t>SANDVIKEN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46322</v>
      </c>
      <c r="F161" t="inlineStr">
        <is>
          <t>GÄVLEBORGS LÄN</t>
        </is>
      </c>
      <c r="G161" t="inlineStr">
        <is>
          <t>SANDVIKEN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46322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46322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46322</v>
      </c>
      <c r="F164" t="inlineStr">
        <is>
          <t>GÄVLEBORGS LÄN</t>
        </is>
      </c>
      <c r="G164" t="inlineStr">
        <is>
          <t>SANDVIKEN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46322</v>
      </c>
      <c r="F165" t="inlineStr">
        <is>
          <t>GÄVLEBORGS LÄN</t>
        </is>
      </c>
      <c r="G165" t="inlineStr">
        <is>
          <t>SANDVIKEN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46322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46322</v>
      </c>
      <c r="F167" t="inlineStr">
        <is>
          <t>GÄVLEBORGS LÄN</t>
        </is>
      </c>
      <c r="G167" t="inlineStr">
        <is>
          <t>SANDVIKEN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46322</v>
      </c>
      <c r="F168" t="inlineStr">
        <is>
          <t>GÄVLEBORGS LÄN</t>
        </is>
      </c>
      <c r="G168" t="inlineStr">
        <is>
          <t>SANDVIKEN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46322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46322</v>
      </c>
      <c r="F170" t="inlineStr">
        <is>
          <t>GÄVLEBORGS LÄN</t>
        </is>
      </c>
      <c r="G170" t="inlineStr">
        <is>
          <t>SANDVIKEN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46322</v>
      </c>
      <c r="F171" t="inlineStr">
        <is>
          <t>GÄVLEBORGS LÄN</t>
        </is>
      </c>
      <c r="G171" t="inlineStr">
        <is>
          <t>SANDVIKEN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44988</v>
      </c>
      <c r="E172" s="1" t="n">
        <v>46322</v>
      </c>
      <c r="F172" t="inlineStr">
        <is>
          <t>GÄVLEBORGS LÄN</t>
        </is>
      </c>
      <c r="G172" t="inlineStr">
        <is>
          <t>SANDVIKEN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46322</v>
      </c>
      <c r="F173" t="inlineStr">
        <is>
          <t>GÄVLEBORGS LÄN</t>
        </is>
      </c>
      <c r="G173" t="inlineStr">
        <is>
          <t>SANDVIKEN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45191</v>
      </c>
      <c r="E174" s="1" t="n">
        <v>46322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46322</v>
      </c>
      <c r="F175" t="inlineStr">
        <is>
          <t>GÄVLEBORGS LÄN</t>
        </is>
      </c>
      <c r="G175" t="inlineStr">
        <is>
          <t>SANDVIKEN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45523</v>
      </c>
      <c r="E176" s="1" t="n">
        <v>46322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öst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46322</v>
      </c>
      <c r="F177" t="inlineStr">
        <is>
          <t>GÄVLEBORGS LÄN</t>
        </is>
      </c>
      <c r="G177" t="inlineStr">
        <is>
          <t>SANDVIKEN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46322</v>
      </c>
      <c r="F178" t="inlineStr">
        <is>
          <t>GÄVLEBORGS LÄN</t>
        </is>
      </c>
      <c r="G178" t="inlineStr">
        <is>
          <t>SANDVIKEN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46322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46322</v>
      </c>
      <c r="F180" t="inlineStr">
        <is>
          <t>GÄVLEBORGS LÄN</t>
        </is>
      </c>
      <c r="G180" t="inlineStr">
        <is>
          <t>SANDVIKEN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46322</v>
      </c>
      <c r="F181" t="inlineStr">
        <is>
          <t>GÄVLEBORGS LÄN</t>
        </is>
      </c>
      <c r="G181" t="inlineStr">
        <is>
          <t>SANDVIKEN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45919</v>
      </c>
      <c r="E182" s="1" t="n">
        <v>46322</v>
      </c>
      <c r="F182" t="inlineStr">
        <is>
          <t>GÄVLEBORGS LÄN</t>
        </is>
      </c>
      <c r="G182" t="inlineStr">
        <is>
          <t>SANDVIKEN</t>
        </is>
      </c>
      <c r="H182" t="inlineStr">
        <is>
          <t>Kyrkan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45671</v>
      </c>
      <c r="E183" s="1" t="n">
        <v>46322</v>
      </c>
      <c r="F183" t="inlineStr">
        <is>
          <t>GÄVLEBORGS LÄN</t>
        </is>
      </c>
      <c r="G183" t="inlineStr">
        <is>
          <t>SANDVIKEN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46185</v>
      </c>
      <c r="E184" s="1" t="n">
        <v>46322</v>
      </c>
      <c r="F184" t="inlineStr">
        <is>
          <t>GÄVLEBORGS LÄN</t>
        </is>
      </c>
      <c r="G184" t="inlineStr">
        <is>
          <t>SANDVIKEN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46322</v>
      </c>
      <c r="F185" t="inlineStr">
        <is>
          <t>GÄVLEBORGS LÄN</t>
        </is>
      </c>
      <c r="G185" t="inlineStr">
        <is>
          <t>SANDVIKEN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46322</v>
      </c>
      <c r="F186" t="inlineStr">
        <is>
          <t>GÄVLEBORGS LÄN</t>
        </is>
      </c>
      <c r="G186" t="inlineStr">
        <is>
          <t>SANDVIKEN</t>
        </is>
      </c>
      <c r="I186" t="n">
        <v>10.3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46322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46322</v>
      </c>
      <c r="F188" t="inlineStr">
        <is>
          <t>GÄVLEBORGS LÄN</t>
        </is>
      </c>
      <c r="G188" t="inlineStr">
        <is>
          <t>SANDVIKEN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46322</v>
      </c>
      <c r="F189" t="inlineStr">
        <is>
          <t>GÄVLEBORGS LÄN</t>
        </is>
      </c>
      <c r="G189" t="inlineStr">
        <is>
          <t>SANDVIKEN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46621-2025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46322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44845</v>
      </c>
      <c r="E191" s="1" t="n">
        <v>46322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44855</v>
      </c>
      <c r="E192" s="1" t="n">
        <v>46322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46322</v>
      </c>
      <c r="F193" t="inlineStr">
        <is>
          <t>GÄVLEBORGS LÄN</t>
        </is>
      </c>
      <c r="G193" t="inlineStr">
        <is>
          <t>SANDVIKEN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49704-2023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45212</v>
      </c>
      <c r="E194" s="1" t="n">
        <v>46322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44756</v>
      </c>
      <c r="E195" s="1" t="n">
        <v>46322</v>
      </c>
      <c r="F195" t="inlineStr">
        <is>
          <t>GÄVLEBORGS LÄN</t>
        </is>
      </c>
      <c r="G195" t="inlineStr">
        <is>
          <t>SANDVIKEN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46322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46322</v>
      </c>
      <c r="F197" t="inlineStr">
        <is>
          <t>GÄVLEBORGS LÄN</t>
        </is>
      </c>
      <c r="G197" t="inlineStr">
        <is>
          <t>SANDVIKEN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46322</v>
      </c>
      <c r="F198" t="inlineStr">
        <is>
          <t>GÄVLEBORGS LÄN</t>
        </is>
      </c>
      <c r="G198" t="inlineStr">
        <is>
          <t>SANDVIKEN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46322</v>
      </c>
      <c r="F199" t="inlineStr">
        <is>
          <t>GÄVLEBORGS LÄN</t>
        </is>
      </c>
      <c r="G199" t="inlineStr">
        <is>
          <t>SANDVIKEN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48261-2025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46322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46322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48263-2025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46322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46322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46322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46322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46322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46322</v>
      </c>
      <c r="F207" t="inlineStr">
        <is>
          <t>GÄVLEBORGS LÄN</t>
        </is>
      </c>
      <c r="G207" t="inlineStr">
        <is>
          <t>SANDVIKEN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46322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46322</v>
      </c>
      <c r="F209" t="inlineStr">
        <is>
          <t>GÄVLEBORGS LÄN</t>
        </is>
      </c>
      <c r="G209" t="inlineStr">
        <is>
          <t>SANDVIKEN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46322</v>
      </c>
      <c r="F210" t="inlineStr">
        <is>
          <t>GÄVLEBORGS LÄN</t>
        </is>
      </c>
      <c r="G210" t="inlineStr">
        <is>
          <t>SANDVIKEN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46322</v>
      </c>
      <c r="F211" t="inlineStr">
        <is>
          <t>GÄVLEBORGS LÄN</t>
        </is>
      </c>
      <c r="G211" t="inlineStr">
        <is>
          <t>SANDVIKEN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46322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49217-2025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45938</v>
      </c>
      <c r="E213" s="1" t="n">
        <v>46322</v>
      </c>
      <c r="F213" t="inlineStr">
        <is>
          <t>GÄVLEBORGS LÄN</t>
        </is>
      </c>
      <c r="G213" t="inlineStr">
        <is>
          <t>SANDVIKEN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46322</v>
      </c>
      <c r="F214" t="inlineStr">
        <is>
          <t>GÄVLEBORGS LÄN</t>
        </is>
      </c>
      <c r="G214" t="inlineStr">
        <is>
          <t>SANDVIKEN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46322</v>
      </c>
      <c r="F215" t="inlineStr">
        <is>
          <t>GÄVLEBORGS LÄN</t>
        </is>
      </c>
      <c r="G215" t="inlineStr">
        <is>
          <t>SANDVIKEN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46322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46322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16.6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46322</v>
      </c>
      <c r="F218" t="inlineStr">
        <is>
          <t>GÄVLEBORGS LÄN</t>
        </is>
      </c>
      <c r="G218" t="inlineStr">
        <is>
          <t>SANDVIKEN</t>
        </is>
      </c>
      <c r="H218" t="inlineStr">
        <is>
          <t>Kyrkan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46322</v>
      </c>
      <c r="F219" t="inlineStr">
        <is>
          <t>GÄVLEBORGS LÄN</t>
        </is>
      </c>
      <c r="G219" t="inlineStr">
        <is>
          <t>SANDVIKEN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45327</v>
      </c>
      <c r="E220" s="1" t="n">
        <v>46322</v>
      </c>
      <c r="F220" t="inlineStr">
        <is>
          <t>GÄVLEBORGS LÄN</t>
        </is>
      </c>
      <c r="G220" t="inlineStr">
        <is>
          <t>SANDVIKEN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46322</v>
      </c>
      <c r="F221" t="inlineStr">
        <is>
          <t>GÄVLEBORGS LÄN</t>
        </is>
      </c>
      <c r="G221" t="inlineStr">
        <is>
          <t>SANDVIKEN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46322</v>
      </c>
      <c r="F222" t="inlineStr">
        <is>
          <t>GÄVLEBORGS LÄN</t>
        </is>
      </c>
      <c r="G222" t="inlineStr">
        <is>
          <t>SANDVIKEN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46322</v>
      </c>
      <c r="F223" t="inlineStr">
        <is>
          <t>GÄVLEBORGS LÄN</t>
        </is>
      </c>
      <c r="G223" t="inlineStr">
        <is>
          <t>SANDVIKEN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46322</v>
      </c>
      <c r="F224" t="inlineStr">
        <is>
          <t>GÄVLEBORGS LÄN</t>
        </is>
      </c>
      <c r="G224" t="inlineStr">
        <is>
          <t>SANDVIKEN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45693</v>
      </c>
      <c r="E225" s="1" t="n">
        <v>46322</v>
      </c>
      <c r="F225" t="inlineStr">
        <is>
          <t>GÄVLEBORGS LÄN</t>
        </is>
      </c>
      <c r="G225" t="inlineStr">
        <is>
          <t>SANDVIKEN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46322</v>
      </c>
      <c r="F226" t="inlineStr">
        <is>
          <t>GÄVLEBORGS LÄN</t>
        </is>
      </c>
      <c r="G226" t="inlineStr">
        <is>
          <t>SANDVIKEN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50851-2025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45946</v>
      </c>
      <c r="E227" s="1" t="n">
        <v>46322</v>
      </c>
      <c r="F227" t="inlineStr">
        <is>
          <t>GÄVLEBORGS LÄN</t>
        </is>
      </c>
      <c r="G227" t="inlineStr">
        <is>
          <t>SANDVIKEN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46322</v>
      </c>
      <c r="F228" t="inlineStr">
        <is>
          <t>GÄVLEBORGS LÄN</t>
        </is>
      </c>
      <c r="G228" t="inlineStr">
        <is>
          <t>SANDVIKEN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46322</v>
      </c>
      <c r="F229" t="inlineStr">
        <is>
          <t>GÄVLEBORGS LÄN</t>
        </is>
      </c>
      <c r="G229" t="inlineStr">
        <is>
          <t>SANDVIKEN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46322</v>
      </c>
      <c r="F230" t="inlineStr">
        <is>
          <t>GÄVLEBORGS LÄN</t>
        </is>
      </c>
      <c r="G230" t="inlineStr">
        <is>
          <t>SANDVIKEN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46322</v>
      </c>
      <c r="F231" t="inlineStr">
        <is>
          <t>GÄVLEBORGS LÄN</t>
        </is>
      </c>
      <c r="G231" t="inlineStr">
        <is>
          <t>SANDVIKEN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46322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46322</v>
      </c>
      <c r="F233" t="inlineStr">
        <is>
          <t>GÄVLEBORGS LÄN</t>
        </is>
      </c>
      <c r="G233" t="inlineStr">
        <is>
          <t>SANDVIKEN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46322</v>
      </c>
      <c r="F234" t="inlineStr">
        <is>
          <t>GÄVLEBORGS LÄN</t>
        </is>
      </c>
      <c r="G234" t="inlineStr">
        <is>
          <t>SANDVIKEN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46322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46322</v>
      </c>
      <c r="F236" t="inlineStr">
        <is>
          <t>GÄVLEBORGS LÄN</t>
        </is>
      </c>
      <c r="G236" t="inlineStr">
        <is>
          <t>SANDVIKEN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45153</v>
      </c>
      <c r="E237" s="1" t="n">
        <v>46322</v>
      </c>
      <c r="F237" t="inlineStr">
        <is>
          <t>GÄVLEBORGS LÄN</t>
        </is>
      </c>
      <c r="G237" t="inlineStr">
        <is>
          <t>SANDVIKEN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46322</v>
      </c>
      <c r="F238" t="inlineStr">
        <is>
          <t>GÄVLEBORGS LÄN</t>
        </is>
      </c>
      <c r="G238" t="inlineStr">
        <is>
          <t>SANDVIKEN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45022</v>
      </c>
      <c r="E239" s="1" t="n">
        <v>46322</v>
      </c>
      <c r="F239" t="inlineStr">
        <is>
          <t>GÄVLEBORGS LÄN</t>
        </is>
      </c>
      <c r="G239" t="inlineStr">
        <is>
          <t>SANDVIKEN</t>
        </is>
      </c>
      <c r="H239" t="inlineStr">
        <is>
          <t>Bergvik skog väst AB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46322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HYPERLINK("https://klasma.github.io/Logging_2181/knärot/A 52786-2025 karta knärot.png", "A 52786-2025")</f>
        <v/>
      </c>
      <c r="AA240">
        <f>HYPERLINK("https://klasma.github.io/Logging_2181/klagomål/A 52786-2025 FSC-klagomål.docx", "A 52786-2025")</f>
        <v/>
      </c>
      <c r="AB240">
        <f>HYPERLINK("https://klasma.github.io/Logging_2181/klagomålsmail/A 52786-2025 FSC-klagomål mail.docx", "A 52786-2025")</f>
        <v/>
      </c>
      <c r="AC240">
        <f>HYPERLINK("https://klasma.github.io/Logging_2181/tillsyn/A 52786-2025 tillsynsbegäran.docx", "A 52786-2025")</f>
        <v/>
      </c>
      <c r="AD240">
        <f>HYPERLINK("https://klasma.github.io/Logging_2181/tillsynsmail/A 52786-2025 tillsynsbegäran mail.docx", "A 52786-2025")</f>
        <v/>
      </c>
    </row>
    <row r="241" ht="15" customHeight="1">
      <c r="A241" t="inlineStr">
        <is>
          <t>A 11810-2023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46322</v>
      </c>
      <c r="F241" t="inlineStr">
        <is>
          <t>GÄVLEBORGS LÄN</t>
        </is>
      </c>
      <c r="G241" t="inlineStr">
        <is>
          <t>SANDVIKEN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46322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46322</v>
      </c>
      <c r="F243" t="inlineStr">
        <is>
          <t>GÄVLEBORGS LÄN</t>
        </is>
      </c>
      <c r="G243" t="inlineStr">
        <is>
          <t>SANDVIKEN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46322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45779</v>
      </c>
      <c r="E245" s="1" t="n">
        <v>46322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46322</v>
      </c>
      <c r="F246" t="inlineStr">
        <is>
          <t>GÄVLEBORGS LÄN</t>
        </is>
      </c>
      <c r="G246" t="inlineStr">
        <is>
          <t>SANDVIKEN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45638</v>
      </c>
      <c r="E247" s="1" t="n">
        <v>46322</v>
      </c>
      <c r="F247" t="inlineStr">
        <is>
          <t>GÄVLEBORGS LÄN</t>
        </is>
      </c>
      <c r="G247" t="inlineStr">
        <is>
          <t>SANDVIKEN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46322</v>
      </c>
      <c r="F248" t="inlineStr">
        <is>
          <t>GÄVLEBORGS LÄN</t>
        </is>
      </c>
      <c r="G248" t="inlineStr">
        <is>
          <t>SANDVIKEN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46322</v>
      </c>
      <c r="F249" t="inlineStr">
        <is>
          <t>GÄVLEBORGS LÄN</t>
        </is>
      </c>
      <c r="G249" t="inlineStr">
        <is>
          <t>SANDVIKEN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46322</v>
      </c>
      <c r="F250" t="inlineStr">
        <is>
          <t>GÄVLEBORGS LÄN</t>
        </is>
      </c>
      <c r="G250" t="inlineStr">
        <is>
          <t>SANDVIKEN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46322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46322</v>
      </c>
      <c r="F252" t="inlineStr">
        <is>
          <t>GÄVLEBORGS LÄN</t>
        </is>
      </c>
      <c r="G252" t="inlineStr">
        <is>
          <t>SANDVIKEN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46322</v>
      </c>
      <c r="F253" t="inlineStr">
        <is>
          <t>GÄVLEBORGS LÄN</t>
        </is>
      </c>
      <c r="G253" t="inlineStr">
        <is>
          <t>SANDVIKEN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46322</v>
      </c>
      <c r="F254" t="inlineStr">
        <is>
          <t>GÄVLEBORGS LÄN</t>
        </is>
      </c>
      <c r="G254" t="inlineStr">
        <is>
          <t>SANDVIKEN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46322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69521-2021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46322</v>
      </c>
      <c r="F256" t="inlineStr">
        <is>
          <t>GÄVLEBORGS LÄN</t>
        </is>
      </c>
      <c r="G256" t="inlineStr">
        <is>
          <t>SANDVIKEN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46322</v>
      </c>
      <c r="F257" t="inlineStr">
        <is>
          <t>GÄVLEBORGS LÄN</t>
        </is>
      </c>
      <c r="G257" t="inlineStr">
        <is>
          <t>SANDVIKEN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46322</v>
      </c>
      <c r="F258" t="inlineStr">
        <is>
          <t>GÄVLEBORGS LÄN</t>
        </is>
      </c>
      <c r="G258" t="inlineStr">
        <is>
          <t>SANDVIKEN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45178</v>
      </c>
      <c r="E259" s="1" t="n">
        <v>46322</v>
      </c>
      <c r="F259" t="inlineStr">
        <is>
          <t>GÄVLEBORGS LÄN</t>
        </is>
      </c>
      <c r="G259" t="inlineStr">
        <is>
          <t>SANDVIKEN</t>
        </is>
      </c>
      <c r="H259" t="inlineStr">
        <is>
          <t>Bergvik skog väst AB</t>
        </is>
      </c>
      <c r="I259" t="n">
        <v>16.5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44988</v>
      </c>
      <c r="E260" s="1" t="n">
        <v>46322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46322</v>
      </c>
      <c r="F261" t="inlineStr">
        <is>
          <t>GÄVLEBORGS LÄN</t>
        </is>
      </c>
      <c r="G261" t="inlineStr">
        <is>
          <t>SANDVIKEN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46322</v>
      </c>
      <c r="F262" t="inlineStr">
        <is>
          <t>GÄVLEBORGS LÄN</t>
        </is>
      </c>
      <c r="G262" t="inlineStr">
        <is>
          <t>SANDVIKEN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44744</v>
      </c>
      <c r="E263" s="1" t="n">
        <v>46322</v>
      </c>
      <c r="F263" t="inlineStr">
        <is>
          <t>GÄVLEBORGS LÄN</t>
        </is>
      </c>
      <c r="G263" t="inlineStr">
        <is>
          <t>SANDVIKEN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46322</v>
      </c>
      <c r="F264" t="inlineStr">
        <is>
          <t>GÄVLEBORGS LÄN</t>
        </is>
      </c>
      <c r="G264" t="inlineStr">
        <is>
          <t>SANDVIKEN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46322</v>
      </c>
      <c r="F265" t="inlineStr">
        <is>
          <t>GÄVLEBORGS LÄN</t>
        </is>
      </c>
      <c r="G265" t="inlineStr">
        <is>
          <t>SANDVIKEN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46322</v>
      </c>
      <c r="F266" t="inlineStr">
        <is>
          <t>GÄVLEBORGS LÄN</t>
        </is>
      </c>
      <c r="G266" t="inlineStr">
        <is>
          <t>SANDVIKEN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46322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26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46322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46322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öst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28346-2026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46196</v>
      </c>
      <c r="E270" s="1" t="n">
        <v>46322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45408</v>
      </c>
      <c r="E271" s="1" t="n">
        <v>46322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väst AB</t>
        </is>
      </c>
      <c r="I271" t="n">
        <v>14.2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45977</v>
      </c>
      <c r="E272" s="1" t="n">
        <v>46322</v>
      </c>
      <c r="F272" t="inlineStr">
        <is>
          <t>GÄVLEBORGS LÄN</t>
        </is>
      </c>
      <c r="G272" t="inlineStr">
        <is>
          <t>SANDVIKEN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56755-2025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46322</v>
      </c>
      <c r="F273" t="inlineStr">
        <is>
          <t>GÄVLEBORGS LÄN</t>
        </is>
      </c>
      <c r="G273" t="inlineStr">
        <is>
          <t>SANDVIKEN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46322</v>
      </c>
      <c r="F274" t="inlineStr">
        <is>
          <t>GÄVLEBORGS LÄN</t>
        </is>
      </c>
      <c r="G274" t="inlineStr">
        <is>
          <t>SANDVIKEN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46322</v>
      </c>
      <c r="F275" t="inlineStr">
        <is>
          <t>GÄVLEBORGS LÄN</t>
        </is>
      </c>
      <c r="G275" t="inlineStr">
        <is>
          <t>SANDVIKEN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46322</v>
      </c>
      <c r="F276" t="inlineStr">
        <is>
          <t>GÄVLEBORGS LÄN</t>
        </is>
      </c>
      <c r="G276" t="inlineStr">
        <is>
          <t>SANDVIKEN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45162</v>
      </c>
      <c r="E277" s="1" t="n">
        <v>46322</v>
      </c>
      <c r="F277" t="inlineStr">
        <is>
          <t>GÄVLEBORGS LÄN</t>
        </is>
      </c>
      <c r="G277" t="inlineStr">
        <is>
          <t>SANDVIKEN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45983</v>
      </c>
      <c r="E278" s="1" t="n">
        <v>46322</v>
      </c>
      <c r="F278" t="inlineStr">
        <is>
          <t>GÄVLEBORGS LÄN</t>
        </is>
      </c>
      <c r="G278" t="inlineStr">
        <is>
          <t>SANDVIKEN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61820-2024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46322</v>
      </c>
      <c r="F279" t="inlineStr">
        <is>
          <t>GÄVLEBORGS LÄN</t>
        </is>
      </c>
      <c r="G279" t="inlineStr">
        <is>
          <t>SANDVIKEN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58197-2025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45984</v>
      </c>
      <c r="E280" s="1" t="n">
        <v>46322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öst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45984</v>
      </c>
      <c r="E281" s="1" t="n">
        <v>46322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45984</v>
      </c>
      <c r="E282" s="1" t="n">
        <v>46322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46322</v>
      </c>
      <c r="F283" t="inlineStr">
        <is>
          <t>GÄVLEBORGS LÄN</t>
        </is>
      </c>
      <c r="G283" t="inlineStr">
        <is>
          <t>SANDVIKEN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46322</v>
      </c>
      <c r="F284" t="inlineStr">
        <is>
          <t>GÄVLEBORGS LÄN</t>
        </is>
      </c>
      <c r="G284" t="inlineStr">
        <is>
          <t>SANDVIKEN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46322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46322</v>
      </c>
      <c r="F286" t="inlineStr">
        <is>
          <t>GÄVLEBORGS LÄN</t>
        </is>
      </c>
      <c r="G286" t="inlineStr">
        <is>
          <t>SANDVIKEN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46322</v>
      </c>
      <c r="F287" t="inlineStr">
        <is>
          <t>GÄVLEBORGS LÄN</t>
        </is>
      </c>
      <c r="G287" t="inlineStr">
        <is>
          <t>SANDVIKEN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46322</v>
      </c>
      <c r="F288" t="inlineStr">
        <is>
          <t>GÄVLEBORGS LÄN</t>
        </is>
      </c>
      <c r="G288" t="inlineStr">
        <is>
          <t>SANDVIKEN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46322</v>
      </c>
      <c r="F289" t="inlineStr">
        <is>
          <t>GÄVLEBORGS LÄN</t>
        </is>
      </c>
      <c r="G289" t="inlineStr">
        <is>
          <t>SANDVIKEN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46322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46322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öst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45673</v>
      </c>
      <c r="E292" s="1" t="n">
        <v>46322</v>
      </c>
      <c r="F292" t="inlineStr">
        <is>
          <t>GÄVLEBORGS LÄN</t>
        </is>
      </c>
      <c r="G292" t="inlineStr">
        <is>
          <t>SANDVIKEN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46322</v>
      </c>
      <c r="F293" t="inlineStr">
        <is>
          <t>GÄVLEBORGS LÄN</t>
        </is>
      </c>
      <c r="G293" t="inlineStr">
        <is>
          <t>SANDVIKEN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45649</v>
      </c>
      <c r="E294" s="1" t="n">
        <v>46322</v>
      </c>
      <c r="F294" t="inlineStr">
        <is>
          <t>GÄVLEBORGS LÄN</t>
        </is>
      </c>
      <c r="G294" t="inlineStr">
        <is>
          <t>SANDVIKEN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45278</v>
      </c>
      <c r="E295" s="1" t="n">
        <v>46322</v>
      </c>
      <c r="F295" t="inlineStr">
        <is>
          <t>GÄVLEBORGS LÄN</t>
        </is>
      </c>
      <c r="G295" t="inlineStr">
        <is>
          <t>SANDVIKEN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46322</v>
      </c>
      <c r="F296" t="inlineStr">
        <is>
          <t>GÄVLEBORGS LÄN</t>
        </is>
      </c>
      <c r="G296" t="inlineStr">
        <is>
          <t>SANDVIKEN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46322</v>
      </c>
      <c r="F297" t="inlineStr">
        <is>
          <t>GÄVLEBORGS LÄN</t>
        </is>
      </c>
      <c r="G297" t="inlineStr">
        <is>
          <t>SANDVIKEN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46322</v>
      </c>
      <c r="F298" t="inlineStr">
        <is>
          <t>GÄVLEBORGS LÄN</t>
        </is>
      </c>
      <c r="G298" t="inlineStr">
        <is>
          <t>SANDVIKEN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46322</v>
      </c>
      <c r="F299" t="inlineStr">
        <is>
          <t>GÄVLEBORGS LÄN</t>
        </is>
      </c>
      <c r="G299" t="inlineStr">
        <is>
          <t>SANDVIKEN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59623-2025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46322</v>
      </c>
      <c r="F300" t="inlineStr">
        <is>
          <t>GÄVLEBORGS LÄN</t>
        </is>
      </c>
      <c r="G300" t="inlineStr">
        <is>
          <t>SANDVIKEN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46322</v>
      </c>
      <c r="F301" t="inlineStr">
        <is>
          <t>GÄVLEBORGS LÄN</t>
        </is>
      </c>
      <c r="G301" t="inlineStr">
        <is>
          <t>SANDVIKEN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46322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46322</v>
      </c>
      <c r="F303" t="inlineStr">
        <is>
          <t>GÄVLEBORGS LÄN</t>
        </is>
      </c>
      <c r="G303" t="inlineStr">
        <is>
          <t>SANDVIKEN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46322</v>
      </c>
      <c r="F304" t="inlineStr">
        <is>
          <t>GÄVLEBORGS LÄN</t>
        </is>
      </c>
      <c r="G304" t="inlineStr">
        <is>
          <t>SANDVIKEN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46322</v>
      </c>
      <c r="F305" t="inlineStr">
        <is>
          <t>GÄVLEBORGS LÄN</t>
        </is>
      </c>
      <c r="G305" t="inlineStr">
        <is>
          <t>SANDVIKEN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46322</v>
      </c>
      <c r="F306" t="inlineStr">
        <is>
          <t>GÄVLEBORGS LÄN</t>
        </is>
      </c>
      <c r="G306" t="inlineStr">
        <is>
          <t>SANDVIKEN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46322</v>
      </c>
      <c r="F307" t="inlineStr">
        <is>
          <t>GÄVLEBORGS LÄN</t>
        </is>
      </c>
      <c r="G307" t="inlineStr">
        <is>
          <t>SANDVIKEN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46322</v>
      </c>
      <c r="F308" t="inlineStr">
        <is>
          <t>GÄVLEBORGS LÄN</t>
        </is>
      </c>
      <c r="G308" t="inlineStr">
        <is>
          <t>SANDVIKEN</t>
        </is>
      </c>
      <c r="I308" t="n">
        <v>9.6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45800</v>
      </c>
      <c r="E309" s="1" t="n">
        <v>46322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46322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46322</v>
      </c>
      <c r="F311" t="inlineStr">
        <is>
          <t>GÄVLEBORGS LÄN</t>
        </is>
      </c>
      <c r="G311" t="inlineStr">
        <is>
          <t>SANDVIKEN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46322</v>
      </c>
      <c r="F312" t="inlineStr">
        <is>
          <t>GÄVLEBORGS LÄN</t>
        </is>
      </c>
      <c r="G312" t="inlineStr">
        <is>
          <t>SANDVIKEN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46322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46322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45260</v>
      </c>
      <c r="E315" s="1" t="n">
        <v>46322</v>
      </c>
      <c r="F315" t="inlineStr">
        <is>
          <t>GÄVLEBORGS LÄN</t>
        </is>
      </c>
      <c r="G315" t="inlineStr">
        <is>
          <t>SANDVIKEN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46322</v>
      </c>
      <c r="F316" t="inlineStr">
        <is>
          <t>GÄVLEBORGS LÄN</t>
        </is>
      </c>
      <c r="G316" t="inlineStr">
        <is>
          <t>SANDVIKEN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46322</v>
      </c>
      <c r="F317" t="inlineStr">
        <is>
          <t>GÄVLEBORGS LÄN</t>
        </is>
      </c>
      <c r="G317" t="inlineStr">
        <is>
          <t>SANDVIKEN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45615</v>
      </c>
      <c r="E318" s="1" t="n">
        <v>46322</v>
      </c>
      <c r="F318" t="inlineStr">
        <is>
          <t>GÄVLEBORGS LÄN</t>
        </is>
      </c>
      <c r="G318" t="inlineStr">
        <is>
          <t>SANDVIKEN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46322</v>
      </c>
      <c r="F319" t="inlineStr">
        <is>
          <t>GÄVLEBORGS LÄN</t>
        </is>
      </c>
      <c r="G319" t="inlineStr">
        <is>
          <t>SANDVIKEN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46322</v>
      </c>
      <c r="F320" t="inlineStr">
        <is>
          <t>GÄVLEBORGS LÄN</t>
        </is>
      </c>
      <c r="G320" t="inlineStr">
        <is>
          <t>SANDVIKEN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46322</v>
      </c>
      <c r="F321" t="inlineStr">
        <is>
          <t>GÄVLEBORGS LÄN</t>
        </is>
      </c>
      <c r="G321" t="inlineStr">
        <is>
          <t>SANDVIKEN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46322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38609-2022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44813</v>
      </c>
      <c r="E323" s="1" t="n">
        <v>46322</v>
      </c>
      <c r="F323" t="inlineStr">
        <is>
          <t>GÄVLEBORGS LÄN</t>
        </is>
      </c>
      <c r="G323" t="inlineStr">
        <is>
          <t>SANDVIKEN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45810</v>
      </c>
      <c r="E324" s="1" t="n">
        <v>46322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45226</v>
      </c>
      <c r="E325" s="1" t="n">
        <v>46322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46201</v>
      </c>
      <c r="E326" s="1" t="n">
        <v>46322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45480</v>
      </c>
      <c r="E327" s="1" t="n">
        <v>46322</v>
      </c>
      <c r="F327" t="inlineStr">
        <is>
          <t>GÄVLEBORGS LÄN</t>
        </is>
      </c>
      <c r="G327" t="inlineStr">
        <is>
          <t>SANDVIKEN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46322</v>
      </c>
      <c r="F328" t="inlineStr">
        <is>
          <t>GÄVLEBORGS LÄN</t>
        </is>
      </c>
      <c r="G328" t="inlineStr">
        <is>
          <t>SANDVIKEN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46322</v>
      </c>
      <c r="F329" t="inlineStr">
        <is>
          <t>GÄVLEBORGS LÄN</t>
        </is>
      </c>
      <c r="G329" t="inlineStr">
        <is>
          <t>SANDVIKEN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46322</v>
      </c>
      <c r="F330" t="inlineStr">
        <is>
          <t>GÄVLEBORGS LÄN</t>
        </is>
      </c>
      <c r="G330" t="inlineStr">
        <is>
          <t>SANDVIKEN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46322</v>
      </c>
      <c r="F331" t="inlineStr">
        <is>
          <t>GÄVLEBORGS LÄN</t>
        </is>
      </c>
      <c r="G331" t="inlineStr">
        <is>
          <t>SANDVIKEN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46322</v>
      </c>
      <c r="F332" t="inlineStr">
        <is>
          <t>GÄVLEBORGS LÄN</t>
        </is>
      </c>
      <c r="G332" t="inlineStr">
        <is>
          <t>SANDVIKEN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46322</v>
      </c>
      <c r="F333" t="inlineStr">
        <is>
          <t>GÄVLEBORGS LÄN</t>
        </is>
      </c>
      <c r="G333" t="inlineStr">
        <is>
          <t>SANDVIKEN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46322</v>
      </c>
      <c r="F334" t="inlineStr">
        <is>
          <t>GÄVLEBORGS LÄN</t>
        </is>
      </c>
      <c r="G334" t="inlineStr">
        <is>
          <t>SANDVIKEN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46322</v>
      </c>
      <c r="F335" t="inlineStr">
        <is>
          <t>GÄVLEBORGS LÄN</t>
        </is>
      </c>
      <c r="G335" t="inlineStr">
        <is>
          <t>SANDVIKEN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46322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44582</v>
      </c>
      <c r="E337" s="1" t="n">
        <v>46322</v>
      </c>
      <c r="F337" t="inlineStr">
        <is>
          <t>GÄVLEBORGS LÄN</t>
        </is>
      </c>
      <c r="G337" t="inlineStr">
        <is>
          <t>SANDVIKEN</t>
        </is>
      </c>
      <c r="H337" t="inlineStr">
        <is>
          <t>Kyrkan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46322</v>
      </c>
      <c r="F338" t="inlineStr">
        <is>
          <t>GÄVLEBORGS LÄN</t>
        </is>
      </c>
      <c r="G338" t="inlineStr">
        <is>
          <t>SANDVIKEN</t>
        </is>
      </c>
      <c r="I338" t="n">
        <v>9.199999999999999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31460-2025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45833</v>
      </c>
      <c r="E339" s="1" t="n">
        <v>46322</v>
      </c>
      <c r="F339" t="inlineStr">
        <is>
          <t>GÄVLEBORGS LÄN</t>
        </is>
      </c>
      <c r="G339" t="inlineStr">
        <is>
          <t>SANDVIKEN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46322</v>
      </c>
      <c r="F340" t="inlineStr">
        <is>
          <t>GÄVLEBORGS LÄN</t>
        </is>
      </c>
      <c r="G340" t="inlineStr">
        <is>
          <t>SANDVIKEN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46322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30843-2025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45831</v>
      </c>
      <c r="E342" s="1" t="n">
        <v>46322</v>
      </c>
      <c r="F342" t="inlineStr">
        <is>
          <t>GÄVLEBORGS LÄN</t>
        </is>
      </c>
      <c r="G342" t="inlineStr">
        <is>
          <t>SANDVIKEN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46021</v>
      </c>
      <c r="E343" s="1" t="n">
        <v>46322</v>
      </c>
      <c r="F343" t="inlineStr">
        <is>
          <t>GÄVLEBORGS LÄN</t>
        </is>
      </c>
      <c r="G343" t="inlineStr">
        <is>
          <t>SANDVIKEN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46322</v>
      </c>
      <c r="F344" t="inlineStr">
        <is>
          <t>GÄVLEBORGS LÄN</t>
        </is>
      </c>
      <c r="G344" t="inlineStr">
        <is>
          <t>SANDVIKEN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46322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46322</v>
      </c>
      <c r="F346" t="inlineStr">
        <is>
          <t>GÄVLEBORGS LÄN</t>
        </is>
      </c>
      <c r="G346" t="inlineStr">
        <is>
          <t>SANDVIKEN</t>
        </is>
      </c>
      <c r="H346" t="inlineStr">
        <is>
          <t>Sveaskog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45762</v>
      </c>
      <c r="E347" s="1" t="n">
        <v>46322</v>
      </c>
      <c r="F347" t="inlineStr">
        <is>
          <t>GÄVLEBORGS LÄN</t>
        </is>
      </c>
      <c r="G347" t="inlineStr">
        <is>
          <t>SANDVIKEN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46322</v>
      </c>
      <c r="F348" t="inlineStr">
        <is>
          <t>GÄVLEBORGS LÄN</t>
        </is>
      </c>
      <c r="G348" t="inlineStr">
        <is>
          <t>SANDVIKEN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46322</v>
      </c>
      <c r="F349" t="inlineStr">
        <is>
          <t>GÄVLEBORGS LÄN</t>
        </is>
      </c>
      <c r="G349" t="inlineStr">
        <is>
          <t>SANDVIKEN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46322</v>
      </c>
      <c r="F350" t="inlineStr">
        <is>
          <t>GÄVLEBORGS LÄN</t>
        </is>
      </c>
      <c r="G350" t="inlineStr">
        <is>
          <t>SANDVIKEN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46322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46322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46322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46322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46322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46322</v>
      </c>
      <c r="F356" t="inlineStr">
        <is>
          <t>GÄVLEBORGS LÄN</t>
        </is>
      </c>
      <c r="G356" t="inlineStr">
        <is>
          <t>SANDVIKEN</t>
        </is>
      </c>
      <c r="H356" t="inlineStr">
        <is>
          <t>Naturvårdsverket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46322</v>
      </c>
      <c r="F357" t="inlineStr">
        <is>
          <t>GÄVLEBORGS LÄN</t>
        </is>
      </c>
      <c r="G357" t="inlineStr">
        <is>
          <t>SANDVIKEN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45540</v>
      </c>
      <c r="E358" s="1" t="n">
        <v>46322</v>
      </c>
      <c r="F358" t="inlineStr">
        <is>
          <t>GÄVLEBORGS LÄN</t>
        </is>
      </c>
      <c r="G358" t="inlineStr">
        <is>
          <t>SANDVIKEN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46322</v>
      </c>
      <c r="F359" t="inlineStr">
        <is>
          <t>GÄVLEBORGS LÄN</t>
        </is>
      </c>
      <c r="G359" t="inlineStr">
        <is>
          <t>SANDVIKEN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56150-2023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45240</v>
      </c>
      <c r="E360" s="1" t="n">
        <v>46322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46322</v>
      </c>
      <c r="F361" t="inlineStr">
        <is>
          <t>GÄVLEBORGS LÄN</t>
        </is>
      </c>
      <c r="G361" t="inlineStr">
        <is>
          <t>SANDVIKEN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46322</v>
      </c>
      <c r="F362" t="inlineStr">
        <is>
          <t>GÄVLEBORGS LÄN</t>
        </is>
      </c>
      <c r="G362" t="inlineStr">
        <is>
          <t>SANDVIKEN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46322</v>
      </c>
      <c r="F363" t="inlineStr">
        <is>
          <t>GÄVLEBORGS LÄN</t>
        </is>
      </c>
      <c r="G363" t="inlineStr">
        <is>
          <t>SANDVIKEN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46322</v>
      </c>
      <c r="F364" t="inlineStr">
        <is>
          <t>GÄVLEBORGS LÄN</t>
        </is>
      </c>
      <c r="G364" t="inlineStr">
        <is>
          <t>SANDVIKEN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46322</v>
      </c>
      <c r="F365" t="inlineStr">
        <is>
          <t>GÄVLEBORGS LÄN</t>
        </is>
      </c>
      <c r="G365" t="inlineStr">
        <is>
          <t>SANDVIKEN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46322</v>
      </c>
      <c r="F366" t="inlineStr">
        <is>
          <t>GÄVLEBORGS LÄN</t>
        </is>
      </c>
      <c r="G366" t="inlineStr">
        <is>
          <t>SANDVIKEN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46322</v>
      </c>
      <c r="F367" t="inlineStr">
        <is>
          <t>GÄVLEBORGS LÄN</t>
        </is>
      </c>
      <c r="G367" t="inlineStr">
        <is>
          <t>SANDVIKEN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46322</v>
      </c>
      <c r="F368" t="inlineStr">
        <is>
          <t>GÄVLEBORGS LÄN</t>
        </is>
      </c>
      <c r="G368" t="inlineStr">
        <is>
          <t>SANDVIKEN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45863</v>
      </c>
      <c r="E369" s="1" t="n">
        <v>46322</v>
      </c>
      <c r="F369" t="inlineStr">
        <is>
          <t>GÄVLEBORGS LÄN</t>
        </is>
      </c>
      <c r="G369" t="inlineStr">
        <is>
          <t>SANDVIKEN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45866</v>
      </c>
      <c r="E370" s="1" t="n">
        <v>46322</v>
      </c>
      <c r="F370" t="inlineStr">
        <is>
          <t>GÄVLEBORGS LÄN</t>
        </is>
      </c>
      <c r="G370" t="inlineStr">
        <is>
          <t>SANDVIKEN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45866</v>
      </c>
      <c r="E371" s="1" t="n">
        <v>46322</v>
      </c>
      <c r="F371" t="inlineStr">
        <is>
          <t>GÄVLEBORGS LÄN</t>
        </is>
      </c>
      <c r="G371" t="inlineStr">
        <is>
          <t>SANDVIKEN</t>
        </is>
      </c>
      <c r="H371" t="inlineStr">
        <is>
          <t>Sveaskog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46322</v>
      </c>
      <c r="F372" t="inlineStr">
        <is>
          <t>GÄVLEBORGS LÄN</t>
        </is>
      </c>
      <c r="G372" t="inlineStr">
        <is>
          <t>SANDVIKEN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29715-2026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46322</v>
      </c>
      <c r="F373" t="inlineStr">
        <is>
          <t>GÄVLEBORGS LÄN</t>
        </is>
      </c>
      <c r="G373" t="inlineStr">
        <is>
          <t>SANDVIKEN</t>
        </is>
      </c>
      <c r="H373" t="inlineStr">
        <is>
          <t>Naturvårdsverket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46322</v>
      </c>
      <c r="F374" t="inlineStr">
        <is>
          <t>GÄVLEBORGS LÄN</t>
        </is>
      </c>
      <c r="G374" t="inlineStr">
        <is>
          <t>SANDVIKEN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46322</v>
      </c>
      <c r="F375" t="inlineStr">
        <is>
          <t>GÄVLEBORGS LÄN</t>
        </is>
      </c>
      <c r="G375" t="inlineStr">
        <is>
          <t>SANDVIKEN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46043</v>
      </c>
      <c r="E376" s="1" t="n">
        <v>46322</v>
      </c>
      <c r="F376" t="inlineStr">
        <is>
          <t>GÄVLEBORGS LÄN</t>
        </is>
      </c>
      <c r="G376" t="inlineStr">
        <is>
          <t>SANDVIKEN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45867</v>
      </c>
      <c r="E377" s="1" t="n">
        <v>46322</v>
      </c>
      <c r="F377" t="inlineStr">
        <is>
          <t>GÄVLEBORGS LÄN</t>
        </is>
      </c>
      <c r="G377" t="inlineStr">
        <is>
          <t>SANDVIKEN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44784</v>
      </c>
      <c r="E378" s="1" t="n">
        <v>46322</v>
      </c>
      <c r="F378" t="inlineStr">
        <is>
          <t>GÄVLEBORGS LÄN</t>
        </is>
      </c>
      <c r="G378" t="inlineStr">
        <is>
          <t>SANDVIKEN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46322</v>
      </c>
      <c r="F379" t="inlineStr">
        <is>
          <t>GÄVLEBORGS LÄN</t>
        </is>
      </c>
      <c r="G379" t="inlineStr">
        <is>
          <t>SANDVIKEN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46322</v>
      </c>
      <c r="F380" t="inlineStr">
        <is>
          <t>GÄVLEBORGS LÄN</t>
        </is>
      </c>
      <c r="G380" t="inlineStr">
        <is>
          <t>SANDVIKEN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46322</v>
      </c>
      <c r="F381" t="inlineStr">
        <is>
          <t>GÄVLEBORGS LÄN</t>
        </is>
      </c>
      <c r="G381" t="inlineStr">
        <is>
          <t>SANDVIKEN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45870</v>
      </c>
      <c r="E382" s="1" t="n">
        <v>46322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45873</v>
      </c>
      <c r="E383" s="1" t="n">
        <v>46322</v>
      </c>
      <c r="F383" t="inlineStr">
        <is>
          <t>GÄVLEBORGS LÄN</t>
        </is>
      </c>
      <c r="G383" t="inlineStr">
        <is>
          <t>SANDVIKEN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46322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46322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45873</v>
      </c>
      <c r="E386" s="1" t="n">
        <v>46322</v>
      </c>
      <c r="F386" t="inlineStr">
        <is>
          <t>GÄVLEBORGS LÄN</t>
        </is>
      </c>
      <c r="G386" t="inlineStr">
        <is>
          <t>SANDVIKEN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46322</v>
      </c>
      <c r="F387" t="inlineStr">
        <is>
          <t>GÄVLEBORGS LÄN</t>
        </is>
      </c>
      <c r="G387" t="inlineStr">
        <is>
          <t>SANDVIKEN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46322</v>
      </c>
      <c r="F388" t="inlineStr">
        <is>
          <t>GÄVLEBORGS LÄN</t>
        </is>
      </c>
      <c r="G388" t="inlineStr">
        <is>
          <t>SANDVIKEN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46322</v>
      </c>
      <c r="F389" t="inlineStr">
        <is>
          <t>GÄVLEBORGS LÄN</t>
        </is>
      </c>
      <c r="G389" t="inlineStr">
        <is>
          <t>SANDVIKEN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46322</v>
      </c>
      <c r="F390" t="inlineStr">
        <is>
          <t>GÄVLEBORGS LÄN</t>
        </is>
      </c>
      <c r="G390" t="inlineStr">
        <is>
          <t>SANDVIKEN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46322</v>
      </c>
      <c r="F391" t="inlineStr">
        <is>
          <t>GÄVLEBORGS LÄN</t>
        </is>
      </c>
      <c r="G391" t="inlineStr">
        <is>
          <t>SANDVIKEN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61694-2021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44501</v>
      </c>
      <c r="E392" s="1" t="n">
        <v>46322</v>
      </c>
      <c r="F392" t="inlineStr">
        <is>
          <t>GÄVLEBORGS LÄN</t>
        </is>
      </c>
      <c r="G392" t="inlineStr">
        <is>
          <t>SANDVIKEN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46051</v>
      </c>
      <c r="E393" s="1" t="n">
        <v>46322</v>
      </c>
      <c r="F393" t="inlineStr">
        <is>
          <t>GÄVLEBORGS LÄN</t>
        </is>
      </c>
      <c r="G393" t="inlineStr">
        <is>
          <t>SANDVIKEN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46051</v>
      </c>
      <c r="E394" s="1" t="n">
        <v>46322</v>
      </c>
      <c r="F394" t="inlineStr">
        <is>
          <t>GÄVLEBORGS LÄN</t>
        </is>
      </c>
      <c r="G394" t="inlineStr">
        <is>
          <t>SANDVIKEN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46322</v>
      </c>
      <c r="F395" t="inlineStr">
        <is>
          <t>GÄVLEBORGS LÄN</t>
        </is>
      </c>
      <c r="G395" t="inlineStr">
        <is>
          <t>SANDVIKEN</t>
        </is>
      </c>
      <c r="H395" t="inlineStr">
        <is>
          <t>Kommuner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72997-2021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44549</v>
      </c>
      <c r="E396" s="1" t="n">
        <v>46322</v>
      </c>
      <c r="F396" t="inlineStr">
        <is>
          <t>GÄVLEBORGS LÄN</t>
        </is>
      </c>
      <c r="G396" t="inlineStr">
        <is>
          <t>SANDVIKEN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46322</v>
      </c>
      <c r="F397" t="inlineStr">
        <is>
          <t>GÄVLEBORGS LÄN</t>
        </is>
      </c>
      <c r="G397" t="inlineStr">
        <is>
          <t>SANDVIKEN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46322</v>
      </c>
      <c r="F398" t="inlineStr">
        <is>
          <t>GÄVLEBORGS LÄN</t>
        </is>
      </c>
      <c r="G398" t="inlineStr">
        <is>
          <t>SANDVIKEN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46322</v>
      </c>
      <c r="F399" t="inlineStr">
        <is>
          <t>GÄVLEBORGS LÄN</t>
        </is>
      </c>
      <c r="G399" t="inlineStr">
        <is>
          <t>SANDVIKEN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46160</v>
      </c>
      <c r="E400" s="1" t="n">
        <v>46322</v>
      </c>
      <c r="F400" t="inlineStr">
        <is>
          <t>GÄVLEBORGS LÄN</t>
        </is>
      </c>
      <c r="G400" t="inlineStr">
        <is>
          <t>SANDVIKEN</t>
        </is>
      </c>
      <c r="H400" t="inlineStr">
        <is>
          <t>Kommuner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45121</v>
      </c>
      <c r="E401" s="1" t="n">
        <v>46322</v>
      </c>
      <c r="F401" t="inlineStr">
        <is>
          <t>GÄVLEBORGS LÄN</t>
        </is>
      </c>
      <c r="G401" t="inlineStr">
        <is>
          <t>SANDVIKEN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45769</v>
      </c>
      <c r="E402" s="1" t="n">
        <v>46322</v>
      </c>
      <c r="F402" t="inlineStr">
        <is>
          <t>GÄVLEBORGS LÄN</t>
        </is>
      </c>
      <c r="G402" t="inlineStr">
        <is>
          <t>SANDVIKEN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46322</v>
      </c>
      <c r="F403" t="inlineStr">
        <is>
          <t>GÄVLEBORGS LÄN</t>
        </is>
      </c>
      <c r="G403" t="inlineStr">
        <is>
          <t>SANDVIKEN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46322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46322</v>
      </c>
      <c r="F405" t="inlineStr">
        <is>
          <t>GÄVLEBORGS LÄN</t>
        </is>
      </c>
      <c r="G405" t="inlineStr">
        <is>
          <t>SANDVIKEN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46322</v>
      </c>
      <c r="F406" t="inlineStr">
        <is>
          <t>GÄVLEBORGS LÄN</t>
        </is>
      </c>
      <c r="G406" t="inlineStr">
        <is>
          <t>SANDVIKEN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46322</v>
      </c>
      <c r="F407" t="inlineStr">
        <is>
          <t>GÄVLEBORGS LÄN</t>
        </is>
      </c>
      <c r="G407" t="inlineStr">
        <is>
          <t>SANDVIKEN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46322</v>
      </c>
      <c r="F408" t="inlineStr">
        <is>
          <t>GÄVLEBORGS LÄN</t>
        </is>
      </c>
      <c r="G408" t="inlineStr">
        <is>
          <t>SANDVIKEN</t>
        </is>
      </c>
      <c r="H408" t="inlineStr">
        <is>
          <t>Kommuner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46322</v>
      </c>
      <c r="F409" t="inlineStr">
        <is>
          <t>GÄVLEBORGS LÄN</t>
        </is>
      </c>
      <c r="G409" t="inlineStr">
        <is>
          <t>SANDVIKEN</t>
        </is>
      </c>
      <c r="I409" t="n">
        <v>8.800000000000001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45390</v>
      </c>
      <c r="E410" s="1" t="n">
        <v>46322</v>
      </c>
      <c r="F410" t="inlineStr">
        <is>
          <t>GÄVLEBORGS LÄN</t>
        </is>
      </c>
      <c r="G410" t="inlineStr">
        <is>
          <t>SANDVIKEN</t>
        </is>
      </c>
      <c r="H410" t="inlineStr">
        <is>
          <t>Kyrkan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46322</v>
      </c>
      <c r="F411" t="inlineStr">
        <is>
          <t>GÄVLEBORGS LÄN</t>
        </is>
      </c>
      <c r="G411" t="inlineStr">
        <is>
          <t>SANDVIKEN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46322</v>
      </c>
      <c r="F412" t="inlineStr">
        <is>
          <t>GÄVLEBORGS LÄN</t>
        </is>
      </c>
      <c r="G412" t="inlineStr">
        <is>
          <t>SANDVIKEN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46322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46322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45660</v>
      </c>
      <c r="E415" s="1" t="n">
        <v>46322</v>
      </c>
      <c r="F415" t="inlineStr">
        <is>
          <t>GÄVLEBORGS LÄN</t>
        </is>
      </c>
      <c r="G415" t="inlineStr">
        <is>
          <t>SANDVIKEN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46322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46322</v>
      </c>
      <c r="F417" t="inlineStr">
        <is>
          <t>GÄVLEBORGS LÄN</t>
        </is>
      </c>
      <c r="G417" t="inlineStr">
        <is>
          <t>SANDVIKEN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45670</v>
      </c>
      <c r="E418" s="1" t="n">
        <v>46322</v>
      </c>
      <c r="F418" t="inlineStr">
        <is>
          <t>GÄVLEBORGS LÄN</t>
        </is>
      </c>
      <c r="G418" t="inlineStr">
        <is>
          <t>SANDVIKEN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46322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46063</v>
      </c>
      <c r="E420" s="1" t="n">
        <v>46322</v>
      </c>
      <c r="F420" t="inlineStr">
        <is>
          <t>GÄVLEBORGS LÄN</t>
        </is>
      </c>
      <c r="G420" t="inlineStr">
        <is>
          <t>SANDVIKEN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46322</v>
      </c>
      <c r="F421" t="inlineStr">
        <is>
          <t>GÄVLEBORGS LÄN</t>
        </is>
      </c>
      <c r="G421" t="inlineStr">
        <is>
          <t>SANDVIKEN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46322</v>
      </c>
      <c r="F422" t="inlineStr">
        <is>
          <t>GÄVLEBORGS LÄN</t>
        </is>
      </c>
      <c r="G422" t="inlineStr">
        <is>
          <t>SANDVIKEN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46322</v>
      </c>
      <c r="F423" t="inlineStr">
        <is>
          <t>GÄVLEBORGS LÄN</t>
        </is>
      </c>
      <c r="G423" t="inlineStr">
        <is>
          <t>SANDVIKEN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46322</v>
      </c>
      <c r="F424" t="inlineStr">
        <is>
          <t>GÄVLEBORGS LÄN</t>
        </is>
      </c>
      <c r="G424" t="inlineStr">
        <is>
          <t>SANDVIKEN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46322</v>
      </c>
      <c r="F425" t="inlineStr">
        <is>
          <t>GÄVLEBORGS LÄN</t>
        </is>
      </c>
      <c r="G425" t="inlineStr">
        <is>
          <t>SANDVIKEN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57609-2023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45246</v>
      </c>
      <c r="E426" s="1" t="n">
        <v>46322</v>
      </c>
      <c r="F426" t="inlineStr">
        <is>
          <t>GÄVLEBORGS LÄN</t>
        </is>
      </c>
      <c r="G426" t="inlineStr">
        <is>
          <t>SANDVIKEN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46062</v>
      </c>
      <c r="E427" s="1" t="n">
        <v>46322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46322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45330</v>
      </c>
      <c r="E429" s="1" t="n">
        <v>46322</v>
      </c>
      <c r="F429" t="inlineStr">
        <is>
          <t>GÄVLEBORGS LÄN</t>
        </is>
      </c>
      <c r="G429" t="inlineStr">
        <is>
          <t>SANDVIKEN</t>
        </is>
      </c>
      <c r="I429" t="n">
        <v>8.5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28523-2024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45478</v>
      </c>
      <c r="E430" s="1" t="n">
        <v>46322</v>
      </c>
      <c r="F430" t="inlineStr">
        <is>
          <t>GÄVLEBORGS LÄN</t>
        </is>
      </c>
      <c r="G430" t="inlineStr">
        <is>
          <t>SANDVIKEN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46322</v>
      </c>
      <c r="F431" t="inlineStr">
        <is>
          <t>GÄVLEBORGS LÄN</t>
        </is>
      </c>
      <c r="G431" t="inlineStr">
        <is>
          <t>SANDVIKEN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46322</v>
      </c>
      <c r="F432" t="inlineStr">
        <is>
          <t>GÄVLEBORGS LÄN</t>
        </is>
      </c>
      <c r="G432" t="inlineStr">
        <is>
          <t>SANDVIKEN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46322</v>
      </c>
      <c r="F433" t="inlineStr">
        <is>
          <t>GÄVLEBORGS LÄN</t>
        </is>
      </c>
      <c r="G433" t="inlineStr">
        <is>
          <t>SANDVIKEN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46322</v>
      </c>
      <c r="F434" t="inlineStr">
        <is>
          <t>GÄVLEBORGS LÄN</t>
        </is>
      </c>
      <c r="G434" t="inlineStr">
        <is>
          <t>SANDVIKEN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46322</v>
      </c>
      <c r="F435" t="inlineStr">
        <is>
          <t>GÄVLEBORGS LÄN</t>
        </is>
      </c>
      <c r="G435" t="inlineStr">
        <is>
          <t>SANDVIKEN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9093-2026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46069</v>
      </c>
      <c r="E436" s="1" t="n">
        <v>46322</v>
      </c>
      <c r="F436" t="inlineStr">
        <is>
          <t>GÄVLEBORGS LÄN</t>
        </is>
      </c>
      <c r="G436" t="inlineStr">
        <is>
          <t>SANDVIKEN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32260-2023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45120</v>
      </c>
      <c r="E437" s="1" t="n">
        <v>46322</v>
      </c>
      <c r="F437" t="inlineStr">
        <is>
          <t>GÄVLEBORGS LÄN</t>
        </is>
      </c>
      <c r="G437" t="inlineStr">
        <is>
          <t>SANDVIKEN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46322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46322</v>
      </c>
      <c r="F439" t="inlineStr">
        <is>
          <t>GÄVLEBORGS LÄN</t>
        </is>
      </c>
      <c r="G439" t="inlineStr">
        <is>
          <t>SANDVIKEN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46322</v>
      </c>
      <c r="F440" t="inlineStr">
        <is>
          <t>GÄVLEBORGS LÄN</t>
        </is>
      </c>
      <c r="G440" t="inlineStr">
        <is>
          <t>SANDVIKEN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46322</v>
      </c>
      <c r="F441" t="inlineStr">
        <is>
          <t>GÄVLEBORGS LÄN</t>
        </is>
      </c>
      <c r="G441" t="inlineStr">
        <is>
          <t>SANDVIKEN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46322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46322</v>
      </c>
      <c r="F443" t="inlineStr">
        <is>
          <t>GÄVLEBORGS LÄN</t>
        </is>
      </c>
      <c r="G443" t="inlineStr">
        <is>
          <t>SANDVIKEN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46322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46322</v>
      </c>
      <c r="F445" t="inlineStr">
        <is>
          <t>GÄVLEBORGS LÄN</t>
        </is>
      </c>
      <c r="G445" t="inlineStr">
        <is>
          <t>SANDVIKEN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46322</v>
      </c>
      <c r="F446" t="inlineStr">
        <is>
          <t>GÄVLEBORGS LÄN</t>
        </is>
      </c>
      <c r="G446" t="inlineStr">
        <is>
          <t>SANDVIKEN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46322</v>
      </c>
      <c r="F447" t="inlineStr">
        <is>
          <t>GÄVLEBORGS LÄN</t>
        </is>
      </c>
      <c r="G447" t="inlineStr">
        <is>
          <t>SANDVIKEN</t>
        </is>
      </c>
      <c r="H447" t="inlineStr">
        <is>
          <t>Naturvårdsverket</t>
        </is>
      </c>
      <c r="I447" t="n">
        <v>19.5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46322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44586</v>
      </c>
      <c r="E449" s="1" t="n">
        <v>46322</v>
      </c>
      <c r="F449" t="inlineStr">
        <is>
          <t>GÄVLEBORGS LÄN</t>
        </is>
      </c>
      <c r="G449" t="inlineStr">
        <is>
          <t>SANDVIKEN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46074</v>
      </c>
      <c r="E450" s="1" t="n">
        <v>46322</v>
      </c>
      <c r="F450" t="inlineStr">
        <is>
          <t>GÄVLEBORGS LÄN</t>
        </is>
      </c>
      <c r="G450" t="inlineStr">
        <is>
          <t>SANDVIKEN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46322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46219</v>
      </c>
      <c r="E452" s="1" t="n">
        <v>46322</v>
      </c>
      <c r="F452" t="inlineStr">
        <is>
          <t>GÄVLEBORGS LÄN</t>
        </is>
      </c>
      <c r="G452" t="inlineStr">
        <is>
          <t>SANDVIKEN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46031</v>
      </c>
      <c r="E453" s="1" t="n">
        <v>46322</v>
      </c>
      <c r="F453" t="inlineStr">
        <is>
          <t>GÄVLEBORGS LÄN</t>
        </is>
      </c>
      <c r="G453" t="inlineStr">
        <is>
          <t>SANDVIKEN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10808-2026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46078</v>
      </c>
      <c r="E454" s="1" t="n">
        <v>46322</v>
      </c>
      <c r="F454" t="inlineStr">
        <is>
          <t>GÄVLEBORGS LÄN</t>
        </is>
      </c>
      <c r="G454" t="inlineStr">
        <is>
          <t>SANDVIKEN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46322</v>
      </c>
      <c r="F455" t="inlineStr">
        <is>
          <t>GÄVLEBORGS LÄN</t>
        </is>
      </c>
      <c r="G455" t="inlineStr">
        <is>
          <t>SANDVIKEN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46322</v>
      </c>
      <c r="F456" t="inlineStr">
        <is>
          <t>GÄVLEBORGS LÄN</t>
        </is>
      </c>
      <c r="G456" t="inlineStr">
        <is>
          <t>SANDVIKEN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46322</v>
      </c>
      <c r="F457" t="inlineStr">
        <is>
          <t>GÄVLEBORGS LÄN</t>
        </is>
      </c>
      <c r="G457" t="inlineStr">
        <is>
          <t>SANDVIKEN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46322</v>
      </c>
      <c r="F458" t="inlineStr">
        <is>
          <t>GÄVLEBORGS LÄN</t>
        </is>
      </c>
      <c r="G458" t="inlineStr">
        <is>
          <t>SANDVIKEN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46322</v>
      </c>
      <c r="F459" t="inlineStr">
        <is>
          <t>GÄVLEBORGS LÄN</t>
        </is>
      </c>
      <c r="G459" t="inlineStr">
        <is>
          <t>SANDVIKEN</t>
        </is>
      </c>
      <c r="I459" t="n">
        <v>14.5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11707-2026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46084</v>
      </c>
      <c r="E460" s="1" t="n">
        <v>46322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46322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46322</v>
      </c>
      <c r="F462" t="inlineStr">
        <is>
          <t>GÄVLEBORGS LÄN</t>
        </is>
      </c>
      <c r="G462" t="inlineStr">
        <is>
          <t>SANDVIKEN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46322</v>
      </c>
      <c r="F463" t="inlineStr">
        <is>
          <t>GÄVLEBORGS LÄN</t>
        </is>
      </c>
      <c r="G463" t="inlineStr">
        <is>
          <t>SANDVIKEN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46322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12064-2026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46086</v>
      </c>
      <c r="E465" s="1" t="n">
        <v>46322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45070</v>
      </c>
      <c r="E466" s="1" t="n">
        <v>46322</v>
      </c>
      <c r="F466" t="inlineStr">
        <is>
          <t>GÄVLEBORGS LÄN</t>
        </is>
      </c>
      <c r="G466" t="inlineStr">
        <is>
          <t>SANDVIKEN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46322</v>
      </c>
      <c r="F467" t="inlineStr">
        <is>
          <t>GÄVLEBORGS LÄN</t>
        </is>
      </c>
      <c r="G467" t="inlineStr">
        <is>
          <t>SANDVIKEN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12166-2026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46086</v>
      </c>
      <c r="E468" s="1" t="n">
        <v>46322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46322</v>
      </c>
      <c r="F469" t="inlineStr">
        <is>
          <t>GÄVLEBORGS LÄN</t>
        </is>
      </c>
      <c r="G469" t="inlineStr">
        <is>
          <t>SANDVIKEN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46322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46322</v>
      </c>
      <c r="F471" t="inlineStr">
        <is>
          <t>GÄVLEBORGS LÄN</t>
        </is>
      </c>
      <c r="G471" t="inlineStr">
        <is>
          <t>SANDVIKEN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46322</v>
      </c>
      <c r="F472" t="inlineStr">
        <is>
          <t>GÄVLEBORGS LÄN</t>
        </is>
      </c>
      <c r="G472" t="inlineStr">
        <is>
          <t>SANDVIKEN</t>
        </is>
      </c>
      <c r="H472" t="inlineStr">
        <is>
          <t>Naturvårdsverket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46322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45087</v>
      </c>
      <c r="E474" s="1" t="n">
        <v>46322</v>
      </c>
      <c r="F474" t="inlineStr">
        <is>
          <t>GÄVLEBORGS LÄN</t>
        </is>
      </c>
      <c r="G474" t="inlineStr">
        <is>
          <t>SANDVIKEN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46085</v>
      </c>
      <c r="E475" s="1" t="n">
        <v>46322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46230</v>
      </c>
      <c r="E476" s="1" t="n">
        <v>46322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31807-2026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46230</v>
      </c>
      <c r="E477" s="1" t="n">
        <v>46322</v>
      </c>
      <c r="F477" t="inlineStr">
        <is>
          <t>GÄVLEBORGS LÄN</t>
        </is>
      </c>
      <c r="G477" t="inlineStr">
        <is>
          <t>SANDVIKEN</t>
        </is>
      </c>
      <c r="H477" t="inlineStr">
        <is>
          <t>Kommuner</t>
        </is>
      </c>
      <c r="I477" t="n">
        <v>11.2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12089-2026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46086</v>
      </c>
      <c r="E478" s="1" t="n">
        <v>46322</v>
      </c>
      <c r="F478" t="inlineStr">
        <is>
          <t>GÄVLEBORGS LÄN</t>
        </is>
      </c>
      <c r="G478" t="inlineStr">
        <is>
          <t>SANDVIKEN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46086</v>
      </c>
      <c r="E479" s="1" t="n">
        <v>46322</v>
      </c>
      <c r="F479" t="inlineStr">
        <is>
          <t>GÄVLEBORGS LÄN</t>
        </is>
      </c>
      <c r="G479" t="inlineStr">
        <is>
          <t>SANDVIKEN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46086</v>
      </c>
      <c r="E480" s="1" t="n">
        <v>46322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45530</v>
      </c>
      <c r="E481" s="1" t="n">
        <v>46322</v>
      </c>
      <c r="F481" t="inlineStr">
        <is>
          <t>GÄVLEBORGS LÄN</t>
        </is>
      </c>
      <c r="G481" t="inlineStr">
        <is>
          <t>SANDVIKEN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46322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12062-2026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46322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12098-2026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46086</v>
      </c>
      <c r="E484" s="1" t="n">
        <v>46322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46322</v>
      </c>
      <c r="F485" t="inlineStr">
        <is>
          <t>GÄVLEBORGS LÄN</t>
        </is>
      </c>
      <c r="G485" t="inlineStr">
        <is>
          <t>SANDVIKEN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46322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9.300000000000001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12208-2026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46087</v>
      </c>
      <c r="E487" s="1" t="n">
        <v>46322</v>
      </c>
      <c r="F487" t="inlineStr">
        <is>
          <t>GÄVLEBORGS LÄN</t>
        </is>
      </c>
      <c r="G487" t="inlineStr">
        <is>
          <t>SANDVIKEN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46322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46322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24764-2024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46322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46322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27.2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46322</v>
      </c>
      <c r="F492" t="inlineStr">
        <is>
          <t>GÄVLEBORGS LÄN</t>
        </is>
      </c>
      <c r="G492" t="inlineStr">
        <is>
          <t>SANDVIKEN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36671-2023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45153</v>
      </c>
      <c r="E493" s="1" t="n">
        <v>46322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46322</v>
      </c>
      <c r="F494" t="inlineStr">
        <is>
          <t>GÄVLEBORGS LÄN</t>
        </is>
      </c>
      <c r="G494" t="inlineStr">
        <is>
          <t>SANDVIKEN</t>
        </is>
      </c>
      <c r="H494" t="inlineStr">
        <is>
          <t>Naturvårdsverket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46322</v>
      </c>
      <c r="F495" t="inlineStr">
        <is>
          <t>GÄVLEBORGS LÄN</t>
        </is>
      </c>
      <c r="G495" t="inlineStr">
        <is>
          <t>SANDVIKEN</t>
        </is>
      </c>
      <c r="H495" t="inlineStr">
        <is>
          <t>Naturvårdsverket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46322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12847-2026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46092</v>
      </c>
      <c r="E497" s="1" t="n">
        <v>46322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46322</v>
      </c>
      <c r="F498" t="inlineStr">
        <is>
          <t>GÄVLEBORGS LÄN</t>
        </is>
      </c>
      <c r="G498" t="inlineStr">
        <is>
          <t>SANDVIKEN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46322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46091</v>
      </c>
      <c r="E500" s="1" t="n">
        <v>46322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46093</v>
      </c>
      <c r="E501" s="1" t="n">
        <v>46322</v>
      </c>
      <c r="F501" t="inlineStr">
        <is>
          <t>GÄVLEBORGS LÄN</t>
        </is>
      </c>
      <c r="G501" t="inlineStr">
        <is>
          <t>SANDVIKEN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13409-2026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46094</v>
      </c>
      <c r="E502" s="1" t="n">
        <v>46322</v>
      </c>
      <c r="F502" t="inlineStr">
        <is>
          <t>GÄVLEBORGS LÄN</t>
        </is>
      </c>
      <c r="G502" t="inlineStr">
        <is>
          <t>SANDVIKEN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45261</v>
      </c>
      <c r="E503" s="1" t="n">
        <v>46322</v>
      </c>
      <c r="F503" t="inlineStr">
        <is>
          <t>GÄVLEBORGS LÄN</t>
        </is>
      </c>
      <c r="G503" t="inlineStr">
        <is>
          <t>SANDVIKEN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44918</v>
      </c>
      <c r="E504" s="1" t="n">
        <v>46322</v>
      </c>
      <c r="F504" t="inlineStr">
        <is>
          <t>GÄVLEBORGS LÄN</t>
        </is>
      </c>
      <c r="G504" t="inlineStr">
        <is>
          <t>SANDVIKEN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46322</v>
      </c>
      <c r="F505" t="inlineStr">
        <is>
          <t>GÄVLEBORGS LÄN</t>
        </is>
      </c>
      <c r="G505" t="inlineStr">
        <is>
          <t>SANDVIKEN</t>
        </is>
      </c>
      <c r="I505" t="n">
        <v>22.5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46322</v>
      </c>
      <c r="F506" t="inlineStr">
        <is>
          <t>GÄVLEBORGS LÄN</t>
        </is>
      </c>
      <c r="G506" t="inlineStr">
        <is>
          <t>SANDVIKEN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46322</v>
      </c>
      <c r="F507" t="inlineStr">
        <is>
          <t>GÄVLEBORGS LÄN</t>
        </is>
      </c>
      <c r="G507" t="inlineStr">
        <is>
          <t>SANDVIKEN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45331-2024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45576</v>
      </c>
      <c r="E508" s="1" t="n">
        <v>46322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46322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13727-2026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46097</v>
      </c>
      <c r="E510" s="1" t="n">
        <v>46322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46095</v>
      </c>
      <c r="E511" s="1" t="n">
        <v>46322</v>
      </c>
      <c r="F511" t="inlineStr">
        <is>
          <t>GÄVLEBORGS LÄN</t>
        </is>
      </c>
      <c r="G511" t="inlineStr">
        <is>
          <t>SANDVIKEN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45271</v>
      </c>
      <c r="E512" s="1" t="n">
        <v>46322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46095</v>
      </c>
      <c r="E513" s="1" t="n">
        <v>46322</v>
      </c>
      <c r="F513" t="inlineStr">
        <is>
          <t>GÄVLEBORGS LÄN</t>
        </is>
      </c>
      <c r="G513" t="inlineStr">
        <is>
          <t>SANDVIKEN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46095</v>
      </c>
      <c r="E514" s="1" t="n">
        <v>46322</v>
      </c>
      <c r="F514" t="inlineStr">
        <is>
          <t>GÄVLEBORGS LÄN</t>
        </is>
      </c>
      <c r="G514" t="inlineStr">
        <is>
          <t>SANDVIKEN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46095</v>
      </c>
      <c r="E515" s="1" t="n">
        <v>46322</v>
      </c>
      <c r="F515" t="inlineStr">
        <is>
          <t>GÄVLEBORGS LÄN</t>
        </is>
      </c>
      <c r="G515" t="inlineStr">
        <is>
          <t>SANDVIKEN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46322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62056-2022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44918</v>
      </c>
      <c r="E517" s="1" t="n">
        <v>46322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46322</v>
      </c>
      <c r="F518" t="inlineStr">
        <is>
          <t>GÄVLEBORGS LÄN</t>
        </is>
      </c>
      <c r="G518" t="inlineStr">
        <is>
          <t>SANDVIKEN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46095</v>
      </c>
      <c r="E519" s="1" t="n">
        <v>46322</v>
      </c>
      <c r="F519" t="inlineStr">
        <is>
          <t>GÄVLEBORGS LÄN</t>
        </is>
      </c>
      <c r="G519" t="inlineStr">
        <is>
          <t>SANDVIKEN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13605-2026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46097</v>
      </c>
      <c r="E520" s="1" t="n">
        <v>46322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46322</v>
      </c>
      <c r="F521" t="inlineStr">
        <is>
          <t>GÄVLEBORGS LÄN</t>
        </is>
      </c>
      <c r="G521" t="inlineStr">
        <is>
          <t>SANDVIKEN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46322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46322</v>
      </c>
      <c r="F523" t="inlineStr">
        <is>
          <t>GÄVLEBORGS LÄN</t>
        </is>
      </c>
      <c r="G523" t="inlineStr">
        <is>
          <t>SANDVIKEN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14330-2026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46322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46322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46099</v>
      </c>
      <c r="E526" s="1" t="n">
        <v>46322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14219-2026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46322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45245</v>
      </c>
      <c r="E528" s="1" t="n">
        <v>46322</v>
      </c>
      <c r="F528" t="inlineStr">
        <is>
          <t>GÄVLEBORGS LÄN</t>
        </is>
      </c>
      <c r="G528" t="inlineStr">
        <is>
          <t>SANDVIKEN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15674-2024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45404</v>
      </c>
      <c r="E529" s="1" t="n">
        <v>46322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46322</v>
      </c>
      <c r="F530" t="inlineStr">
        <is>
          <t>GÄVLEBORGS LÄN</t>
        </is>
      </c>
      <c r="G530" t="inlineStr">
        <is>
          <t>SANDVIKEN</t>
        </is>
      </c>
      <c r="H530" t="inlineStr">
        <is>
          <t>Kommuner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45069</v>
      </c>
      <c r="E531" s="1" t="n">
        <v>46322</v>
      </c>
      <c r="F531" t="inlineStr">
        <is>
          <t>GÄVLEBORGS LÄN</t>
        </is>
      </c>
      <c r="G531" t="inlineStr">
        <is>
          <t>SANDVIKEN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45666</v>
      </c>
      <c r="E532" s="1" t="n">
        <v>46322</v>
      </c>
      <c r="F532" t="inlineStr">
        <is>
          <t>GÄVLEBORGS LÄN</t>
        </is>
      </c>
      <c r="G532" t="inlineStr">
        <is>
          <t>SANDVIKEN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46322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45755</v>
      </c>
      <c r="E534" s="1" t="n">
        <v>46322</v>
      </c>
      <c r="F534" t="inlineStr">
        <is>
          <t>GÄVLEBORGS LÄN</t>
        </is>
      </c>
      <c r="G534" t="inlineStr">
        <is>
          <t>SANDVIKEN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46322</v>
      </c>
      <c r="F535" t="inlineStr">
        <is>
          <t>GÄVLEBORGS LÄN</t>
        </is>
      </c>
      <c r="G535" t="inlineStr">
        <is>
          <t>SANDVIKEN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45415</v>
      </c>
      <c r="E536" s="1" t="n">
        <v>46322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44994</v>
      </c>
      <c r="E537" s="1" t="n">
        <v>46322</v>
      </c>
      <c r="F537" t="inlineStr">
        <is>
          <t>GÄVLEBORGS LÄN</t>
        </is>
      </c>
      <c r="G537" t="inlineStr">
        <is>
          <t>SANDVIKEN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46322</v>
      </c>
      <c r="F538" t="inlineStr">
        <is>
          <t>GÄVLEBORGS LÄN</t>
        </is>
      </c>
      <c r="G538" t="inlineStr">
        <is>
          <t>SANDVIKEN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46322</v>
      </c>
      <c r="F539" t="inlineStr">
        <is>
          <t>GÄVLEBORGS LÄN</t>
        </is>
      </c>
      <c r="G539" t="inlineStr">
        <is>
          <t>SANDVIKEN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46322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15778-2026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46322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46107</v>
      </c>
      <c r="E542" s="1" t="n">
        <v>46322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46108</v>
      </c>
      <c r="E543" s="1" t="n">
        <v>46322</v>
      </c>
      <c r="F543" t="inlineStr">
        <is>
          <t>GÄVLEBORGS LÄN</t>
        </is>
      </c>
      <c r="G543" t="inlineStr">
        <is>
          <t>SANDVIKEN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45414</v>
      </c>
      <c r="E544" s="1" t="n">
        <v>46322</v>
      </c>
      <c r="F544" t="inlineStr">
        <is>
          <t>GÄVLEBORGS LÄN</t>
        </is>
      </c>
      <c r="G544" t="inlineStr">
        <is>
          <t>SANDVIKEN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45649</v>
      </c>
      <c r="E545" s="1" t="n">
        <v>46322</v>
      </c>
      <c r="F545" t="inlineStr">
        <is>
          <t>GÄVLEBORGS LÄN</t>
        </is>
      </c>
      <c r="G545" t="inlineStr">
        <is>
          <t>SANDVIKEN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16060-2026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46108</v>
      </c>
      <c r="E546" s="1" t="n">
        <v>46322</v>
      </c>
      <c r="F546" t="inlineStr">
        <is>
          <t>GÄVLEBORGS LÄN</t>
        </is>
      </c>
      <c r="G546" t="inlineStr">
        <is>
          <t>SANDVIKEN</t>
        </is>
      </c>
      <c r="H546" t="inlineStr">
        <is>
          <t>Kommuner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46322</v>
      </c>
      <c r="F547" t="inlineStr">
        <is>
          <t>GÄVLEBORGS LÄN</t>
        </is>
      </c>
      <c r="G547" t="inlineStr">
        <is>
          <t>SANDVIKEN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46111</v>
      </c>
      <c r="E548" s="1" t="n">
        <v>46322</v>
      </c>
      <c r="F548" t="inlineStr">
        <is>
          <t>GÄVLEBORGS LÄN</t>
        </is>
      </c>
      <c r="G548" t="inlineStr">
        <is>
          <t>SANDVIKEN</t>
        </is>
      </c>
      <c r="H548" t="inlineStr">
        <is>
          <t>Kommuner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16270-2026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46322</v>
      </c>
      <c r="F549" t="inlineStr">
        <is>
          <t>GÄVLEBORGS LÄN</t>
        </is>
      </c>
      <c r="G549" t="inlineStr">
        <is>
          <t>SANDVIKEN</t>
        </is>
      </c>
      <c r="H549" t="inlineStr">
        <is>
          <t>Kommuner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46111</v>
      </c>
      <c r="E550" s="1" t="n">
        <v>46322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46322</v>
      </c>
      <c r="F551" t="inlineStr">
        <is>
          <t>GÄVLEBORGS LÄN</t>
        </is>
      </c>
      <c r="G551" t="inlineStr">
        <is>
          <t>SANDVIKEN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16958-2026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46114</v>
      </c>
      <c r="E552" s="1" t="n">
        <v>46322</v>
      </c>
      <c r="F552" t="inlineStr">
        <is>
          <t>GÄVLEBORGS LÄN</t>
        </is>
      </c>
      <c r="G552" t="inlineStr">
        <is>
          <t>SANDVIKEN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46322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17172-2026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46115</v>
      </c>
      <c r="E554" s="1" t="n">
        <v>46322</v>
      </c>
      <c r="F554" t="inlineStr">
        <is>
          <t>GÄVLEBORGS LÄN</t>
        </is>
      </c>
      <c r="G554" t="inlineStr">
        <is>
          <t>SANDVIKEN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46116</v>
      </c>
      <c r="E555" s="1" t="n">
        <v>46322</v>
      </c>
      <c r="F555" t="inlineStr">
        <is>
          <t>GÄVLEBORGS LÄN</t>
        </is>
      </c>
      <c r="G555" t="inlineStr">
        <is>
          <t>SANDVIKEN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17165-2026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46115</v>
      </c>
      <c r="E556" s="1" t="n">
        <v>46322</v>
      </c>
      <c r="F556" t="inlineStr">
        <is>
          <t>GÄVLEBORGS LÄN</t>
        </is>
      </c>
      <c r="G556" t="inlineStr">
        <is>
          <t>SANDVIKEN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17175-2026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46115</v>
      </c>
      <c r="E557" s="1" t="n">
        <v>46322</v>
      </c>
      <c r="F557" t="inlineStr">
        <is>
          <t>GÄVLEBORGS LÄN</t>
        </is>
      </c>
      <c r="G557" t="inlineStr">
        <is>
          <t>SANDVIKEN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17180-2026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46116</v>
      </c>
      <c r="E558" s="1" t="n">
        <v>46322</v>
      </c>
      <c r="F558" t="inlineStr">
        <is>
          <t>GÄVLEBORGS LÄN</t>
        </is>
      </c>
      <c r="G558" t="inlineStr">
        <is>
          <t>SANDVIKEN</t>
        </is>
      </c>
      <c r="I558" t="n">
        <v>8.9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46115</v>
      </c>
      <c r="E559" s="1" t="n">
        <v>46322</v>
      </c>
      <c r="F559" t="inlineStr">
        <is>
          <t>GÄVLEBORGS LÄN</t>
        </is>
      </c>
      <c r="G559" t="inlineStr">
        <is>
          <t>SANDVIKEN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46116</v>
      </c>
      <c r="E560" s="1" t="n">
        <v>46322</v>
      </c>
      <c r="F560" t="inlineStr">
        <is>
          <t>GÄVLEBORGS LÄN</t>
        </is>
      </c>
      <c r="G560" t="inlineStr">
        <is>
          <t>SANDVIKEN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46115</v>
      </c>
      <c r="E561" s="1" t="n">
        <v>46322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46115</v>
      </c>
      <c r="E562" s="1" t="n">
        <v>46322</v>
      </c>
      <c r="F562" t="inlineStr">
        <is>
          <t>GÄVLEBORGS LÄN</t>
        </is>
      </c>
      <c r="G562" t="inlineStr">
        <is>
          <t>SANDVIKEN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12417-2025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45730</v>
      </c>
      <c r="E563" s="1" t="n">
        <v>46322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45730</v>
      </c>
      <c r="E564" s="1" t="n">
        <v>46322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17359-2026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46322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17363-2026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46322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46322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46322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46322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46322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17473-2026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46322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60891-2023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46322</v>
      </c>
      <c r="F572" t="inlineStr">
        <is>
          <t>GÄVLEBORGS LÄN</t>
        </is>
      </c>
      <c r="G572" t="inlineStr">
        <is>
          <t>SANDVIKEN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46121</v>
      </c>
      <c r="E573" s="1" t="n">
        <v>46322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46121</v>
      </c>
      <c r="E574" s="1" t="n">
        <v>46322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45293</v>
      </c>
      <c r="E575" s="1" t="n">
        <v>46322</v>
      </c>
      <c r="F575" t="inlineStr">
        <is>
          <t>GÄVLEBORGS LÄN</t>
        </is>
      </c>
      <c r="G575" t="inlineStr">
        <is>
          <t>SANDVIKEN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45293</v>
      </c>
      <c r="E576" s="1" t="n">
        <v>46322</v>
      </c>
      <c r="F576" t="inlineStr">
        <is>
          <t>GÄVLEBORGS LÄN</t>
        </is>
      </c>
      <c r="G576" t="inlineStr">
        <is>
          <t>SANDVIKEN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46126</v>
      </c>
      <c r="E577" s="1" t="n">
        <v>46322</v>
      </c>
      <c r="F577" t="inlineStr">
        <is>
          <t>GÄVLEBORGS LÄN</t>
        </is>
      </c>
      <c r="G577" t="inlineStr">
        <is>
          <t>SANDVIKEN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46126</v>
      </c>
      <c r="E578" s="1" t="n">
        <v>46322</v>
      </c>
      <c r="F578" t="inlineStr">
        <is>
          <t>GÄVLEBORGS LÄN</t>
        </is>
      </c>
      <c r="G578" t="inlineStr">
        <is>
          <t>SANDVIKEN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18219-2026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46322</v>
      </c>
      <c r="F579" t="inlineStr">
        <is>
          <t>GÄVLEBORGS LÄN</t>
        </is>
      </c>
      <c r="G579" t="inlineStr">
        <is>
          <t>SANDVIKEN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46322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46129</v>
      </c>
      <c r="E581" s="1" t="n">
        <v>46322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46129</v>
      </c>
      <c r="E582" s="1" t="n">
        <v>46322</v>
      </c>
      <c r="F582" t="inlineStr">
        <is>
          <t>GÄVLEBORGS LÄN</t>
        </is>
      </c>
      <c r="G582" t="inlineStr">
        <is>
          <t>SANDVIKEN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46322</v>
      </c>
      <c r="F583" t="inlineStr">
        <is>
          <t>GÄVLEBORGS LÄN</t>
        </is>
      </c>
      <c r="G583" t="inlineStr">
        <is>
          <t>SANDVIKEN</t>
        </is>
      </c>
      <c r="H583" t="inlineStr">
        <is>
          <t>Sveaskog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4498-2024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45327</v>
      </c>
      <c r="E584" s="1" t="n">
        <v>46322</v>
      </c>
      <c r="F584" t="inlineStr">
        <is>
          <t>GÄVLEBORGS LÄN</t>
        </is>
      </c>
      <c r="G584" t="inlineStr">
        <is>
          <t>SANDVIKEN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46129</v>
      </c>
      <c r="E585" s="1" t="n">
        <v>46322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46099</v>
      </c>
      <c r="E586" s="1" t="n">
        <v>46322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46129</v>
      </c>
      <c r="E587" s="1" t="n">
        <v>46322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46322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46128</v>
      </c>
      <c r="E589" s="1" t="n">
        <v>46322</v>
      </c>
      <c r="F589" t="inlineStr">
        <is>
          <t>GÄVLEBORGS LÄN</t>
        </is>
      </c>
      <c r="G589" t="inlineStr">
        <is>
          <t>SANDVIKEN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46322</v>
      </c>
      <c r="F590" t="inlineStr">
        <is>
          <t>GÄVLEBORGS LÄN</t>
        </is>
      </c>
      <c r="G590" t="inlineStr">
        <is>
          <t>SANDVIKEN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19189-2026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46132</v>
      </c>
      <c r="E591" s="1" t="n">
        <v>46322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19018-2026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46130</v>
      </c>
      <c r="E592" s="1" t="n">
        <v>46322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19083-2026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46322</v>
      </c>
      <c r="F593" t="inlineStr">
        <is>
          <t>GÄVLEBORGS LÄN</t>
        </is>
      </c>
      <c r="G593" t="inlineStr">
        <is>
          <t>SANDVIKEN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46091</v>
      </c>
      <c r="E594" s="1" t="n">
        <v>46322</v>
      </c>
      <c r="F594" t="inlineStr">
        <is>
          <t>GÄVLEBORGS LÄN</t>
        </is>
      </c>
      <c r="G594" t="inlineStr">
        <is>
          <t>SANDVIKEN</t>
        </is>
      </c>
      <c r="H594" t="inlineStr">
        <is>
          <t>Naturvårdsverket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46322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46133</v>
      </c>
      <c r="E596" s="1" t="n">
        <v>46322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46322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12675-2026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46091</v>
      </c>
      <c r="E598" s="1" t="n">
        <v>46322</v>
      </c>
      <c r="F598" t="inlineStr">
        <is>
          <t>GÄVLEBORGS LÄN</t>
        </is>
      </c>
      <c r="G598" t="inlineStr">
        <is>
          <t>SANDVIKEN</t>
        </is>
      </c>
      <c r="H598" t="inlineStr">
        <is>
          <t>Naturvårdsverket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45321</v>
      </c>
      <c r="E599" s="1" t="n">
        <v>46322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19865-2026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46135</v>
      </c>
      <c r="E600" s="1" t="n">
        <v>46322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62459-2023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45268</v>
      </c>
      <c r="E601" s="1" t="n">
        <v>46322</v>
      </c>
      <c r="F601" t="inlineStr">
        <is>
          <t>GÄVLEBORGS LÄN</t>
        </is>
      </c>
      <c r="G601" t="inlineStr">
        <is>
          <t>SANDVIKEN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46322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46322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46322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46322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46322</v>
      </c>
      <c r="F606" t="inlineStr">
        <is>
          <t>GÄVLEBORGS LÄN</t>
        </is>
      </c>
      <c r="G606" t="inlineStr">
        <is>
          <t>SANDVIKEN</t>
        </is>
      </c>
      <c r="H606" t="inlineStr">
        <is>
          <t>Naturvårdsverket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46287</v>
      </c>
      <c r="E607" s="1" t="n">
        <v>46322</v>
      </c>
      <c r="F607" t="inlineStr">
        <is>
          <t>GÄVLEBORGS LÄN</t>
        </is>
      </c>
      <c r="G607" t="inlineStr">
        <is>
          <t>SANDVIKEN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45476</v>
      </c>
      <c r="E608" s="1" t="n">
        <v>46322</v>
      </c>
      <c r="F608" t="inlineStr">
        <is>
          <t>GÄVLEBORGS LÄN</t>
        </is>
      </c>
      <c r="G608" t="inlineStr">
        <is>
          <t>SANDVIKEN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46322</v>
      </c>
      <c r="F609" t="inlineStr">
        <is>
          <t>GÄVLEBORGS LÄN</t>
        </is>
      </c>
      <c r="G609" t="inlineStr">
        <is>
          <t>SANDVIKEN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45153</v>
      </c>
      <c r="E610" s="1" t="n">
        <v>46322</v>
      </c>
      <c r="F610" t="inlineStr">
        <is>
          <t>GÄVLEBORGS LÄN</t>
        </is>
      </c>
      <c r="G610" t="inlineStr">
        <is>
          <t>SANDVIKEN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45303</v>
      </c>
      <c r="E611" s="1" t="n">
        <v>46322</v>
      </c>
      <c r="F611" t="inlineStr">
        <is>
          <t>GÄVLEBORGS LÄN</t>
        </is>
      </c>
      <c r="G611" t="inlineStr">
        <is>
          <t>SANDVIKEN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46244</v>
      </c>
      <c r="E612" s="1" t="n">
        <v>46322</v>
      </c>
      <c r="F612" t="inlineStr">
        <is>
          <t>GÄVLEBORGS LÄN</t>
        </is>
      </c>
      <c r="G612" t="inlineStr">
        <is>
          <t>SANDVIKEN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29661-2026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46322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46322</v>
      </c>
      <c r="F614" t="inlineStr">
        <is>
          <t>GÄVLEBORGS LÄN</t>
        </is>
      </c>
      <c r="G614" t="inlineStr">
        <is>
          <t>SANDVIKEN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38995-2026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46287</v>
      </c>
      <c r="E615" s="1" t="n">
        <v>46322</v>
      </c>
      <c r="F615" t="inlineStr">
        <is>
          <t>GÄVLEBORGS LÄN</t>
        </is>
      </c>
      <c r="G615" t="inlineStr">
        <is>
          <t>SANDVIKEN</t>
        </is>
      </c>
      <c r="H615" t="inlineStr">
        <is>
          <t>Sveaskog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46322</v>
      </c>
      <c r="F616" t="inlineStr">
        <is>
          <t>GÄVLEBORGS LÄN</t>
        </is>
      </c>
      <c r="G616" t="inlineStr">
        <is>
          <t>SANDVIKEN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8379-2025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46322</v>
      </c>
      <c r="F617" t="inlineStr">
        <is>
          <t>GÄVLEBORGS LÄN</t>
        </is>
      </c>
      <c r="G617" t="inlineStr">
        <is>
          <t>SANDVIKEN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11205-2026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46322</v>
      </c>
      <c r="F618" t="inlineStr">
        <is>
          <t>GÄVLEBORGS LÄN</t>
        </is>
      </c>
      <c r="G618" t="inlineStr">
        <is>
          <t>SANDVIKEN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45989-2023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46322</v>
      </c>
      <c r="F619" t="inlineStr">
        <is>
          <t>GÄVLEBORGS LÄN</t>
        </is>
      </c>
      <c r="G619" t="inlineStr">
        <is>
          <t>SANDVIKEN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46322</v>
      </c>
      <c r="F620" t="inlineStr">
        <is>
          <t>GÄVLEBORGS LÄN</t>
        </is>
      </c>
      <c r="G620" t="inlineStr">
        <is>
          <t>SANDVIKEN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39155-2026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46287</v>
      </c>
      <c r="E621" s="1" t="n">
        <v>46322</v>
      </c>
      <c r="F621" t="inlineStr">
        <is>
          <t>GÄVLEBORGS LÄN</t>
        </is>
      </c>
      <c r="G621" t="inlineStr">
        <is>
          <t>SANDVIKEN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19499-2026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46322</v>
      </c>
      <c r="F622" t="inlineStr">
        <is>
          <t>GÄVLEBORGS LÄN</t>
        </is>
      </c>
      <c r="G622" t="inlineStr">
        <is>
          <t>SANDVIKEN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46322</v>
      </c>
      <c r="F623" t="inlineStr">
        <is>
          <t>GÄVLEBORGS LÄN</t>
        </is>
      </c>
      <c r="G623" t="inlineStr">
        <is>
          <t>SANDVIKEN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65098-2023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45288</v>
      </c>
      <c r="E624" s="1" t="n">
        <v>46322</v>
      </c>
      <c r="F624" t="inlineStr">
        <is>
          <t>GÄVLEBORGS LÄN</t>
        </is>
      </c>
      <c r="G624" t="inlineStr">
        <is>
          <t>SANDVIKEN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35185-2022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44797</v>
      </c>
      <c r="E625" s="1" t="n">
        <v>46322</v>
      </c>
      <c r="F625" t="inlineStr">
        <is>
          <t>GÄVLEBORGS LÄN</t>
        </is>
      </c>
      <c r="G625" t="inlineStr">
        <is>
          <t>SANDVIKEN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46322</v>
      </c>
      <c r="F626" t="inlineStr">
        <is>
          <t>GÄVLEBORGS LÄN</t>
        </is>
      </c>
      <c r="G626" t="inlineStr">
        <is>
          <t>SANDVIKEN</t>
        </is>
      </c>
      <c r="H626" t="inlineStr">
        <is>
          <t>Naturvårdsverket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55539-2023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46322</v>
      </c>
      <c r="F627" t="inlineStr">
        <is>
          <t>GÄVLEBORGS LÄN</t>
        </is>
      </c>
      <c r="G627" t="inlineStr">
        <is>
          <t>SANDVIKEN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46322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7599-2026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46061</v>
      </c>
      <c r="E629" s="1" t="n">
        <v>46322</v>
      </c>
      <c r="F629" t="inlineStr">
        <is>
          <t>GÄVLEBORGS LÄN</t>
        </is>
      </c>
      <c r="G629" t="inlineStr">
        <is>
          <t>SANDVIKEN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45701</v>
      </c>
      <c r="E630" s="1" t="n">
        <v>46322</v>
      </c>
      <c r="F630" t="inlineStr">
        <is>
          <t>GÄVLEBORGS LÄN</t>
        </is>
      </c>
      <c r="G630" t="inlineStr">
        <is>
          <t>SANDVIKEN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46322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46322</v>
      </c>
      <c r="F632" t="inlineStr">
        <is>
          <t>GÄVLEBORGS LÄN</t>
        </is>
      </c>
      <c r="G632" t="inlineStr">
        <is>
          <t>SANDVIKEN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71995-2021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44544</v>
      </c>
      <c r="E633" s="1" t="n">
        <v>46322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38570-2023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45162</v>
      </c>
      <c r="E634" s="1" t="n">
        <v>46322</v>
      </c>
      <c r="F634" t="inlineStr">
        <is>
          <t>GÄVLEBORGS LÄN</t>
        </is>
      </c>
      <c r="G634" t="inlineStr">
        <is>
          <t>SANDVIKEN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46052</v>
      </c>
      <c r="E635" s="1" t="n">
        <v>46322</v>
      </c>
      <c r="F635" t="inlineStr">
        <is>
          <t>GÄVLEBORGS LÄN</t>
        </is>
      </c>
      <c r="G635" t="inlineStr">
        <is>
          <t>SANDVIKEN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46322</v>
      </c>
      <c r="F636" t="inlineStr">
        <is>
          <t>GÄVLEBORGS LÄN</t>
        </is>
      </c>
      <c r="G636" t="inlineStr">
        <is>
          <t>SANDVIKEN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46322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46322</v>
      </c>
      <c r="F638" t="inlineStr">
        <is>
          <t>GÄVLEBORGS LÄN</t>
        </is>
      </c>
      <c r="G638" t="inlineStr">
        <is>
          <t>SANDVIKEN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11397-2023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44988</v>
      </c>
      <c r="E639" s="1" t="n">
        <v>46322</v>
      </c>
      <c r="F639" t="inlineStr">
        <is>
          <t>GÄVLEBORGS LÄN</t>
        </is>
      </c>
      <c r="G639" t="inlineStr">
        <is>
          <t>SANDVIKEN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46322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13258-2026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46322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48799-2023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45209</v>
      </c>
      <c r="E642" s="1" t="n">
        <v>46322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8698-2024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46322</v>
      </c>
      <c r="F643" t="inlineStr">
        <is>
          <t>GÄVLEBORGS LÄN</t>
        </is>
      </c>
      <c r="G643" t="inlineStr">
        <is>
          <t>SANDVIKEN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39396-2026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46288</v>
      </c>
      <c r="E644" s="1" t="n">
        <v>46322</v>
      </c>
      <c r="F644" t="inlineStr">
        <is>
          <t>GÄVLEBORGS LÄN</t>
        </is>
      </c>
      <c r="G644" t="inlineStr">
        <is>
          <t>SANDVIKEN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46046</v>
      </c>
      <c r="E645" s="1" t="n">
        <v>46322</v>
      </c>
      <c r="F645" t="inlineStr">
        <is>
          <t>GÄVLEBORGS LÄN</t>
        </is>
      </c>
      <c r="G645" t="inlineStr">
        <is>
          <t>SANDVIKEN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39393-2026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46288</v>
      </c>
      <c r="E646" s="1" t="n">
        <v>46322</v>
      </c>
      <c r="F646" t="inlineStr">
        <is>
          <t>GÄVLEBORGS LÄN</t>
        </is>
      </c>
      <c r="G646" t="inlineStr">
        <is>
          <t>SANDVIKEN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40745-2024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45558</v>
      </c>
      <c r="E647" s="1" t="n">
        <v>46322</v>
      </c>
      <c r="F647" t="inlineStr">
        <is>
          <t>GÄVLEBORGS LÄN</t>
        </is>
      </c>
      <c r="G647" t="inlineStr">
        <is>
          <t>SANDVIKEN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50900-2024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45602</v>
      </c>
      <c r="E648" s="1" t="n">
        <v>46322</v>
      </c>
      <c r="F648" t="inlineStr">
        <is>
          <t>GÄVLEBORGS LÄN</t>
        </is>
      </c>
      <c r="G648" t="inlineStr">
        <is>
          <t>SANDVIKEN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45159</v>
      </c>
      <c r="E649" s="1" t="n">
        <v>46322</v>
      </c>
      <c r="F649" t="inlineStr">
        <is>
          <t>GÄVLEBORGS LÄN</t>
        </is>
      </c>
      <c r="G649" t="inlineStr">
        <is>
          <t>SANDVIKEN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45735</v>
      </c>
      <c r="E650" s="1" t="n">
        <v>46322</v>
      </c>
      <c r="F650" t="inlineStr">
        <is>
          <t>GÄVLEBORGS LÄN</t>
        </is>
      </c>
      <c r="G650" t="inlineStr">
        <is>
          <t>SANDVIKEN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9601-2026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46322</v>
      </c>
      <c r="F651" t="inlineStr">
        <is>
          <t>GÄVLEBORGS LÄN</t>
        </is>
      </c>
      <c r="G651" t="inlineStr">
        <is>
          <t>SANDVIKEN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46322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44949</v>
      </c>
      <c r="E653" s="1" t="n">
        <v>46322</v>
      </c>
      <c r="F653" t="inlineStr">
        <is>
          <t>GÄVLEBORGS LÄN</t>
        </is>
      </c>
      <c r="G653" t="inlineStr">
        <is>
          <t>SANDVIKEN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9139-2026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46322</v>
      </c>
      <c r="F654" t="inlineStr">
        <is>
          <t>GÄVLEBORGS LÄN</t>
        </is>
      </c>
      <c r="G654" t="inlineStr">
        <is>
          <t>SANDVIKEN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44717-2025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45917</v>
      </c>
      <c r="E655" s="1" t="n">
        <v>46322</v>
      </c>
      <c r="F655" t="inlineStr">
        <is>
          <t>GÄVLEBORGS LÄN</t>
        </is>
      </c>
      <c r="G655" t="inlineStr">
        <is>
          <t>SANDVIKEN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4882-2026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46322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36656-2024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45537</v>
      </c>
      <c r="E657" s="1" t="n">
        <v>46322</v>
      </c>
      <c r="F657" t="inlineStr">
        <is>
          <t>GÄVLEBORGS LÄN</t>
        </is>
      </c>
      <c r="G657" t="inlineStr">
        <is>
          <t>SANDVIKEN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45779</v>
      </c>
      <c r="E658" s="1" t="n">
        <v>46322</v>
      </c>
      <c r="F658" t="inlineStr">
        <is>
          <t>GÄVLEBORGS LÄN</t>
        </is>
      </c>
      <c r="G658" t="inlineStr">
        <is>
          <t>SANDVIKEN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46048</v>
      </c>
      <c r="E659" s="1" t="n">
        <v>46322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46042</v>
      </c>
      <c r="E660" s="1" t="n">
        <v>46322</v>
      </c>
      <c r="F660" t="inlineStr">
        <is>
          <t>GÄVLEBORGS LÄN</t>
        </is>
      </c>
      <c r="G660" t="inlineStr">
        <is>
          <t>SANDVIKEN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45728</v>
      </c>
      <c r="E661" s="1" t="n">
        <v>46322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6956-2026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46322</v>
      </c>
      <c r="F662" t="inlineStr">
        <is>
          <t>GÄVLEBORGS LÄN</t>
        </is>
      </c>
      <c r="G662" t="inlineStr">
        <is>
          <t>SANDVIKEN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31317-2023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45103</v>
      </c>
      <c r="E663" s="1" t="n">
        <v>46322</v>
      </c>
      <c r="F663" t="inlineStr">
        <is>
          <t>GÄVLEBORGS LÄN</t>
        </is>
      </c>
      <c r="G663" t="inlineStr">
        <is>
          <t>SANDVIKEN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46246</v>
      </c>
      <c r="E664" s="1" t="n">
        <v>46322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46322</v>
      </c>
      <c r="F665" t="inlineStr">
        <is>
          <t>GÄVLEBORGS LÄN</t>
        </is>
      </c>
      <c r="G665" t="inlineStr">
        <is>
          <t>SANDVIKEN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46322</v>
      </c>
      <c r="F666" t="inlineStr">
        <is>
          <t>GÄVLEBORGS LÄN</t>
        </is>
      </c>
      <c r="G666" t="inlineStr">
        <is>
          <t>SANDVIKEN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46322</v>
      </c>
      <c r="F667" t="inlineStr">
        <is>
          <t>GÄVLEBORGS LÄN</t>
        </is>
      </c>
      <c r="G667" t="inlineStr">
        <is>
          <t>SANDVIKEN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46322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46063</v>
      </c>
      <c r="E669" s="1" t="n">
        <v>46322</v>
      </c>
      <c r="F669" t="inlineStr">
        <is>
          <t>GÄVLEBORGS LÄN</t>
        </is>
      </c>
      <c r="G669" t="inlineStr">
        <is>
          <t>SANDVIKEN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46322</v>
      </c>
      <c r="F670" t="inlineStr">
        <is>
          <t>GÄVLEBORGS LÄN</t>
        </is>
      </c>
      <c r="G670" t="inlineStr">
        <is>
          <t>SANDVIKEN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46058</v>
      </c>
      <c r="E671" s="1" t="n">
        <v>46322</v>
      </c>
      <c r="F671" t="inlineStr">
        <is>
          <t>GÄVLEBORGS LÄN</t>
        </is>
      </c>
      <c r="G671" t="inlineStr">
        <is>
          <t>SANDVIKEN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46322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8604-2026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46065</v>
      </c>
      <c r="E673" s="1" t="n">
        <v>46322</v>
      </c>
      <c r="F673" t="inlineStr">
        <is>
          <t>GÄVLEBORGS LÄN</t>
        </is>
      </c>
      <c r="G673" t="inlineStr">
        <is>
          <t>SANDVIKEN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20618-2026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46140</v>
      </c>
      <c r="E674" s="1" t="n">
        <v>46322</v>
      </c>
      <c r="F674" t="inlineStr">
        <is>
          <t>GÄVLEBORGS LÄN</t>
        </is>
      </c>
      <c r="G674" t="inlineStr">
        <is>
          <t>SANDVIKEN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46322</v>
      </c>
      <c r="F675" t="inlineStr">
        <is>
          <t>GÄVLEBORGS LÄN</t>
        </is>
      </c>
      <c r="G675" t="inlineStr">
        <is>
          <t>SANDVIKEN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7924-2026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46063</v>
      </c>
      <c r="E676" s="1" t="n">
        <v>46322</v>
      </c>
      <c r="F676" t="inlineStr">
        <is>
          <t>GÄVLEBORGS LÄN</t>
        </is>
      </c>
      <c r="G676" t="inlineStr">
        <is>
          <t>SANDVIKEN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45666</v>
      </c>
      <c r="E677" s="1" t="n">
        <v>46322</v>
      </c>
      <c r="F677" t="inlineStr">
        <is>
          <t>GÄVLEBORGS LÄN</t>
        </is>
      </c>
      <c r="G677" t="inlineStr">
        <is>
          <t>SANDVIKEN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46141</v>
      </c>
      <c r="E678" s="1" t="n">
        <v>46322</v>
      </c>
      <c r="F678" t="inlineStr">
        <is>
          <t>GÄVLEBORGS LÄN</t>
        </is>
      </c>
      <c r="G678" t="inlineStr">
        <is>
          <t>SANDVIKEN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7624-2023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44972</v>
      </c>
      <c r="E679" s="1" t="n">
        <v>46322</v>
      </c>
      <c r="F679" t="inlineStr">
        <is>
          <t>GÄVLEBORGS LÄN</t>
        </is>
      </c>
      <c r="G679" t="inlineStr">
        <is>
          <t>SANDVIKEN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49706-2023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45212</v>
      </c>
      <c r="E680" s="1" t="n">
        <v>46322</v>
      </c>
      <c r="F680" t="inlineStr">
        <is>
          <t>GÄVLEBORGS LÄN</t>
        </is>
      </c>
      <c r="G680" t="inlineStr">
        <is>
          <t>SANDVIKEN</t>
        </is>
      </c>
      <c r="H680" t="inlineStr">
        <is>
          <t>Sveaskog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38319-2025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45883</v>
      </c>
      <c r="E681" s="1" t="n">
        <v>46322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10575-2025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45721</v>
      </c>
      <c r="E682" s="1" t="n">
        <v>46322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10577-2025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46322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10580-2025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45721</v>
      </c>
      <c r="E684" s="1" t="n">
        <v>46322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11894-2026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46085</v>
      </c>
      <c r="E685" s="1" t="n">
        <v>46322</v>
      </c>
      <c r="F685" t="inlineStr">
        <is>
          <t>GÄVLEBORGS LÄN</t>
        </is>
      </c>
      <c r="G685" t="inlineStr">
        <is>
          <t>SANDVIKEN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46043</v>
      </c>
      <c r="E686" s="1" t="n">
        <v>46322</v>
      </c>
      <c r="F686" t="inlineStr">
        <is>
          <t>GÄVLEBORGS LÄN</t>
        </is>
      </c>
      <c r="G686" t="inlineStr">
        <is>
          <t>SANDVIKEN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46031</v>
      </c>
      <c r="E687" s="1" t="n">
        <v>46322</v>
      </c>
      <c r="F687" t="inlineStr">
        <is>
          <t>GÄVLEBORGS LÄN</t>
        </is>
      </c>
      <c r="G687" t="inlineStr">
        <is>
          <t>SANDVIKEN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46322</v>
      </c>
      <c r="F688" t="inlineStr">
        <is>
          <t>GÄVLEBORGS LÄN</t>
        </is>
      </c>
      <c r="G688" t="inlineStr">
        <is>
          <t>SANDVIKEN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46322</v>
      </c>
      <c r="F689" t="inlineStr">
        <is>
          <t>GÄVLEBORGS LÄN</t>
        </is>
      </c>
      <c r="G689" t="inlineStr">
        <is>
          <t>SANDVIKEN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46322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46038</v>
      </c>
      <c r="E691" s="1" t="n">
        <v>46322</v>
      </c>
      <c r="F691" t="inlineStr">
        <is>
          <t>GÄVLEBORGS LÄN</t>
        </is>
      </c>
      <c r="G691" t="inlineStr">
        <is>
          <t>SANDVIKEN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15237-2026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46105</v>
      </c>
      <c r="E692" s="1" t="n">
        <v>46322</v>
      </c>
      <c r="F692" t="inlineStr">
        <is>
          <t>GÄVLEBORGS LÄN</t>
        </is>
      </c>
      <c r="G692" t="inlineStr">
        <is>
          <t>SANDVIKEN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46322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20917-2026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46142</v>
      </c>
      <c r="E694" s="1" t="n">
        <v>46322</v>
      </c>
      <c r="F694" t="inlineStr">
        <is>
          <t>GÄVLEBORGS LÄN</t>
        </is>
      </c>
      <c r="G694" t="inlineStr">
        <is>
          <t>SANDVIKEN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46322</v>
      </c>
      <c r="F695" t="inlineStr">
        <is>
          <t>GÄVLEBORGS LÄN</t>
        </is>
      </c>
      <c r="G695" t="inlineStr">
        <is>
          <t>SANDVIKEN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29296-2024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45483</v>
      </c>
      <c r="E696" s="1" t="n">
        <v>46322</v>
      </c>
      <c r="F696" t="inlineStr">
        <is>
          <t>GÄVLEBORGS LÄN</t>
        </is>
      </c>
      <c r="G696" t="inlineStr">
        <is>
          <t>SANDVIKEN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8600-2026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46322</v>
      </c>
      <c r="F697" t="inlineStr">
        <is>
          <t>GÄVLEBORGS LÄN</t>
        </is>
      </c>
      <c r="G697" t="inlineStr">
        <is>
          <t>SANDVIKEN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46322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46147</v>
      </c>
      <c r="E699" s="1" t="n">
        <v>46322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46322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46147</v>
      </c>
      <c r="E701" s="1" t="n">
        <v>46322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46147</v>
      </c>
      <c r="E702" s="1" t="n">
        <v>46322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46038</v>
      </c>
      <c r="E703" s="1" t="n">
        <v>46322</v>
      </c>
      <c r="F703" t="inlineStr">
        <is>
          <t>GÄVLEBORGS LÄN</t>
        </is>
      </c>
      <c r="G703" t="inlineStr">
        <is>
          <t>SANDVIKEN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43090-2023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45182</v>
      </c>
      <c r="E704" s="1" t="n">
        <v>46322</v>
      </c>
      <c r="F704" t="inlineStr">
        <is>
          <t>GÄVLEBORGS LÄN</t>
        </is>
      </c>
      <c r="G704" t="inlineStr">
        <is>
          <t>SANDVIKEN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21576-2026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46148</v>
      </c>
      <c r="E705" s="1" t="n">
        <v>46322</v>
      </c>
      <c r="F705" t="inlineStr">
        <is>
          <t>GÄVLEBORGS LÄN</t>
        </is>
      </c>
      <c r="G705" t="inlineStr">
        <is>
          <t>SANDVIKEN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45102-2022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44843</v>
      </c>
      <c r="E706" s="1" t="n">
        <v>46322</v>
      </c>
      <c r="F706" t="inlineStr">
        <is>
          <t>GÄVLEBORGS LÄN</t>
        </is>
      </c>
      <c r="G706" t="inlineStr">
        <is>
          <t>SANDVIKEN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21951-2026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46151</v>
      </c>
      <c r="E707" s="1" t="n">
        <v>46322</v>
      </c>
      <c r="F707" t="inlineStr">
        <is>
          <t>GÄVLEBORGS LÄN</t>
        </is>
      </c>
      <c r="G707" t="inlineStr">
        <is>
          <t>SANDVIKEN</t>
        </is>
      </c>
      <c r="I707" t="n">
        <v>11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46050</v>
      </c>
      <c r="E708" s="1" t="n">
        <v>46322</v>
      </c>
      <c r="F708" t="inlineStr">
        <is>
          <t>GÄVLEBORGS LÄN</t>
        </is>
      </c>
      <c r="G708" t="inlineStr">
        <is>
          <t>SANDVIKEN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46322</v>
      </c>
      <c r="F709" t="inlineStr">
        <is>
          <t>GÄVLEBORGS LÄN</t>
        </is>
      </c>
      <c r="G709" t="inlineStr">
        <is>
          <t>SANDVIKEN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4502-2024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45327</v>
      </c>
      <c r="E710" s="1" t="n">
        <v>46322</v>
      </c>
      <c r="F710" t="inlineStr">
        <is>
          <t>GÄVLEBORGS LÄN</t>
        </is>
      </c>
      <c r="G710" t="inlineStr">
        <is>
          <t>SANDVIKEN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21773-2026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46322</v>
      </c>
      <c r="F711" t="inlineStr">
        <is>
          <t>GÄVLEBORGS LÄN</t>
        </is>
      </c>
      <c r="G711" t="inlineStr">
        <is>
          <t>SANDVIKEN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46322</v>
      </c>
      <c r="F712" t="inlineStr">
        <is>
          <t>GÄVLEBORGS LÄN</t>
        </is>
      </c>
      <c r="G712" t="inlineStr">
        <is>
          <t>SANDVIKEN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34036-2026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46252</v>
      </c>
      <c r="E713" s="1" t="n">
        <v>46322</v>
      </c>
      <c r="F713" t="inlineStr">
        <is>
          <t>GÄVLEBORGS LÄN</t>
        </is>
      </c>
      <c r="G713" t="inlineStr">
        <is>
          <t>SANDVIKEN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46322</v>
      </c>
      <c r="F714" t="inlineStr">
        <is>
          <t>GÄVLEBORGS LÄN</t>
        </is>
      </c>
      <c r="G714" t="inlineStr">
        <is>
          <t>SANDVIKEN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16012-2026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46322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46322</v>
      </c>
      <c r="F716" t="inlineStr">
        <is>
          <t>GÄVLEBORGS LÄN</t>
        </is>
      </c>
      <c r="G716" t="inlineStr">
        <is>
          <t>SANDVIKEN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46322</v>
      </c>
      <c r="F717" t="inlineStr">
        <is>
          <t>GÄVLEBORGS LÄN</t>
        </is>
      </c>
      <c r="G717" t="inlineStr">
        <is>
          <t>SANDVIKEN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37697-2022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44810</v>
      </c>
      <c r="E718" s="1" t="n">
        <v>46322</v>
      </c>
      <c r="F718" t="inlineStr">
        <is>
          <t>GÄVLEBORGS LÄN</t>
        </is>
      </c>
      <c r="G718" t="inlineStr">
        <is>
          <t>SANDVIKEN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6167-2025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45698</v>
      </c>
      <c r="E719" s="1" t="n">
        <v>46322</v>
      </c>
      <c r="F719" t="inlineStr">
        <is>
          <t>GÄVLEBORGS LÄN</t>
        </is>
      </c>
      <c r="G719" t="inlineStr">
        <is>
          <t>SANDVIKEN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12149-2026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46086</v>
      </c>
      <c r="E720" s="1" t="n">
        <v>46322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12120-2026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46086</v>
      </c>
      <c r="E721" s="1" t="n">
        <v>46322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49211-2023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45210</v>
      </c>
      <c r="E722" s="1" t="n">
        <v>46322</v>
      </c>
      <c r="F722" t="inlineStr">
        <is>
          <t>GÄVLEBORGS LÄN</t>
        </is>
      </c>
      <c r="G722" t="inlineStr">
        <is>
          <t>SANDVIKEN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13551-2026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46322</v>
      </c>
      <c r="F723" t="inlineStr">
        <is>
          <t>GÄVLEBORGS LÄN</t>
        </is>
      </c>
      <c r="G723" t="inlineStr">
        <is>
          <t>SANDVIKEN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14867-2026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46322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61537-2023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45265</v>
      </c>
      <c r="E725" s="1" t="n">
        <v>46322</v>
      </c>
      <c r="F725" t="inlineStr">
        <is>
          <t>GÄVLEBORGS LÄN</t>
        </is>
      </c>
      <c r="G725" t="inlineStr">
        <is>
          <t>SANDVIKEN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16102-2026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46108</v>
      </c>
      <c r="E726" s="1" t="n">
        <v>46322</v>
      </c>
      <c r="F726" t="inlineStr">
        <is>
          <t>GÄVLEBORGS LÄN</t>
        </is>
      </c>
      <c r="G726" t="inlineStr">
        <is>
          <t>SANDVIKEN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44586</v>
      </c>
      <c r="E727" s="1" t="n">
        <v>46322</v>
      </c>
      <c r="F727" t="inlineStr">
        <is>
          <t>GÄVLEBORGS LÄN</t>
        </is>
      </c>
      <c r="G727" t="inlineStr">
        <is>
          <t>SANDVIKEN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23144-2026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46322</v>
      </c>
      <c r="F728" t="inlineStr">
        <is>
          <t>GÄVLEBORGS LÄN</t>
        </is>
      </c>
      <c r="G728" t="inlineStr">
        <is>
          <t>SANDVIKEN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58911-2023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45250</v>
      </c>
      <c r="E729" s="1" t="n">
        <v>46322</v>
      </c>
      <c r="F729" t="inlineStr">
        <is>
          <t>GÄVLEBORGS LÄN</t>
        </is>
      </c>
      <c r="G729" t="inlineStr">
        <is>
          <t>SANDVIKEN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28349-2026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46196</v>
      </c>
      <c r="E730" s="1" t="n">
        <v>46322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15769-2026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46107</v>
      </c>
      <c r="E731" s="1" t="n">
        <v>46322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46322</v>
      </c>
      <c r="F732" t="inlineStr">
        <is>
          <t>GÄVLEBORGS LÄN</t>
        </is>
      </c>
      <c r="G732" t="inlineStr">
        <is>
          <t>SANDVIKEN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23465-2026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46322</v>
      </c>
      <c r="F733" t="inlineStr">
        <is>
          <t>GÄVLEBORGS LÄN</t>
        </is>
      </c>
      <c r="G733" t="inlineStr">
        <is>
          <t>SANDVIKEN</t>
        </is>
      </c>
      <c r="H733" t="inlineStr">
        <is>
          <t>Övriga statliga verk och myndigheter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30714-2023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45112</v>
      </c>
      <c r="E734" s="1" t="n">
        <v>46322</v>
      </c>
      <c r="F734" t="inlineStr">
        <is>
          <t>GÄVLEBORGS LÄN</t>
        </is>
      </c>
      <c r="G734" t="inlineStr">
        <is>
          <t>SANDVIKEN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27533-2026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46190</v>
      </c>
      <c r="E735" s="1" t="n">
        <v>46322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46322</v>
      </c>
      <c r="F736" t="inlineStr">
        <is>
          <t>GÄVLEBORGS LÄN</t>
        </is>
      </c>
      <c r="G736" t="inlineStr">
        <is>
          <t>SANDVIKEN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23493-2026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46163</v>
      </c>
      <c r="E737" s="1" t="n">
        <v>46322</v>
      </c>
      <c r="F737" t="inlineStr">
        <is>
          <t>GÄVLEBORGS LÄN</t>
        </is>
      </c>
      <c r="G737" t="inlineStr">
        <is>
          <t>SANDVIKEN</t>
        </is>
      </c>
      <c r="H737" t="inlineStr">
        <is>
          <t>Övriga statliga verk och myndigheter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46322</v>
      </c>
      <c r="F738" t="inlineStr">
        <is>
          <t>GÄVLEBORGS LÄN</t>
        </is>
      </c>
      <c r="G738" t="inlineStr">
        <is>
          <t>SANDVIKEN</t>
        </is>
      </c>
      <c r="I738" t="n">
        <v>14.2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46322</v>
      </c>
      <c r="F739" t="inlineStr">
        <is>
          <t>GÄVLEBORGS LÄN</t>
        </is>
      </c>
      <c r="G739" t="inlineStr">
        <is>
          <t>SANDVIKEN</t>
        </is>
      </c>
      <c r="H739" t="inlineStr">
        <is>
          <t>Övriga statliga verk och myndigheter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46322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46322</v>
      </c>
      <c r="F741" t="inlineStr">
        <is>
          <t>GÄVLEBORGS LÄN</t>
        </is>
      </c>
      <c r="G741" t="inlineStr">
        <is>
          <t>SANDVIKEN</t>
        </is>
      </c>
      <c r="H741" t="inlineStr">
        <is>
          <t>Övriga statliga verk och myndigheter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23459-2026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46322</v>
      </c>
      <c r="F742" t="inlineStr">
        <is>
          <t>GÄVLEBORGS LÄN</t>
        </is>
      </c>
      <c r="G742" t="inlineStr">
        <is>
          <t>SANDVIKEN</t>
        </is>
      </c>
      <c r="H742" t="inlineStr">
        <is>
          <t>Övriga statliga verk och myndigheter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46165</v>
      </c>
      <c r="E743" s="1" t="n">
        <v>46322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46322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46322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63309-2023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45274</v>
      </c>
      <c r="E746" s="1" t="n">
        <v>46322</v>
      </c>
      <c r="F746" t="inlineStr">
        <is>
          <t>GÄVLEBORGS LÄN</t>
        </is>
      </c>
      <c r="G746" t="inlineStr">
        <is>
          <t>SANDVIKEN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46165</v>
      </c>
      <c r="E747" s="1" t="n">
        <v>46322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46165</v>
      </c>
      <c r="E748" s="1" t="n">
        <v>46322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23823-2026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46165</v>
      </c>
      <c r="E749" s="1" t="n">
        <v>46322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5.8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23824-2026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46165</v>
      </c>
      <c r="E750" s="1" t="n">
        <v>46322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32989-2026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46322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8.6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34253-2026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46322</v>
      </c>
      <c r="F752" t="inlineStr">
        <is>
          <t>GÄVLEBORGS LÄN</t>
        </is>
      </c>
      <c r="G752" t="inlineStr">
        <is>
          <t>SANDVIKEN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46322</v>
      </c>
      <c r="F753" t="inlineStr">
        <is>
          <t>GÄVLEBORGS LÄN</t>
        </is>
      </c>
      <c r="G753" t="inlineStr">
        <is>
          <t>SANDVIKEN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24313-2026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46322</v>
      </c>
      <c r="F754" t="inlineStr">
        <is>
          <t>GÄVLEBORGS LÄN</t>
        </is>
      </c>
      <c r="G754" t="inlineStr">
        <is>
          <t>SANDVIKEN</t>
        </is>
      </c>
      <c r="H754" t="inlineStr">
        <is>
          <t>Kommuner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24149-2026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46322</v>
      </c>
      <c r="F755" t="inlineStr">
        <is>
          <t>GÄVLEBORGS LÄN</t>
        </is>
      </c>
      <c r="G755" t="inlineStr">
        <is>
          <t>SANDVIKEN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46322</v>
      </c>
      <c r="F756" t="inlineStr">
        <is>
          <t>GÄVLEBORGS LÄN</t>
        </is>
      </c>
      <c r="G756" t="inlineStr">
        <is>
          <t>SANDVIKEN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46322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8.9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24356-2026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46169</v>
      </c>
      <c r="E758" s="1" t="n">
        <v>46322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27987-2024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45476</v>
      </c>
      <c r="E759" s="1" t="n">
        <v>46322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61301-2025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46000</v>
      </c>
      <c r="E760" s="1" t="n">
        <v>46322</v>
      </c>
      <c r="F760" t="inlineStr">
        <is>
          <t>GÄVLEBORGS LÄN</t>
        </is>
      </c>
      <c r="G760" t="inlineStr">
        <is>
          <t>SANDVIKEN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46169</v>
      </c>
      <c r="E761" s="1" t="n">
        <v>46322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46169</v>
      </c>
      <c r="E762" s="1" t="n">
        <v>46322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24650-2026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46322</v>
      </c>
      <c r="F763" t="inlineStr">
        <is>
          <t>GÄVLEBORGS LÄN</t>
        </is>
      </c>
      <c r="G763" t="inlineStr">
        <is>
          <t>SANDVIKEN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46322</v>
      </c>
      <c r="F764" t="inlineStr">
        <is>
          <t>GÄVLEBORGS LÄN</t>
        </is>
      </c>
      <c r="G764" t="inlineStr">
        <is>
          <t>SANDVIKEN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46322</v>
      </c>
      <c r="F765" t="inlineStr">
        <is>
          <t>GÄVLEBORGS LÄN</t>
        </is>
      </c>
      <c r="G765" t="inlineStr">
        <is>
          <t>SANDVIKEN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45984</v>
      </c>
      <c r="E766" s="1" t="n">
        <v>46322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46045</v>
      </c>
      <c r="E767" s="1" t="n">
        <v>46322</v>
      </c>
      <c r="F767" t="inlineStr">
        <is>
          <t>GÄVLEBORGS LÄN</t>
        </is>
      </c>
      <c r="G767" t="inlineStr">
        <is>
          <t>SANDVIKEN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7351-2026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46058</v>
      </c>
      <c r="E768" s="1" t="n">
        <v>46322</v>
      </c>
      <c r="F768" t="inlineStr">
        <is>
          <t>GÄVLEBORGS LÄN</t>
        </is>
      </c>
      <c r="G768" t="inlineStr">
        <is>
          <t>SANDVIKEN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7352-2026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46322</v>
      </c>
      <c r="F769" t="inlineStr">
        <is>
          <t>GÄVLEBORGS LÄN</t>
        </is>
      </c>
      <c r="G769" t="inlineStr">
        <is>
          <t>SANDVIKEN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46052</v>
      </c>
      <c r="E770" s="1" t="n">
        <v>46322</v>
      </c>
      <c r="F770" t="inlineStr">
        <is>
          <t>GÄVLEBORGS LÄN</t>
        </is>
      </c>
      <c r="G770" t="inlineStr">
        <is>
          <t>SANDVIKEN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45279-2023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45191</v>
      </c>
      <c r="E771" s="1" t="n">
        <v>46322</v>
      </c>
      <c r="F771" t="inlineStr">
        <is>
          <t>GÄVLEBORGS LÄN</t>
        </is>
      </c>
      <c r="G771" t="inlineStr">
        <is>
          <t>SANDVIKEN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46322</v>
      </c>
      <c r="F772" t="inlineStr">
        <is>
          <t>GÄVLEBORGS LÄN</t>
        </is>
      </c>
      <c r="G772" t="inlineStr">
        <is>
          <t>SANDVIKEN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11897-2024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45376</v>
      </c>
      <c r="E773" s="1" t="n">
        <v>46322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46058</v>
      </c>
      <c r="E774" s="1" t="n">
        <v>46322</v>
      </c>
      <c r="F774" t="inlineStr">
        <is>
          <t>GÄVLEBORGS LÄN</t>
        </is>
      </c>
      <c r="G774" t="inlineStr">
        <is>
          <t>SANDVIKEN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46251</v>
      </c>
      <c r="E775" s="1" t="n">
        <v>46322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46065</v>
      </c>
      <c r="E776" s="1" t="n">
        <v>46322</v>
      </c>
      <c r="F776" t="inlineStr">
        <is>
          <t>GÄVLEBORGS LÄN</t>
        </is>
      </c>
      <c r="G776" t="inlineStr">
        <is>
          <t>SANDVIKEN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46175</v>
      </c>
      <c r="E777" s="1" t="n">
        <v>46322</v>
      </c>
      <c r="F777" t="inlineStr">
        <is>
          <t>GÄVLEBORGS LÄN</t>
        </is>
      </c>
      <c r="G777" t="inlineStr">
        <is>
          <t>SANDVIKEN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25220-2026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46322</v>
      </c>
      <c r="F778" t="inlineStr">
        <is>
          <t>GÄVLEBORGS LÄN</t>
        </is>
      </c>
      <c r="G778" t="inlineStr">
        <is>
          <t>SANDVIKEN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25412-2026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46322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25835-2026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46322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25413-2026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46322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25175-2026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46322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23217-2023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45075</v>
      </c>
      <c r="E783" s="1" t="n">
        <v>46322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32998-2026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46322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25691-2026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46178</v>
      </c>
      <c r="E785" s="1" t="n">
        <v>46322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25826-2026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46178</v>
      </c>
      <c r="E786" s="1" t="n">
        <v>46322</v>
      </c>
      <c r="F786" t="inlineStr">
        <is>
          <t>GÄVLEBORGS LÄN</t>
        </is>
      </c>
      <c r="G786" t="inlineStr">
        <is>
          <t>SANDVIKEN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46322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42069-2024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45562</v>
      </c>
      <c r="E788" s="1" t="n">
        <v>46322</v>
      </c>
      <c r="F788" t="inlineStr">
        <is>
          <t>GÄVLEBORGS LÄN</t>
        </is>
      </c>
      <c r="G788" t="inlineStr">
        <is>
          <t>SANDVIKEN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8940-2026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46069</v>
      </c>
      <c r="E789" s="1" t="n">
        <v>46322</v>
      </c>
      <c r="F789" t="inlineStr">
        <is>
          <t>GÄVLEBORGS LÄN</t>
        </is>
      </c>
      <c r="G789" t="inlineStr">
        <is>
          <t>SANDVIKEN</t>
        </is>
      </c>
      <c r="I789" t="n">
        <v>6.3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22070-2023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45069</v>
      </c>
      <c r="E790" s="1" t="n">
        <v>46322</v>
      </c>
      <c r="F790" t="inlineStr">
        <is>
          <t>GÄVLEBORGS LÄN</t>
        </is>
      </c>
      <c r="G790" t="inlineStr">
        <is>
          <t>SANDVIKEN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46322</v>
      </c>
      <c r="F791" t="inlineStr">
        <is>
          <t>GÄVLEBORGS LÄN</t>
        </is>
      </c>
      <c r="G791" t="inlineStr">
        <is>
          <t>SANDVIKEN</t>
        </is>
      </c>
      <c r="H791" t="inlineStr">
        <is>
          <t>Sveaskog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25647-2026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46177</v>
      </c>
      <c r="E792" s="1" t="n">
        <v>46322</v>
      </c>
      <c r="F792" t="inlineStr">
        <is>
          <t>GÄVLEBORGS LÄN</t>
        </is>
      </c>
      <c r="G792" t="inlineStr">
        <is>
          <t>SANDVIKEN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25456-2026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46177</v>
      </c>
      <c r="E793" s="1" t="n">
        <v>46322</v>
      </c>
      <c r="F793" t="inlineStr">
        <is>
          <t>GÄVLEBORGS LÄN</t>
        </is>
      </c>
      <c r="G793" t="inlineStr">
        <is>
          <t>SANDVIKEN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23085-2023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45075</v>
      </c>
      <c r="E794" s="1" t="n">
        <v>46322</v>
      </c>
      <c r="F794" t="inlineStr">
        <is>
          <t>GÄVLEBORGS LÄN</t>
        </is>
      </c>
      <c r="G794" t="inlineStr">
        <is>
          <t>SANDVIKEN</t>
        </is>
      </c>
      <c r="I794" t="n">
        <v>8.300000000000001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36833-2022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44805</v>
      </c>
      <c r="E795" s="1" t="n">
        <v>46322</v>
      </c>
      <c r="F795" t="inlineStr">
        <is>
          <t>GÄVLEBORGS LÄN</t>
        </is>
      </c>
      <c r="G795" t="inlineStr">
        <is>
          <t>SANDVIKEN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58198-2025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45984</v>
      </c>
      <c r="E796" s="1" t="n">
        <v>46322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29616-2026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46322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28063-2023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45099</v>
      </c>
      <c r="E798" s="1" t="n">
        <v>46322</v>
      </c>
      <c r="F798" t="inlineStr">
        <is>
          <t>GÄVLEBORGS LÄN</t>
        </is>
      </c>
      <c r="G798" t="inlineStr">
        <is>
          <t>SANDVIKEN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26763-2026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46184</v>
      </c>
      <c r="E799" s="1" t="n">
        <v>46322</v>
      </c>
      <c r="F799" t="inlineStr">
        <is>
          <t>GÄVLEBORGS LÄN</t>
        </is>
      </c>
      <c r="G799" t="inlineStr">
        <is>
          <t>SANDVIKEN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59738-2022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44908</v>
      </c>
      <c r="E800" s="1" t="n">
        <v>46322</v>
      </c>
      <c r="F800" t="inlineStr">
        <is>
          <t>GÄVLEBORGS LÄN</t>
        </is>
      </c>
      <c r="G800" t="inlineStr">
        <is>
          <t>SANDVIKEN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46322</v>
      </c>
      <c r="F801" t="inlineStr">
        <is>
          <t>GÄVLEBORGS LÄN</t>
        </is>
      </c>
      <c r="G801" t="inlineStr">
        <is>
          <t>SANDVIKEN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19186-2026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46132</v>
      </c>
      <c r="E802" s="1" t="n">
        <v>46322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26780-2026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46322</v>
      </c>
      <c r="F803" t="inlineStr">
        <is>
          <t>GÄVLEBORGS LÄN</t>
        </is>
      </c>
      <c r="G803" t="inlineStr">
        <is>
          <t>SANDVIKEN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26601-2026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46183</v>
      </c>
      <c r="E804" s="1" t="n">
        <v>46322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59661-2024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45639</v>
      </c>
      <c r="E805" s="1" t="n">
        <v>46322</v>
      </c>
      <c r="F805" t="inlineStr">
        <is>
          <t>GÄVLEBORGS LÄN</t>
        </is>
      </c>
      <c r="G805" t="inlineStr">
        <is>
          <t>SANDVIKEN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46607-2025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45926</v>
      </c>
      <c r="E806" s="1" t="n">
        <v>46322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29608-2026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46322</v>
      </c>
      <c r="F807" t="inlineStr">
        <is>
          <t>GÄVLEBORGS LÄN</t>
        </is>
      </c>
      <c r="G807" t="inlineStr">
        <is>
          <t>SANDVIKEN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34879-2026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46258</v>
      </c>
      <c r="E808" s="1" t="n">
        <v>46322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45320</v>
      </c>
      <c r="E809" s="1" t="n">
        <v>46322</v>
      </c>
      <c r="F809" t="inlineStr">
        <is>
          <t>GÄVLEBORGS LÄN</t>
        </is>
      </c>
      <c r="G809" t="inlineStr">
        <is>
          <t>SANDVIKEN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46322</v>
      </c>
      <c r="F810" t="inlineStr">
        <is>
          <t>GÄVLEBORGS LÄN</t>
        </is>
      </c>
      <c r="G810" t="inlineStr">
        <is>
          <t>SANDVIKEN</t>
        </is>
      </c>
      <c r="H810" t="inlineStr">
        <is>
          <t>Naturvårdsverket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13580-2026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46095</v>
      </c>
      <c r="E811" s="1" t="n">
        <v>46322</v>
      </c>
      <c r="F811" t="inlineStr">
        <is>
          <t>GÄVLEBORGS LÄN</t>
        </is>
      </c>
      <c r="G811" t="inlineStr">
        <is>
          <t>SANDVIKEN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41328-2026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46301</v>
      </c>
      <c r="E812" s="1" t="n">
        <v>46322</v>
      </c>
      <c r="F812" t="inlineStr">
        <is>
          <t>GÄVLEBORGS LÄN</t>
        </is>
      </c>
      <c r="G812" t="inlineStr">
        <is>
          <t>SANDVIKEN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13581-2026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46095</v>
      </c>
      <c r="E813" s="1" t="n">
        <v>46322</v>
      </c>
      <c r="F813" t="inlineStr">
        <is>
          <t>GÄVLEBORGS LÄN</t>
        </is>
      </c>
      <c r="G813" t="inlineStr">
        <is>
          <t>SANDVIKEN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17164-2026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46115</v>
      </c>
      <c r="E814" s="1" t="n">
        <v>46322</v>
      </c>
      <c r="F814" t="inlineStr">
        <is>
          <t>GÄVLEBORGS LÄN</t>
        </is>
      </c>
      <c r="G814" t="inlineStr">
        <is>
          <t>SANDVIKEN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18218-2026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46126</v>
      </c>
      <c r="E815" s="1" t="n">
        <v>46322</v>
      </c>
      <c r="F815" t="inlineStr">
        <is>
          <t>GÄVLEBORGS LÄN</t>
        </is>
      </c>
      <c r="G815" t="inlineStr">
        <is>
          <t>SANDVIKEN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46322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18752-2026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46128</v>
      </c>
      <c r="E817" s="1" t="n">
        <v>46322</v>
      </c>
      <c r="F817" t="inlineStr">
        <is>
          <t>GÄVLEBORGS LÄN</t>
        </is>
      </c>
      <c r="G817" t="inlineStr">
        <is>
          <t>SANDVIKEN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29613-2026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46322</v>
      </c>
      <c r="F818" t="inlineStr">
        <is>
          <t>GÄVLEBORGS LÄN</t>
        </is>
      </c>
      <c r="G818" t="inlineStr">
        <is>
          <t>SANDVIKEN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11778-2024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45374</v>
      </c>
      <c r="E819" s="1" t="n">
        <v>46322</v>
      </c>
      <c r="F819" t="inlineStr">
        <is>
          <t>GÄVLEBORGS LÄN</t>
        </is>
      </c>
      <c r="G819" t="inlineStr">
        <is>
          <t>SANDVIKEN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47710-2022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44854</v>
      </c>
      <c r="E820" s="1" t="n">
        <v>46322</v>
      </c>
      <c r="F820" t="inlineStr">
        <is>
          <t>GÄVLEBORGS LÄN</t>
        </is>
      </c>
      <c r="G820" t="inlineStr">
        <is>
          <t>SANDVIKEN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34603-2026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46255</v>
      </c>
      <c r="E821" s="1" t="n">
        <v>46322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34608-2026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46322</v>
      </c>
      <c r="F822" t="inlineStr">
        <is>
          <t>GÄVLEBORGS LÄN</t>
        </is>
      </c>
      <c r="G822" t="inlineStr">
        <is>
          <t>SANDVIKEN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48300-2023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45205</v>
      </c>
      <c r="E823" s="1" t="n">
        <v>46322</v>
      </c>
      <c r="F823" t="inlineStr">
        <is>
          <t>GÄVLEBORGS LÄN</t>
        </is>
      </c>
      <c r="G823" t="inlineStr">
        <is>
          <t>SANDVIKEN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35107-2026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46260</v>
      </c>
      <c r="E824" s="1" t="n">
        <v>46322</v>
      </c>
      <c r="F824" t="inlineStr">
        <is>
          <t>GÄVLEBORGS LÄN</t>
        </is>
      </c>
      <c r="G824" t="inlineStr">
        <is>
          <t>SANDVIKEN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23539-2026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46163</v>
      </c>
      <c r="E825" s="1" t="n">
        <v>46322</v>
      </c>
      <c r="F825" t="inlineStr">
        <is>
          <t>GÄVLEBORGS LÄN</t>
        </is>
      </c>
      <c r="G825" t="inlineStr">
        <is>
          <t>SANDVIKEN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10578-2025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45721</v>
      </c>
      <c r="E826" s="1" t="n">
        <v>46322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46044</v>
      </c>
      <c r="E827" s="1" t="n">
        <v>46322</v>
      </c>
      <c r="F827" t="inlineStr">
        <is>
          <t>GÄVLEBORGS LÄN</t>
        </is>
      </c>
      <c r="G827" t="inlineStr">
        <is>
          <t>SANDVIKEN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44101-2023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46322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7825-2026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46062</v>
      </c>
      <c r="E829" s="1" t="n">
        <v>46322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34997-2026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46259</v>
      </c>
      <c r="E830" s="1" t="n">
        <v>46322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11800-2026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46085</v>
      </c>
      <c r="E831" s="1" t="n">
        <v>46322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29297-2024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45483</v>
      </c>
      <c r="E832" s="1" t="n">
        <v>46322</v>
      </c>
      <c r="F832" t="inlineStr">
        <is>
          <t>GÄVLEBORGS LÄN</t>
        </is>
      </c>
      <c r="G832" t="inlineStr">
        <is>
          <t>SANDVIKEN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53007-2023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45226</v>
      </c>
      <c r="E833" s="1" t="n">
        <v>46322</v>
      </c>
      <c r="F833" t="inlineStr">
        <is>
          <t>GÄVLEBORGS LÄN</t>
        </is>
      </c>
      <c r="G833" t="inlineStr">
        <is>
          <t>SANDVIKEN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12857-2026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46322</v>
      </c>
      <c r="F834" t="inlineStr">
        <is>
          <t>GÄVLEBORGS LÄN</t>
        </is>
      </c>
      <c r="G834" t="inlineStr">
        <is>
          <t>SANDVIKEN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39566-2022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44818</v>
      </c>
      <c r="E835" s="1" t="n">
        <v>46322</v>
      </c>
      <c r="F835" t="inlineStr">
        <is>
          <t>GÄVLEBORGS LÄN</t>
        </is>
      </c>
      <c r="G835" t="inlineStr">
        <is>
          <t>SANDVIKEN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11385-2023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44988</v>
      </c>
      <c r="E836" s="1" t="n">
        <v>46322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42243-2026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46307</v>
      </c>
      <c r="E837" s="1" t="n">
        <v>46322</v>
      </c>
      <c r="F837" t="inlineStr">
        <is>
          <t>GÄVLEBORGS LÄN</t>
        </is>
      </c>
      <c r="G837" t="inlineStr">
        <is>
          <t>SANDVIKEN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52932-2022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44875</v>
      </c>
      <c r="E838" s="1" t="n">
        <v>46322</v>
      </c>
      <c r="F838" t="inlineStr">
        <is>
          <t>GÄVLEBORGS LÄN</t>
        </is>
      </c>
      <c r="G838" t="inlineStr">
        <is>
          <t>SANDVIKEN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35481-2026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46262</v>
      </c>
      <c r="E839" s="1" t="n">
        <v>46322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35576-2026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46262</v>
      </c>
      <c r="E840" s="1" t="n">
        <v>46322</v>
      </c>
      <c r="F840" t="inlineStr">
        <is>
          <t>GÄVLEBORGS LÄN</t>
        </is>
      </c>
      <c r="G840" t="inlineStr">
        <is>
          <t>SANDVIKEN</t>
        </is>
      </c>
      <c r="H840" t="inlineStr">
        <is>
          <t>Naturvårdsverket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46322</v>
      </c>
      <c r="F841" t="inlineStr">
        <is>
          <t>GÄVLEBORGS LÄN</t>
        </is>
      </c>
      <c r="G841" t="inlineStr">
        <is>
          <t>SANDVIKEN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46322</v>
      </c>
      <c r="F842" t="inlineStr">
        <is>
          <t>GÄVLEBORGS LÄN</t>
        </is>
      </c>
      <c r="G842" t="inlineStr">
        <is>
          <t>SANDVIKEN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46322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35578-2026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46262</v>
      </c>
      <c r="E844" s="1" t="n">
        <v>46322</v>
      </c>
      <c r="F844" t="inlineStr">
        <is>
          <t>GÄVLEBORGS LÄN</t>
        </is>
      </c>
      <c r="G844" t="inlineStr">
        <is>
          <t>SANDVIKEN</t>
        </is>
      </c>
      <c r="H844" t="inlineStr">
        <is>
          <t>Naturvårdsverket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46322</v>
      </c>
      <c r="F845" t="inlineStr">
        <is>
          <t>GÄVLEBORGS LÄN</t>
        </is>
      </c>
      <c r="G845" t="inlineStr">
        <is>
          <t>SANDVIKEN</t>
        </is>
      </c>
      <c r="H845" t="inlineStr">
        <is>
          <t>Naturvårdsverket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46261</v>
      </c>
      <c r="E846" s="1" t="n">
        <v>46322</v>
      </c>
      <c r="F846" t="inlineStr">
        <is>
          <t>GÄVLEBORGS LÄN</t>
        </is>
      </c>
      <c r="G846" t="inlineStr">
        <is>
          <t>SANDVIKEN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35254-2026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46322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30721-2023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45112</v>
      </c>
      <c r="E848" s="1" t="n">
        <v>46322</v>
      </c>
      <c r="F848" t="inlineStr">
        <is>
          <t>GÄVLEBORGS LÄN</t>
        </is>
      </c>
      <c r="G848" t="inlineStr">
        <is>
          <t>SANDVIKEN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35348-2026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46322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35376-2026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46322</v>
      </c>
      <c r="F850" t="inlineStr">
        <is>
          <t>GÄVLEBORGS LÄN</t>
        </is>
      </c>
      <c r="G850" t="inlineStr">
        <is>
          <t>SANDVIKEN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23476-2026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46163</v>
      </c>
      <c r="E851" s="1" t="n">
        <v>46322</v>
      </c>
      <c r="F851" t="inlineStr">
        <is>
          <t>GÄVLEBORGS LÄN</t>
        </is>
      </c>
      <c r="G851" t="inlineStr">
        <is>
          <t>SANDVIKEN</t>
        </is>
      </c>
      <c r="H851" t="inlineStr">
        <is>
          <t>Övriga statliga verk och myndigheter</t>
        </is>
      </c>
      <c r="I851" t="n">
        <v>4.9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42325-2026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46307</v>
      </c>
      <c r="E852" s="1" t="n">
        <v>46322</v>
      </c>
      <c r="F852" t="inlineStr">
        <is>
          <t>GÄVLEBORGS LÄN</t>
        </is>
      </c>
      <c r="G852" t="inlineStr">
        <is>
          <t>SANDVIKEN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34946-2022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44796</v>
      </c>
      <c r="E853" s="1" t="n">
        <v>46322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46322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35255-2026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46322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35345-2026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46322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35575-2026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46262</v>
      </c>
      <c r="E857" s="1" t="n">
        <v>46322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35432-2026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46322</v>
      </c>
      <c r="F858" t="inlineStr">
        <is>
          <t>GÄVLEBORGS LÄN</t>
        </is>
      </c>
      <c r="G858" t="inlineStr">
        <is>
          <t>SANDVIKEN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35451-2026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46322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35414-2026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46322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35420-2026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46261</v>
      </c>
      <c r="E861" s="1" t="n">
        <v>46322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38200-2024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45545</v>
      </c>
      <c r="E862" s="1" t="n">
        <v>46322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35416-2026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46322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46322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35434-2026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46262</v>
      </c>
      <c r="E865" s="1" t="n">
        <v>46322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22238-2023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45070</v>
      </c>
      <c r="E866" s="1" t="n">
        <v>46322</v>
      </c>
      <c r="F866" t="inlineStr">
        <is>
          <t>GÄVLEBORGS LÄN</t>
        </is>
      </c>
      <c r="G866" t="inlineStr">
        <is>
          <t>SANDVIKEN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41125-2026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46300</v>
      </c>
      <c r="E867" s="1" t="n">
        <v>46322</v>
      </c>
      <c r="F867" t="inlineStr">
        <is>
          <t>GÄVLEBORGS LÄN</t>
        </is>
      </c>
      <c r="G867" t="inlineStr">
        <is>
          <t>SANDVIKEN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4461-2023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44956</v>
      </c>
      <c r="E868" s="1" t="n">
        <v>46322</v>
      </c>
      <c r="F868" t="inlineStr">
        <is>
          <t>GÄVLEBORGS LÄN</t>
        </is>
      </c>
      <c r="G868" t="inlineStr">
        <is>
          <t>SANDVIKEN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716-2024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45300</v>
      </c>
      <c r="E869" s="1" t="n">
        <v>46322</v>
      </c>
      <c r="F869" t="inlineStr">
        <is>
          <t>GÄVLEBORGS LÄN</t>
        </is>
      </c>
      <c r="G869" t="inlineStr">
        <is>
          <t>SANDVIKEN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64801-2023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45282</v>
      </c>
      <c r="E870" s="1" t="n">
        <v>46322</v>
      </c>
      <c r="F870" t="inlineStr">
        <is>
          <t>GÄVLEBORGS LÄN</t>
        </is>
      </c>
      <c r="G870" t="inlineStr">
        <is>
          <t>SANDVIKEN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35863-2026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46266</v>
      </c>
      <c r="E871" s="1" t="n">
        <v>46322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35865-2026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46266</v>
      </c>
      <c r="E872" s="1" t="n">
        <v>46322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50765-2024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45602</v>
      </c>
      <c r="E873" s="1" t="n">
        <v>46322</v>
      </c>
      <c r="F873" t="inlineStr">
        <is>
          <t>GÄVLEBORGS LÄN</t>
        </is>
      </c>
      <c r="G873" t="inlineStr">
        <is>
          <t>SANDVIKEN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58363-2022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44901</v>
      </c>
      <c r="E874" s="1" t="n">
        <v>46322</v>
      </c>
      <c r="F874" t="inlineStr">
        <is>
          <t>GÄVLEBORGS LÄN</t>
        </is>
      </c>
      <c r="G874" t="inlineStr">
        <is>
          <t>SANDVIKEN</t>
        </is>
      </c>
      <c r="I874" t="n">
        <v>7.3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58983-2023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45252</v>
      </c>
      <c r="E875" s="1" t="n">
        <v>46322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42925-2026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46310</v>
      </c>
      <c r="E876" s="1" t="n">
        <v>46322</v>
      </c>
      <c r="F876" t="inlineStr">
        <is>
          <t>GÄVLEBORGS LÄN</t>
        </is>
      </c>
      <c r="G876" t="inlineStr">
        <is>
          <t>SANDVIKEN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24465-2023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45082</v>
      </c>
      <c r="E877" s="1" t="n">
        <v>46322</v>
      </c>
      <c r="F877" t="inlineStr">
        <is>
          <t>GÄVLEBORGS LÄN</t>
        </is>
      </c>
      <c r="G877" t="inlineStr">
        <is>
          <t>SANDVIKEN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2290-2025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45673</v>
      </c>
      <c r="E878" s="1" t="n">
        <v>46322</v>
      </c>
      <c r="F878" t="inlineStr">
        <is>
          <t>GÄVLEBORGS LÄN</t>
        </is>
      </c>
      <c r="G878" t="inlineStr">
        <is>
          <t>SANDVIKEN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1974-2026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46322</v>
      </c>
      <c r="F879" t="inlineStr">
        <is>
          <t>GÄVLEBORGS LÄN</t>
        </is>
      </c>
      <c r="G879" t="inlineStr">
        <is>
          <t>SANDVIKEN</t>
        </is>
      </c>
      <c r="I879" t="n">
        <v>6.9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35492-2026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46262</v>
      </c>
      <c r="E880" s="1" t="n">
        <v>46322</v>
      </c>
      <c r="F880" t="inlineStr">
        <is>
          <t>GÄVLEBORGS LÄN</t>
        </is>
      </c>
      <c r="G880" t="inlineStr">
        <is>
          <t>SANDVIKEN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1418-2025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45668</v>
      </c>
      <c r="E881" s="1" t="n">
        <v>46322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60908-2022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44914</v>
      </c>
      <c r="E882" s="1" t="n">
        <v>46322</v>
      </c>
      <c r="F882" t="inlineStr">
        <is>
          <t>GÄVLEBORGS LÄN</t>
        </is>
      </c>
      <c r="G882" t="inlineStr">
        <is>
          <t>SANDVIKEN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59841-2023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45257</v>
      </c>
      <c r="E883" s="1" t="n">
        <v>46322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4783-2025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45688</v>
      </c>
      <c r="E884" s="1" t="n">
        <v>46322</v>
      </c>
      <c r="F884" t="inlineStr">
        <is>
          <t>GÄVLEBORGS LÄN</t>
        </is>
      </c>
      <c r="G884" t="inlineStr">
        <is>
          <t>SANDVIKEN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27006-2023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45094</v>
      </c>
      <c r="E885" s="1" t="n">
        <v>46322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9.5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46177-2022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44847</v>
      </c>
      <c r="E886" s="1" t="n">
        <v>46322</v>
      </c>
      <c r="F886" t="inlineStr">
        <is>
          <t>GÄVLEBORGS LÄN</t>
        </is>
      </c>
      <c r="G886" t="inlineStr">
        <is>
          <t>SANDVIKEN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43283-2026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46314</v>
      </c>
      <c r="E887" s="1" t="n">
        <v>46322</v>
      </c>
      <c r="F887" t="inlineStr">
        <is>
          <t>GÄVLEBORGS LÄN</t>
        </is>
      </c>
      <c r="G887" t="inlineStr">
        <is>
          <t>SANDVIKEN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43286-2026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46314</v>
      </c>
      <c r="E888" s="1" t="n">
        <v>46322</v>
      </c>
      <c r="F888" t="inlineStr">
        <is>
          <t>GÄVLEBORGS LÄN</t>
        </is>
      </c>
      <c r="G888" t="inlineStr">
        <is>
          <t>SANDVIKEN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19346-2023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45049</v>
      </c>
      <c r="E889" s="1" t="n">
        <v>46322</v>
      </c>
      <c r="F889" t="inlineStr">
        <is>
          <t>GÄVLEBORGS LÄN</t>
        </is>
      </c>
      <c r="G889" t="inlineStr">
        <is>
          <t>SANDVIKEN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61363-2023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45264</v>
      </c>
      <c r="E890" s="1" t="n">
        <v>46322</v>
      </c>
      <c r="F890" t="inlineStr">
        <is>
          <t>GÄVLEBORGS LÄN</t>
        </is>
      </c>
      <c r="G890" t="inlineStr">
        <is>
          <t>SANDVIKEN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46482-2023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45197</v>
      </c>
      <c r="E891" s="1" t="n">
        <v>46322</v>
      </c>
      <c r="F891" t="inlineStr">
        <is>
          <t>GÄVLEBORGS LÄN</t>
        </is>
      </c>
      <c r="G891" t="inlineStr">
        <is>
          <t>SANDVIKEN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43284-2026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46314</v>
      </c>
      <c r="E892" s="1" t="n">
        <v>46322</v>
      </c>
      <c r="F892" t="inlineStr">
        <is>
          <t>GÄVLEBORGS LÄN</t>
        </is>
      </c>
      <c r="G892" t="inlineStr">
        <is>
          <t>SANDVIKEN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43304-2026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46314</v>
      </c>
      <c r="E893" s="1" t="n">
        <v>46322</v>
      </c>
      <c r="F893" t="inlineStr">
        <is>
          <t>GÄVLEBORGS LÄN</t>
        </is>
      </c>
      <c r="G893" t="inlineStr">
        <is>
          <t>SANDVIKEN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37024-2026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46322</v>
      </c>
      <c r="F894" t="inlineStr">
        <is>
          <t>GÄVLEBORGS LÄN</t>
        </is>
      </c>
      <c r="G894" t="inlineStr">
        <is>
          <t>SANDVIKEN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15340-2026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46105</v>
      </c>
      <c r="E895" s="1" t="n">
        <v>46322</v>
      </c>
      <c r="F895" t="inlineStr">
        <is>
          <t>GÄVLEBORGS LÄN</t>
        </is>
      </c>
      <c r="G895" t="inlineStr">
        <is>
          <t>SANDVIKEN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37455-2026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46275</v>
      </c>
      <c r="E896" s="1" t="n">
        <v>46322</v>
      </c>
      <c r="F896" t="inlineStr">
        <is>
          <t>GÄVLEBORGS LÄN</t>
        </is>
      </c>
      <c r="G896" t="inlineStr">
        <is>
          <t>SANDVIKEN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36203-2025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45867</v>
      </c>
      <c r="E897" s="1" t="n">
        <v>46322</v>
      </c>
      <c r="F897" t="inlineStr">
        <is>
          <t>GÄVLEBORGS LÄN</t>
        </is>
      </c>
      <c r="G897" t="inlineStr">
        <is>
          <t>SANDVIKEN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2071-2020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44102</v>
      </c>
      <c r="E898" s="1" t="n">
        <v>46322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42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46322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46322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2574-2023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45142</v>
      </c>
      <c r="E901" s="1" t="n">
        <v>46322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31.8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46322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513-2025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45706</v>
      </c>
      <c r="E903" s="1" t="n">
        <v>46322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29.5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706-2025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45720</v>
      </c>
      <c r="E904" s="1" t="n">
        <v>46322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väst AB</t>
        </is>
      </c>
      <c r="I904" t="n">
        <v>24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531-2025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46322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530-2025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46322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318-2026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46322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320-2026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46322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36.3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46322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677-2026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46322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61.3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2026-10-27T03:12:12Z</dcterms:created>
  <dcterms:modified xmlns:dcterms="http://purl.org/dc/terms/" xmlns:xsi="http://www.w3.org/2001/XMLSchema-instance" xsi:type="dcterms:W3CDTF">2026-10-27T03:12:13Z</dcterms:modified>
</cp:coreProperties>
</file>