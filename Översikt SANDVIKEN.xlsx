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46286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46286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46286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2857-2025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46286</v>
      </c>
      <c r="F12" t="inlineStr">
        <is>
          <t>GÄVLEBORGS LÄN</t>
        </is>
      </c>
      <c r="G12" t="inlineStr">
        <is>
          <t>SANDVIKEN</t>
        </is>
      </c>
      <c r="I12" t="n">
        <v>1.3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Större flatbagge
Tallticka
Bronshjon
Thomsons trägnagare</t>
        </is>
      </c>
      <c r="W12">
        <f>HYPERLINK("https://klasma.github.io/Logging_2181/artfynd/A 2857-2025 artfynd.xlsx", "A 2857-2025")</f>
        <v/>
      </c>
      <c r="X12">
        <f>HYPERLINK("https://klasma.github.io/Logging_2181/kartor/A 2857-2025 karta.png", "A 2857-2025")</f>
        <v/>
      </c>
      <c r="Y12">
        <f>HYPERLINK("https://klasma.github.io/Logging_2181/kartor_geotiff/A 2857-2025 georefererad karta.tif", "A 2857-2025")</f>
        <v/>
      </c>
      <c r="AA12">
        <f>HYPERLINK("https://klasma.github.io/Logging_2181/klagomål/A 2857-2025 FSC-klagomål.docx", "A 2857-2025")</f>
        <v/>
      </c>
      <c r="AB12">
        <f>HYPERLINK("https://klasma.github.io/Logging_2181/klagomålsmail/A 2857-2025 FSC-klagomål mail.docx", "A 2857-2025")</f>
        <v/>
      </c>
      <c r="AC12">
        <f>HYPERLINK("https://klasma.github.io/Logging_2181/tillsyn/A 2857-2025 tillsynsbegäran.docx", "A 2857-2025")</f>
        <v/>
      </c>
      <c r="AD12">
        <f>HYPERLINK("https://klasma.github.io/Logging_2181/tillsynsmail/A 2857-2025 tillsynsbegäran mail.docx", "A 2857-2025")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46286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46286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46286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46286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46286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46286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46286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46286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46286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46286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46286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26047-2026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46286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8.199999999999999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Blå taggsvamp
Talltita
Kungsfågel</t>
        </is>
      </c>
      <c r="W26">
        <f>HYPERLINK("https://klasma.github.io/Logging_2181/artfynd/A 26047-2026 artfynd.xlsx", "A 26047-2026")</f>
        <v/>
      </c>
      <c r="X26">
        <f>HYPERLINK("https://klasma.github.io/Logging_2181/kartor/A 26047-2026 karta.png", "A 26047-2026")</f>
        <v/>
      </c>
      <c r="Y26">
        <f>HYPERLINK("https://klasma.github.io/Logging_2181/kartor_geotiff/A 26047-2026 georefererad karta.tif", "A 26047-2026")</f>
        <v/>
      </c>
      <c r="AA26">
        <f>HYPERLINK("https://klasma.github.io/Logging_2181/klagomål/A 26047-2026 FSC-klagomål.docx", "A 26047-2026")</f>
        <v/>
      </c>
      <c r="AB26">
        <f>HYPERLINK("https://klasma.github.io/Logging_2181/klagomålsmail/A 26047-2026 FSC-klagomål mail.docx", "A 26047-2026")</f>
        <v/>
      </c>
      <c r="AC26">
        <f>HYPERLINK("https://klasma.github.io/Logging_2181/tillsyn/A 26047-2026 tillsynsbegäran.docx", "A 26047-2026")</f>
        <v/>
      </c>
      <c r="AD26">
        <f>HYPERLINK("https://klasma.github.io/Logging_2181/tillsynsmail/A 26047-2026 tillsynsbegäran mail.docx", "A 26047-2026")</f>
        <v/>
      </c>
      <c r="AE26">
        <f>HYPERLINK("https://klasma.github.io/Logging_2181/fåglar/A 26047-2026 prioriterade fågelarter.docx", "A 26047-2026")</f>
        <v/>
      </c>
    </row>
    <row r="27" ht="15" customHeight="1">
      <c r="A27" t="inlineStr">
        <is>
          <t>A 12192-2026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46086</v>
      </c>
      <c r="E27" s="1" t="n">
        <v>46286</v>
      </c>
      <c r="F27" t="inlineStr">
        <is>
          <t>GÄVLEBORGS LÄN</t>
        </is>
      </c>
      <c r="G27" t="inlineStr">
        <is>
          <t>SANDVIKEN</t>
        </is>
      </c>
      <c r="I27" t="n">
        <v>0.6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7</v>
      </c>
      <c r="U27" t="n">
        <v>7</v>
      </c>
      <c r="V27" s="2" t="inlineStr">
        <is>
          <t>Knärot
Tretåig hackspett
Spillkråka</t>
        </is>
      </c>
      <c r="W27">
        <f>HYPERLINK("https://klasma.github.io/Logging_2181/artfynd/A 12192-2026 artfynd.xlsx", "A 12192-2026")</f>
        <v/>
      </c>
      <c r="X27">
        <f>HYPERLINK("https://klasma.github.io/Logging_2181/kartor/A 12192-2026 karta.png", "A 12192-2026")</f>
        <v/>
      </c>
      <c r="Y27">
        <f>HYPERLINK("https://klasma.github.io/Logging_2181/kartor_geotiff/A 12192-2026 georefererad karta.tif", "A 12192-2026")</f>
        <v/>
      </c>
      <c r="Z27">
        <f>HYPERLINK("https://klasma.github.io/Logging_2181/knärot/A 12192-2026 karta knärot.png", "A 12192-2026")</f>
        <v/>
      </c>
      <c r="AA27">
        <f>HYPERLINK("https://klasma.github.io/Logging_2181/klagomål/A 12192-2026 FSC-klagomål.docx", "A 12192-2026")</f>
        <v/>
      </c>
      <c r="AB27">
        <f>HYPERLINK("https://klasma.github.io/Logging_2181/klagomålsmail/A 12192-2026 FSC-klagomål mail.docx", "A 12192-2026")</f>
        <v/>
      </c>
      <c r="AC27">
        <f>HYPERLINK("https://klasma.github.io/Logging_2181/tillsyn/A 12192-2026 tillsynsbegäran.docx", "A 12192-2026")</f>
        <v/>
      </c>
      <c r="AD27">
        <f>HYPERLINK("https://klasma.github.io/Logging_2181/tillsynsmail/A 12192-2026 tillsynsbegäran mail.docx", "A 12192-2026")</f>
        <v/>
      </c>
      <c r="AE27">
        <f>HYPERLINK("https://klasma.github.io/Logging_2181/fåglar/A 12192-2026 prioriterade fågelarter.docx", "A 12192-2026")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46286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46286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46286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46286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46286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46286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46286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46286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46286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42869-2024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46286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6.9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Rödgul trumpetsvamp
Vanlig padda</t>
        </is>
      </c>
      <c r="W39">
        <f>HYPERLINK("https://klasma.github.io/Logging_2181/artfynd/A 42869-2024 artfynd.xlsx", "A 42869-2024")</f>
        <v/>
      </c>
      <c r="X39">
        <f>HYPERLINK("https://klasma.github.io/Logging_2181/kartor/A 42869-2024 karta.png", "A 42869-2024")</f>
        <v/>
      </c>
      <c r="Y39">
        <f>HYPERLINK("https://klasma.github.io/Logging_2181/kartor_geotiff/A 42869-2024 georefererad karta.tif", "A 42869-2024")</f>
        <v/>
      </c>
      <c r="AA39">
        <f>HYPERLINK("https://klasma.github.io/Logging_2181/klagomål/A 42869-2024 FSC-klagomål.docx", "A 42869-2024")</f>
        <v/>
      </c>
      <c r="AB39">
        <f>HYPERLINK("https://klasma.github.io/Logging_2181/klagomålsmail/A 42869-2024 FSC-klagomål mail.docx", "A 42869-2024")</f>
        <v/>
      </c>
      <c r="AC39">
        <f>HYPERLINK("https://klasma.github.io/Logging_2181/tillsyn/A 42869-2024 tillsynsbegäran.docx", "A 42869-2024")</f>
        <v/>
      </c>
      <c r="AD39">
        <f>HYPERLINK("https://klasma.github.io/Logging_2181/tillsynsmail/A 42869-2024 tillsynsbegäran mail.docx", "A 42869-2024")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46286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46286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46286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46286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46286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19526-2026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46286</v>
      </c>
      <c r="F45" t="inlineStr">
        <is>
          <t>GÄVLEBORGS LÄN</t>
        </is>
      </c>
      <c r="G45" t="inlineStr">
        <is>
          <t>SANDVIKEN</t>
        </is>
      </c>
      <c r="I45" t="n">
        <v>3.1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Kambräken
Lopplummer (aggregat)</t>
        </is>
      </c>
      <c r="W45">
        <f>HYPERLINK("https://klasma.github.io/Logging_2181/artfynd/A 19526-2026 artfynd.xlsx", "A 19526-2026")</f>
        <v/>
      </c>
      <c r="X45">
        <f>HYPERLINK("https://klasma.github.io/Logging_2181/kartor/A 19526-2026 karta.png", "A 19526-2026")</f>
        <v/>
      </c>
      <c r="Y45">
        <f>HYPERLINK("https://klasma.github.io/Logging_2181/kartor_geotiff/A 19526-2026 georefererad karta.tif", "A 19526-2026")</f>
        <v/>
      </c>
      <c r="AA45">
        <f>HYPERLINK("https://klasma.github.io/Logging_2181/klagomål/A 19526-2026 FSC-klagomål.docx", "A 19526-2026")</f>
        <v/>
      </c>
      <c r="AB45">
        <f>HYPERLINK("https://klasma.github.io/Logging_2181/klagomålsmail/A 19526-2026 FSC-klagomål mail.docx", "A 19526-2026")</f>
        <v/>
      </c>
      <c r="AC45">
        <f>HYPERLINK("https://klasma.github.io/Logging_2181/tillsyn/A 19526-2026 tillsynsbegäran.docx", "A 19526-2026")</f>
        <v/>
      </c>
      <c r="AD45">
        <f>HYPERLINK("https://klasma.github.io/Logging_2181/tillsynsmail/A 19526-2026 tillsynsbegäran mail.docx", "A 19526-2026")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46286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46286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46286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46286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46286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46286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46286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46286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46286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46286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46286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46286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46286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3316-2023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44949</v>
      </c>
      <c r="E59" s="1" t="n">
        <v>46286</v>
      </c>
      <c r="F59" t="inlineStr">
        <is>
          <t>GÄVLEBORGS LÄN</t>
        </is>
      </c>
      <c r="G59" t="inlineStr">
        <is>
          <t>SANDVIKEN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HYPERLINK("https://klasma.github.io/Logging_2181/artfynd/A 3316-2023 artfynd.xlsx", "A 3316-2023")</f>
        <v/>
      </c>
      <c r="X59">
        <f>HYPERLINK("https://klasma.github.io/Logging_2181/kartor/A 3316-2023 karta.png", "A 3316-2023")</f>
        <v/>
      </c>
      <c r="Y59">
        <f>HYPERLINK("https://klasma.github.io/Logging_2181/kartor_geotiff/A 3316-2023 georefererad karta.tif", "A 3316-2023")</f>
        <v/>
      </c>
      <c r="AA59">
        <f>HYPERLINK("https://klasma.github.io/Logging_2181/klagomål/A 3316-2023 FSC-klagomål.docx", "A 3316-2023")</f>
        <v/>
      </c>
      <c r="AB59">
        <f>HYPERLINK("https://klasma.github.io/Logging_2181/klagomålsmail/A 3316-2023 FSC-klagomål mail.docx", "A 3316-2023")</f>
        <v/>
      </c>
      <c r="AC59">
        <f>HYPERLINK("https://klasma.github.io/Logging_2181/tillsyn/A 3316-2023 tillsynsbegäran.docx", "A 3316-2023")</f>
        <v/>
      </c>
      <c r="AD59">
        <f>HYPERLINK("https://klasma.github.io/Logging_2181/tillsynsmail/A 3316-2023 tillsynsbegäran mail.docx", "A 3316-2023")</f>
        <v/>
      </c>
      <c r="AE59">
        <f>HYPERLINK("https://klasma.github.io/Logging_2181/fåglar/A 3316-2023 prioriterade fågelarter.docx", "A 3316-2023")</f>
        <v/>
      </c>
    </row>
    <row r="60" ht="15" customHeight="1">
      <c r="A60" t="inlineStr">
        <is>
          <t>A 12419-2025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46286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Månlåsbräken</t>
        </is>
      </c>
      <c r="W60">
        <f>HYPERLINK("https://klasma.github.io/Logging_2181/artfynd/A 12419-2025 artfynd.xlsx", "A 12419-2025")</f>
        <v/>
      </c>
      <c r="X60">
        <f>HYPERLINK("https://klasma.github.io/Logging_2181/kartor/A 12419-2025 karta.png", "A 12419-2025")</f>
        <v/>
      </c>
      <c r="Y60">
        <f>HYPERLINK("https://klasma.github.io/Logging_2181/kartor_geotiff/A 12419-2025 georefererad karta.tif", "A 12419-2025")</f>
        <v/>
      </c>
      <c r="AA60">
        <f>HYPERLINK("https://klasma.github.io/Logging_2181/klagomål/A 12419-2025 FSC-klagomål.docx", "A 12419-2025")</f>
        <v/>
      </c>
      <c r="AB60">
        <f>HYPERLINK("https://klasma.github.io/Logging_2181/klagomålsmail/A 12419-2025 FSC-klagomål mail.docx", "A 12419-2025")</f>
        <v/>
      </c>
      <c r="AC60">
        <f>HYPERLINK("https://klasma.github.io/Logging_2181/tillsyn/A 12419-2025 tillsynsbegäran.docx", "A 12419-2025")</f>
        <v/>
      </c>
      <c r="AD60">
        <f>HYPERLINK("https://klasma.github.io/Logging_2181/tillsynsmail/A 12419-2025 tillsynsbegäran mail.docx", "A 12419-2025")</f>
        <v/>
      </c>
    </row>
    <row r="61" ht="15" customHeight="1">
      <c r="A61" t="inlineStr">
        <is>
          <t>A 15729-2022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44663</v>
      </c>
      <c r="E61" s="1" t="n">
        <v>46286</v>
      </c>
      <c r="F61" t="inlineStr">
        <is>
          <t>GÄVLEBORGS LÄN</t>
        </is>
      </c>
      <c r="G61" t="inlineStr">
        <is>
          <t>SANDVIKEN</t>
        </is>
      </c>
      <c r="I61" t="n">
        <v>2.1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HYPERLINK("https://klasma.github.io/Logging_2181/artfynd/A 15729-2022 artfynd.xlsx", "A 15729-2022")</f>
        <v/>
      </c>
      <c r="X61">
        <f>HYPERLINK("https://klasma.github.io/Logging_2181/kartor/A 15729-2022 karta.png", "A 15729-2022")</f>
        <v/>
      </c>
      <c r="Y61">
        <f>HYPERLINK("https://klasma.github.io/Logging_2181/kartor_geotiff/A 15729-2022 georefererad karta.tif", "A 15729-2022")</f>
        <v/>
      </c>
      <c r="Z61">
        <f>HYPERLINK("https://klasma.github.io/Logging_2181/knärot/A 15729-2022 karta knärot.png", "A 15729-2022")</f>
        <v/>
      </c>
      <c r="AA61">
        <f>HYPERLINK("https://klasma.github.io/Logging_2181/klagomål/A 15729-2022 FSC-klagomål.docx", "A 15729-2022")</f>
        <v/>
      </c>
      <c r="AB61">
        <f>HYPERLINK("https://klasma.github.io/Logging_2181/klagomålsmail/A 15729-2022 FSC-klagomål mail.docx", "A 15729-2022")</f>
        <v/>
      </c>
      <c r="AC61">
        <f>HYPERLINK("https://klasma.github.io/Logging_2181/tillsyn/A 15729-2022 tillsynsbegäran.docx", "A 15729-2022")</f>
        <v/>
      </c>
      <c r="AD61">
        <f>HYPERLINK("https://klasma.github.io/Logging_2181/tillsynsmail/A 15729-2022 tillsynsbegäran mail.docx", "A 15729-2022")</f>
        <v/>
      </c>
    </row>
    <row r="62" ht="15" customHeight="1">
      <c r="A62" t="inlineStr">
        <is>
          <t>A 45427-2023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45194</v>
      </c>
      <c r="E62" s="1" t="n">
        <v>46286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Mattlummer</t>
        </is>
      </c>
      <c r="W62">
        <f>HYPERLINK("https://klasma.github.io/Logging_2181/artfynd/A 45427-2023 artfynd.xlsx", "A 45427-2023")</f>
        <v/>
      </c>
      <c r="X62">
        <f>HYPERLINK("https://klasma.github.io/Logging_2181/kartor/A 45427-2023 karta.png", "A 45427-2023")</f>
        <v/>
      </c>
      <c r="Y62">
        <f>HYPERLINK("https://klasma.github.io/Logging_2181/kartor_geotiff/A 45427-2023 georefererad karta.tif", "A 45427-2023")</f>
        <v/>
      </c>
      <c r="AA62">
        <f>HYPERLINK("https://klasma.github.io/Logging_2181/klagomål/A 45427-2023 FSC-klagomål.docx", "A 45427-2023")</f>
        <v/>
      </c>
      <c r="AB62">
        <f>HYPERLINK("https://klasma.github.io/Logging_2181/klagomålsmail/A 45427-2023 FSC-klagomål mail.docx", "A 45427-2023")</f>
        <v/>
      </c>
      <c r="AC62">
        <f>HYPERLINK("https://klasma.github.io/Logging_2181/tillsyn/A 45427-2023 tillsynsbegäran.docx", "A 45427-2023")</f>
        <v/>
      </c>
      <c r="AD62">
        <f>HYPERLINK("https://klasma.github.io/Logging_2181/tillsynsmail/A 45427-2023 tillsynsbegäran mail.docx", "A 45427-2023")</f>
        <v/>
      </c>
    </row>
    <row r="63" ht="15" customHeight="1">
      <c r="A63" t="inlineStr">
        <is>
          <t>A 4324-2026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46286</v>
      </c>
      <c r="F63" t="inlineStr">
        <is>
          <t>GÄVLEBORGS LÄN</t>
        </is>
      </c>
      <c r="G63" t="inlineStr">
        <is>
          <t>SANDVIKEN</t>
        </is>
      </c>
      <c r="H63" t="inlineStr">
        <is>
          <t>Kommuner</t>
        </is>
      </c>
      <c r="I63" t="n">
        <v>11.2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Järpe</t>
        </is>
      </c>
      <c r="W63">
        <f>HYPERLINK("https://klasma.github.io/Logging_2181/artfynd/A 4324-2026 artfynd.xlsx", "A 4324-2026")</f>
        <v/>
      </c>
      <c r="X63">
        <f>HYPERLINK("https://klasma.github.io/Logging_2181/kartor/A 4324-2026 karta.png", "A 4324-2026")</f>
        <v/>
      </c>
      <c r="Y63">
        <f>HYPERLINK("https://klasma.github.io/Logging_2181/kartor_geotiff/A 4324-2026 georefererad karta.tif", "A 4324-2026")</f>
        <v/>
      </c>
      <c r="AA63">
        <f>HYPERLINK("https://klasma.github.io/Logging_2181/klagomål/A 4324-2026 FSC-klagomål.docx", "A 4324-2026")</f>
        <v/>
      </c>
      <c r="AB63">
        <f>HYPERLINK("https://klasma.github.io/Logging_2181/klagomålsmail/A 4324-2026 FSC-klagomål mail.docx", "A 4324-2026")</f>
        <v/>
      </c>
      <c r="AC63">
        <f>HYPERLINK("https://klasma.github.io/Logging_2181/tillsyn/A 4324-2026 tillsynsbegäran.docx", "A 4324-2026")</f>
        <v/>
      </c>
      <c r="AD63">
        <f>HYPERLINK("https://klasma.github.io/Logging_2181/tillsynsmail/A 4324-2026 tillsynsbegäran mail.docx", "A 4324-2026")</f>
        <v/>
      </c>
      <c r="AE63">
        <f>HYPERLINK("https://klasma.github.io/Logging_2181/fåglar/A 4324-2026 prioriterade fågelarter.docx", "A 4324-2026")</f>
        <v/>
      </c>
    </row>
    <row r="64" ht="15" customHeight="1">
      <c r="A64" t="inlineStr">
        <is>
          <t>A 39872-2025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46286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Plattlummer</t>
        </is>
      </c>
      <c r="W64">
        <f>HYPERLINK("https://klasma.github.io/Logging_2181/artfynd/A 39872-2025 artfynd.xlsx", "A 39872-2025")</f>
        <v/>
      </c>
      <c r="X64">
        <f>HYPERLINK("https://klasma.github.io/Logging_2181/kartor/A 39872-2025 karta.png", "A 39872-2025")</f>
        <v/>
      </c>
      <c r="Y64">
        <f>HYPERLINK("https://klasma.github.io/Logging_2181/kartor_geotiff/A 39872-2025 georefererad karta.tif", "A 39872-2025")</f>
        <v/>
      </c>
      <c r="AA64">
        <f>HYPERLINK("https://klasma.github.io/Logging_2181/klagomål/A 39872-2025 FSC-klagomål.docx", "A 39872-2025")</f>
        <v/>
      </c>
      <c r="AB64">
        <f>HYPERLINK("https://klasma.github.io/Logging_2181/klagomålsmail/A 39872-2025 FSC-klagomål mail.docx", "A 39872-2025")</f>
        <v/>
      </c>
      <c r="AC64">
        <f>HYPERLINK("https://klasma.github.io/Logging_2181/tillsyn/A 39872-2025 tillsynsbegäran.docx", "A 39872-2025")</f>
        <v/>
      </c>
      <c r="AD64">
        <f>HYPERLINK("https://klasma.github.io/Logging_2181/tillsynsmail/A 39872-2025 tillsynsbegäran mail.docx", "A 39872-2025")</f>
        <v/>
      </c>
    </row>
    <row r="65" ht="15" customHeight="1">
      <c r="A65" t="inlineStr">
        <is>
          <t>A 39873-2025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46286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Dropptaggsvamp</t>
        </is>
      </c>
      <c r="W65">
        <f>HYPERLINK("https://klasma.github.io/Logging_2181/artfynd/A 39873-2025 artfynd.xlsx", "A 39873-2025")</f>
        <v/>
      </c>
      <c r="X65">
        <f>HYPERLINK("https://klasma.github.io/Logging_2181/kartor/A 39873-2025 karta.png", "A 39873-2025")</f>
        <v/>
      </c>
      <c r="Y65">
        <f>HYPERLINK("https://klasma.github.io/Logging_2181/kartor_geotiff/A 39873-2025 georefererad karta.tif", "A 39873-2025")</f>
        <v/>
      </c>
      <c r="AA65">
        <f>HYPERLINK("https://klasma.github.io/Logging_2181/klagomål/A 39873-2025 FSC-klagomål.docx", "A 39873-2025")</f>
        <v/>
      </c>
      <c r="AB65">
        <f>HYPERLINK("https://klasma.github.io/Logging_2181/klagomålsmail/A 39873-2025 FSC-klagomål mail.docx", "A 39873-2025")</f>
        <v/>
      </c>
      <c r="AC65">
        <f>HYPERLINK("https://klasma.github.io/Logging_2181/tillsyn/A 39873-2025 tillsynsbegäran.docx", "A 39873-2025")</f>
        <v/>
      </c>
      <c r="AD65">
        <f>HYPERLINK("https://klasma.github.io/Logging_2181/tillsynsmail/A 39873-2025 tillsynsbegäran mail.docx", "A 39873-2025")</f>
        <v/>
      </c>
    </row>
    <row r="66" ht="15" customHeight="1">
      <c r="A66" t="inlineStr">
        <is>
          <t>A 42115-2023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46286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2.4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HYPERLINK("https://klasma.github.io/Logging_2181/artfynd/A 42115-2023 artfynd.xlsx", "A 42115-2023")</f>
        <v/>
      </c>
      <c r="X66">
        <f>HYPERLINK("https://klasma.github.io/Logging_2181/kartor/A 42115-2023 karta.png", "A 42115-2023")</f>
        <v/>
      </c>
      <c r="Y66">
        <f>HYPERLINK("https://klasma.github.io/Logging_2181/kartor_geotiff/A 42115-2023 georefererad karta.tif", "A 42115-2023")</f>
        <v/>
      </c>
      <c r="AA66">
        <f>HYPERLINK("https://klasma.github.io/Logging_2181/klagomål/A 42115-2023 FSC-klagomål.docx", "A 42115-2023")</f>
        <v/>
      </c>
      <c r="AB66">
        <f>HYPERLINK("https://klasma.github.io/Logging_2181/klagomålsmail/A 42115-2023 FSC-klagomål mail.docx", "A 42115-2023")</f>
        <v/>
      </c>
      <c r="AC66">
        <f>HYPERLINK("https://klasma.github.io/Logging_2181/tillsyn/A 42115-2023 tillsynsbegäran.docx", "A 42115-2023")</f>
        <v/>
      </c>
      <c r="AD66">
        <f>HYPERLINK("https://klasma.github.io/Logging_2181/tillsynsmail/A 42115-2023 tillsynsbegäran mail.docx", "A 42115-2023")</f>
        <v/>
      </c>
      <c r="AE66">
        <f>HYPERLINK("https://klasma.github.io/Logging_2181/fåglar/A 42115-2023 prioriterade fågelarter.docx", "A 42115-2023")</f>
        <v/>
      </c>
    </row>
    <row r="67" ht="15" customHeight="1">
      <c r="A67" t="inlineStr">
        <is>
          <t>A 6972-2026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46286</v>
      </c>
      <c r="F67" t="inlineStr">
        <is>
          <t>GÄVLEBORGS LÄN</t>
        </is>
      </c>
      <c r="G67" t="inlineStr">
        <is>
          <t>SANDVIKEN</t>
        </is>
      </c>
      <c r="H67" t="inlineStr">
        <is>
          <t>Naturvårdsverket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6972-2026 artfynd.xlsx", "A 6972-2026")</f>
        <v/>
      </c>
      <c r="X67">
        <f>HYPERLINK("https://klasma.github.io/Logging_2181/kartor/A 6972-2026 karta.png", "A 6972-2026")</f>
        <v/>
      </c>
      <c r="Y67">
        <f>HYPERLINK("https://klasma.github.io/Logging_2181/kartor_geotiff/A 6972-2026 georefererad karta.tif", "A 6972-2026")</f>
        <v/>
      </c>
      <c r="AA67">
        <f>HYPERLINK("https://klasma.github.io/Logging_2181/klagomål/A 6972-2026 FSC-klagomål.docx", "A 6972-2026")</f>
        <v/>
      </c>
      <c r="AB67">
        <f>HYPERLINK("https://klasma.github.io/Logging_2181/klagomålsmail/A 6972-2026 FSC-klagomål mail.docx", "A 6972-2026")</f>
        <v/>
      </c>
      <c r="AC67">
        <f>HYPERLINK("https://klasma.github.io/Logging_2181/tillsyn/A 6972-2026 tillsynsbegäran.docx", "A 6972-2026")</f>
        <v/>
      </c>
      <c r="AD67">
        <f>HYPERLINK("https://klasma.github.io/Logging_2181/tillsynsmail/A 6972-2026 tillsynsbegäran mail.docx", "A 6972-2026")</f>
        <v/>
      </c>
    </row>
    <row r="68" ht="15" customHeight="1">
      <c r="A68" t="inlineStr">
        <is>
          <t>A 41349-2025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46286</v>
      </c>
      <c r="F68" t="inlineStr">
        <is>
          <t>GÄVLEBORGS LÄN</t>
        </is>
      </c>
      <c r="G68" t="inlineStr">
        <is>
          <t>SANDVIKEN</t>
        </is>
      </c>
      <c r="I68" t="n">
        <v>3.7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HYPERLINK("https://klasma.github.io/Logging_2181/artfynd/A 41349-2025 artfynd.xlsx", "A 41349-2025")</f>
        <v/>
      </c>
      <c r="X68">
        <f>HYPERLINK("https://klasma.github.io/Logging_2181/kartor/A 41349-2025 karta.png", "A 41349-2025")</f>
        <v/>
      </c>
      <c r="Y68">
        <f>HYPERLINK("https://klasma.github.io/Logging_2181/kartor_geotiff/A 41349-2025 georefererad karta.tif", "A 41349-2025")</f>
        <v/>
      </c>
      <c r="AA68">
        <f>HYPERLINK("https://klasma.github.io/Logging_2181/klagomål/A 41349-2025 FSC-klagomål.docx", "A 41349-2025")</f>
        <v/>
      </c>
      <c r="AB68">
        <f>HYPERLINK("https://klasma.github.io/Logging_2181/klagomålsmail/A 41349-2025 FSC-klagomål mail.docx", "A 41349-2025")</f>
        <v/>
      </c>
      <c r="AC68">
        <f>HYPERLINK("https://klasma.github.io/Logging_2181/tillsyn/A 41349-2025 tillsynsbegäran.docx", "A 41349-2025")</f>
        <v/>
      </c>
      <c r="AD68">
        <f>HYPERLINK("https://klasma.github.io/Logging_2181/tillsynsmail/A 41349-2025 tillsynsbegäran mail.docx", "A 41349-2025")</f>
        <v/>
      </c>
    </row>
    <row r="69" ht="15" customHeight="1">
      <c r="A69" t="inlineStr">
        <is>
          <t>A 25479-2023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46286</v>
      </c>
      <c r="F69" t="inlineStr">
        <is>
          <t>GÄVLEBORGS LÄN</t>
        </is>
      </c>
      <c r="G69" t="inlineStr">
        <is>
          <t>SANDVIKEN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HYPERLINK("https://klasma.github.io/Logging_2181/artfynd/A 25479-2023 artfynd.xlsx", "A 25479-2023")</f>
        <v/>
      </c>
      <c r="X69">
        <f>HYPERLINK("https://klasma.github.io/Logging_2181/kartor/A 25479-2023 karta.png", "A 25479-2023")</f>
        <v/>
      </c>
      <c r="Y69">
        <f>HYPERLINK("https://klasma.github.io/Logging_2181/kartor_geotiff/A 25479-2023 georefererad karta.tif", "A 25479-2023")</f>
        <v/>
      </c>
      <c r="AA69">
        <f>HYPERLINK("https://klasma.github.io/Logging_2181/klagomål/A 25479-2023 FSC-klagomål.docx", "A 25479-2023")</f>
        <v/>
      </c>
      <c r="AB69">
        <f>HYPERLINK("https://klasma.github.io/Logging_2181/klagomålsmail/A 25479-2023 FSC-klagomål mail.docx", "A 25479-2023")</f>
        <v/>
      </c>
      <c r="AC69">
        <f>HYPERLINK("https://klasma.github.io/Logging_2181/tillsyn/A 25479-2023 tillsynsbegäran.docx", "A 25479-2023")</f>
        <v/>
      </c>
      <c r="AD69">
        <f>HYPERLINK("https://klasma.github.io/Logging_2181/tillsynsmail/A 25479-2023 tillsynsbegäran mail.docx", "A 25479-2023")</f>
        <v/>
      </c>
    </row>
    <row r="70" ht="15" customHeight="1">
      <c r="A70" t="inlineStr">
        <is>
          <t>A 46610-2025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46286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16.3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HYPERLINK("https://klasma.github.io/Logging_2181/artfynd/A 46610-2025 artfynd.xlsx", "A 46610-2025")</f>
        <v/>
      </c>
      <c r="X70">
        <f>HYPERLINK("https://klasma.github.io/Logging_2181/kartor/A 46610-2025 karta.png", "A 46610-2025")</f>
        <v/>
      </c>
      <c r="Y70">
        <f>HYPERLINK("https://klasma.github.io/Logging_2181/kartor_geotiff/A 46610-2025 georefererad karta.tif", "A 46610-2025")</f>
        <v/>
      </c>
      <c r="AA70">
        <f>HYPERLINK("https://klasma.github.io/Logging_2181/klagomål/A 46610-2025 FSC-klagomål.docx", "A 46610-2025")</f>
        <v/>
      </c>
      <c r="AB70">
        <f>HYPERLINK("https://klasma.github.io/Logging_2181/klagomålsmail/A 46610-2025 FSC-klagomål mail.docx", "A 46610-2025")</f>
        <v/>
      </c>
      <c r="AC70">
        <f>HYPERLINK("https://klasma.github.io/Logging_2181/tillsyn/A 46610-2025 tillsynsbegäran.docx", "A 46610-2025")</f>
        <v/>
      </c>
      <c r="AD70">
        <f>HYPERLINK("https://klasma.github.io/Logging_2181/tillsynsmail/A 46610-2025 tillsynsbegäran mail.docx", "A 46610-2025")</f>
        <v/>
      </c>
    </row>
    <row r="71" ht="15" customHeight="1">
      <c r="A71" t="inlineStr">
        <is>
          <t>A 47174-2025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45930</v>
      </c>
      <c r="E71" s="1" t="n">
        <v>46286</v>
      </c>
      <c r="F71" t="inlineStr">
        <is>
          <t>GÄVLEBORGS LÄN</t>
        </is>
      </c>
      <c r="G71" t="inlineStr">
        <is>
          <t>SANDVIKEN</t>
        </is>
      </c>
      <c r="I71" t="n">
        <v>0.8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Garnlav</t>
        </is>
      </c>
      <c r="W71">
        <f>HYPERLINK("https://klasma.github.io/Logging_2181/artfynd/A 47174-2025 artfynd.xlsx", "A 47174-2025")</f>
        <v/>
      </c>
      <c r="X71">
        <f>HYPERLINK("https://klasma.github.io/Logging_2181/kartor/A 47174-2025 karta.png", "A 47174-2025")</f>
        <v/>
      </c>
      <c r="Y71">
        <f>HYPERLINK("https://klasma.github.io/Logging_2181/kartor_geotiff/A 47174-2025 georefererad karta.tif", "A 47174-2025")</f>
        <v/>
      </c>
      <c r="AA71">
        <f>HYPERLINK("https://klasma.github.io/Logging_2181/klagomål/A 47174-2025 FSC-klagomål.docx", "A 47174-2025")</f>
        <v/>
      </c>
      <c r="AB71">
        <f>HYPERLINK("https://klasma.github.io/Logging_2181/klagomålsmail/A 47174-2025 FSC-klagomål mail.docx", "A 47174-2025")</f>
        <v/>
      </c>
      <c r="AC71">
        <f>HYPERLINK("https://klasma.github.io/Logging_2181/tillsyn/A 47174-2025 tillsynsbegäran.docx", "A 47174-2025")</f>
        <v/>
      </c>
      <c r="AD71">
        <f>HYPERLINK("https://klasma.github.io/Logging_2181/tillsynsmail/A 47174-2025 tillsynsbegäran mail.docx", "A 47174-2025")</f>
        <v/>
      </c>
    </row>
    <row r="72" ht="15" customHeight="1">
      <c r="A72" t="inlineStr">
        <is>
          <t>A 21532-2026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46148</v>
      </c>
      <c r="E72" s="1" t="n">
        <v>46286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Svartvit flugsnappare</t>
        </is>
      </c>
      <c r="W72">
        <f>HYPERLINK("https://klasma.github.io/Logging_2181/artfynd/A 21532-2026 artfynd.xlsx", "A 21532-2026")</f>
        <v/>
      </c>
      <c r="X72">
        <f>HYPERLINK("https://klasma.github.io/Logging_2181/kartor/A 21532-2026 karta.png", "A 21532-2026")</f>
        <v/>
      </c>
      <c r="Y72">
        <f>HYPERLINK("https://klasma.github.io/Logging_2181/kartor_geotiff/A 21532-2026 georefererad karta.tif", "A 21532-2026")</f>
        <v/>
      </c>
      <c r="AA72">
        <f>HYPERLINK("https://klasma.github.io/Logging_2181/klagomål/A 21532-2026 FSC-klagomål.docx", "A 21532-2026")</f>
        <v/>
      </c>
      <c r="AB72">
        <f>HYPERLINK("https://klasma.github.io/Logging_2181/klagomålsmail/A 21532-2026 FSC-klagomål mail.docx", "A 21532-2026")</f>
        <v/>
      </c>
      <c r="AC72">
        <f>HYPERLINK("https://klasma.github.io/Logging_2181/tillsyn/A 21532-2026 tillsynsbegäran.docx", "A 21532-2026")</f>
        <v/>
      </c>
      <c r="AD72">
        <f>HYPERLINK("https://klasma.github.io/Logging_2181/tillsynsmail/A 21532-2026 tillsynsbegäran mail.docx", "A 21532-2026")</f>
        <v/>
      </c>
    </row>
    <row r="73" ht="15" customHeight="1">
      <c r="A73" t="inlineStr">
        <is>
          <t>A 22275-2024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46286</v>
      </c>
      <c r="F73" t="inlineStr">
        <is>
          <t>GÄVLEBORGS LÄN</t>
        </is>
      </c>
      <c r="G73" t="inlineStr">
        <is>
          <t>SANDVIKEN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Ekorrbär</t>
        </is>
      </c>
      <c r="W73">
        <f>HYPERLINK("https://klasma.github.io/Logging_2181/artfynd/A 22275-2024 artfynd.xlsx", "A 22275-2024")</f>
        <v/>
      </c>
      <c r="X73">
        <f>HYPERLINK("https://klasma.github.io/Logging_2181/kartor/A 22275-2024 karta.png", "A 22275-2024")</f>
        <v/>
      </c>
      <c r="Y73">
        <f>HYPERLINK("https://klasma.github.io/Logging_2181/kartor_geotiff/A 22275-2024 georefererad karta.tif", "A 22275-2024")</f>
        <v/>
      </c>
      <c r="AA73">
        <f>HYPERLINK("https://klasma.github.io/Logging_2181/klagomål/A 22275-2024 FSC-klagomål.docx", "A 22275-2024")</f>
        <v/>
      </c>
      <c r="AB73">
        <f>HYPERLINK("https://klasma.github.io/Logging_2181/klagomålsmail/A 22275-2024 FSC-klagomål mail.docx", "A 22275-2024")</f>
        <v/>
      </c>
      <c r="AC73">
        <f>HYPERLINK("https://klasma.github.io/Logging_2181/tillsyn/A 22275-2024 tillsynsbegäran.docx", "A 22275-2024")</f>
        <v/>
      </c>
      <c r="AD73">
        <f>HYPERLINK("https://klasma.github.io/Logging_2181/tillsynsmail/A 22275-2024 tillsynsbegäran mail.docx", "A 22275-2024")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46286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5015-2023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46286</v>
      </c>
      <c r="F75" t="inlineStr">
        <is>
          <t>GÄVLEBORGS LÄN</t>
        </is>
      </c>
      <c r="G75" t="inlineStr">
        <is>
          <t>SANDVIKEN</t>
        </is>
      </c>
      <c r="I75" t="n">
        <v>7.8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Slåtterfibbla</t>
        </is>
      </c>
      <c r="W75">
        <f>HYPERLINK("https://klasma.github.io/Logging_2181/artfynd/A 5015-2023 artfynd.xlsx", "A 5015-2023")</f>
        <v/>
      </c>
      <c r="X75">
        <f>HYPERLINK("https://klasma.github.io/Logging_2181/kartor/A 5015-2023 karta.png", "A 5015-2023")</f>
        <v/>
      </c>
      <c r="Y75">
        <f>HYPERLINK("https://klasma.github.io/Logging_2181/kartor_geotiff/A 5015-2023 georefererad karta.tif", "A 5015-2023")</f>
        <v/>
      </c>
      <c r="AA75">
        <f>HYPERLINK("https://klasma.github.io/Logging_2181/klagomål/A 5015-2023 FSC-klagomål.docx", "A 5015-2023")</f>
        <v/>
      </c>
      <c r="AB75">
        <f>HYPERLINK("https://klasma.github.io/Logging_2181/klagomålsmail/A 5015-2023 FSC-klagomål mail.docx", "A 5015-2023")</f>
        <v/>
      </c>
      <c r="AC75">
        <f>HYPERLINK("https://klasma.github.io/Logging_2181/tillsyn/A 5015-2023 tillsynsbegäran.docx", "A 5015-2023")</f>
        <v/>
      </c>
      <c r="AD75">
        <f>HYPERLINK("https://klasma.github.io/Logging_2181/tillsynsmail/A 5015-2023 tillsynsbegäran mail.docx", "A 5015-2023")</f>
        <v/>
      </c>
    </row>
    <row r="76" ht="15" customHeight="1">
      <c r="A76" t="inlineStr">
        <is>
          <t>A 24171-2026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46168</v>
      </c>
      <c r="E76" s="1" t="n">
        <v>46286</v>
      </c>
      <c r="F76" t="inlineStr">
        <is>
          <t>GÄVLEBORGS LÄN</t>
        </is>
      </c>
      <c r="G76" t="inlineStr">
        <is>
          <t>SANDVIKEN</t>
        </is>
      </c>
      <c r="I76" t="n">
        <v>1.4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Svedjenäva</t>
        </is>
      </c>
      <c r="W76">
        <f>HYPERLINK("https://klasma.github.io/Logging_2181/artfynd/A 24171-2026 artfynd.xlsx", "A 24171-2026")</f>
        <v/>
      </c>
      <c r="X76">
        <f>HYPERLINK("https://klasma.github.io/Logging_2181/kartor/A 24171-2026 karta.png", "A 24171-2026")</f>
        <v/>
      </c>
      <c r="Y76">
        <f>HYPERLINK("https://klasma.github.io/Logging_2181/kartor_geotiff/A 24171-2026 georefererad karta.tif", "A 24171-2026")</f>
        <v/>
      </c>
      <c r="AA76">
        <f>HYPERLINK("https://klasma.github.io/Logging_2181/klagomål/A 24171-2026 FSC-klagomål.docx", "A 24171-2026")</f>
        <v/>
      </c>
      <c r="AB76">
        <f>HYPERLINK("https://klasma.github.io/Logging_2181/klagomålsmail/A 24171-2026 FSC-klagomål mail.docx", "A 24171-2026")</f>
        <v/>
      </c>
      <c r="AC76">
        <f>HYPERLINK("https://klasma.github.io/Logging_2181/tillsyn/A 24171-2026 tillsynsbegäran.docx", "A 24171-2026")</f>
        <v/>
      </c>
      <c r="AD76">
        <f>HYPERLINK("https://klasma.github.io/Logging_2181/tillsynsmail/A 24171-2026 tillsynsbegäran mail.docx", "A 24171-2026")</f>
        <v/>
      </c>
    </row>
    <row r="77" ht="15" customHeight="1">
      <c r="A77" t="inlineStr">
        <is>
          <t>A 24357-2026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46286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Plattlummer</t>
        </is>
      </c>
      <c r="W77">
        <f>HYPERLINK("https://klasma.github.io/Logging_2181/artfynd/A 24357-2026 artfynd.xlsx", "A 24357-2026")</f>
        <v/>
      </c>
      <c r="X77">
        <f>HYPERLINK("https://klasma.github.io/Logging_2181/kartor/A 24357-2026 karta.png", "A 24357-2026")</f>
        <v/>
      </c>
      <c r="Y77">
        <f>HYPERLINK("https://klasma.github.io/Logging_2181/kartor_geotiff/A 24357-2026 georefererad karta.tif", "A 24357-2026")</f>
        <v/>
      </c>
      <c r="AA77">
        <f>HYPERLINK("https://klasma.github.io/Logging_2181/klagomål/A 24357-2026 FSC-klagomål.docx", "A 24357-2026")</f>
        <v/>
      </c>
      <c r="AB77">
        <f>HYPERLINK("https://klasma.github.io/Logging_2181/klagomålsmail/A 24357-2026 FSC-klagomål mail.docx", "A 24357-2026")</f>
        <v/>
      </c>
      <c r="AC77">
        <f>HYPERLINK("https://klasma.github.io/Logging_2181/tillsyn/A 24357-2026 tillsynsbegäran.docx", "A 24357-2026")</f>
        <v/>
      </c>
      <c r="AD77">
        <f>HYPERLINK("https://klasma.github.io/Logging_2181/tillsynsmail/A 24357-2026 tillsynsbegäran mail.docx", "A 24357-2026")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46286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1083-2026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46286</v>
      </c>
      <c r="F79" t="inlineStr">
        <is>
          <t>GÄVLEBORGS LÄN</t>
        </is>
      </c>
      <c r="G79" t="inlineStr">
        <is>
          <t>SANDVIKEN</t>
        </is>
      </c>
      <c r="I79" t="n">
        <v>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HYPERLINK("https://klasma.github.io/Logging_2181/artfynd/A 1083-2026 artfynd.xlsx", "A 1083-2026")</f>
        <v/>
      </c>
      <c r="X79">
        <f>HYPERLINK("https://klasma.github.io/Logging_2181/kartor/A 1083-2026 karta.png", "A 1083-2026")</f>
        <v/>
      </c>
      <c r="Y79">
        <f>HYPERLINK("https://klasma.github.io/Logging_2181/kartor_geotiff/A 1083-2026 georefererad karta.tif", "A 1083-2026")</f>
        <v/>
      </c>
      <c r="AA79">
        <f>HYPERLINK("https://klasma.github.io/Logging_2181/klagomål/A 1083-2026 FSC-klagomål.docx", "A 1083-2026")</f>
        <v/>
      </c>
      <c r="AB79">
        <f>HYPERLINK("https://klasma.github.io/Logging_2181/klagomålsmail/A 1083-2026 FSC-klagomål mail.docx", "A 1083-2026")</f>
        <v/>
      </c>
      <c r="AC79">
        <f>HYPERLINK("https://klasma.github.io/Logging_2181/tillsyn/A 1083-2026 tillsynsbegäran.docx", "A 1083-2026")</f>
        <v/>
      </c>
      <c r="AD79">
        <f>HYPERLINK("https://klasma.github.io/Logging_2181/tillsynsmail/A 1083-2026 tillsynsbegäran mail.docx", "A 1083-2026")</f>
        <v/>
      </c>
    </row>
    <row r="80" ht="15" customHeight="1">
      <c r="A80" t="inlineStr">
        <is>
          <t>A 25247-2026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46175</v>
      </c>
      <c r="E80" s="1" t="n">
        <v>46286</v>
      </c>
      <c r="F80" t="inlineStr">
        <is>
          <t>GÄVLEBORGS LÄN</t>
        </is>
      </c>
      <c r="G80" t="inlineStr">
        <is>
          <t>SANDVIKEN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Skinnlav</t>
        </is>
      </c>
      <c r="W80">
        <f>HYPERLINK("https://klasma.github.io/Logging_2181/artfynd/A 25247-2026 artfynd.xlsx", "A 25247-2026")</f>
        <v/>
      </c>
      <c r="X80">
        <f>HYPERLINK("https://klasma.github.io/Logging_2181/kartor/A 25247-2026 karta.png", "A 25247-2026")</f>
        <v/>
      </c>
      <c r="Y80">
        <f>HYPERLINK("https://klasma.github.io/Logging_2181/kartor_geotiff/A 25247-2026 georefererad karta.tif", "A 25247-2026")</f>
        <v/>
      </c>
      <c r="AA80">
        <f>HYPERLINK("https://klasma.github.io/Logging_2181/klagomål/A 25247-2026 FSC-klagomål.docx", "A 25247-2026")</f>
        <v/>
      </c>
      <c r="AB80">
        <f>HYPERLINK("https://klasma.github.io/Logging_2181/klagomålsmail/A 25247-2026 FSC-klagomål mail.docx", "A 25247-2026")</f>
        <v/>
      </c>
      <c r="AC80">
        <f>HYPERLINK("https://klasma.github.io/Logging_2181/tillsyn/A 25247-2026 tillsynsbegäran.docx", "A 25247-2026")</f>
        <v/>
      </c>
      <c r="AD80">
        <f>HYPERLINK("https://klasma.github.io/Logging_2181/tillsynsmail/A 25247-2026 tillsynsbegäran mail.docx", "A 25247-2026")</f>
        <v/>
      </c>
    </row>
    <row r="81" ht="15" customHeight="1">
      <c r="A81" t="inlineStr">
        <is>
          <t>A 7393-2026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46286</v>
      </c>
      <c r="F81" t="inlineStr">
        <is>
          <t>GÄVLEBORGS LÄN</t>
        </is>
      </c>
      <c r="G81" t="inlineStr">
        <is>
          <t>SANDVIKEN</t>
        </is>
      </c>
      <c r="I81" t="n">
        <v>6.7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Brunklöver</t>
        </is>
      </c>
      <c r="W81">
        <f>HYPERLINK("https://klasma.github.io/Logging_2181/artfynd/A 7393-2026 artfynd.xlsx", "A 7393-2026")</f>
        <v/>
      </c>
      <c r="X81">
        <f>HYPERLINK("https://klasma.github.io/Logging_2181/kartor/A 7393-2026 karta.png", "A 7393-2026")</f>
        <v/>
      </c>
      <c r="Y81">
        <f>HYPERLINK("https://klasma.github.io/Logging_2181/kartor_geotiff/A 7393-2026 georefererad karta.tif", "A 7393-2026")</f>
        <v/>
      </c>
      <c r="AA81">
        <f>HYPERLINK("https://klasma.github.io/Logging_2181/klagomål/A 7393-2026 FSC-klagomål.docx", "A 7393-2026")</f>
        <v/>
      </c>
      <c r="AB81">
        <f>HYPERLINK("https://klasma.github.io/Logging_2181/klagomålsmail/A 7393-2026 FSC-klagomål mail.docx", "A 7393-2026")</f>
        <v/>
      </c>
      <c r="AC81">
        <f>HYPERLINK("https://klasma.github.io/Logging_2181/tillsyn/A 7393-2026 tillsynsbegäran.docx", "A 7393-2026")</f>
        <v/>
      </c>
      <c r="AD81">
        <f>HYPERLINK("https://klasma.github.io/Logging_2181/tillsynsmail/A 7393-2026 tillsynsbegäran mail.docx", "A 7393-2026")</f>
        <v/>
      </c>
    </row>
    <row r="82" ht="15" customHeight="1">
      <c r="A82" t="inlineStr">
        <is>
          <t>A 26212-2026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46286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HYPERLINK("https://klasma.github.io/Logging_2181/artfynd/A 26212-2026 artfynd.xlsx", "A 26212-2026")</f>
        <v/>
      </c>
      <c r="X82">
        <f>HYPERLINK("https://klasma.github.io/Logging_2181/kartor/A 26212-2026 karta.png", "A 26212-2026")</f>
        <v/>
      </c>
      <c r="Y82">
        <f>HYPERLINK("https://klasma.github.io/Logging_2181/kartor_geotiff/A 26212-2026 georefererad karta.tif", "A 26212-2026")</f>
        <v/>
      </c>
      <c r="Z82">
        <f>HYPERLINK("https://klasma.github.io/Logging_2181/knärot/A 26212-2026 karta knärot.png", "A 26212-2026")</f>
        <v/>
      </c>
      <c r="AA82">
        <f>HYPERLINK("https://klasma.github.io/Logging_2181/klagomål/A 26212-2026 FSC-klagomål.docx", "A 26212-2026")</f>
        <v/>
      </c>
      <c r="AB82">
        <f>HYPERLINK("https://klasma.github.io/Logging_2181/klagomålsmail/A 26212-2026 FSC-klagomål mail.docx", "A 26212-2026")</f>
        <v/>
      </c>
      <c r="AC82">
        <f>HYPERLINK("https://klasma.github.io/Logging_2181/tillsyn/A 26212-2026 tillsynsbegäran.docx", "A 26212-2026")</f>
        <v/>
      </c>
      <c r="AD82">
        <f>HYPERLINK("https://klasma.github.io/Logging_2181/tillsynsmail/A 26212-2026 tillsynsbegäran mail.docx", "A 26212-2026")</f>
        <v/>
      </c>
    </row>
    <row r="83" ht="15" customHeight="1">
      <c r="A83" t="inlineStr">
        <is>
          <t>A 9267-2026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46286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Gullpudra</t>
        </is>
      </c>
      <c r="W83">
        <f>HYPERLINK("https://klasma.github.io/Logging_2181/artfynd/A 9267-2026 artfynd.xlsx", "A 9267-2026")</f>
        <v/>
      </c>
      <c r="X83">
        <f>HYPERLINK("https://klasma.github.io/Logging_2181/kartor/A 9267-2026 karta.png", "A 9267-2026")</f>
        <v/>
      </c>
      <c r="Y83">
        <f>HYPERLINK("https://klasma.github.io/Logging_2181/kartor_geotiff/A 9267-2026 georefererad karta.tif", "A 9267-2026")</f>
        <v/>
      </c>
      <c r="AA83">
        <f>HYPERLINK("https://klasma.github.io/Logging_2181/klagomål/A 9267-2026 FSC-klagomål.docx", "A 9267-2026")</f>
        <v/>
      </c>
      <c r="AB83">
        <f>HYPERLINK("https://klasma.github.io/Logging_2181/klagomålsmail/A 9267-2026 FSC-klagomål mail.docx", "A 9267-2026")</f>
        <v/>
      </c>
      <c r="AC83">
        <f>HYPERLINK("https://klasma.github.io/Logging_2181/tillsyn/A 9267-2026 tillsynsbegäran.docx", "A 9267-2026")</f>
        <v/>
      </c>
      <c r="AD83">
        <f>HYPERLINK("https://klasma.github.io/Logging_2181/tillsynsmail/A 9267-2026 tillsynsbegäran mail.docx", "A 9267-2026")</f>
        <v/>
      </c>
    </row>
    <row r="84" ht="15" customHeight="1">
      <c r="A84" t="inlineStr">
        <is>
          <t>A 26271-2026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46286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Fläcknycklar</t>
        </is>
      </c>
      <c r="W84">
        <f>HYPERLINK("https://klasma.github.io/Logging_2181/artfynd/A 26271-2026 artfynd.xlsx", "A 26271-2026")</f>
        <v/>
      </c>
      <c r="X84">
        <f>HYPERLINK("https://klasma.github.io/Logging_2181/kartor/A 26271-2026 karta.png", "A 26271-2026")</f>
        <v/>
      </c>
      <c r="Y84">
        <f>HYPERLINK("https://klasma.github.io/Logging_2181/kartor_geotiff/A 26271-2026 georefererad karta.tif", "A 26271-2026")</f>
        <v/>
      </c>
      <c r="AA84">
        <f>HYPERLINK("https://klasma.github.io/Logging_2181/klagomål/A 26271-2026 FSC-klagomål.docx", "A 26271-2026")</f>
        <v/>
      </c>
      <c r="AB84">
        <f>HYPERLINK("https://klasma.github.io/Logging_2181/klagomålsmail/A 26271-2026 FSC-klagomål mail.docx", "A 26271-2026")</f>
        <v/>
      </c>
      <c r="AC84">
        <f>HYPERLINK("https://klasma.github.io/Logging_2181/tillsyn/A 26271-2026 tillsynsbegäran.docx", "A 26271-2026")</f>
        <v/>
      </c>
      <c r="AD84">
        <f>HYPERLINK("https://klasma.github.io/Logging_2181/tillsynsmail/A 26271-2026 tillsynsbegäran mail.docx", "A 26271-2026")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46286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27207-2026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46188</v>
      </c>
      <c r="E86" s="1" t="n">
        <v>46286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Kungsfågel</t>
        </is>
      </c>
      <c r="W86">
        <f>HYPERLINK("https://klasma.github.io/Logging_2181/artfynd/A 27207-2026 artfynd.xlsx", "A 27207-2026")</f>
        <v/>
      </c>
      <c r="X86">
        <f>HYPERLINK("https://klasma.github.io/Logging_2181/kartor/A 27207-2026 karta.png", "A 27207-2026")</f>
        <v/>
      </c>
      <c r="Y86">
        <f>HYPERLINK("https://klasma.github.io/Logging_2181/kartor_geotiff/A 27207-2026 georefererad karta.tif", "A 27207-2026")</f>
        <v/>
      </c>
      <c r="AA86">
        <f>HYPERLINK("https://klasma.github.io/Logging_2181/klagomål/A 27207-2026 FSC-klagomål.docx", "A 27207-2026")</f>
        <v/>
      </c>
      <c r="AB86">
        <f>HYPERLINK("https://klasma.github.io/Logging_2181/klagomålsmail/A 27207-2026 FSC-klagomål mail.docx", "A 27207-2026")</f>
        <v/>
      </c>
      <c r="AC86">
        <f>HYPERLINK("https://klasma.github.io/Logging_2181/tillsyn/A 27207-2026 tillsynsbegäran.docx", "A 27207-2026")</f>
        <v/>
      </c>
      <c r="AD86">
        <f>HYPERLINK("https://klasma.github.io/Logging_2181/tillsynsmail/A 27207-2026 tillsynsbegäran mail.docx", "A 27207-2026")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46286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46286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23225-2026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46162</v>
      </c>
      <c r="E89" s="1" t="n">
        <v>46286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Rödvingetrast</t>
        </is>
      </c>
      <c r="W89">
        <f>HYPERLINK("https://klasma.github.io/Logging_2181/artfynd/A 23225-2026 artfynd.xlsx", "A 23225-2026")</f>
        <v/>
      </c>
      <c r="X89">
        <f>HYPERLINK("https://klasma.github.io/Logging_2181/kartor/A 23225-2026 karta.png", "A 23225-2026")</f>
        <v/>
      </c>
      <c r="Y89">
        <f>HYPERLINK("https://klasma.github.io/Logging_2181/kartor_geotiff/A 23225-2026 georefererad karta.tif", "A 23225-2026")</f>
        <v/>
      </c>
      <c r="AA89">
        <f>HYPERLINK("https://klasma.github.io/Logging_2181/klagomål/A 23225-2026 FSC-klagomål.docx", "A 23225-2026")</f>
        <v/>
      </c>
      <c r="AB89">
        <f>HYPERLINK("https://klasma.github.io/Logging_2181/klagomålsmail/A 23225-2026 FSC-klagomål mail.docx", "A 23225-2026")</f>
        <v/>
      </c>
      <c r="AC89">
        <f>HYPERLINK("https://klasma.github.io/Logging_2181/tillsyn/A 23225-2026 tillsynsbegäran.docx", "A 23225-2026")</f>
        <v/>
      </c>
      <c r="AD89">
        <f>HYPERLINK("https://klasma.github.io/Logging_2181/tillsynsmail/A 23225-2026 tillsynsbegäran mail.docx", "A 23225-2026")</f>
        <v/>
      </c>
      <c r="AE89">
        <f>HYPERLINK("https://klasma.github.io/Logging_2181/fåglar/A 23225-2026 prioriterade fågelarter.docx", "A 23225-2026")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46286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15121-2026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46286</v>
      </c>
      <c r="F91" t="inlineStr">
        <is>
          <t>GÄVLEBORGS LÄN</t>
        </is>
      </c>
      <c r="G91" t="inlineStr">
        <is>
          <t>SANDVIKEN</t>
        </is>
      </c>
      <c r="I91" t="n">
        <v>2.7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Brandticka</t>
        </is>
      </c>
      <c r="W91">
        <f>HYPERLINK("https://klasma.github.io/Logging_2181/artfynd/A 15121-2026 artfynd.xlsx", "A 15121-2026")</f>
        <v/>
      </c>
      <c r="X91">
        <f>HYPERLINK("https://klasma.github.io/Logging_2181/kartor/A 15121-2026 karta.png", "A 15121-2026")</f>
        <v/>
      </c>
      <c r="Y91">
        <f>HYPERLINK("https://klasma.github.io/Logging_2181/kartor_geotiff/A 15121-2026 georefererad karta.tif", "A 15121-2026")</f>
        <v/>
      </c>
      <c r="AA91">
        <f>HYPERLINK("https://klasma.github.io/Logging_2181/klagomål/A 15121-2026 FSC-klagomål.docx", "A 15121-2026")</f>
        <v/>
      </c>
      <c r="AB91">
        <f>HYPERLINK("https://klasma.github.io/Logging_2181/klagomålsmail/A 15121-2026 FSC-klagomål mail.docx", "A 15121-2026")</f>
        <v/>
      </c>
      <c r="AC91">
        <f>HYPERLINK("https://klasma.github.io/Logging_2181/tillsyn/A 15121-2026 tillsynsbegäran.docx", "A 15121-2026")</f>
        <v/>
      </c>
      <c r="AD91">
        <f>HYPERLINK("https://klasma.github.io/Logging_2181/tillsynsmail/A 15121-2026 tillsynsbegäran mail.docx", "A 15121-2026")</f>
        <v/>
      </c>
    </row>
    <row r="92" ht="15" customHeight="1">
      <c r="A92" t="inlineStr">
        <is>
          <t>A 17062-2026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46114</v>
      </c>
      <c r="E92" s="1" t="n">
        <v>46286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Vårärt</t>
        </is>
      </c>
      <c r="W92">
        <f>HYPERLINK("https://klasma.github.io/Logging_2181/artfynd/A 17062-2026 artfynd.xlsx", "A 17062-2026")</f>
        <v/>
      </c>
      <c r="X92">
        <f>HYPERLINK("https://klasma.github.io/Logging_2181/kartor/A 17062-2026 karta.png", "A 17062-2026")</f>
        <v/>
      </c>
      <c r="Y92">
        <f>HYPERLINK("https://klasma.github.io/Logging_2181/kartor_geotiff/A 17062-2026 georefererad karta.tif", "A 17062-2026")</f>
        <v/>
      </c>
      <c r="AA92">
        <f>HYPERLINK("https://klasma.github.io/Logging_2181/klagomål/A 17062-2026 FSC-klagomål.docx", "A 17062-2026")</f>
        <v/>
      </c>
      <c r="AB92">
        <f>HYPERLINK("https://klasma.github.io/Logging_2181/klagomålsmail/A 17062-2026 FSC-klagomål mail.docx", "A 17062-2026")</f>
        <v/>
      </c>
      <c r="AC92">
        <f>HYPERLINK("https://klasma.github.io/Logging_2181/tillsyn/A 17062-2026 tillsynsbegäran.docx", "A 17062-2026")</f>
        <v/>
      </c>
      <c r="AD92">
        <f>HYPERLINK("https://klasma.github.io/Logging_2181/tillsynsmail/A 17062-2026 tillsynsbegäran mail.docx", "A 17062-2026")</f>
        <v/>
      </c>
    </row>
    <row r="93" ht="15" customHeight="1">
      <c r="A93" t="inlineStr">
        <is>
          <t>A 17364-2026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46286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3.2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Höstlåsbräken</t>
        </is>
      </c>
      <c r="W93">
        <f>HYPERLINK("https://klasma.github.io/Logging_2181/artfynd/A 17364-2026 artfynd.xlsx", "A 17364-2026")</f>
        <v/>
      </c>
      <c r="X93">
        <f>HYPERLINK("https://klasma.github.io/Logging_2181/kartor/A 17364-2026 karta.png", "A 17364-2026")</f>
        <v/>
      </c>
      <c r="Y93">
        <f>HYPERLINK("https://klasma.github.io/Logging_2181/kartor_geotiff/A 17364-2026 georefererad karta.tif", "A 17364-2026")</f>
        <v/>
      </c>
      <c r="AA93">
        <f>HYPERLINK("https://klasma.github.io/Logging_2181/klagomål/A 17364-2026 FSC-klagomål.docx", "A 17364-2026")</f>
        <v/>
      </c>
      <c r="AB93">
        <f>HYPERLINK("https://klasma.github.io/Logging_2181/klagomålsmail/A 17364-2026 FSC-klagomål mail.docx", "A 17364-2026")</f>
        <v/>
      </c>
      <c r="AC93">
        <f>HYPERLINK("https://klasma.github.io/Logging_2181/tillsyn/A 17364-2026 tillsynsbegäran.docx", "A 17364-2026")</f>
        <v/>
      </c>
      <c r="AD93">
        <f>HYPERLINK("https://klasma.github.io/Logging_2181/tillsynsmail/A 17364-2026 tillsynsbegäran mail.docx", "A 17364-2026")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46286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46286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46286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35419-2026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46261</v>
      </c>
      <c r="E97" s="1" t="n">
        <v>46286</v>
      </c>
      <c r="F97" t="inlineStr">
        <is>
          <t>GÄVLEBORGS LÄN</t>
        </is>
      </c>
      <c r="G97" t="inlineStr">
        <is>
          <t>SANDVIKEN</t>
        </is>
      </c>
      <c r="I97" t="n">
        <v>0.9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HYPERLINK("https://klasma.github.io/Logging_2181/artfynd/A 35419-2026 artfynd.xlsx", "A 35419-2026")</f>
        <v/>
      </c>
      <c r="X97">
        <f>HYPERLINK("https://klasma.github.io/Logging_2181/kartor/A 35419-2026 karta.png", "A 35419-2026")</f>
        <v/>
      </c>
      <c r="Y97">
        <f>HYPERLINK("https://klasma.github.io/Logging_2181/kartor_geotiff/A 35419-2026 georefererad karta.tif", "A 35419-2026")</f>
        <v/>
      </c>
      <c r="AA97">
        <f>HYPERLINK("https://klasma.github.io/Logging_2181/klagomål/A 35419-2026 FSC-klagomål.docx", "A 35419-2026")</f>
        <v/>
      </c>
      <c r="AB97">
        <f>HYPERLINK("https://klasma.github.io/Logging_2181/klagomålsmail/A 35419-2026 FSC-klagomål mail.docx", "A 35419-2026")</f>
        <v/>
      </c>
      <c r="AC97">
        <f>HYPERLINK("https://klasma.github.io/Logging_2181/tillsyn/A 35419-2026 tillsynsbegäran.docx", "A 35419-2026")</f>
        <v/>
      </c>
      <c r="AD97">
        <f>HYPERLINK("https://klasma.github.io/Logging_2181/tillsynsmail/A 35419-2026 tillsynsbegäran mail.docx", "A 35419-2026")</f>
        <v/>
      </c>
    </row>
    <row r="98" ht="15" customHeight="1">
      <c r="A98" t="inlineStr">
        <is>
          <t>A 31311-2026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46219</v>
      </c>
      <c r="E98" s="1" t="n">
        <v>46286</v>
      </c>
      <c r="F98" t="inlineStr">
        <is>
          <t>GÄVLEBORGS LÄN</t>
        </is>
      </c>
      <c r="G98" t="inlineStr">
        <is>
          <t>SANDVIKEN</t>
        </is>
      </c>
      <c r="I98" t="n">
        <v>1.7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padda</t>
        </is>
      </c>
      <c r="W98">
        <f>HYPERLINK("https://klasma.github.io/Logging_2181/artfynd/A 31311-2026 artfynd.xlsx", "A 31311-2026")</f>
        <v/>
      </c>
      <c r="X98">
        <f>HYPERLINK("https://klasma.github.io/Logging_2181/kartor/A 31311-2026 karta.png", "A 31311-2026")</f>
        <v/>
      </c>
      <c r="Y98">
        <f>HYPERLINK("https://klasma.github.io/Logging_2181/kartor_geotiff/A 31311-2026 georefererad karta.tif", "A 31311-2026")</f>
        <v/>
      </c>
      <c r="AA98">
        <f>HYPERLINK("https://klasma.github.io/Logging_2181/klagomål/A 31311-2026 FSC-klagomål.docx", "A 31311-2026")</f>
        <v/>
      </c>
      <c r="AB98">
        <f>HYPERLINK("https://klasma.github.io/Logging_2181/klagomålsmail/A 31311-2026 FSC-klagomål mail.docx", "A 31311-2026")</f>
        <v/>
      </c>
      <c r="AC98">
        <f>HYPERLINK("https://klasma.github.io/Logging_2181/tillsyn/A 31311-2026 tillsynsbegäran.docx", "A 31311-2026")</f>
        <v/>
      </c>
      <c r="AD98">
        <f>HYPERLINK("https://klasma.github.io/Logging_2181/tillsynsmail/A 31311-2026 tillsynsbegäran mail.docx", "A 31311-2026")</f>
        <v/>
      </c>
    </row>
    <row r="99" ht="15" customHeight="1">
      <c r="A99" t="inlineStr">
        <is>
          <t>A 35540-2026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46262</v>
      </c>
      <c r="E99" s="1" t="n">
        <v>46286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Lopplummer (aggregat)</t>
        </is>
      </c>
      <c r="W99">
        <f>HYPERLINK("https://klasma.github.io/Logging_2181/artfynd/A 35540-2026 artfynd.xlsx", "A 35540-2026")</f>
        <v/>
      </c>
      <c r="X99">
        <f>HYPERLINK("https://klasma.github.io/Logging_2181/kartor/A 35540-2026 karta.png", "A 35540-2026")</f>
        <v/>
      </c>
      <c r="Y99">
        <f>HYPERLINK("https://klasma.github.io/Logging_2181/kartor_geotiff/A 35540-2026 georefererad karta.tif", "A 35540-2026")</f>
        <v/>
      </c>
      <c r="AA99">
        <f>HYPERLINK("https://klasma.github.io/Logging_2181/klagomål/A 35540-2026 FSC-klagomål.docx", "A 35540-2026")</f>
        <v/>
      </c>
      <c r="AB99">
        <f>HYPERLINK("https://klasma.github.io/Logging_2181/klagomålsmail/A 35540-2026 FSC-klagomål mail.docx", "A 35540-2026")</f>
        <v/>
      </c>
      <c r="AC99">
        <f>HYPERLINK("https://klasma.github.io/Logging_2181/tillsyn/A 35540-2026 tillsynsbegäran.docx", "A 35540-2026")</f>
        <v/>
      </c>
      <c r="AD99">
        <f>HYPERLINK("https://klasma.github.io/Logging_2181/tillsynsmail/A 35540-2026 tillsynsbegäran mail.docx", "A 35540-2026")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46286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34406-2026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46286</v>
      </c>
      <c r="F101" t="inlineStr">
        <is>
          <t>GÄVLEBORGS LÄN</t>
        </is>
      </c>
      <c r="G101" t="inlineStr">
        <is>
          <t>SANDVIKEN</t>
        </is>
      </c>
      <c r="I101" t="n">
        <v>15.1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Loppstarr</t>
        </is>
      </c>
      <c r="W101">
        <f>HYPERLINK("https://klasma.github.io/Logging_2181/artfynd/A 34406-2026 artfynd.xlsx", "A 34406-2026")</f>
        <v/>
      </c>
      <c r="X101">
        <f>HYPERLINK("https://klasma.github.io/Logging_2181/kartor/A 34406-2026 karta.png", "A 34406-2026")</f>
        <v/>
      </c>
      <c r="Y101">
        <f>HYPERLINK("https://klasma.github.io/Logging_2181/kartor_geotiff/A 34406-2026 georefererad karta.tif", "A 34406-2026")</f>
        <v/>
      </c>
      <c r="AA101">
        <f>HYPERLINK("https://klasma.github.io/Logging_2181/klagomål/A 34406-2026 FSC-klagomål.docx", "A 34406-2026")</f>
        <v/>
      </c>
      <c r="AB101">
        <f>HYPERLINK("https://klasma.github.io/Logging_2181/klagomålsmail/A 34406-2026 FSC-klagomål mail.docx", "A 34406-2026")</f>
        <v/>
      </c>
      <c r="AC101">
        <f>HYPERLINK("https://klasma.github.io/Logging_2181/tillsyn/A 34406-2026 tillsynsbegäran.docx", "A 34406-2026")</f>
        <v/>
      </c>
      <c r="AD101">
        <f>HYPERLINK("https://klasma.github.io/Logging_2181/tillsynsmail/A 34406-2026 tillsynsbegäran mail.docx", "A 34406-2026")</f>
        <v/>
      </c>
    </row>
    <row r="102" ht="15" customHeight="1">
      <c r="A102" t="inlineStr">
        <is>
          <t>A 36596-2026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46269</v>
      </c>
      <c r="E102" s="1" t="n">
        <v>46286</v>
      </c>
      <c r="F102" t="inlineStr">
        <is>
          <t>GÄVLEBORGS LÄN</t>
        </is>
      </c>
      <c r="G102" t="inlineStr">
        <is>
          <t>SANDVIKEN</t>
        </is>
      </c>
      <c r="I102" t="n">
        <v>10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36596-2026 artfynd.xlsx", "A 36596-2026")</f>
        <v/>
      </c>
      <c r="X102">
        <f>HYPERLINK("https://klasma.github.io/Logging_2181/kartor/A 36596-2026 karta.png", "A 36596-2026")</f>
        <v/>
      </c>
      <c r="Y102">
        <f>HYPERLINK("https://klasma.github.io/Logging_2181/kartor_geotiff/A 36596-2026 georefererad karta.tif", "A 36596-2026")</f>
        <v/>
      </c>
      <c r="AA102">
        <f>HYPERLINK("https://klasma.github.io/Logging_2181/klagomål/A 36596-2026 FSC-klagomål.docx", "A 36596-2026")</f>
        <v/>
      </c>
      <c r="AB102">
        <f>HYPERLINK("https://klasma.github.io/Logging_2181/klagomålsmail/A 36596-2026 FSC-klagomål mail.docx", "A 36596-2026")</f>
        <v/>
      </c>
      <c r="AC102">
        <f>HYPERLINK("https://klasma.github.io/Logging_2181/tillsyn/A 36596-2026 tillsynsbegäran.docx", "A 36596-2026")</f>
        <v/>
      </c>
      <c r="AD102">
        <f>HYPERLINK("https://klasma.github.io/Logging_2181/tillsynsmail/A 36596-2026 tillsynsbegäran mail.docx", "A 36596-2026")</f>
        <v/>
      </c>
    </row>
    <row r="103" ht="15" customHeight="1">
      <c r="A103" t="inlineStr">
        <is>
          <t>A 38109-2026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46286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öst AB</t>
        </is>
      </c>
      <c r="I103" t="n">
        <v>11.9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Linmåra/småsnärjmåra</t>
        </is>
      </c>
      <c r="W103">
        <f>HYPERLINK("https://klasma.github.io/Logging_2181/artfynd/A 38109-2026 artfynd.xlsx", "A 38109-2026")</f>
        <v/>
      </c>
      <c r="X103">
        <f>HYPERLINK("https://klasma.github.io/Logging_2181/kartor/A 38109-2026 karta.png", "A 38109-2026")</f>
        <v/>
      </c>
      <c r="Y103">
        <f>HYPERLINK("https://klasma.github.io/Logging_2181/kartor_geotiff/A 38109-2026 georefererad karta.tif", "A 38109-2026")</f>
        <v/>
      </c>
      <c r="AA103">
        <f>HYPERLINK("https://klasma.github.io/Logging_2181/klagomål/A 38109-2026 FSC-klagomål.docx", "A 38109-2026")</f>
        <v/>
      </c>
      <c r="AB103">
        <f>HYPERLINK("https://klasma.github.io/Logging_2181/klagomålsmail/A 38109-2026 FSC-klagomål mail.docx", "A 38109-2026")</f>
        <v/>
      </c>
      <c r="AC103">
        <f>HYPERLINK("https://klasma.github.io/Logging_2181/tillsyn/A 38109-2026 tillsynsbegäran.docx", "A 38109-2026")</f>
        <v/>
      </c>
      <c r="AD103">
        <f>HYPERLINK("https://klasma.github.io/Logging_2181/tillsynsmail/A 38109-2026 tillsynsbegäran mail.docx", "A 38109-2026")</f>
        <v/>
      </c>
    </row>
    <row r="104" ht="15" customHeight="1">
      <c r="A104" t="inlineStr">
        <is>
          <t>A 32539-2026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46286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Grönsiska</t>
        </is>
      </c>
      <c r="W104">
        <f>HYPERLINK("https://klasma.github.io/Logging_2181/artfynd/A 32539-2026 artfynd.xlsx", "A 32539-2026")</f>
        <v/>
      </c>
      <c r="X104">
        <f>HYPERLINK("https://klasma.github.io/Logging_2181/kartor/A 32539-2026 karta.png", "A 32539-2026")</f>
        <v/>
      </c>
      <c r="Y104">
        <f>HYPERLINK("https://klasma.github.io/Logging_2181/kartor_geotiff/A 32539-2026 georefererad karta.tif", "A 32539-2026")</f>
        <v/>
      </c>
      <c r="AA104">
        <f>HYPERLINK("https://klasma.github.io/Logging_2181/klagomål/A 32539-2026 FSC-klagomål.docx", "A 32539-2026")</f>
        <v/>
      </c>
      <c r="AB104">
        <f>HYPERLINK("https://klasma.github.io/Logging_2181/klagomålsmail/A 32539-2026 FSC-klagomål mail.docx", "A 32539-2026")</f>
        <v/>
      </c>
      <c r="AC104">
        <f>HYPERLINK("https://klasma.github.io/Logging_2181/tillsyn/A 32539-2026 tillsynsbegäran.docx", "A 32539-2026")</f>
        <v/>
      </c>
      <c r="AD104">
        <f>HYPERLINK("https://klasma.github.io/Logging_2181/tillsynsmail/A 32539-2026 tillsynsbegäran mail.docx", "A 32539-2026")</f>
        <v/>
      </c>
    </row>
    <row r="105" ht="15" customHeight="1">
      <c r="A105" t="inlineStr">
        <is>
          <t>A 32544-2026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46286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HYPERLINK("https://klasma.github.io/Logging_2181/artfynd/A 32544-2026 artfynd.xlsx", "A 32544-2026")</f>
        <v/>
      </c>
      <c r="X105">
        <f>HYPERLINK("https://klasma.github.io/Logging_2181/kartor/A 32544-2026 karta.png", "A 32544-2026")</f>
        <v/>
      </c>
      <c r="Y105">
        <f>HYPERLINK("https://klasma.github.io/Logging_2181/kartor_geotiff/A 32544-2026 georefererad karta.tif", "A 32544-2026")</f>
        <v/>
      </c>
      <c r="AA105">
        <f>HYPERLINK("https://klasma.github.io/Logging_2181/klagomål/A 32544-2026 FSC-klagomål.docx", "A 32544-2026")</f>
        <v/>
      </c>
      <c r="AB105">
        <f>HYPERLINK("https://klasma.github.io/Logging_2181/klagomålsmail/A 32544-2026 FSC-klagomål mail.docx", "A 32544-2026")</f>
        <v/>
      </c>
      <c r="AC105">
        <f>HYPERLINK("https://klasma.github.io/Logging_2181/tillsyn/A 32544-2026 tillsynsbegäran.docx", "A 32544-2026")</f>
        <v/>
      </c>
      <c r="AD105">
        <f>HYPERLINK("https://klasma.github.io/Logging_2181/tillsynsmail/A 32544-2026 tillsynsbegäran mail.docx", "A 32544-2026")</f>
        <v/>
      </c>
    </row>
    <row r="106" ht="15" customHeight="1">
      <c r="A106" t="inlineStr">
        <is>
          <t>A 32533-2026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46286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Järnsparv</t>
        </is>
      </c>
      <c r="W106">
        <f>HYPERLINK("https://klasma.github.io/Logging_2181/artfynd/A 32533-2026 artfynd.xlsx", "A 32533-2026")</f>
        <v/>
      </c>
      <c r="X106">
        <f>HYPERLINK("https://klasma.github.io/Logging_2181/kartor/A 32533-2026 karta.png", "A 32533-2026")</f>
        <v/>
      </c>
      <c r="Y106">
        <f>HYPERLINK("https://klasma.github.io/Logging_2181/kartor_geotiff/A 32533-2026 georefererad karta.tif", "A 32533-2026")</f>
        <v/>
      </c>
      <c r="AA106">
        <f>HYPERLINK("https://klasma.github.io/Logging_2181/klagomål/A 32533-2026 FSC-klagomål.docx", "A 32533-2026")</f>
        <v/>
      </c>
      <c r="AB106">
        <f>HYPERLINK("https://klasma.github.io/Logging_2181/klagomålsmail/A 32533-2026 FSC-klagomål mail.docx", "A 32533-2026")</f>
        <v/>
      </c>
      <c r="AC106">
        <f>HYPERLINK("https://klasma.github.io/Logging_2181/tillsyn/A 32533-2026 tillsynsbegäran.docx", "A 32533-2026")</f>
        <v/>
      </c>
      <c r="AD106">
        <f>HYPERLINK("https://klasma.github.io/Logging_2181/tillsynsmail/A 32533-2026 tillsynsbegäran mail.docx", "A 32533-2026")</f>
        <v/>
      </c>
      <c r="AE106">
        <f>HYPERLINK("https://klasma.github.io/Logging_2181/fåglar/A 32533-2026 prioriterade fågelarter.docx", "A 32533-2026")</f>
        <v/>
      </c>
    </row>
    <row r="107" ht="15" customHeight="1">
      <c r="A107" t="inlineStr">
        <is>
          <t>A 25314-2025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46286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HYPERLINK("https://klasma.github.io/Logging_2181/artfynd/A 25314-2025 artfynd.xlsx", "A 25314-2025")</f>
        <v/>
      </c>
      <c r="X107">
        <f>HYPERLINK("https://klasma.github.io/Logging_2181/kartor/A 25314-2025 karta.png", "A 25314-2025")</f>
        <v/>
      </c>
      <c r="Y107">
        <f>HYPERLINK("https://klasma.github.io/Logging_2181/kartor_geotiff/A 25314-2025 georefererad karta.tif", "A 25314-2025")</f>
        <v/>
      </c>
      <c r="AA107">
        <f>HYPERLINK("https://klasma.github.io/Logging_2181/klagomål/A 25314-2025 FSC-klagomål.docx", "A 25314-2025")</f>
        <v/>
      </c>
      <c r="AB107">
        <f>HYPERLINK("https://klasma.github.io/Logging_2181/klagomålsmail/A 25314-2025 FSC-klagomål mail.docx", "A 25314-2025")</f>
        <v/>
      </c>
      <c r="AC107">
        <f>HYPERLINK("https://klasma.github.io/Logging_2181/tillsyn/A 25314-2025 tillsynsbegäran.docx", "A 25314-2025")</f>
        <v/>
      </c>
      <c r="AD107">
        <f>HYPERLINK("https://klasma.github.io/Logging_2181/tillsynsmail/A 25314-2025 tillsynsbegäran mail.docx", "A 25314-2025")</f>
        <v/>
      </c>
    </row>
    <row r="108" ht="15" customHeight="1">
      <c r="A108" t="inlineStr">
        <is>
          <t>A 25323-2025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46286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Plattlummer</t>
        </is>
      </c>
      <c r="W108">
        <f>HYPERLINK("https://klasma.github.io/Logging_2181/artfynd/A 25323-2025 artfynd.xlsx", "A 25323-2025")</f>
        <v/>
      </c>
      <c r="X108">
        <f>HYPERLINK("https://klasma.github.io/Logging_2181/kartor/A 25323-2025 karta.png", "A 25323-2025")</f>
        <v/>
      </c>
      <c r="Y108">
        <f>HYPERLINK("https://klasma.github.io/Logging_2181/kartor_geotiff/A 25323-2025 georefererad karta.tif", "A 25323-2025")</f>
        <v/>
      </c>
      <c r="AA108">
        <f>HYPERLINK("https://klasma.github.io/Logging_2181/klagomål/A 25323-2025 FSC-klagomål.docx", "A 25323-2025")</f>
        <v/>
      </c>
      <c r="AB108">
        <f>HYPERLINK("https://klasma.github.io/Logging_2181/klagomålsmail/A 25323-2025 FSC-klagomål mail.docx", "A 25323-2025")</f>
        <v/>
      </c>
      <c r="AC108">
        <f>HYPERLINK("https://klasma.github.io/Logging_2181/tillsyn/A 25323-2025 tillsynsbegäran.docx", "A 25323-2025")</f>
        <v/>
      </c>
      <c r="AD108">
        <f>HYPERLINK("https://klasma.github.io/Logging_2181/tillsynsmail/A 25323-2025 tillsynsbegäran mail.docx", "A 25323-2025")</f>
        <v/>
      </c>
    </row>
    <row r="109" ht="15" customHeight="1">
      <c r="A109" t="inlineStr">
        <is>
          <t>A 36417-2025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45868</v>
      </c>
      <c r="E109" s="1" t="n">
        <v>46286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HYPERLINK("https://klasma.github.io/Logging_2181/artfynd/A 36417-2025 artfynd.xlsx", "A 36417-2025")</f>
        <v/>
      </c>
      <c r="X109">
        <f>HYPERLINK("https://klasma.github.io/Logging_2181/kartor/A 36417-2025 karta.png", "A 36417-2025")</f>
        <v/>
      </c>
      <c r="Y109">
        <f>HYPERLINK("https://klasma.github.io/Logging_2181/kartor_geotiff/A 36417-2025 georefererad karta.tif", "A 36417-2025")</f>
        <v/>
      </c>
      <c r="Z109">
        <f>HYPERLINK("https://klasma.github.io/Logging_2181/knärot/A 36417-2025 karta knärot.png", "A 36417-2025")</f>
        <v/>
      </c>
      <c r="AA109">
        <f>HYPERLINK("https://klasma.github.io/Logging_2181/klagomål/A 36417-2025 FSC-klagomål.docx", "A 36417-2025")</f>
        <v/>
      </c>
      <c r="AB109">
        <f>HYPERLINK("https://klasma.github.io/Logging_2181/klagomålsmail/A 36417-2025 FSC-klagomål mail.docx", "A 36417-2025")</f>
        <v/>
      </c>
      <c r="AC109">
        <f>HYPERLINK("https://klasma.github.io/Logging_2181/tillsyn/A 36417-2025 tillsynsbegäran.docx", "A 36417-2025")</f>
        <v/>
      </c>
      <c r="AD109">
        <f>HYPERLINK("https://klasma.github.io/Logging_2181/tillsynsmail/A 36417-2025 tillsynsbegäran mail.docx", "A 36417-2025")</f>
        <v/>
      </c>
    </row>
    <row r="110" ht="15" customHeight="1">
      <c r="A110" t="inlineStr">
        <is>
          <t>A 38350-2025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46286</v>
      </c>
      <c r="F110" t="inlineStr">
        <is>
          <t>GÄVLEBORGS LÄN</t>
        </is>
      </c>
      <c r="G110" t="inlineStr">
        <is>
          <t>SANDVIKEN</t>
        </is>
      </c>
      <c r="H110" t="inlineStr">
        <is>
          <t>Bergvik skog väst AB</t>
        </is>
      </c>
      <c r="I110" t="n">
        <v>25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Brandticka</t>
        </is>
      </c>
      <c r="W110">
        <f>HYPERLINK("https://klasma.github.io/Logging_2181/artfynd/A 38350-2025 artfynd.xlsx", "A 38350-2025")</f>
        <v/>
      </c>
      <c r="X110">
        <f>HYPERLINK("https://klasma.github.io/Logging_2181/kartor/A 38350-2025 karta.png", "A 38350-2025")</f>
        <v/>
      </c>
      <c r="Y110">
        <f>HYPERLINK("https://klasma.github.io/Logging_2181/kartor_geotiff/A 38350-2025 georefererad karta.tif", "A 38350-2025")</f>
        <v/>
      </c>
      <c r="AA110">
        <f>HYPERLINK("https://klasma.github.io/Logging_2181/klagomål/A 38350-2025 FSC-klagomål.docx", "A 38350-2025")</f>
        <v/>
      </c>
      <c r="AB110">
        <f>HYPERLINK("https://klasma.github.io/Logging_2181/klagomålsmail/A 38350-2025 FSC-klagomål mail.docx", "A 38350-2025")</f>
        <v/>
      </c>
      <c r="AC110">
        <f>HYPERLINK("https://klasma.github.io/Logging_2181/tillsyn/A 38350-2025 tillsynsbegäran.docx", "A 38350-2025")</f>
        <v/>
      </c>
      <c r="AD110">
        <f>HYPERLINK("https://klasma.github.io/Logging_2181/tillsynsmail/A 38350-2025 tillsynsbegäran mail.docx", "A 38350-2025")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46286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46286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46286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46286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46286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46286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46286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46286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46286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46286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46286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46286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46286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46286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46286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46286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46286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46286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46286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46286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46286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46286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46286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46286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46286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46286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46286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46286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46286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46286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46286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46286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46286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46286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46286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46286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46286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46286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46286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44846</v>
      </c>
      <c r="E150" s="1" t="n">
        <v>46286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46286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46286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46286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46286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46286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46286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46286</v>
      </c>
      <c r="F157" t="inlineStr">
        <is>
          <t>GÄVLEBORGS LÄN</t>
        </is>
      </c>
      <c r="G157" t="inlineStr">
        <is>
          <t>SANDVIKEN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46286</v>
      </c>
      <c r="F158" t="inlineStr">
        <is>
          <t>GÄVLEBORGS LÄN</t>
        </is>
      </c>
      <c r="G158" t="inlineStr">
        <is>
          <t>SANDVIKEN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45649</v>
      </c>
      <c r="E159" s="1" t="n">
        <v>46286</v>
      </c>
      <c r="F159" t="inlineStr">
        <is>
          <t>GÄVLEBORGS LÄN</t>
        </is>
      </c>
      <c r="G159" t="inlineStr">
        <is>
          <t>SANDVIKEN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46286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46286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46286</v>
      </c>
      <c r="F162" t="inlineStr">
        <is>
          <t>GÄVLEBORGS LÄN</t>
        </is>
      </c>
      <c r="G162" t="inlineStr">
        <is>
          <t>SANDVIKEN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46286</v>
      </c>
      <c r="F163" t="inlineStr">
        <is>
          <t>GÄVLEBORGS LÄN</t>
        </is>
      </c>
      <c r="G163" t="inlineStr">
        <is>
          <t>SANDVIKEN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45212</v>
      </c>
      <c r="E164" s="1" t="n">
        <v>46286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46286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46286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46286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46286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46286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46286</v>
      </c>
      <c r="F170" t="inlineStr">
        <is>
          <t>GÄVLEBORGS LÄN</t>
        </is>
      </c>
      <c r="G170" t="inlineStr">
        <is>
          <t>SANDVIKEN</t>
        </is>
      </c>
      <c r="H170" t="inlineStr">
        <is>
          <t>Bergvik skog väst AB</t>
        </is>
      </c>
      <c r="I170" t="n">
        <v>18.5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46286</v>
      </c>
      <c r="F171" t="inlineStr">
        <is>
          <t>GÄVLEBORGS LÄN</t>
        </is>
      </c>
      <c r="G171" t="inlineStr">
        <is>
          <t>SANDVIKEN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46286</v>
      </c>
      <c r="F172" t="inlineStr">
        <is>
          <t>GÄVLEBORGS LÄN</t>
        </is>
      </c>
      <c r="G172" t="inlineStr">
        <is>
          <t>SANDVIKEN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46286</v>
      </c>
      <c r="F173" t="inlineStr">
        <is>
          <t>GÄVLEBORGS LÄN</t>
        </is>
      </c>
      <c r="G173" t="inlineStr">
        <is>
          <t>SANDVIKEN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46286</v>
      </c>
      <c r="F174" t="inlineStr">
        <is>
          <t>GÄVLEBORGS LÄN</t>
        </is>
      </c>
      <c r="G174" t="inlineStr">
        <is>
          <t>SANDVIKEN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44744</v>
      </c>
      <c r="E175" s="1" t="n">
        <v>46286</v>
      </c>
      <c r="F175" t="inlineStr">
        <is>
          <t>GÄVLEBORGS LÄN</t>
        </is>
      </c>
      <c r="G175" t="inlineStr">
        <is>
          <t>SANDVIKEN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46286</v>
      </c>
      <c r="F176" t="inlineStr">
        <is>
          <t>GÄVLEBORGS LÄN</t>
        </is>
      </c>
      <c r="G176" t="inlineStr">
        <is>
          <t>SANDVIKEN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46286</v>
      </c>
      <c r="F177" t="inlineStr">
        <is>
          <t>GÄVLEBORGS LÄN</t>
        </is>
      </c>
      <c r="G177" t="inlineStr">
        <is>
          <t>SANDVIKEN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46286</v>
      </c>
      <c r="F178" t="inlineStr">
        <is>
          <t>GÄVLEBORGS LÄN</t>
        </is>
      </c>
      <c r="G178" t="inlineStr">
        <is>
          <t>SANDVIKEN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46286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46286</v>
      </c>
      <c r="F180" t="inlineStr">
        <is>
          <t>GÄVLEBORGS LÄN</t>
        </is>
      </c>
      <c r="G180" t="inlineStr">
        <is>
          <t>SANDVIKEN</t>
        </is>
      </c>
      <c r="I180" t="n">
        <v>11.1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46286</v>
      </c>
      <c r="F181" t="inlineStr">
        <is>
          <t>GÄVLEBORGS LÄN</t>
        </is>
      </c>
      <c r="G181" t="inlineStr">
        <is>
          <t>SANDVIKEN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45408</v>
      </c>
      <c r="E182" s="1" t="n">
        <v>46286</v>
      </c>
      <c r="F182" t="inlineStr">
        <is>
          <t>GÄVLEBORGS LÄN</t>
        </is>
      </c>
      <c r="G182" t="inlineStr">
        <is>
          <t>SANDVIKEN</t>
        </is>
      </c>
      <c r="H182" t="inlineStr">
        <is>
          <t>Bergvik skog väst AB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46286</v>
      </c>
      <c r="F183" t="inlineStr">
        <is>
          <t>GÄVLEBORGS LÄN</t>
        </is>
      </c>
      <c r="G183" t="inlineStr">
        <is>
          <t>SANDVIKEN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45567</v>
      </c>
      <c r="E184" s="1" t="n">
        <v>46286</v>
      </c>
      <c r="F184" t="inlineStr">
        <is>
          <t>GÄVLEBORGS LÄN</t>
        </is>
      </c>
      <c r="G184" t="inlineStr">
        <is>
          <t>SANDVIKEN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46286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46286</v>
      </c>
      <c r="F186" t="inlineStr">
        <is>
          <t>GÄVLEBORGS LÄN</t>
        </is>
      </c>
      <c r="G186" t="inlineStr">
        <is>
          <t>SANDVIKEN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46286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46286</v>
      </c>
      <c r="F188" t="inlineStr">
        <is>
          <t>GÄVLEBORGS LÄN</t>
        </is>
      </c>
      <c r="G188" t="inlineStr">
        <is>
          <t>SANDVIKEN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38609-2022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46286</v>
      </c>
      <c r="F189" t="inlineStr">
        <is>
          <t>GÄVLEBORGS LÄN</t>
        </is>
      </c>
      <c r="G189" t="inlineStr">
        <is>
          <t>SANDVIKEN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46286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46286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44797</v>
      </c>
      <c r="E192" s="1" t="n">
        <v>46286</v>
      </c>
      <c r="F192" t="inlineStr">
        <is>
          <t>GÄVLEBORGS LÄN</t>
        </is>
      </c>
      <c r="G192" t="inlineStr">
        <is>
          <t>SANDVIKEN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45480</v>
      </c>
      <c r="E193" s="1" t="n">
        <v>46286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46286</v>
      </c>
      <c r="F194" t="inlineStr">
        <is>
          <t>GÄVLEBORGS LÄN</t>
        </is>
      </c>
      <c r="G194" t="inlineStr">
        <is>
          <t>SANDVIKEN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44804</v>
      </c>
      <c r="E195" s="1" t="n">
        <v>46286</v>
      </c>
      <c r="F195" t="inlineStr">
        <is>
          <t>GÄVLEBORGS LÄN</t>
        </is>
      </c>
      <c r="G195" t="inlineStr">
        <is>
          <t>SANDVIKEN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46286</v>
      </c>
      <c r="F196" t="inlineStr">
        <is>
          <t>GÄVLEBORGS LÄN</t>
        </is>
      </c>
      <c r="G196" t="inlineStr">
        <is>
          <t>SANDVIKEN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46286</v>
      </c>
      <c r="F197" t="inlineStr">
        <is>
          <t>GÄVLEBORGS LÄN</t>
        </is>
      </c>
      <c r="G197" t="inlineStr">
        <is>
          <t>SANDVIKEN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46286</v>
      </c>
      <c r="F198" t="inlineStr">
        <is>
          <t>GÄVLEBORGS LÄN</t>
        </is>
      </c>
      <c r="G198" t="inlineStr">
        <is>
          <t>SANDVIKEN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46286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46286</v>
      </c>
      <c r="F200" t="inlineStr">
        <is>
          <t>GÄVLEBORGS LÄN</t>
        </is>
      </c>
      <c r="G200" t="inlineStr">
        <is>
          <t>SANDVIKEN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46286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46286</v>
      </c>
      <c r="F202" t="inlineStr">
        <is>
          <t>GÄVLEBORGS LÄN</t>
        </is>
      </c>
      <c r="G202" t="inlineStr">
        <is>
          <t>SANDVIKEN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46286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46286</v>
      </c>
      <c r="F204" t="inlineStr">
        <is>
          <t>GÄVLEBORGS LÄN</t>
        </is>
      </c>
      <c r="G204" t="inlineStr">
        <is>
          <t>SANDVIKEN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45709</v>
      </c>
      <c r="E205" s="1" t="n">
        <v>46286</v>
      </c>
      <c r="F205" t="inlineStr">
        <is>
          <t>GÄVLEBORGS LÄN</t>
        </is>
      </c>
      <c r="G205" t="inlineStr">
        <is>
          <t>SANDVIKEN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46286</v>
      </c>
      <c r="F206" t="inlineStr">
        <is>
          <t>GÄVLEBORGS LÄN</t>
        </is>
      </c>
      <c r="G206" t="inlineStr">
        <is>
          <t>SANDVIKEN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46286</v>
      </c>
      <c r="F207" t="inlineStr">
        <is>
          <t>GÄVLEBORGS LÄN</t>
        </is>
      </c>
      <c r="G207" t="inlineStr">
        <is>
          <t>SANDVIKEN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46080</v>
      </c>
      <c r="E208" s="1" t="n">
        <v>46286</v>
      </c>
      <c r="F208" t="inlineStr">
        <is>
          <t>GÄVLEBORGS LÄN</t>
        </is>
      </c>
      <c r="G208" t="inlineStr">
        <is>
          <t>SANDVIKEN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46286</v>
      </c>
      <c r="F209" t="inlineStr">
        <is>
          <t>GÄVLEBORGS LÄN</t>
        </is>
      </c>
      <c r="G209" t="inlineStr">
        <is>
          <t>SANDVIKEN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46286</v>
      </c>
      <c r="F210" t="inlineStr">
        <is>
          <t>GÄVLEBORGS LÄN</t>
        </is>
      </c>
      <c r="G210" t="inlineStr">
        <is>
          <t>SANDVIKEN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46286</v>
      </c>
      <c r="F211" t="inlineStr">
        <is>
          <t>GÄVLEBORGS LÄN</t>
        </is>
      </c>
      <c r="G211" t="inlineStr">
        <is>
          <t>SANDVIKEN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46286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46286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46134</v>
      </c>
      <c r="E214" s="1" t="n">
        <v>46286</v>
      </c>
      <c r="F214" t="inlineStr">
        <is>
          <t>GÄVLEBORGS LÄN</t>
        </is>
      </c>
      <c r="G214" t="inlineStr">
        <is>
          <t>SANDVIKEN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46286</v>
      </c>
      <c r="F215" t="inlineStr">
        <is>
          <t>GÄVLEBORGS LÄN</t>
        </is>
      </c>
      <c r="G215" t="inlineStr">
        <is>
          <t>SANDVIKEN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61694-2021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46286</v>
      </c>
      <c r="F216" t="inlineStr">
        <is>
          <t>GÄVLEBORGS LÄN</t>
        </is>
      </c>
      <c r="G216" t="inlineStr">
        <is>
          <t>SANDVIKEN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46286</v>
      </c>
      <c r="F217" t="inlineStr">
        <is>
          <t>GÄVLEBORGS LÄN</t>
        </is>
      </c>
      <c r="G217" t="inlineStr">
        <is>
          <t>SANDVIKEN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72997-2021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44549</v>
      </c>
      <c r="E218" s="1" t="n">
        <v>46286</v>
      </c>
      <c r="F218" t="inlineStr">
        <is>
          <t>GÄVLEBORGS LÄN</t>
        </is>
      </c>
      <c r="G218" t="inlineStr">
        <is>
          <t>SANDVIKEN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46286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46061</v>
      </c>
      <c r="E220" s="1" t="n">
        <v>46286</v>
      </c>
      <c r="F220" t="inlineStr">
        <is>
          <t>GÄVLEBORGS LÄN</t>
        </is>
      </c>
      <c r="G220" t="inlineStr">
        <is>
          <t>SANDVIKEN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46286</v>
      </c>
      <c r="F221" t="inlineStr">
        <is>
          <t>GÄVLEBORGS LÄN</t>
        </is>
      </c>
      <c r="G221" t="inlineStr">
        <is>
          <t>SANDVIKEN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45121</v>
      </c>
      <c r="E222" s="1" t="n">
        <v>46286</v>
      </c>
      <c r="F222" t="inlineStr">
        <is>
          <t>GÄVLEBORGS LÄN</t>
        </is>
      </c>
      <c r="G222" t="inlineStr">
        <is>
          <t>SANDVIKEN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46286</v>
      </c>
      <c r="F223" t="inlineStr">
        <is>
          <t>GÄVLEBORGS LÄN</t>
        </is>
      </c>
      <c r="G223" t="inlineStr">
        <is>
          <t>SANDVIKEN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46286</v>
      </c>
      <c r="F224" t="inlineStr">
        <is>
          <t>GÄVLEBORGS LÄN</t>
        </is>
      </c>
      <c r="G224" t="inlineStr">
        <is>
          <t>SANDVIKEN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45390</v>
      </c>
      <c r="E225" s="1" t="n">
        <v>46286</v>
      </c>
      <c r="F225" t="inlineStr">
        <is>
          <t>GÄVLEBORGS LÄN</t>
        </is>
      </c>
      <c r="G225" t="inlineStr">
        <is>
          <t>SANDVIKEN</t>
        </is>
      </c>
      <c r="H225" t="inlineStr">
        <is>
          <t>Kyrkan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46286</v>
      </c>
      <c r="F226" t="inlineStr">
        <is>
          <t>GÄVLEBORGS LÄN</t>
        </is>
      </c>
      <c r="G226" t="inlineStr">
        <is>
          <t>SANDVIKEN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46286</v>
      </c>
      <c r="F227" t="inlineStr">
        <is>
          <t>GÄVLEBORGS LÄN</t>
        </is>
      </c>
      <c r="G227" t="inlineStr">
        <is>
          <t>SANDVIKEN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45252</v>
      </c>
      <c r="E228" s="1" t="n">
        <v>46286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46286</v>
      </c>
      <c r="F229" t="inlineStr">
        <is>
          <t>GÄVLEBORGS LÄN</t>
        </is>
      </c>
      <c r="G229" t="inlineStr">
        <is>
          <t>SANDVIKEN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46286</v>
      </c>
      <c r="F230" t="inlineStr">
        <is>
          <t>GÄVLEBORGS LÄN</t>
        </is>
      </c>
      <c r="G230" t="inlineStr">
        <is>
          <t>SANDVIKEN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45660</v>
      </c>
      <c r="E231" s="1" t="n">
        <v>46286</v>
      </c>
      <c r="F231" t="inlineStr">
        <is>
          <t>GÄVLEBORGS LÄN</t>
        </is>
      </c>
      <c r="G231" t="inlineStr">
        <is>
          <t>SANDVIKEN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46286</v>
      </c>
      <c r="F232" t="inlineStr">
        <is>
          <t>GÄVLEBORGS LÄN</t>
        </is>
      </c>
      <c r="G232" t="inlineStr">
        <is>
          <t>SANDVIKEN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46286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46286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46286</v>
      </c>
      <c r="F235" t="inlineStr">
        <is>
          <t>GÄVLEBORGS LÄN</t>
        </is>
      </c>
      <c r="G235" t="inlineStr">
        <is>
          <t>SANDVIKEN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46286</v>
      </c>
      <c r="F236" t="inlineStr">
        <is>
          <t>GÄVLEBORGS LÄN</t>
        </is>
      </c>
      <c r="G236" t="inlineStr">
        <is>
          <t>SANDVIKEN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46286</v>
      </c>
      <c r="F237" t="inlineStr">
        <is>
          <t>GÄVLEBORGS LÄN</t>
        </is>
      </c>
      <c r="G237" t="inlineStr">
        <is>
          <t>SANDVIKEN</t>
        </is>
      </c>
      <c r="H237" t="inlineStr">
        <is>
          <t>Bergvik skog öst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46093</v>
      </c>
      <c r="E238" s="1" t="n">
        <v>46286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46286</v>
      </c>
      <c r="F239" t="inlineStr">
        <is>
          <t>GÄVLEBORGS LÄN</t>
        </is>
      </c>
      <c r="G239" t="inlineStr">
        <is>
          <t>SANDVIKEN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46286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46046</v>
      </c>
      <c r="E241" s="1" t="n">
        <v>46286</v>
      </c>
      <c r="F241" t="inlineStr">
        <is>
          <t>GÄVLEBORGS LÄN</t>
        </is>
      </c>
      <c r="G241" t="inlineStr">
        <is>
          <t>SANDVIKEN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39877-2025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45891</v>
      </c>
      <c r="E242" s="1" t="n">
        <v>46286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46286</v>
      </c>
      <c r="F243" t="inlineStr">
        <is>
          <t>GÄVLEBORGS LÄN</t>
        </is>
      </c>
      <c r="G243" t="inlineStr">
        <is>
          <t>SANDVIKEN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28523-2024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46286</v>
      </c>
      <c r="F244" t="inlineStr">
        <is>
          <t>GÄVLEBORGS LÄN</t>
        </is>
      </c>
      <c r="G244" t="inlineStr">
        <is>
          <t>SANDVIKEN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19419-2025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46286</v>
      </c>
      <c r="F245" t="inlineStr">
        <is>
          <t>GÄVLEBORGS LÄN</t>
        </is>
      </c>
      <c r="G245" t="inlineStr">
        <is>
          <t>SANDVIKEN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45558</v>
      </c>
      <c r="E246" s="1" t="n">
        <v>46286</v>
      </c>
      <c r="F246" t="inlineStr">
        <is>
          <t>GÄVLEBORGS LÄN</t>
        </is>
      </c>
      <c r="G246" t="inlineStr">
        <is>
          <t>SANDVIKEN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45120</v>
      </c>
      <c r="E247" s="1" t="n">
        <v>46286</v>
      </c>
      <c r="F247" t="inlineStr">
        <is>
          <t>GÄVLEBORGS LÄN</t>
        </is>
      </c>
      <c r="G247" t="inlineStr">
        <is>
          <t>SANDVIKEN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45602</v>
      </c>
      <c r="E248" s="1" t="n">
        <v>46286</v>
      </c>
      <c r="F248" t="inlineStr">
        <is>
          <t>GÄVLEBORGS LÄN</t>
        </is>
      </c>
      <c r="G248" t="inlineStr">
        <is>
          <t>SANDVIKEN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46286</v>
      </c>
      <c r="F249" t="inlineStr">
        <is>
          <t>GÄVLEBORGS LÄN</t>
        </is>
      </c>
      <c r="G249" t="inlineStr">
        <is>
          <t>SANDVIKEN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46286</v>
      </c>
      <c r="F250" t="inlineStr">
        <is>
          <t>GÄVLEBORGS LÄN</t>
        </is>
      </c>
      <c r="G250" t="inlineStr">
        <is>
          <t>SANDVIKEN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46286</v>
      </c>
      <c r="F251" t="inlineStr">
        <is>
          <t>GÄVLEBORGS LÄN</t>
        </is>
      </c>
      <c r="G251" t="inlineStr">
        <is>
          <t>SANDVIKEN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46286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10.9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46286</v>
      </c>
      <c r="F253" t="inlineStr">
        <is>
          <t>GÄVLEBORGS LÄN</t>
        </is>
      </c>
      <c r="G253" t="inlineStr">
        <is>
          <t>SANDVIKEN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39591-2024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45552</v>
      </c>
      <c r="E254" s="1" t="n">
        <v>46286</v>
      </c>
      <c r="F254" t="inlineStr">
        <is>
          <t>GÄVLEBORGS LÄN</t>
        </is>
      </c>
      <c r="G254" t="inlineStr">
        <is>
          <t>SANDVIKEN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45899</v>
      </c>
      <c r="E255" s="1" t="n">
        <v>46286</v>
      </c>
      <c r="F255" t="inlineStr">
        <is>
          <t>GÄVLEBORGS LÄN</t>
        </is>
      </c>
      <c r="G255" t="inlineStr">
        <is>
          <t>SANDVIKEN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46286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väst AB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46286</v>
      </c>
      <c r="F257" t="inlineStr">
        <is>
          <t>GÄVLEBORGS LÄN</t>
        </is>
      </c>
      <c r="G257" t="inlineStr">
        <is>
          <t>SANDVIKEN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44586</v>
      </c>
      <c r="E258" s="1" t="n">
        <v>46286</v>
      </c>
      <c r="F258" t="inlineStr">
        <is>
          <t>GÄVLEBORGS LÄN</t>
        </is>
      </c>
      <c r="G258" t="inlineStr">
        <is>
          <t>SANDVIKEN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46286</v>
      </c>
      <c r="F259" t="inlineStr">
        <is>
          <t>GÄVLEBORGS LÄN</t>
        </is>
      </c>
      <c r="G259" t="inlineStr">
        <is>
          <t>SANDVIKEN</t>
        </is>
      </c>
      <c r="H259" t="inlineStr">
        <is>
          <t>Kommuner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46286</v>
      </c>
      <c r="F260" t="inlineStr">
        <is>
          <t>GÄVLEBORGS LÄN</t>
        </is>
      </c>
      <c r="G260" t="inlineStr">
        <is>
          <t>SANDVIKEN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45779</v>
      </c>
      <c r="E261" s="1" t="n">
        <v>46286</v>
      </c>
      <c r="F261" t="inlineStr">
        <is>
          <t>GÄVLEBORGS LÄN</t>
        </is>
      </c>
      <c r="G261" t="inlineStr">
        <is>
          <t>SANDVIKEN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46286</v>
      </c>
      <c r="F262" t="inlineStr">
        <is>
          <t>GÄVLEBORGS LÄN</t>
        </is>
      </c>
      <c r="G262" t="inlineStr">
        <is>
          <t>SANDVIKEN</t>
        </is>
      </c>
      <c r="H262" t="inlineStr">
        <is>
          <t>Kommuner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46286</v>
      </c>
      <c r="F263" t="inlineStr">
        <is>
          <t>GÄVLEBORGS LÄN</t>
        </is>
      </c>
      <c r="G263" t="inlineStr">
        <is>
          <t>SANDVIKEN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46286</v>
      </c>
      <c r="F264" t="inlineStr">
        <is>
          <t>GÄVLEBORGS LÄN</t>
        </is>
      </c>
      <c r="G264" t="inlineStr">
        <is>
          <t>SANDVIKEN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46286</v>
      </c>
      <c r="F265" t="inlineStr">
        <is>
          <t>GÄVLEBORGS LÄN</t>
        </is>
      </c>
      <c r="G265" t="inlineStr">
        <is>
          <t>SANDVIKEN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46286</v>
      </c>
      <c r="F266" t="inlineStr">
        <is>
          <t>GÄVLEBORGS LÄN</t>
        </is>
      </c>
      <c r="G266" t="inlineStr">
        <is>
          <t>SANDVIKEN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46286</v>
      </c>
      <c r="F267" t="inlineStr">
        <is>
          <t>GÄVLEBORGS LÄN</t>
        </is>
      </c>
      <c r="G267" t="inlineStr">
        <is>
          <t>SANDVIKEN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46286</v>
      </c>
      <c r="F268" t="inlineStr">
        <is>
          <t>GÄVLEBORGS LÄN</t>
        </is>
      </c>
      <c r="G268" t="inlineStr">
        <is>
          <t>SANDVIKEN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46065</v>
      </c>
      <c r="E269" s="1" t="n">
        <v>46286</v>
      </c>
      <c r="F269" t="inlineStr">
        <is>
          <t>GÄVLEBORGS LÄN</t>
        </is>
      </c>
      <c r="G269" t="inlineStr">
        <is>
          <t>SANDVIKEN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46286</v>
      </c>
      <c r="F270" t="inlineStr">
        <is>
          <t>GÄVLEBORGS LÄN</t>
        </is>
      </c>
      <c r="G270" t="inlineStr">
        <is>
          <t>SANDVIKEN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46286</v>
      </c>
      <c r="F271" t="inlineStr">
        <is>
          <t>GÄVLEBORGS LÄN</t>
        </is>
      </c>
      <c r="G271" t="inlineStr">
        <is>
          <t>SANDVIKEN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46286</v>
      </c>
      <c r="F272" t="inlineStr">
        <is>
          <t>GÄVLEBORGS LÄN</t>
        </is>
      </c>
      <c r="G272" t="inlineStr">
        <is>
          <t>SANDVIKEN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46286</v>
      </c>
      <c r="F273" t="inlineStr">
        <is>
          <t>GÄVLEBORGS LÄN</t>
        </is>
      </c>
      <c r="G273" t="inlineStr">
        <is>
          <t>SANDVIKEN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46286</v>
      </c>
      <c r="F274" t="inlineStr">
        <is>
          <t>GÄVLEBORGS LÄN</t>
        </is>
      </c>
      <c r="G274" t="inlineStr">
        <is>
          <t>SANDVIKEN</t>
        </is>
      </c>
      <c r="H274" t="inlineStr">
        <is>
          <t>Bergvik skog öst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46286</v>
      </c>
      <c r="F275" t="inlineStr">
        <is>
          <t>GÄVLEBORGS LÄN</t>
        </is>
      </c>
      <c r="G275" t="inlineStr">
        <is>
          <t>SANDVIKEN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46286</v>
      </c>
      <c r="F276" t="inlineStr">
        <is>
          <t>GÄVLEBORGS LÄN</t>
        </is>
      </c>
      <c r="G276" t="inlineStr">
        <is>
          <t>SANDVIKEN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46286</v>
      </c>
      <c r="F277" t="inlineStr">
        <is>
          <t>GÄVLEBORGS LÄN</t>
        </is>
      </c>
      <c r="G277" t="inlineStr">
        <is>
          <t>SANDVIKEN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46286</v>
      </c>
      <c r="F278" t="inlineStr">
        <is>
          <t>GÄVLEBORGS LÄN</t>
        </is>
      </c>
      <c r="G278" t="inlineStr">
        <is>
          <t>SANDVIKEN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46286</v>
      </c>
      <c r="F279" t="inlineStr">
        <is>
          <t>GÄVLEBORGS LÄN</t>
        </is>
      </c>
      <c r="G279" t="inlineStr">
        <is>
          <t>SANDVIKEN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46286</v>
      </c>
      <c r="F280" t="inlineStr">
        <is>
          <t>GÄVLEBORGS LÄN</t>
        </is>
      </c>
      <c r="G280" t="inlineStr">
        <is>
          <t>SANDVIKEN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46286</v>
      </c>
      <c r="F281" t="inlineStr">
        <is>
          <t>GÄVLEBORGS LÄN</t>
        </is>
      </c>
      <c r="G281" t="inlineStr">
        <is>
          <t>SANDVIKEN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46286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46286</v>
      </c>
      <c r="F283" t="inlineStr">
        <is>
          <t>GÄVLEBORGS LÄN</t>
        </is>
      </c>
      <c r="G283" t="inlineStr">
        <is>
          <t>SANDVIKEN</t>
        </is>
      </c>
      <c r="I283" t="n">
        <v>8.199999999999999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46286</v>
      </c>
      <c r="F284" t="inlineStr">
        <is>
          <t>GÄVLEBORGS LÄN</t>
        </is>
      </c>
      <c r="G284" t="inlineStr">
        <is>
          <t>SANDVIKEN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46286</v>
      </c>
      <c r="F285" t="inlineStr">
        <is>
          <t>GÄVLEBORGS LÄN</t>
        </is>
      </c>
      <c r="G285" t="inlineStr">
        <is>
          <t>SANDVIKEN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46286</v>
      </c>
      <c r="F286" t="inlineStr">
        <is>
          <t>GÄVLEBORGS LÄN</t>
        </is>
      </c>
      <c r="G286" t="inlineStr">
        <is>
          <t>SANDVIKEN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46286</v>
      </c>
      <c r="F287" t="inlineStr">
        <is>
          <t>GÄVLEBORGS LÄN</t>
        </is>
      </c>
      <c r="G287" t="inlineStr">
        <is>
          <t>SANDVIKEN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45087</v>
      </c>
      <c r="E288" s="1" t="n">
        <v>46286</v>
      </c>
      <c r="F288" t="inlineStr">
        <is>
          <t>GÄVLEBORGS LÄN</t>
        </is>
      </c>
      <c r="G288" t="inlineStr">
        <is>
          <t>SANDVIKEN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46286</v>
      </c>
      <c r="F289" t="inlineStr">
        <is>
          <t>GÄVLEBORGS LÄN</t>
        </is>
      </c>
      <c r="G289" t="inlineStr">
        <is>
          <t>SANDVIKEN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45530</v>
      </c>
      <c r="E290" s="1" t="n">
        <v>46286</v>
      </c>
      <c r="F290" t="inlineStr">
        <is>
          <t>GÄVLEBORGS LÄN</t>
        </is>
      </c>
      <c r="G290" t="inlineStr">
        <is>
          <t>SANDVIKEN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46286</v>
      </c>
      <c r="F291" t="inlineStr">
        <is>
          <t>GÄVLEBORGS LÄN</t>
        </is>
      </c>
      <c r="G291" t="inlineStr">
        <is>
          <t>SANDVIKEN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45512</v>
      </c>
      <c r="E292" s="1" t="n">
        <v>46286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46286</v>
      </c>
      <c r="F293" t="inlineStr">
        <is>
          <t>GÄVLEBORGS LÄN</t>
        </is>
      </c>
      <c r="G293" t="inlineStr">
        <is>
          <t>SANDVIKEN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46286</v>
      </c>
      <c r="F294" t="inlineStr">
        <is>
          <t>GÄVLEBORGS LÄN</t>
        </is>
      </c>
      <c r="G294" t="inlineStr">
        <is>
          <t>SANDVIKEN</t>
        </is>
      </c>
      <c r="H294" t="inlineStr">
        <is>
          <t>Kyrkan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46286</v>
      </c>
      <c r="F295" t="inlineStr">
        <is>
          <t>GÄVLEBORGS LÄN</t>
        </is>
      </c>
      <c r="G295" t="inlineStr">
        <is>
          <t>SANDVIKEN</t>
        </is>
      </c>
      <c r="H295" t="inlineStr">
        <is>
          <t>Kyrkan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45460</v>
      </c>
      <c r="E296" s="1" t="n">
        <v>46286</v>
      </c>
      <c r="F296" t="inlineStr">
        <is>
          <t>GÄVLEBORGS LÄN</t>
        </is>
      </c>
      <c r="G296" t="inlineStr">
        <is>
          <t>SANDVIKEN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46286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46038</v>
      </c>
      <c r="E298" s="1" t="n">
        <v>46286</v>
      </c>
      <c r="F298" t="inlineStr">
        <is>
          <t>GÄVLEBORGS LÄN</t>
        </is>
      </c>
      <c r="G298" t="inlineStr">
        <is>
          <t>SANDVIKEN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46286</v>
      </c>
      <c r="F299" t="inlineStr">
        <is>
          <t>GÄVLEBORGS LÄN</t>
        </is>
      </c>
      <c r="G299" t="inlineStr">
        <is>
          <t>SANDVIKEN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46286</v>
      </c>
      <c r="F300" t="inlineStr">
        <is>
          <t>GÄVLEBORGS LÄN</t>
        </is>
      </c>
      <c r="G300" t="inlineStr">
        <is>
          <t>SANDVIKEN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46286</v>
      </c>
      <c r="F301" t="inlineStr">
        <is>
          <t>GÄVLEBORGS LÄN</t>
        </is>
      </c>
      <c r="G301" t="inlineStr">
        <is>
          <t>SANDVIKEN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46286</v>
      </c>
      <c r="F302" t="inlineStr">
        <is>
          <t>GÄVLEBORGS LÄN</t>
        </is>
      </c>
      <c r="G302" t="inlineStr">
        <is>
          <t>SANDVIKEN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46286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46730-2025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46286</v>
      </c>
      <c r="F304" t="inlineStr">
        <is>
          <t>GÄVLEBORGS LÄN</t>
        </is>
      </c>
      <c r="G304" t="inlineStr">
        <is>
          <t>SANDVIKEN</t>
        </is>
      </c>
      <c r="H304" t="inlineStr">
        <is>
          <t>Sveaskog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46286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46286</v>
      </c>
      <c r="F306" t="inlineStr">
        <is>
          <t>GÄVLEBORGS LÄN</t>
        </is>
      </c>
      <c r="G306" t="inlineStr">
        <is>
          <t>SANDVIKEN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46286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46142</v>
      </c>
      <c r="E308" s="1" t="n">
        <v>46286</v>
      </c>
      <c r="F308" t="inlineStr">
        <is>
          <t>GÄVLEBORGS LÄN</t>
        </is>
      </c>
      <c r="G308" t="inlineStr">
        <is>
          <t>SANDVIKEN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46286</v>
      </c>
      <c r="F309" t="inlineStr">
        <is>
          <t>GÄVLEBORGS LÄN</t>
        </is>
      </c>
      <c r="G309" t="inlineStr">
        <is>
          <t>SANDVIKEN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46286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46286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44918</v>
      </c>
      <c r="E312" s="1" t="n">
        <v>46286</v>
      </c>
      <c r="F312" t="inlineStr">
        <is>
          <t>GÄVLEBORGS LÄN</t>
        </is>
      </c>
      <c r="G312" t="inlineStr">
        <is>
          <t>SANDVIKEN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46286</v>
      </c>
      <c r="F313" t="inlineStr">
        <is>
          <t>GÄVLEBORGS LÄN</t>
        </is>
      </c>
      <c r="G313" t="inlineStr">
        <is>
          <t>SANDVIKEN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46286</v>
      </c>
      <c r="F314" t="inlineStr">
        <is>
          <t>GÄVLEBORGS LÄN</t>
        </is>
      </c>
      <c r="G314" t="inlineStr">
        <is>
          <t>SANDVIKEN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45245</v>
      </c>
      <c r="E315" s="1" t="n">
        <v>46286</v>
      </c>
      <c r="F315" t="inlineStr">
        <is>
          <t>GÄVLEBORGS LÄN</t>
        </is>
      </c>
      <c r="G315" t="inlineStr">
        <is>
          <t>SANDVIKEN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46286</v>
      </c>
      <c r="F316" t="inlineStr">
        <is>
          <t>GÄVLEBORGS LÄN</t>
        </is>
      </c>
      <c r="G316" t="inlineStr">
        <is>
          <t>SANDVIKEN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46286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46286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46286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45069</v>
      </c>
      <c r="E320" s="1" t="n">
        <v>46286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46286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11.9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46286</v>
      </c>
      <c r="F322" t="inlineStr">
        <is>
          <t>GÄVLEBORGS LÄN</t>
        </is>
      </c>
      <c r="G322" t="inlineStr">
        <is>
          <t>SANDVIKEN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46286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46286</v>
      </c>
      <c r="F324" t="inlineStr">
        <is>
          <t>GÄVLEBORGS LÄN</t>
        </is>
      </c>
      <c r="G324" t="inlineStr">
        <is>
          <t>SANDVIKEN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46286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väst AB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46286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21334-2026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46286</v>
      </c>
      <c r="F327" t="inlineStr">
        <is>
          <t>GÄVLEBORGS LÄN</t>
        </is>
      </c>
      <c r="G327" t="inlineStr">
        <is>
          <t>SANDVIKEN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45415</v>
      </c>
      <c r="E328" s="1" t="n">
        <v>46286</v>
      </c>
      <c r="F328" t="inlineStr">
        <is>
          <t>GÄVLEBORGS LÄN</t>
        </is>
      </c>
      <c r="G328" t="inlineStr">
        <is>
          <t>SANDVIKEN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44994</v>
      </c>
      <c r="E329" s="1" t="n">
        <v>46286</v>
      </c>
      <c r="F329" t="inlineStr">
        <is>
          <t>GÄVLEBORGS LÄN</t>
        </is>
      </c>
      <c r="G329" t="inlineStr">
        <is>
          <t>SANDVIKEN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44994</v>
      </c>
      <c r="E330" s="1" t="n">
        <v>46286</v>
      </c>
      <c r="F330" t="inlineStr">
        <is>
          <t>GÄVLEBORGS LÄN</t>
        </is>
      </c>
      <c r="G330" t="inlineStr">
        <is>
          <t>SANDVIKEN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46286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46286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46115</v>
      </c>
      <c r="E333" s="1" t="n">
        <v>46286</v>
      </c>
      <c r="F333" t="inlineStr">
        <is>
          <t>GÄVLEBORGS LÄN</t>
        </is>
      </c>
      <c r="G333" t="inlineStr">
        <is>
          <t>SANDVIKEN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46147</v>
      </c>
      <c r="E334" s="1" t="n">
        <v>46286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21343-2026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46147</v>
      </c>
      <c r="E335" s="1" t="n">
        <v>46286</v>
      </c>
      <c r="F335" t="inlineStr">
        <is>
          <t>GÄVLEBORGS LÄN</t>
        </is>
      </c>
      <c r="G335" t="inlineStr">
        <is>
          <t>SANDVIKEN</t>
        </is>
      </c>
      <c r="H335" t="inlineStr">
        <is>
          <t>Kommuner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46286</v>
      </c>
      <c r="F336" t="inlineStr">
        <is>
          <t>GÄVLEBORGS LÄN</t>
        </is>
      </c>
      <c r="G336" t="inlineStr">
        <is>
          <t>SANDVIKEN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45414</v>
      </c>
      <c r="E337" s="1" t="n">
        <v>46286</v>
      </c>
      <c r="F337" t="inlineStr">
        <is>
          <t>GÄVLEBORGS LÄN</t>
        </is>
      </c>
      <c r="G337" t="inlineStr">
        <is>
          <t>SANDVIKEN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45649</v>
      </c>
      <c r="E338" s="1" t="n">
        <v>46286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46286</v>
      </c>
      <c r="F339" t="inlineStr">
        <is>
          <t>GÄVLEBORGS LÄN</t>
        </is>
      </c>
      <c r="G339" t="inlineStr">
        <is>
          <t>SANDVIKEN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46286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49217-2025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45938</v>
      </c>
      <c r="E341" s="1" t="n">
        <v>46286</v>
      </c>
      <c r="F341" t="inlineStr">
        <is>
          <t>GÄVLEBORGS LÄN</t>
        </is>
      </c>
      <c r="G341" t="inlineStr">
        <is>
          <t>SANDVIKEN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46286</v>
      </c>
      <c r="F342" t="inlineStr">
        <is>
          <t>GÄVLEBORGS LÄN</t>
        </is>
      </c>
      <c r="G342" t="inlineStr">
        <is>
          <t>SANDVIKEN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46286</v>
      </c>
      <c r="F343" t="inlineStr">
        <is>
          <t>GÄVLEBORGS LÄN</t>
        </is>
      </c>
      <c r="G343" t="inlineStr">
        <is>
          <t>SANDVIKEN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46286</v>
      </c>
      <c r="F344" t="inlineStr">
        <is>
          <t>GÄVLEBORGS LÄN</t>
        </is>
      </c>
      <c r="G344" t="inlineStr">
        <is>
          <t>SANDVIKEN</t>
        </is>
      </c>
      <c r="H344" t="inlineStr">
        <is>
          <t>Sveaskog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50012-2025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45943</v>
      </c>
      <c r="E345" s="1" t="n">
        <v>46286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46286</v>
      </c>
      <c r="F346" t="inlineStr">
        <is>
          <t>GÄVLEBORGS LÄN</t>
        </is>
      </c>
      <c r="G346" t="inlineStr">
        <is>
          <t>SANDVIKEN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46286</v>
      </c>
      <c r="F347" t="inlineStr">
        <is>
          <t>GÄVLEBORGS LÄN</t>
        </is>
      </c>
      <c r="G347" t="inlineStr">
        <is>
          <t>SANDVIKEN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46286</v>
      </c>
      <c r="F348" t="inlineStr">
        <is>
          <t>GÄVLEBORGS LÄN</t>
        </is>
      </c>
      <c r="G348" t="inlineStr">
        <is>
          <t>SANDVIKEN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46286</v>
      </c>
      <c r="F349" t="inlineStr">
        <is>
          <t>GÄVLEBORGS LÄN</t>
        </is>
      </c>
      <c r="G349" t="inlineStr">
        <is>
          <t>SANDVIKEN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46286</v>
      </c>
      <c r="F350" t="inlineStr">
        <is>
          <t>GÄVLEBORGS LÄN</t>
        </is>
      </c>
      <c r="G350" t="inlineStr">
        <is>
          <t>SANDVIKEN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50851-2025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45946</v>
      </c>
      <c r="E351" s="1" t="n">
        <v>46286</v>
      </c>
      <c r="F351" t="inlineStr">
        <is>
          <t>GÄVLEBORGS LÄN</t>
        </is>
      </c>
      <c r="G351" t="inlineStr">
        <is>
          <t>SANDVIKEN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45730</v>
      </c>
      <c r="E352" s="1" t="n">
        <v>46286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45730</v>
      </c>
      <c r="E353" s="1" t="n">
        <v>46286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46286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46286</v>
      </c>
      <c r="F355" t="inlineStr">
        <is>
          <t>GÄVLEBORGS LÄN</t>
        </is>
      </c>
      <c r="G355" t="inlineStr">
        <is>
          <t>SANDVIKEN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46151</v>
      </c>
      <c r="E356" s="1" t="n">
        <v>46286</v>
      </c>
      <c r="F356" t="inlineStr">
        <is>
          <t>GÄVLEBORGS LÄN</t>
        </is>
      </c>
      <c r="G356" t="inlineStr">
        <is>
          <t>SANDVIKEN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46286</v>
      </c>
      <c r="F357" t="inlineStr">
        <is>
          <t>GÄVLEBORGS LÄN</t>
        </is>
      </c>
      <c r="G357" t="inlineStr">
        <is>
          <t>SANDVIKEN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45293</v>
      </c>
      <c r="E358" s="1" t="n">
        <v>46286</v>
      </c>
      <c r="F358" t="inlineStr">
        <is>
          <t>GÄVLEBORGS LÄN</t>
        </is>
      </c>
      <c r="G358" t="inlineStr">
        <is>
          <t>SANDVIKEN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45293</v>
      </c>
      <c r="E359" s="1" t="n">
        <v>46286</v>
      </c>
      <c r="F359" t="inlineStr">
        <is>
          <t>GÄVLEBORGS LÄN</t>
        </is>
      </c>
      <c r="G359" t="inlineStr">
        <is>
          <t>SANDVIKEN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46286</v>
      </c>
      <c r="F360" t="inlineStr">
        <is>
          <t>GÄVLEBORGS LÄN</t>
        </is>
      </c>
      <c r="G360" t="inlineStr">
        <is>
          <t>SANDVIKEN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45327</v>
      </c>
      <c r="E361" s="1" t="n">
        <v>46286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46286</v>
      </c>
      <c r="F362" t="inlineStr">
        <is>
          <t>GÄVLEBORGS LÄN</t>
        </is>
      </c>
      <c r="G362" t="inlineStr">
        <is>
          <t>SANDVIKEN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46286</v>
      </c>
      <c r="F363" t="inlineStr">
        <is>
          <t>GÄVLEBORGS LÄN</t>
        </is>
      </c>
      <c r="G363" t="inlineStr">
        <is>
          <t>SANDVIKEN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  <c r="Z363">
        <f>HYPERLINK("https://klasma.github.io/Logging_2181/knärot/A 52786-2025 karta knärot.png", "A 52786-2025")</f>
        <v/>
      </c>
      <c r="AA363">
        <f>HYPERLINK("https://klasma.github.io/Logging_2181/klagomål/A 52786-2025 FSC-klagomål.docx", "A 52786-2025")</f>
        <v/>
      </c>
      <c r="AB363">
        <f>HYPERLINK("https://klasma.github.io/Logging_2181/klagomålsmail/A 52786-2025 FSC-klagomål mail.docx", "A 52786-2025")</f>
        <v/>
      </c>
      <c r="AC363">
        <f>HYPERLINK("https://klasma.github.io/Logging_2181/tillsyn/A 52786-2025 tillsynsbegäran.docx", "A 52786-2025")</f>
        <v/>
      </c>
      <c r="AD363">
        <f>HYPERLINK("https://klasma.github.io/Logging_2181/tillsynsmail/A 52786-2025 tillsynsbegäran mail.docx", "A 52786-2025")</f>
        <v/>
      </c>
    </row>
    <row r="364" ht="15" customHeight="1">
      <c r="A364" t="inlineStr">
        <is>
          <t>A 3635-2026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46043</v>
      </c>
      <c r="E364" s="1" t="n">
        <v>46286</v>
      </c>
      <c r="F364" t="inlineStr">
        <is>
          <t>GÄVLEBORGS LÄN</t>
        </is>
      </c>
      <c r="G364" t="inlineStr">
        <is>
          <t>SANDVIKEN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46286</v>
      </c>
      <c r="F365" t="inlineStr">
        <is>
          <t>GÄVLEBORGS LÄN</t>
        </is>
      </c>
      <c r="G365" t="inlineStr">
        <is>
          <t>SANDVIKEN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46286</v>
      </c>
      <c r="F366" t="inlineStr">
        <is>
          <t>GÄVLEBORGS LÄN</t>
        </is>
      </c>
      <c r="G366" t="inlineStr">
        <is>
          <t>SANDVIKEN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45268</v>
      </c>
      <c r="E367" s="1" t="n">
        <v>46286</v>
      </c>
      <c r="F367" t="inlineStr">
        <is>
          <t>GÄVLEBORGS LÄN</t>
        </is>
      </c>
      <c r="G367" t="inlineStr">
        <is>
          <t>SANDVIKEN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46286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46286</v>
      </c>
      <c r="F369" t="inlineStr">
        <is>
          <t>GÄVLEBORGS LÄN</t>
        </is>
      </c>
      <c r="G369" t="inlineStr">
        <is>
          <t>SANDVIKEN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46286</v>
      </c>
      <c r="F370" t="inlineStr">
        <is>
          <t>GÄVLEBORGS LÄN</t>
        </is>
      </c>
      <c r="G370" t="inlineStr">
        <is>
          <t>SANDVIKEN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45153</v>
      </c>
      <c r="E371" s="1" t="n">
        <v>46286</v>
      </c>
      <c r="F371" t="inlineStr">
        <is>
          <t>GÄVLEBORGS LÄN</t>
        </is>
      </c>
      <c r="G371" t="inlineStr">
        <is>
          <t>SANDVIKEN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46286</v>
      </c>
      <c r="F372" t="inlineStr">
        <is>
          <t>GÄVLEBORGS LÄN</t>
        </is>
      </c>
      <c r="G372" t="inlineStr">
        <is>
          <t>SANDVIKEN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55355-2025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46286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46286</v>
      </c>
      <c r="F374" t="inlineStr">
        <is>
          <t>GÄVLEBORGS LÄN</t>
        </is>
      </c>
      <c r="G374" t="inlineStr">
        <is>
          <t>SANDVIKEN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46286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46286</v>
      </c>
      <c r="F376" t="inlineStr">
        <is>
          <t>GÄVLEBORGS LÄN</t>
        </is>
      </c>
      <c r="G376" t="inlineStr">
        <is>
          <t>SANDVIKEN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46286</v>
      </c>
      <c r="F377" t="inlineStr">
        <is>
          <t>GÄVLEBORGS LÄN</t>
        </is>
      </c>
      <c r="G377" t="inlineStr">
        <is>
          <t>SANDVIKEN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45977</v>
      </c>
      <c r="E378" s="1" t="n">
        <v>46286</v>
      </c>
      <c r="F378" t="inlineStr">
        <is>
          <t>GÄVLEBORGS LÄN</t>
        </is>
      </c>
      <c r="G378" t="inlineStr">
        <is>
          <t>SANDVIKEN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46286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46286</v>
      </c>
      <c r="F380" t="inlineStr">
        <is>
          <t>GÄVLEBORGS LÄN</t>
        </is>
      </c>
      <c r="G380" t="inlineStr">
        <is>
          <t>SANDVIKEN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46286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46286</v>
      </c>
      <c r="F382" t="inlineStr">
        <is>
          <t>GÄVLEBORGS LÄN</t>
        </is>
      </c>
      <c r="G382" t="inlineStr">
        <is>
          <t>SANDVIKEN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46286</v>
      </c>
      <c r="F383" t="inlineStr">
        <is>
          <t>GÄVLEBORGS LÄN</t>
        </is>
      </c>
      <c r="G383" t="inlineStr">
        <is>
          <t>SANDVIKEN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61052-2024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46286</v>
      </c>
      <c r="F384" t="inlineStr">
        <is>
          <t>GÄVLEBORGS LÄN</t>
        </is>
      </c>
      <c r="G384" t="inlineStr">
        <is>
          <t>SANDVIKEN</t>
        </is>
      </c>
      <c r="H384" t="inlineStr">
        <is>
          <t>Naturvårdsverket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57261-2025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46286</v>
      </c>
      <c r="F385" t="inlineStr">
        <is>
          <t>GÄVLEBORGS LÄN</t>
        </is>
      </c>
      <c r="G385" t="inlineStr">
        <is>
          <t>SANDVIKEN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45226</v>
      </c>
      <c r="E386" s="1" t="n">
        <v>46286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45701</v>
      </c>
      <c r="E387" s="1" t="n">
        <v>46286</v>
      </c>
      <c r="F387" t="inlineStr">
        <is>
          <t>GÄVLEBORGS LÄN</t>
        </is>
      </c>
      <c r="G387" t="inlineStr">
        <is>
          <t>SANDVIKEN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71995-2021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44544</v>
      </c>
      <c r="E388" s="1" t="n">
        <v>46286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46286</v>
      </c>
      <c r="F389" t="inlineStr">
        <is>
          <t>GÄVLEBORGS LÄN</t>
        </is>
      </c>
      <c r="G389" t="inlineStr">
        <is>
          <t>SANDVIKEN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45983</v>
      </c>
      <c r="E390" s="1" t="n">
        <v>46286</v>
      </c>
      <c r="F390" t="inlineStr">
        <is>
          <t>GÄVLEBORGS LÄN</t>
        </is>
      </c>
      <c r="G390" t="inlineStr">
        <is>
          <t>SANDVIKEN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46286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45984</v>
      </c>
      <c r="E392" s="1" t="n">
        <v>46286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45984</v>
      </c>
      <c r="E393" s="1" t="n">
        <v>46286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46286</v>
      </c>
      <c r="F394" t="inlineStr">
        <is>
          <t>GÄVLEBORGS LÄN</t>
        </is>
      </c>
      <c r="G394" t="inlineStr">
        <is>
          <t>SANDVIKEN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46286</v>
      </c>
      <c r="F395" t="inlineStr">
        <is>
          <t>GÄVLEBORGS LÄN</t>
        </is>
      </c>
      <c r="G395" t="inlineStr">
        <is>
          <t>SANDVIKEN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46286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46286</v>
      </c>
      <c r="F397" t="inlineStr">
        <is>
          <t>GÄVLEBORGS LÄN</t>
        </is>
      </c>
      <c r="G397" t="inlineStr">
        <is>
          <t>SANDVIKEN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46286</v>
      </c>
      <c r="F398" t="inlineStr">
        <is>
          <t>GÄVLEBORGS LÄN</t>
        </is>
      </c>
      <c r="G398" t="inlineStr">
        <is>
          <t>SANDVIKEN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46286</v>
      </c>
      <c r="F399" t="inlineStr">
        <is>
          <t>GÄVLEBORGS LÄN</t>
        </is>
      </c>
      <c r="G399" t="inlineStr">
        <is>
          <t>SANDVIKEN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14867-2026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46104</v>
      </c>
      <c r="E400" s="1" t="n">
        <v>46286</v>
      </c>
      <c r="F400" t="inlineStr">
        <is>
          <t>GÄVLEBORGS LÄN</t>
        </is>
      </c>
      <c r="G400" t="inlineStr">
        <is>
          <t>SANDVIKEN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46286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46286</v>
      </c>
      <c r="F402" t="inlineStr">
        <is>
          <t>GÄVLEBORGS LÄN</t>
        </is>
      </c>
      <c r="G402" t="inlineStr">
        <is>
          <t>SANDVIKEN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46286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46161</v>
      </c>
      <c r="E404" s="1" t="n">
        <v>46286</v>
      </c>
      <c r="F404" t="inlineStr">
        <is>
          <t>GÄVLEBORGS LÄN</t>
        </is>
      </c>
      <c r="G404" t="inlineStr">
        <is>
          <t>SANDVIKEN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44949</v>
      </c>
      <c r="E405" s="1" t="n">
        <v>46286</v>
      </c>
      <c r="F405" t="inlineStr">
        <is>
          <t>GÄVLEBORGS LÄN</t>
        </is>
      </c>
      <c r="G405" t="inlineStr">
        <is>
          <t>SANDVIKEN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46286</v>
      </c>
      <c r="F406" t="inlineStr">
        <is>
          <t>GÄVLEBORGS LÄN</t>
        </is>
      </c>
      <c r="G406" t="inlineStr">
        <is>
          <t>SANDVIKEN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46286</v>
      </c>
      <c r="F407" t="inlineStr">
        <is>
          <t>GÄVLEBORGS LÄN</t>
        </is>
      </c>
      <c r="G407" t="inlineStr">
        <is>
          <t>SANDVIKEN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46286</v>
      </c>
      <c r="F408" t="inlineStr">
        <is>
          <t>GÄVLEBORGS LÄN</t>
        </is>
      </c>
      <c r="G408" t="inlineStr">
        <is>
          <t>SANDVIKEN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46286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46286</v>
      </c>
      <c r="F410" t="inlineStr">
        <is>
          <t>GÄVLEBORGS LÄN</t>
        </is>
      </c>
      <c r="G410" t="inlineStr">
        <is>
          <t>SANDVIKEN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46115</v>
      </c>
      <c r="E411" s="1" t="n">
        <v>46286</v>
      </c>
      <c r="F411" t="inlineStr">
        <is>
          <t>GÄVLEBORGS LÄN</t>
        </is>
      </c>
      <c r="G411" t="inlineStr">
        <is>
          <t>SANDVIKEN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45103</v>
      </c>
      <c r="E412" s="1" t="n">
        <v>46286</v>
      </c>
      <c r="F412" t="inlineStr">
        <is>
          <t>GÄVLEBORGS LÄN</t>
        </is>
      </c>
      <c r="G412" t="inlineStr">
        <is>
          <t>SANDVIKEN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46286</v>
      </c>
      <c r="F413" t="inlineStr">
        <is>
          <t>GÄVLEBORGS LÄN</t>
        </is>
      </c>
      <c r="G413" t="inlineStr">
        <is>
          <t>SANDVIKEN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46286</v>
      </c>
      <c r="F414" t="inlineStr">
        <is>
          <t>GÄVLEBORGS LÄN</t>
        </is>
      </c>
      <c r="G414" t="inlineStr">
        <is>
          <t>SANDVIKEN</t>
        </is>
      </c>
      <c r="H414" t="inlineStr">
        <is>
          <t>Övriga statliga verk och myndigheter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46286</v>
      </c>
      <c r="F415" t="inlineStr">
        <is>
          <t>GÄVLEBORGS LÄN</t>
        </is>
      </c>
      <c r="G415" t="inlineStr">
        <is>
          <t>SANDVIKEN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46286</v>
      </c>
      <c r="F416" t="inlineStr">
        <is>
          <t>GÄVLEBORGS LÄN</t>
        </is>
      </c>
      <c r="G416" t="inlineStr">
        <is>
          <t>SANDVIKEN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45617</v>
      </c>
      <c r="E417" s="1" t="n">
        <v>46286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46286</v>
      </c>
      <c r="F418" t="inlineStr">
        <is>
          <t>GÄVLEBORGS LÄN</t>
        </is>
      </c>
      <c r="G418" t="inlineStr">
        <is>
          <t>SANDVIKEN</t>
        </is>
      </c>
      <c r="H418" t="inlineStr">
        <is>
          <t>Övriga statliga verk och myndigheter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46286</v>
      </c>
      <c r="F419" t="inlineStr">
        <is>
          <t>GÄVLEBORGS LÄN</t>
        </is>
      </c>
      <c r="G419" t="inlineStr">
        <is>
          <t>SANDVIKEN</t>
        </is>
      </c>
      <c r="I419" t="n">
        <v>14.2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45666</v>
      </c>
      <c r="E420" s="1" t="n">
        <v>46286</v>
      </c>
      <c r="F420" t="inlineStr">
        <is>
          <t>GÄVLEBORGS LÄN</t>
        </is>
      </c>
      <c r="G420" t="inlineStr">
        <is>
          <t>SANDVIKEN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46286</v>
      </c>
      <c r="F421" t="inlineStr">
        <is>
          <t>GÄVLEBORGS LÄN</t>
        </is>
      </c>
      <c r="G421" t="inlineStr">
        <is>
          <t>SANDVIKEN</t>
        </is>
      </c>
      <c r="H421" t="inlineStr">
        <is>
          <t>Övriga statliga verk och myndigheter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46286</v>
      </c>
      <c r="F422" t="inlineStr">
        <is>
          <t>GÄVLEBORGS LÄN</t>
        </is>
      </c>
      <c r="G422" t="inlineStr">
        <is>
          <t>SANDVIKEN</t>
        </is>
      </c>
      <c r="H422" t="inlineStr">
        <is>
          <t>Övriga statliga verk och myndigheter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46286</v>
      </c>
      <c r="F423" t="inlineStr">
        <is>
          <t>GÄVLEBORGS LÄN</t>
        </is>
      </c>
      <c r="G423" t="inlineStr">
        <is>
          <t>SANDVIKEN</t>
        </is>
      </c>
      <c r="I423" t="n">
        <v>9.6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7624-2023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44972</v>
      </c>
      <c r="E424" s="1" t="n">
        <v>46286</v>
      </c>
      <c r="F424" t="inlineStr">
        <is>
          <t>GÄVLEBORGS LÄN</t>
        </is>
      </c>
      <c r="G424" t="inlineStr">
        <is>
          <t>SANDVIKEN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46286</v>
      </c>
      <c r="F425" t="inlineStr">
        <is>
          <t>GÄVLEBORGS LÄN</t>
        </is>
      </c>
      <c r="G425" t="inlineStr">
        <is>
          <t>SANDVIKEN</t>
        </is>
      </c>
      <c r="H425" t="inlineStr">
        <is>
          <t>Övriga statliga verk och myndigheter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49706-2023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45212</v>
      </c>
      <c r="E426" s="1" t="n">
        <v>46286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46165</v>
      </c>
      <c r="E427" s="1" t="n">
        <v>46286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46286</v>
      </c>
      <c r="F428" t="inlineStr">
        <is>
          <t>GÄVLEBORGS LÄN</t>
        </is>
      </c>
      <c r="G428" t="inlineStr">
        <is>
          <t>SANDVIKEN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61303-2025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46286</v>
      </c>
      <c r="F429" t="inlineStr">
        <is>
          <t>GÄVLEBORGS LÄN</t>
        </is>
      </c>
      <c r="G429" t="inlineStr">
        <is>
          <t>SANDVIKEN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45984</v>
      </c>
      <c r="E430" s="1" t="n">
        <v>46286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45721</v>
      </c>
      <c r="E431" s="1" t="n">
        <v>46286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45721</v>
      </c>
      <c r="E432" s="1" t="n">
        <v>46286</v>
      </c>
      <c r="F432" t="inlineStr">
        <is>
          <t>GÄVLEBORGS LÄN</t>
        </is>
      </c>
      <c r="G432" t="inlineStr">
        <is>
          <t>SANDVIKEN</t>
        </is>
      </c>
      <c r="H432" t="inlineStr">
        <is>
          <t>Sveaskog</t>
        </is>
      </c>
      <c r="I432" t="n">
        <v>10.9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46286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46286</v>
      </c>
      <c r="F434" t="inlineStr">
        <is>
          <t>GÄVLEBORGS LÄN</t>
        </is>
      </c>
      <c r="G434" t="inlineStr">
        <is>
          <t>SANDVIKEN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46286</v>
      </c>
      <c r="F435" t="inlineStr">
        <is>
          <t>GÄVLEBORGS LÄN</t>
        </is>
      </c>
      <c r="G435" t="inlineStr">
        <is>
          <t>SANDVIKEN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61022-2025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46286</v>
      </c>
      <c r="F436" t="inlineStr">
        <is>
          <t>GÄVLEBORGS LÄN</t>
        </is>
      </c>
      <c r="G436" t="inlineStr">
        <is>
          <t>SANDVIKEN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46286</v>
      </c>
      <c r="F437" t="inlineStr">
        <is>
          <t>GÄVLEBORGS LÄN</t>
        </is>
      </c>
      <c r="G437" t="inlineStr">
        <is>
          <t>SANDVIKEN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46286</v>
      </c>
      <c r="F438" t="inlineStr">
        <is>
          <t>GÄVLEBORGS LÄN</t>
        </is>
      </c>
      <c r="G438" t="inlineStr">
        <is>
          <t>SANDVIKEN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46165</v>
      </c>
      <c r="E439" s="1" t="n">
        <v>46286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46165</v>
      </c>
      <c r="E440" s="1" t="n">
        <v>46286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46165</v>
      </c>
      <c r="E441" s="1" t="n">
        <v>46286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23824-2026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46165</v>
      </c>
      <c r="E442" s="1" t="n">
        <v>46286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45075</v>
      </c>
      <c r="E443" s="1" t="n">
        <v>46286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45483</v>
      </c>
      <c r="E444" s="1" t="n">
        <v>46286</v>
      </c>
      <c r="F444" t="inlineStr">
        <is>
          <t>GÄVLEBORGS LÄN</t>
        </is>
      </c>
      <c r="G444" t="inlineStr">
        <is>
          <t>SANDVIKEN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45984</v>
      </c>
      <c r="E445" s="1" t="n">
        <v>46286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46286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46286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46286</v>
      </c>
      <c r="F448" t="inlineStr">
        <is>
          <t>GÄVLEBORGS LÄN</t>
        </is>
      </c>
      <c r="G448" t="inlineStr">
        <is>
          <t>SANDVIKEN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63486-2025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46013</v>
      </c>
      <c r="E449" s="1" t="n">
        <v>46286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45102-2022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44843</v>
      </c>
      <c r="E450" s="1" t="n">
        <v>46286</v>
      </c>
      <c r="F450" t="inlineStr">
        <is>
          <t>GÄVLEBORGS LÄN</t>
        </is>
      </c>
      <c r="G450" t="inlineStr">
        <is>
          <t>SANDVIKEN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46286</v>
      </c>
      <c r="F451" t="inlineStr">
        <is>
          <t>GÄVLEBORGS LÄN</t>
        </is>
      </c>
      <c r="G451" t="inlineStr">
        <is>
          <t>SANDVIKEN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46286</v>
      </c>
      <c r="F452" t="inlineStr">
        <is>
          <t>GÄVLEBORGS LÄN</t>
        </is>
      </c>
      <c r="G452" t="inlineStr">
        <is>
          <t>SANDVIKEN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46286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46286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46286</v>
      </c>
      <c r="F455" t="inlineStr">
        <is>
          <t>GÄVLEBORGS LÄN</t>
        </is>
      </c>
      <c r="G455" t="inlineStr">
        <is>
          <t>SANDVIKEN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46169</v>
      </c>
      <c r="E456" s="1" t="n">
        <v>46286</v>
      </c>
      <c r="F456" t="inlineStr">
        <is>
          <t>GÄVLEBORGS LÄN</t>
        </is>
      </c>
      <c r="G456" t="inlineStr">
        <is>
          <t>SANDVIKEN</t>
        </is>
      </c>
      <c r="H456" t="inlineStr">
        <is>
          <t>Kommuner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46286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46286</v>
      </c>
      <c r="F458" t="inlineStr">
        <is>
          <t>GÄVLEBORGS LÄN</t>
        </is>
      </c>
      <c r="G458" t="inlineStr">
        <is>
          <t>SANDVIKEN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46286</v>
      </c>
      <c r="F459" t="inlineStr">
        <is>
          <t>GÄVLEBORGS LÄN</t>
        </is>
      </c>
      <c r="G459" t="inlineStr">
        <is>
          <t>SANDVIKEN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37697-2022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44810</v>
      </c>
      <c r="E460" s="1" t="n">
        <v>46286</v>
      </c>
      <c r="F460" t="inlineStr">
        <is>
          <t>GÄVLEBORGS LÄN</t>
        </is>
      </c>
      <c r="G460" t="inlineStr">
        <is>
          <t>SANDVIKEN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45698</v>
      </c>
      <c r="E461" s="1" t="n">
        <v>46286</v>
      </c>
      <c r="F461" t="inlineStr">
        <is>
          <t>GÄVLEBORGS LÄN</t>
        </is>
      </c>
      <c r="G461" t="inlineStr">
        <is>
          <t>SANDVIKEN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46286</v>
      </c>
      <c r="F462" t="inlineStr">
        <is>
          <t>GÄVLEBORGS LÄN</t>
        </is>
      </c>
      <c r="G462" t="inlineStr">
        <is>
          <t>SANDVIKEN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61537-2023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45265</v>
      </c>
      <c r="E463" s="1" t="n">
        <v>46286</v>
      </c>
      <c r="F463" t="inlineStr">
        <is>
          <t>GÄVLEBORGS LÄN</t>
        </is>
      </c>
      <c r="G463" t="inlineStr">
        <is>
          <t>SANDVIKEN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44586</v>
      </c>
      <c r="E464" s="1" t="n">
        <v>46286</v>
      </c>
      <c r="F464" t="inlineStr">
        <is>
          <t>GÄVLEBORGS LÄN</t>
        </is>
      </c>
      <c r="G464" t="inlineStr">
        <is>
          <t>SANDVIKEN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46286</v>
      </c>
      <c r="F465" t="inlineStr">
        <is>
          <t>GÄVLEBORGS LÄN</t>
        </is>
      </c>
      <c r="G465" t="inlineStr">
        <is>
          <t>SANDVIKEN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46286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46286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46286</v>
      </c>
      <c r="F468" t="inlineStr">
        <is>
          <t>GÄVLEBORGS LÄN</t>
        </is>
      </c>
      <c r="G468" t="inlineStr">
        <is>
          <t>SANDVIKEN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46286</v>
      </c>
      <c r="F469" t="inlineStr">
        <is>
          <t>GÄVLEBORGS LÄN</t>
        </is>
      </c>
      <c r="G469" t="inlineStr">
        <is>
          <t>SANDVIKEN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46171</v>
      </c>
      <c r="E470" s="1" t="n">
        <v>46286</v>
      </c>
      <c r="F470" t="inlineStr">
        <is>
          <t>GÄVLEBORGS LÄN</t>
        </is>
      </c>
      <c r="G470" t="inlineStr">
        <is>
          <t>SANDVIKEN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46035</v>
      </c>
      <c r="E471" s="1" t="n">
        <v>46286</v>
      </c>
      <c r="F471" t="inlineStr">
        <is>
          <t>GÄVLEBORGS LÄN</t>
        </is>
      </c>
      <c r="G471" t="inlineStr">
        <is>
          <t>SANDVIKEN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46286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46037</v>
      </c>
      <c r="E473" s="1" t="n">
        <v>46286</v>
      </c>
      <c r="F473" t="inlineStr">
        <is>
          <t>GÄVLEBORGS LÄN</t>
        </is>
      </c>
      <c r="G473" t="inlineStr">
        <is>
          <t>SANDVIKEN</t>
        </is>
      </c>
      <c r="I473" t="n">
        <v>8.699999999999999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46286</v>
      </c>
      <c r="F474" t="inlineStr">
        <is>
          <t>GÄVLEBORGS LÄN</t>
        </is>
      </c>
      <c r="G474" t="inlineStr">
        <is>
          <t>SANDVIKEN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46286</v>
      </c>
      <c r="F475" t="inlineStr">
        <is>
          <t>GÄVLEBORGS LÄN</t>
        </is>
      </c>
      <c r="G475" t="inlineStr">
        <is>
          <t>SANDVIKEN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46286</v>
      </c>
      <c r="F476" t="inlineStr">
        <is>
          <t>GÄVLEBORGS LÄN</t>
        </is>
      </c>
      <c r="G476" t="inlineStr">
        <is>
          <t>SANDVIKEN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46286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30714-2023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46286</v>
      </c>
      <c r="F478" t="inlineStr">
        <is>
          <t>GÄVLEBORGS LÄN</t>
        </is>
      </c>
      <c r="G478" t="inlineStr">
        <is>
          <t>SANDVIKEN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46286</v>
      </c>
      <c r="F479" t="inlineStr">
        <is>
          <t>GÄVLEBORGS LÄN</t>
        </is>
      </c>
      <c r="G479" t="inlineStr">
        <is>
          <t>SANDVIKEN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46286</v>
      </c>
      <c r="F480" t="inlineStr">
        <is>
          <t>GÄVLEBORGS LÄN</t>
        </is>
      </c>
      <c r="G480" t="inlineStr">
        <is>
          <t>SANDVIKEN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46286</v>
      </c>
      <c r="F481" t="inlineStr">
        <is>
          <t>GÄVLEBORGS LÄN</t>
        </is>
      </c>
      <c r="G481" t="inlineStr">
        <is>
          <t>SANDVIKEN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46286</v>
      </c>
      <c r="F482" t="inlineStr">
        <is>
          <t>GÄVLEBORGS LÄN</t>
        </is>
      </c>
      <c r="G482" t="inlineStr">
        <is>
          <t>SANDVIKEN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46286</v>
      </c>
      <c r="F483" t="inlineStr">
        <is>
          <t>GÄVLEBORGS LÄN</t>
        </is>
      </c>
      <c r="G483" t="inlineStr">
        <is>
          <t>SANDVIKEN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46286</v>
      </c>
      <c r="F484" t="inlineStr">
        <is>
          <t>GÄVLEBORGS LÄN</t>
        </is>
      </c>
      <c r="G484" t="inlineStr">
        <is>
          <t>SANDVIKEN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46042</v>
      </c>
      <c r="E485" s="1" t="n">
        <v>46286</v>
      </c>
      <c r="F485" t="inlineStr">
        <is>
          <t>GÄVLEBORGS LÄN</t>
        </is>
      </c>
      <c r="G485" t="inlineStr">
        <is>
          <t>SANDVIKEN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46286</v>
      </c>
      <c r="F486" t="inlineStr">
        <is>
          <t>GÄVLEBORGS LÄN</t>
        </is>
      </c>
      <c r="G486" t="inlineStr">
        <is>
          <t>SANDVIKEN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63309-2023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45274</v>
      </c>
      <c r="E487" s="1" t="n">
        <v>46286</v>
      </c>
      <c r="F487" t="inlineStr">
        <is>
          <t>GÄVLEBORGS LÄN</t>
        </is>
      </c>
      <c r="G487" t="inlineStr">
        <is>
          <t>SANDVIKEN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46286</v>
      </c>
      <c r="F488" t="inlineStr">
        <is>
          <t>GÄVLEBORGS LÄN</t>
        </is>
      </c>
      <c r="G488" t="inlineStr">
        <is>
          <t>SANDVIKEN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46044</v>
      </c>
      <c r="E489" s="1" t="n">
        <v>46286</v>
      </c>
      <c r="F489" t="inlineStr">
        <is>
          <t>GÄVLEBORGS LÄN</t>
        </is>
      </c>
      <c r="G489" t="inlineStr">
        <is>
          <t>SANDVIKEN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46286</v>
      </c>
      <c r="F490" t="inlineStr">
        <is>
          <t>GÄVLEBORGS LÄN</t>
        </is>
      </c>
      <c r="G490" t="inlineStr">
        <is>
          <t>SANDVIKEN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46286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46286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46286</v>
      </c>
      <c r="F493" t="inlineStr">
        <is>
          <t>GÄVLEBORGS LÄN</t>
        </is>
      </c>
      <c r="G493" t="inlineStr">
        <is>
          <t>SANDVIKEN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46286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46286</v>
      </c>
      <c r="F495" t="inlineStr">
        <is>
          <t>GÄVLEBORGS LÄN</t>
        </is>
      </c>
      <c r="G495" t="inlineStr">
        <is>
          <t>SANDVIKEN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46286</v>
      </c>
      <c r="F496" t="inlineStr">
        <is>
          <t>GÄVLEBORGS LÄN</t>
        </is>
      </c>
      <c r="G496" t="inlineStr">
        <is>
          <t>SANDVIKEN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46286</v>
      </c>
      <c r="F497" t="inlineStr">
        <is>
          <t>GÄVLEBORGS LÄN</t>
        </is>
      </c>
      <c r="G497" t="inlineStr">
        <is>
          <t>SANDVIKEN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46286</v>
      </c>
      <c r="F498" t="inlineStr">
        <is>
          <t>GÄVLEBORGS LÄN</t>
        </is>
      </c>
      <c r="G498" t="inlineStr">
        <is>
          <t>SANDVIKEN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46286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46286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46286</v>
      </c>
      <c r="F501" t="inlineStr">
        <is>
          <t>GÄVLEBORGS LÄN</t>
        </is>
      </c>
      <c r="G501" t="inlineStr">
        <is>
          <t>SANDVIKEN</t>
        </is>
      </c>
      <c r="H501" t="inlineStr">
        <is>
          <t>Kommuner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46051</v>
      </c>
      <c r="E502" s="1" t="n">
        <v>46286</v>
      </c>
      <c r="F502" t="inlineStr">
        <is>
          <t>GÄVLEBORGS LÄN</t>
        </is>
      </c>
      <c r="G502" t="inlineStr">
        <is>
          <t>SANDVIKEN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46286</v>
      </c>
      <c r="F503" t="inlineStr">
        <is>
          <t>GÄVLEBORGS LÄN</t>
        </is>
      </c>
      <c r="G503" t="inlineStr">
        <is>
          <t>SANDVIKEN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46286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46286</v>
      </c>
      <c r="F505" t="inlineStr">
        <is>
          <t>GÄVLEBORGS LÄN</t>
        </is>
      </c>
      <c r="G505" t="inlineStr">
        <is>
          <t>SANDVIKEN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46286</v>
      </c>
      <c r="F506" t="inlineStr">
        <is>
          <t>GÄVLEBORGS LÄN</t>
        </is>
      </c>
      <c r="G506" t="inlineStr">
        <is>
          <t>SANDVIKEN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46286</v>
      </c>
      <c r="F507" t="inlineStr">
        <is>
          <t>GÄVLEBORGS LÄN</t>
        </is>
      </c>
      <c r="G507" t="inlineStr">
        <is>
          <t>SANDVIKEN</t>
        </is>
      </c>
      <c r="H507" t="inlineStr">
        <is>
          <t>Sveaskog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46286</v>
      </c>
      <c r="F508" t="inlineStr">
        <is>
          <t>GÄVLEBORGS LÄN</t>
        </is>
      </c>
      <c r="G508" t="inlineStr">
        <is>
          <t>SANDVIKEN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46286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46286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46286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46286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46286</v>
      </c>
      <c r="F513" t="inlineStr">
        <is>
          <t>GÄVLEBORGS LÄN</t>
        </is>
      </c>
      <c r="G513" t="inlineStr">
        <is>
          <t>SANDVIKEN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45191</v>
      </c>
      <c r="E514" s="1" t="n">
        <v>46286</v>
      </c>
      <c r="F514" t="inlineStr">
        <is>
          <t>GÄVLEBORGS LÄN</t>
        </is>
      </c>
      <c r="G514" t="inlineStr">
        <is>
          <t>SANDVIKEN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46069</v>
      </c>
      <c r="E515" s="1" t="n">
        <v>46286</v>
      </c>
      <c r="F515" t="inlineStr">
        <is>
          <t>GÄVLEBORGS LÄN</t>
        </is>
      </c>
      <c r="G515" t="inlineStr">
        <is>
          <t>SANDVIKEN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46286</v>
      </c>
      <c r="F516" t="inlineStr">
        <is>
          <t>GÄVLEBORGS LÄN</t>
        </is>
      </c>
      <c r="G516" t="inlineStr">
        <is>
          <t>SANDVIKEN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46286</v>
      </c>
      <c r="F517" t="inlineStr">
        <is>
          <t>GÄVLEBORGS LÄN</t>
        </is>
      </c>
      <c r="G517" t="inlineStr">
        <is>
          <t>SANDVIKEN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46286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11897-2024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45376</v>
      </c>
      <c r="E519" s="1" t="n">
        <v>46286</v>
      </c>
      <c r="F519" t="inlineStr">
        <is>
          <t>GÄVLEBORGS LÄN</t>
        </is>
      </c>
      <c r="G519" t="inlineStr">
        <is>
          <t>SANDVIKEN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46286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46178</v>
      </c>
      <c r="E521" s="1" t="n">
        <v>46286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46286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46286</v>
      </c>
      <c r="F523" t="inlineStr">
        <is>
          <t>GÄVLEBORGS LÄN</t>
        </is>
      </c>
      <c r="G523" t="inlineStr">
        <is>
          <t>SANDVIKEN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46286</v>
      </c>
      <c r="F524" t="inlineStr">
        <is>
          <t>GÄVLEBORGS LÄN</t>
        </is>
      </c>
      <c r="G524" t="inlineStr">
        <is>
          <t>SANDVIKEN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46286</v>
      </c>
      <c r="F525" t="inlineStr">
        <is>
          <t>GÄVLEBORGS LÄN</t>
        </is>
      </c>
      <c r="G525" t="inlineStr">
        <is>
          <t>SANDVIKEN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46286</v>
      </c>
      <c r="F526" t="inlineStr">
        <is>
          <t>GÄVLEBORGS LÄN</t>
        </is>
      </c>
      <c r="G526" t="inlineStr">
        <is>
          <t>SANDVIKEN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46286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23217-2023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45075</v>
      </c>
      <c r="E528" s="1" t="n">
        <v>46286</v>
      </c>
      <c r="F528" t="inlineStr">
        <is>
          <t>GÄVLEBORGS LÄN</t>
        </is>
      </c>
      <c r="G528" t="inlineStr">
        <is>
          <t>SANDVIKEN</t>
        </is>
      </c>
      <c r="H528" t="inlineStr">
        <is>
          <t>Sveaskog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46286</v>
      </c>
      <c r="F529" t="inlineStr">
        <is>
          <t>GÄVLEBORGS LÄN</t>
        </is>
      </c>
      <c r="G529" t="inlineStr">
        <is>
          <t>SANDVIKEN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46286</v>
      </c>
      <c r="F530" t="inlineStr">
        <is>
          <t>GÄVLEBORGS LÄN</t>
        </is>
      </c>
      <c r="G530" t="inlineStr">
        <is>
          <t>SANDVIKEN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46286</v>
      </c>
      <c r="F531" t="inlineStr">
        <is>
          <t>GÄVLEBORGS LÄN</t>
        </is>
      </c>
      <c r="G531" t="inlineStr">
        <is>
          <t>SANDVIKEN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46286</v>
      </c>
      <c r="F532" t="inlineStr">
        <is>
          <t>GÄVLEBORGS LÄN</t>
        </is>
      </c>
      <c r="G532" t="inlineStr">
        <is>
          <t>SANDVIKEN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46286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46286</v>
      </c>
      <c r="F534" t="inlineStr">
        <is>
          <t>GÄVLEBORGS LÄN</t>
        </is>
      </c>
      <c r="G534" t="inlineStr">
        <is>
          <t>SANDVIKEN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46286</v>
      </c>
      <c r="F535" t="inlineStr">
        <is>
          <t>GÄVLEBORGS LÄN</t>
        </is>
      </c>
      <c r="G535" t="inlineStr">
        <is>
          <t>SANDVIKEN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46286</v>
      </c>
      <c r="F536" t="inlineStr">
        <is>
          <t>GÄVLEBORGS LÄN</t>
        </is>
      </c>
      <c r="G536" t="inlineStr">
        <is>
          <t>SANDVIKEN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46286</v>
      </c>
      <c r="F537" t="inlineStr">
        <is>
          <t>GÄVLEBORGS LÄN</t>
        </is>
      </c>
      <c r="G537" t="inlineStr">
        <is>
          <t>SANDVIKEN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46286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46286</v>
      </c>
      <c r="F539" t="inlineStr">
        <is>
          <t>GÄVLEBORGS LÄN</t>
        </is>
      </c>
      <c r="G539" t="inlineStr">
        <is>
          <t>SANDVIKEN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45562</v>
      </c>
      <c r="E540" s="1" t="n">
        <v>46286</v>
      </c>
      <c r="F540" t="inlineStr">
        <is>
          <t>GÄVLEBORGS LÄN</t>
        </is>
      </c>
      <c r="G540" t="inlineStr">
        <is>
          <t>SANDVIKEN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25647-2026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46177</v>
      </c>
      <c r="E541" s="1" t="n">
        <v>46286</v>
      </c>
      <c r="F541" t="inlineStr">
        <is>
          <t>GÄVLEBORGS LÄN</t>
        </is>
      </c>
      <c r="G541" t="inlineStr">
        <is>
          <t>SANDVIKEN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8612-2026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46286</v>
      </c>
      <c r="F542" t="inlineStr">
        <is>
          <t>GÄVLEBORGS LÄN</t>
        </is>
      </c>
      <c r="G542" t="inlineStr">
        <is>
          <t>SANDVIKEN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46286</v>
      </c>
      <c r="F543" t="inlineStr">
        <is>
          <t>GÄVLEBORGS LÄN</t>
        </is>
      </c>
      <c r="G543" t="inlineStr">
        <is>
          <t>SANDVIKEN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46286</v>
      </c>
      <c r="F544" t="inlineStr">
        <is>
          <t>GÄVLEBORGS LÄN</t>
        </is>
      </c>
      <c r="G544" t="inlineStr">
        <is>
          <t>SANDVIKEN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8363-2026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46286</v>
      </c>
      <c r="F545" t="inlineStr">
        <is>
          <t>GÄVLEBORGS LÄN</t>
        </is>
      </c>
      <c r="G545" t="inlineStr">
        <is>
          <t>SANDVIKEN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46286</v>
      </c>
      <c r="F546" t="inlineStr">
        <is>
          <t>GÄVLEBORGS LÄN</t>
        </is>
      </c>
      <c r="G546" t="inlineStr">
        <is>
          <t>SANDVIKEN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45069</v>
      </c>
      <c r="E547" s="1" t="n">
        <v>46286</v>
      </c>
      <c r="F547" t="inlineStr">
        <is>
          <t>GÄVLEBORGS LÄN</t>
        </is>
      </c>
      <c r="G547" t="inlineStr">
        <is>
          <t>SANDVIKEN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46286</v>
      </c>
      <c r="F548" t="inlineStr">
        <is>
          <t>GÄVLEBORGS LÄN</t>
        </is>
      </c>
      <c r="G548" t="inlineStr">
        <is>
          <t>SANDVIKEN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46286</v>
      </c>
      <c r="F549" t="inlineStr">
        <is>
          <t>GÄVLEBORGS LÄN</t>
        </is>
      </c>
      <c r="G549" t="inlineStr">
        <is>
          <t>SANDVIKEN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9142-2026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46069</v>
      </c>
      <c r="E550" s="1" t="n">
        <v>46286</v>
      </c>
      <c r="F550" t="inlineStr">
        <is>
          <t>GÄVLEBORGS LÄN</t>
        </is>
      </c>
      <c r="G550" t="inlineStr">
        <is>
          <t>SANDVIKEN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46286</v>
      </c>
      <c r="F551" t="inlineStr">
        <is>
          <t>GÄVLEBORGS LÄN</t>
        </is>
      </c>
      <c r="G551" t="inlineStr">
        <is>
          <t>SANDVIKEN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8706-2026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46286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45075</v>
      </c>
      <c r="E553" s="1" t="n">
        <v>46286</v>
      </c>
      <c r="F553" t="inlineStr">
        <is>
          <t>GÄVLEBORGS LÄN</t>
        </is>
      </c>
      <c r="G553" t="inlineStr">
        <is>
          <t>SANDVIKEN</t>
        </is>
      </c>
      <c r="I553" t="n">
        <v>8.300000000000001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44805</v>
      </c>
      <c r="E554" s="1" t="n">
        <v>46286</v>
      </c>
      <c r="F554" t="inlineStr">
        <is>
          <t>GÄVLEBORGS LÄN</t>
        </is>
      </c>
      <c r="G554" t="inlineStr">
        <is>
          <t>SANDVIKEN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9480-2026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46286</v>
      </c>
      <c r="F555" t="inlineStr">
        <is>
          <t>GÄVLEBORGS LÄN</t>
        </is>
      </c>
      <c r="G555" t="inlineStr">
        <is>
          <t>SANDVIKEN</t>
        </is>
      </c>
      <c r="H555" t="inlineStr">
        <is>
          <t>Naturvårdsverket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46073</v>
      </c>
      <c r="E556" s="1" t="n">
        <v>46286</v>
      </c>
      <c r="F556" t="inlineStr">
        <is>
          <t>GÄVLEBORGS LÄN</t>
        </is>
      </c>
      <c r="G556" t="inlineStr">
        <is>
          <t>SANDVIKEN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46073</v>
      </c>
      <c r="E557" s="1" t="n">
        <v>46286</v>
      </c>
      <c r="F557" t="inlineStr">
        <is>
          <t>GÄVLEBORGS LÄN</t>
        </is>
      </c>
      <c r="G557" t="inlineStr">
        <is>
          <t>SANDVIKEN</t>
        </is>
      </c>
      <c r="H557" t="inlineStr">
        <is>
          <t>Kommuner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9651-2026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46286</v>
      </c>
      <c r="F558" t="inlineStr">
        <is>
          <t>GÄVLEBORGS LÄN</t>
        </is>
      </c>
      <c r="G558" t="inlineStr">
        <is>
          <t>SANDVIKEN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46286</v>
      </c>
      <c r="F559" t="inlineStr">
        <is>
          <t>GÄVLEBORGS LÄN</t>
        </is>
      </c>
      <c r="G559" t="inlineStr">
        <is>
          <t>SANDVIKEN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9714-2026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46286</v>
      </c>
      <c r="F560" t="inlineStr">
        <is>
          <t>GÄVLEBORGS LÄN</t>
        </is>
      </c>
      <c r="G560" t="inlineStr">
        <is>
          <t>SANDVIKEN</t>
        </is>
      </c>
      <c r="H560" t="inlineStr">
        <is>
          <t>Naturvårdsverket</t>
        </is>
      </c>
      <c r="I560" t="n">
        <v>19.5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46286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45099</v>
      </c>
      <c r="E562" s="1" t="n">
        <v>46286</v>
      </c>
      <c r="F562" t="inlineStr">
        <is>
          <t>GÄVLEBORGS LÄN</t>
        </is>
      </c>
      <c r="G562" t="inlineStr">
        <is>
          <t>SANDVIKEN</t>
        </is>
      </c>
      <c r="I562" t="n">
        <v>8.1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46286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46074</v>
      </c>
      <c r="E564" s="1" t="n">
        <v>46286</v>
      </c>
      <c r="F564" t="inlineStr">
        <is>
          <t>GÄVLEBORGS LÄN</t>
        </is>
      </c>
      <c r="G564" t="inlineStr">
        <is>
          <t>SANDVIKEN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59738-2022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44908</v>
      </c>
      <c r="E565" s="1" t="n">
        <v>46286</v>
      </c>
      <c r="F565" t="inlineStr">
        <is>
          <t>GÄVLEBORGS LÄN</t>
        </is>
      </c>
      <c r="G565" t="inlineStr">
        <is>
          <t>SANDVIKEN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10346-2026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46286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45240</v>
      </c>
      <c r="E567" s="1" t="n">
        <v>46286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46286</v>
      </c>
      <c r="F568" t="inlineStr">
        <is>
          <t>GÄVLEBORGS LÄN</t>
        </is>
      </c>
      <c r="G568" t="inlineStr">
        <is>
          <t>SANDVIKEN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46286</v>
      </c>
      <c r="F569" t="inlineStr">
        <is>
          <t>GÄVLEBORGS LÄN</t>
        </is>
      </c>
      <c r="G569" t="inlineStr">
        <is>
          <t>SANDVIKEN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46286</v>
      </c>
      <c r="F570" t="inlineStr">
        <is>
          <t>GÄVLEBORGS LÄN</t>
        </is>
      </c>
      <c r="G570" t="inlineStr">
        <is>
          <t>SANDVIKEN</t>
        </is>
      </c>
      <c r="I570" t="n">
        <v>9.300000000000001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46286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46080</v>
      </c>
      <c r="E572" s="1" t="n">
        <v>46286</v>
      </c>
      <c r="F572" t="inlineStr">
        <is>
          <t>GÄVLEBORGS LÄN</t>
        </is>
      </c>
      <c r="G572" t="inlineStr">
        <is>
          <t>SANDVIKEN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46286</v>
      </c>
      <c r="F573" t="inlineStr">
        <is>
          <t>GÄVLEBORGS LÄN</t>
        </is>
      </c>
      <c r="G573" t="inlineStr">
        <is>
          <t>SANDVIKEN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46286</v>
      </c>
      <c r="F574" t="inlineStr">
        <is>
          <t>GÄVLEBORGS LÄN</t>
        </is>
      </c>
      <c r="G574" t="inlineStr">
        <is>
          <t>SANDVIKEN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46080</v>
      </c>
      <c r="E575" s="1" t="n">
        <v>46286</v>
      </c>
      <c r="F575" t="inlineStr">
        <is>
          <t>GÄVLEBORGS LÄN</t>
        </is>
      </c>
      <c r="G575" t="inlineStr">
        <is>
          <t>SANDVIKEN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26601-2026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46286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46286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46286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46286</v>
      </c>
      <c r="F579" t="inlineStr">
        <is>
          <t>GÄVLEBORGS LÄN</t>
        </is>
      </c>
      <c r="G579" t="inlineStr">
        <is>
          <t>SANDVIKEN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45320</v>
      </c>
      <c r="E580" s="1" t="n">
        <v>46286</v>
      </c>
      <c r="F580" t="inlineStr">
        <is>
          <t>GÄVLEBORGS LÄN</t>
        </is>
      </c>
      <c r="G580" t="inlineStr">
        <is>
          <t>SANDVIKEN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46286</v>
      </c>
      <c r="F581" t="inlineStr">
        <is>
          <t>GÄVLEBORGS LÄN</t>
        </is>
      </c>
      <c r="G581" t="inlineStr">
        <is>
          <t>SANDVIKEN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11786-2026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46286</v>
      </c>
      <c r="F582" t="inlineStr">
        <is>
          <t>GÄVLEBORGS LÄN</t>
        </is>
      </c>
      <c r="G582" t="inlineStr">
        <is>
          <t>SANDVIKEN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12064-2026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46086</v>
      </c>
      <c r="E583" s="1" t="n">
        <v>46286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46286</v>
      </c>
      <c r="F584" t="inlineStr">
        <is>
          <t>GÄVLEBORGS LÄN</t>
        </is>
      </c>
      <c r="G584" t="inlineStr">
        <is>
          <t>SANDVIKEN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46286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46286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46286</v>
      </c>
      <c r="F587" t="inlineStr">
        <is>
          <t>GÄVLEBORGS LÄN</t>
        </is>
      </c>
      <c r="G587" t="inlineStr">
        <is>
          <t>SANDVIKEN</t>
        </is>
      </c>
      <c r="H587" t="inlineStr">
        <is>
          <t>Naturvårdsverket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46086</v>
      </c>
      <c r="E588" s="1" t="n">
        <v>46286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46286</v>
      </c>
      <c r="F589" t="inlineStr">
        <is>
          <t>GÄVLEBORGS LÄN</t>
        </is>
      </c>
      <c r="G589" t="inlineStr">
        <is>
          <t>SANDVIKEN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46286</v>
      </c>
      <c r="F590" t="inlineStr">
        <is>
          <t>GÄVLEBORGS LÄN</t>
        </is>
      </c>
      <c r="G590" t="inlineStr">
        <is>
          <t>SANDVIKEN</t>
        </is>
      </c>
      <c r="H590" t="inlineStr">
        <is>
          <t>Naturvårdsverket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46286</v>
      </c>
      <c r="F591" t="inlineStr">
        <is>
          <t>GÄVLEBORGS LÄN</t>
        </is>
      </c>
      <c r="G591" t="inlineStr">
        <is>
          <t>SANDVIKEN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46086</v>
      </c>
      <c r="E592" s="1" t="n">
        <v>46286</v>
      </c>
      <c r="F592" t="inlineStr">
        <is>
          <t>GÄVLEBORGS LÄN</t>
        </is>
      </c>
      <c r="G592" t="inlineStr">
        <is>
          <t>SANDVIKEN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46286</v>
      </c>
      <c r="F593" t="inlineStr">
        <is>
          <t>GÄVLEBORGS LÄN</t>
        </is>
      </c>
      <c r="G593" t="inlineStr">
        <is>
          <t>SANDVIKEN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46086</v>
      </c>
      <c r="E594" s="1" t="n">
        <v>46286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46286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46286</v>
      </c>
      <c r="F596" t="inlineStr">
        <is>
          <t>GÄVLEBORGS LÄN</t>
        </is>
      </c>
      <c r="G596" t="inlineStr">
        <is>
          <t>SANDVIKEN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46286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46286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12208-2026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46286</v>
      </c>
      <c r="F599" t="inlineStr">
        <is>
          <t>GÄVLEBORGS LÄN</t>
        </is>
      </c>
      <c r="G599" t="inlineStr">
        <is>
          <t>SANDVIKEN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46286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46286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46286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46286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27.2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46286</v>
      </c>
      <c r="F604" t="inlineStr">
        <is>
          <t>GÄVLEBORGS LÄN</t>
        </is>
      </c>
      <c r="G604" t="inlineStr">
        <is>
          <t>SANDVIKEN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46286</v>
      </c>
      <c r="F605" t="inlineStr">
        <is>
          <t>GÄVLEBORGS LÄN</t>
        </is>
      </c>
      <c r="G605" t="inlineStr">
        <is>
          <t>SANDVIKEN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11778-2024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45374</v>
      </c>
      <c r="E606" s="1" t="n">
        <v>46286</v>
      </c>
      <c r="F606" t="inlineStr">
        <is>
          <t>GÄVLEBORGS LÄN</t>
        </is>
      </c>
      <c r="G606" t="inlineStr">
        <is>
          <t>SANDVIKEN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44854</v>
      </c>
      <c r="E607" s="1" t="n">
        <v>46286</v>
      </c>
      <c r="F607" t="inlineStr">
        <is>
          <t>GÄVLEBORGS LÄN</t>
        </is>
      </c>
      <c r="G607" t="inlineStr">
        <is>
          <t>SANDVIKEN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12586-2026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46286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12891-2026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46286</v>
      </c>
      <c r="F609" t="inlineStr">
        <is>
          <t>GÄVLEBORGS LÄN</t>
        </is>
      </c>
      <c r="G609" t="inlineStr">
        <is>
          <t>SANDVIKEN</t>
        </is>
      </c>
      <c r="H609" t="inlineStr">
        <is>
          <t>Naturvårdsverket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46286</v>
      </c>
      <c r="F610" t="inlineStr">
        <is>
          <t>GÄVLEBORGS LÄN</t>
        </is>
      </c>
      <c r="G610" t="inlineStr">
        <is>
          <t>SANDVIKEN</t>
        </is>
      </c>
      <c r="H610" t="inlineStr">
        <is>
          <t>Naturvårdsverket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46286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48300-2023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45205</v>
      </c>
      <c r="E612" s="1" t="n">
        <v>46286</v>
      </c>
      <c r="F612" t="inlineStr">
        <is>
          <t>GÄVLEBORGS LÄN</t>
        </is>
      </c>
      <c r="G612" t="inlineStr">
        <is>
          <t>SANDVIKEN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12656-2026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46091</v>
      </c>
      <c r="E613" s="1" t="n">
        <v>46286</v>
      </c>
      <c r="F613" t="inlineStr">
        <is>
          <t>GÄVLEBORGS LÄN</t>
        </is>
      </c>
      <c r="G613" t="inlineStr">
        <is>
          <t>SANDVIKEN</t>
        </is>
      </c>
      <c r="H613" t="inlineStr">
        <is>
          <t>Naturvårdsverket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46286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46286</v>
      </c>
      <c r="F615" t="inlineStr">
        <is>
          <t>GÄVLEBORGS LÄN</t>
        </is>
      </c>
      <c r="G615" t="inlineStr">
        <is>
          <t>SANDVIKEN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46286</v>
      </c>
      <c r="F616" t="inlineStr">
        <is>
          <t>GÄVLEBORGS LÄN</t>
        </is>
      </c>
      <c r="G616" t="inlineStr">
        <is>
          <t>SANDVIKEN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46286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46286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46286</v>
      </c>
      <c r="F619" t="inlineStr">
        <is>
          <t>GÄVLEBORGS LÄN</t>
        </is>
      </c>
      <c r="G619" t="inlineStr">
        <is>
          <t>SANDVIKEN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46093</v>
      </c>
      <c r="E620" s="1" t="n">
        <v>46286</v>
      </c>
      <c r="F620" t="inlineStr">
        <is>
          <t>GÄVLEBORGS LÄN</t>
        </is>
      </c>
      <c r="G620" t="inlineStr">
        <is>
          <t>SANDVIKEN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45721</v>
      </c>
      <c r="E621" s="1" t="n">
        <v>46286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46286</v>
      </c>
      <c r="F622" t="inlineStr">
        <is>
          <t>GÄVLEBORGS LÄN</t>
        </is>
      </c>
      <c r="G622" t="inlineStr">
        <is>
          <t>SANDVIKEN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46286</v>
      </c>
      <c r="F623" t="inlineStr">
        <is>
          <t>GÄVLEBORGS LÄN</t>
        </is>
      </c>
      <c r="G623" t="inlineStr">
        <is>
          <t>SANDVIKEN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14720-2026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46286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44101-2023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45188</v>
      </c>
      <c r="E625" s="1" t="n">
        <v>46286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29297-2024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45483</v>
      </c>
      <c r="E626" s="1" t="n">
        <v>46286</v>
      </c>
      <c r="F626" t="inlineStr">
        <is>
          <t>GÄVLEBORGS LÄN</t>
        </is>
      </c>
      <c r="G626" t="inlineStr">
        <is>
          <t>SANDVIKEN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13108-2026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46286</v>
      </c>
      <c r="F627" t="inlineStr">
        <is>
          <t>GÄVLEBORGS LÄN</t>
        </is>
      </c>
      <c r="G627" t="inlineStr">
        <is>
          <t>SANDVIKEN</t>
        </is>
      </c>
      <c r="I627" t="n">
        <v>22.5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46036</v>
      </c>
      <c r="E628" s="1" t="n">
        <v>46286</v>
      </c>
      <c r="F628" t="inlineStr">
        <is>
          <t>GÄVLEBORGS LÄN</t>
        </is>
      </c>
      <c r="G628" t="inlineStr">
        <is>
          <t>SANDVIKEN</t>
        </is>
      </c>
      <c r="I628" t="n">
        <v>6.7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45226</v>
      </c>
      <c r="E629" s="1" t="n">
        <v>46286</v>
      </c>
      <c r="F629" t="inlineStr">
        <is>
          <t>GÄVLEBORGS LÄN</t>
        </is>
      </c>
      <c r="G629" t="inlineStr">
        <is>
          <t>SANDVIKEN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46286</v>
      </c>
      <c r="F630" t="inlineStr">
        <is>
          <t>GÄVLEBORGS LÄN</t>
        </is>
      </c>
      <c r="G630" t="inlineStr">
        <is>
          <t>SANDVIKEN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13642-2026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46097</v>
      </c>
      <c r="E631" s="1" t="n">
        <v>46286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46286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46095</v>
      </c>
      <c r="E633" s="1" t="n">
        <v>46286</v>
      </c>
      <c r="F633" t="inlineStr">
        <is>
          <t>GÄVLEBORGS LÄN</t>
        </is>
      </c>
      <c r="G633" t="inlineStr">
        <is>
          <t>SANDVIKEN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39566-2022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44818</v>
      </c>
      <c r="E634" s="1" t="n">
        <v>46286</v>
      </c>
      <c r="F634" t="inlineStr">
        <is>
          <t>GÄVLEBORGS LÄN</t>
        </is>
      </c>
      <c r="G634" t="inlineStr">
        <is>
          <t>SANDVIKEN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46286</v>
      </c>
      <c r="F635" t="inlineStr">
        <is>
          <t>GÄVLEBORGS LÄN</t>
        </is>
      </c>
      <c r="G635" t="inlineStr">
        <is>
          <t>SANDVIKEN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13577-2026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46095</v>
      </c>
      <c r="E636" s="1" t="n">
        <v>46286</v>
      </c>
      <c r="F636" t="inlineStr">
        <is>
          <t>GÄVLEBORGS LÄN</t>
        </is>
      </c>
      <c r="G636" t="inlineStr">
        <is>
          <t>SANDVIKEN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46095</v>
      </c>
      <c r="E637" s="1" t="n">
        <v>46286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13585-2026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46095</v>
      </c>
      <c r="E638" s="1" t="n">
        <v>46286</v>
      </c>
      <c r="F638" t="inlineStr">
        <is>
          <t>GÄVLEBORGS LÄN</t>
        </is>
      </c>
      <c r="G638" t="inlineStr">
        <is>
          <t>SANDVIKEN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46095</v>
      </c>
      <c r="E639" s="1" t="n">
        <v>46286</v>
      </c>
      <c r="F639" t="inlineStr">
        <is>
          <t>GÄVLEBORGS LÄN</t>
        </is>
      </c>
      <c r="G639" t="inlineStr">
        <is>
          <t>SANDVIKEN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46095</v>
      </c>
      <c r="E640" s="1" t="n">
        <v>46286</v>
      </c>
      <c r="F640" t="inlineStr">
        <is>
          <t>GÄVLEBORGS LÄN</t>
        </is>
      </c>
      <c r="G640" t="inlineStr">
        <is>
          <t>SANDVIKEN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13966-2026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46286</v>
      </c>
      <c r="F641" t="inlineStr">
        <is>
          <t>GÄVLEBORGS LÄN</t>
        </is>
      </c>
      <c r="G641" t="inlineStr">
        <is>
          <t>SANDVIKEN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46191</v>
      </c>
      <c r="E642" s="1" t="n">
        <v>46286</v>
      </c>
      <c r="F642" t="inlineStr">
        <is>
          <t>GÄVLEBORGS LÄN</t>
        </is>
      </c>
      <c r="G642" t="inlineStr">
        <is>
          <t>SANDVIKEN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14044-2026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46286</v>
      </c>
      <c r="F643" t="inlineStr">
        <is>
          <t>GÄVLEBORGS LÄN</t>
        </is>
      </c>
      <c r="G643" t="inlineStr">
        <is>
          <t>SANDVIKEN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13586-2026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46095</v>
      </c>
      <c r="E644" s="1" t="n">
        <v>46286</v>
      </c>
      <c r="F644" t="inlineStr">
        <is>
          <t>GÄVLEBORGS LÄN</t>
        </is>
      </c>
      <c r="G644" t="inlineStr">
        <is>
          <t>SANDVIKEN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13605-2026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46286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28845-2026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46286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46286</v>
      </c>
      <c r="F647" t="inlineStr">
        <is>
          <t>GÄVLEBORGS LÄN</t>
        </is>
      </c>
      <c r="G647" t="inlineStr">
        <is>
          <t>SANDVIKEN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46286</v>
      </c>
      <c r="F648" t="inlineStr">
        <is>
          <t>GÄVLEBORGS LÄN</t>
        </is>
      </c>
      <c r="G648" t="inlineStr">
        <is>
          <t>SANDVIKEN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23228-2026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46286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46286</v>
      </c>
      <c r="F650" t="inlineStr">
        <is>
          <t>GÄVLEBORGS LÄN</t>
        </is>
      </c>
      <c r="G650" t="inlineStr">
        <is>
          <t>SANDVIKEN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46286</v>
      </c>
      <c r="F651" t="inlineStr">
        <is>
          <t>GÄVLEBORGS LÄN</t>
        </is>
      </c>
      <c r="G651" t="inlineStr">
        <is>
          <t>SANDVIKEN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28369-2026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46286</v>
      </c>
      <c r="F652" t="inlineStr">
        <is>
          <t>GÄVLEBORGS LÄN</t>
        </is>
      </c>
      <c r="G652" t="inlineStr">
        <is>
          <t>SANDVIKEN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46286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26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14094-2026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46286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46286</v>
      </c>
      <c r="F655" t="inlineStr">
        <is>
          <t>GÄVLEBORGS LÄN</t>
        </is>
      </c>
      <c r="G655" t="inlineStr">
        <is>
          <t>SANDVIKEN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28344-2026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46196</v>
      </c>
      <c r="E656" s="1" t="n">
        <v>46286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46196</v>
      </c>
      <c r="E657" s="1" t="n">
        <v>46286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46286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11385-2023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44988</v>
      </c>
      <c r="E659" s="1" t="n">
        <v>46286</v>
      </c>
      <c r="F659" t="inlineStr">
        <is>
          <t>GÄVLEBORGS LÄN</t>
        </is>
      </c>
      <c r="G659" t="inlineStr">
        <is>
          <t>SANDVIKEN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46286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14093-2026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46286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14676-2026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46286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46286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14649-2026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46286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52932-2022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44875</v>
      </c>
      <c r="E665" s="1" t="n">
        <v>46286</v>
      </c>
      <c r="F665" t="inlineStr">
        <is>
          <t>GÄVLEBORGS LÄN</t>
        </is>
      </c>
      <c r="G665" t="inlineStr">
        <is>
          <t>SANDVIKEN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46058</v>
      </c>
      <c r="E666" s="1" t="n">
        <v>46286</v>
      </c>
      <c r="F666" t="inlineStr">
        <is>
          <t>GÄVLEBORGS LÄN</t>
        </is>
      </c>
      <c r="G666" t="inlineStr">
        <is>
          <t>SANDVIKEN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15131-2026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46105</v>
      </c>
      <c r="E667" s="1" t="n">
        <v>46286</v>
      </c>
      <c r="F667" t="inlineStr">
        <is>
          <t>GÄVLEBORGS LÄN</t>
        </is>
      </c>
      <c r="G667" t="inlineStr">
        <is>
          <t>SANDVIKEN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15529-2026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46106</v>
      </c>
      <c r="E668" s="1" t="n">
        <v>46286</v>
      </c>
      <c r="F668" t="inlineStr">
        <is>
          <t>GÄVLEBORGS LÄN</t>
        </is>
      </c>
      <c r="G668" t="inlineStr">
        <is>
          <t>SANDVIKEN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46286</v>
      </c>
      <c r="F669" t="inlineStr">
        <is>
          <t>GÄVLEBORGS LÄN</t>
        </is>
      </c>
      <c r="G669" t="inlineStr">
        <is>
          <t>SANDVIKEN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15113-2026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46286</v>
      </c>
      <c r="F670" t="inlineStr">
        <is>
          <t>GÄVLEBORGS LÄN</t>
        </is>
      </c>
      <c r="G670" t="inlineStr">
        <is>
          <t>SANDVIKEN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46286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15778-2026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46107</v>
      </c>
      <c r="E672" s="1" t="n">
        <v>46286</v>
      </c>
      <c r="F672" t="inlineStr">
        <is>
          <t>GÄVLEBORGS LÄN</t>
        </is>
      </c>
      <c r="G672" t="inlineStr">
        <is>
          <t>SANDVIKEN</t>
        </is>
      </c>
      <c r="H672" t="inlineStr">
        <is>
          <t>Kommuner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46107</v>
      </c>
      <c r="E673" s="1" t="n">
        <v>46286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16019-2026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46108</v>
      </c>
      <c r="E674" s="1" t="n">
        <v>46286</v>
      </c>
      <c r="F674" t="inlineStr">
        <is>
          <t>GÄVLEBORGS LÄN</t>
        </is>
      </c>
      <c r="G674" t="inlineStr">
        <is>
          <t>SANDVIKEN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46286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30721-2023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45112</v>
      </c>
      <c r="E676" s="1" t="n">
        <v>46286</v>
      </c>
      <c r="F676" t="inlineStr">
        <is>
          <t>GÄVLEBORGS LÄN</t>
        </is>
      </c>
      <c r="G676" t="inlineStr">
        <is>
          <t>SANDVIKEN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46286</v>
      </c>
      <c r="F677" t="inlineStr">
        <is>
          <t>GÄVLEBORGS LÄN</t>
        </is>
      </c>
      <c r="G677" t="inlineStr">
        <is>
          <t>SANDVIKEN</t>
        </is>
      </c>
      <c r="H677" t="inlineStr">
        <is>
          <t>Kommuner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34946-2022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44796</v>
      </c>
      <c r="E678" s="1" t="n">
        <v>46286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46286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46286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46286</v>
      </c>
      <c r="F681" t="inlineStr">
        <is>
          <t>GÄVLEBORGS LÄN</t>
        </is>
      </c>
      <c r="G681" t="inlineStr">
        <is>
          <t>SANDVIKEN</t>
        </is>
      </c>
      <c r="H681" t="inlineStr">
        <is>
          <t>Kommuner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29115-2026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46201</v>
      </c>
      <c r="E682" s="1" t="n">
        <v>46286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46286</v>
      </c>
      <c r="F683" t="inlineStr">
        <is>
          <t>GÄVLEBORGS LÄN</t>
        </is>
      </c>
      <c r="G683" t="inlineStr">
        <is>
          <t>SANDVIKEN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38200-2024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45545</v>
      </c>
      <c r="E684" s="1" t="n">
        <v>46286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16569-2026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46286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29321-2026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46202</v>
      </c>
      <c r="E686" s="1" t="n">
        <v>46286</v>
      </c>
      <c r="F686" t="inlineStr">
        <is>
          <t>GÄVLEBORGS LÄN</t>
        </is>
      </c>
      <c r="G686" t="inlineStr">
        <is>
          <t>SANDVIKEN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46114</v>
      </c>
      <c r="E687" s="1" t="n">
        <v>46286</v>
      </c>
      <c r="F687" t="inlineStr">
        <is>
          <t>GÄVLEBORGS LÄN</t>
        </is>
      </c>
      <c r="G687" t="inlineStr">
        <is>
          <t>SANDVIKEN</t>
        </is>
      </c>
      <c r="I687" t="n">
        <v>10.3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46115</v>
      </c>
      <c r="E688" s="1" t="n">
        <v>46286</v>
      </c>
      <c r="F688" t="inlineStr">
        <is>
          <t>GÄVLEBORGS LÄN</t>
        </is>
      </c>
      <c r="G688" t="inlineStr">
        <is>
          <t>SANDVIKEN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46116</v>
      </c>
      <c r="E689" s="1" t="n">
        <v>46286</v>
      </c>
      <c r="F689" t="inlineStr">
        <is>
          <t>GÄVLEBORGS LÄN</t>
        </is>
      </c>
      <c r="G689" t="inlineStr">
        <is>
          <t>SANDVIKEN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17165-2026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46115</v>
      </c>
      <c r="E690" s="1" t="n">
        <v>46286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17175-2026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46115</v>
      </c>
      <c r="E691" s="1" t="n">
        <v>46286</v>
      </c>
      <c r="F691" t="inlineStr">
        <is>
          <t>GÄVLEBORGS LÄN</t>
        </is>
      </c>
      <c r="G691" t="inlineStr">
        <is>
          <t>SANDVIKEN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17180-2026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46116</v>
      </c>
      <c r="E692" s="1" t="n">
        <v>46286</v>
      </c>
      <c r="F692" t="inlineStr">
        <is>
          <t>GÄVLEBORGS LÄN</t>
        </is>
      </c>
      <c r="G692" t="inlineStr">
        <is>
          <t>SANDVIKEN</t>
        </is>
      </c>
      <c r="I692" t="n">
        <v>8.9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17171-2026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46115</v>
      </c>
      <c r="E693" s="1" t="n">
        <v>46286</v>
      </c>
      <c r="F693" t="inlineStr">
        <is>
          <t>GÄVLEBORGS LÄN</t>
        </is>
      </c>
      <c r="G693" t="inlineStr">
        <is>
          <t>SANDVIKEN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17183-2026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46116</v>
      </c>
      <c r="E694" s="1" t="n">
        <v>46286</v>
      </c>
      <c r="F694" t="inlineStr">
        <is>
          <t>GÄVLEBORGS LÄN</t>
        </is>
      </c>
      <c r="G694" t="inlineStr">
        <is>
          <t>SANDVIKEN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17166-2026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46115</v>
      </c>
      <c r="E695" s="1" t="n">
        <v>46286</v>
      </c>
      <c r="F695" t="inlineStr">
        <is>
          <t>GÄVLEBORGS LÄN</t>
        </is>
      </c>
      <c r="G695" t="inlineStr">
        <is>
          <t>SANDVIKEN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17173-2026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46115</v>
      </c>
      <c r="E696" s="1" t="n">
        <v>46286</v>
      </c>
      <c r="F696" t="inlineStr">
        <is>
          <t>GÄVLEBORGS LÄN</t>
        </is>
      </c>
      <c r="G696" t="inlineStr">
        <is>
          <t>SANDVIKEN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22238-2023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46286</v>
      </c>
      <c r="F697" t="inlineStr">
        <is>
          <t>GÄVLEBORGS LÄN</t>
        </is>
      </c>
      <c r="G697" t="inlineStr">
        <is>
          <t>SANDVIKEN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46286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17363-2026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46286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46286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46286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46286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17360-2026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46286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17473-2026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46286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44956</v>
      </c>
      <c r="E705" s="1" t="n">
        <v>46286</v>
      </c>
      <c r="F705" t="inlineStr">
        <is>
          <t>GÄVLEBORGS LÄN</t>
        </is>
      </c>
      <c r="G705" t="inlineStr">
        <is>
          <t>SANDVIKEN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716-2024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45300</v>
      </c>
      <c r="E706" s="1" t="n">
        <v>46286</v>
      </c>
      <c r="F706" t="inlineStr">
        <is>
          <t>GÄVLEBORGS LÄN</t>
        </is>
      </c>
      <c r="G706" t="inlineStr">
        <is>
          <t>SANDVIKEN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64801-2023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45282</v>
      </c>
      <c r="E707" s="1" t="n">
        <v>46286</v>
      </c>
      <c r="F707" t="inlineStr">
        <is>
          <t>GÄVLEBORGS LÄN</t>
        </is>
      </c>
      <c r="G707" t="inlineStr">
        <is>
          <t>SANDVIKEN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17626-2026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46121</v>
      </c>
      <c r="E708" s="1" t="n">
        <v>46286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17596-2026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46121</v>
      </c>
      <c r="E709" s="1" t="n">
        <v>46286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23539-2026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46163</v>
      </c>
      <c r="E710" s="1" t="n">
        <v>46286</v>
      </c>
      <c r="F710" t="inlineStr">
        <is>
          <t>GÄVLEBORGS LÄN</t>
        </is>
      </c>
      <c r="G710" t="inlineStr">
        <is>
          <t>SANDVIKEN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46126</v>
      </c>
      <c r="E711" s="1" t="n">
        <v>46286</v>
      </c>
      <c r="F711" t="inlineStr">
        <is>
          <t>GÄVLEBORGS LÄN</t>
        </is>
      </c>
      <c r="G711" t="inlineStr">
        <is>
          <t>SANDVIKEN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18224-2026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46126</v>
      </c>
      <c r="E712" s="1" t="n">
        <v>46286</v>
      </c>
      <c r="F712" t="inlineStr">
        <is>
          <t>GÄVLEBORGS LÄN</t>
        </is>
      </c>
      <c r="G712" t="inlineStr">
        <is>
          <t>SANDVIKEN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18395-2026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46126</v>
      </c>
      <c r="E713" s="1" t="n">
        <v>46286</v>
      </c>
      <c r="F713" t="inlineStr">
        <is>
          <t>GÄVLEBORGS LÄN</t>
        </is>
      </c>
      <c r="G713" t="inlineStr">
        <is>
          <t>SANDVIKEN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46126</v>
      </c>
      <c r="E714" s="1" t="n">
        <v>46286</v>
      </c>
      <c r="F714" t="inlineStr">
        <is>
          <t>GÄVLEBORGS LÄN</t>
        </is>
      </c>
      <c r="G714" t="inlineStr">
        <is>
          <t>SANDVIKEN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18988-2026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46129</v>
      </c>
      <c r="E715" s="1" t="n">
        <v>46286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18992-2026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46129</v>
      </c>
      <c r="E716" s="1" t="n">
        <v>46286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18997-2026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46286</v>
      </c>
      <c r="F717" t="inlineStr">
        <is>
          <t>GÄVLEBORGS LÄN</t>
        </is>
      </c>
      <c r="G717" t="inlineStr">
        <is>
          <t>SANDVIKEN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46286</v>
      </c>
      <c r="F718" t="inlineStr">
        <is>
          <t>GÄVLEBORGS LÄN</t>
        </is>
      </c>
      <c r="G718" t="inlineStr">
        <is>
          <t>SANDVIKEN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18656-2026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46128</v>
      </c>
      <c r="E719" s="1" t="n">
        <v>46286</v>
      </c>
      <c r="F719" t="inlineStr">
        <is>
          <t>GÄVLEBORGS LÄN</t>
        </is>
      </c>
      <c r="G719" t="inlineStr">
        <is>
          <t>SANDVIKEN</t>
        </is>
      </c>
      <c r="H719" t="inlineStr">
        <is>
          <t>Sveaskog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18991-2026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46129</v>
      </c>
      <c r="E720" s="1" t="n">
        <v>46286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46286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46129</v>
      </c>
      <c r="E722" s="1" t="n">
        <v>46286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18987-2026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46129</v>
      </c>
      <c r="E723" s="1" t="n">
        <v>46286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18749-2026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46128</v>
      </c>
      <c r="E724" s="1" t="n">
        <v>46286</v>
      </c>
      <c r="F724" t="inlineStr">
        <is>
          <t>GÄVLEBORGS LÄN</t>
        </is>
      </c>
      <c r="G724" t="inlineStr">
        <is>
          <t>SANDVIKEN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18811-2026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46128</v>
      </c>
      <c r="E725" s="1" t="n">
        <v>46286</v>
      </c>
      <c r="F725" t="inlineStr">
        <is>
          <t>GÄVLEBORGS LÄN</t>
        </is>
      </c>
      <c r="G725" t="inlineStr">
        <is>
          <t>SANDVIKEN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15855-2026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46286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50765-2024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45602</v>
      </c>
      <c r="E727" s="1" t="n">
        <v>46286</v>
      </c>
      <c r="F727" t="inlineStr">
        <is>
          <t>GÄVLEBORGS LÄN</t>
        </is>
      </c>
      <c r="G727" t="inlineStr">
        <is>
          <t>SANDVIKEN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58363-2022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44901</v>
      </c>
      <c r="E728" s="1" t="n">
        <v>46286</v>
      </c>
      <c r="F728" t="inlineStr">
        <is>
          <t>GÄVLEBORGS LÄN</t>
        </is>
      </c>
      <c r="G728" t="inlineStr">
        <is>
          <t>SANDVIKEN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32989-2026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46244</v>
      </c>
      <c r="E729" s="1" t="n">
        <v>46286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8.6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32998-2026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46286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46286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29682-2026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46286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29726-2026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46286</v>
      </c>
      <c r="F733" t="inlineStr">
        <is>
          <t>GÄVLEBORGS LÄN</t>
        </is>
      </c>
      <c r="G733" t="inlineStr">
        <is>
          <t>SANDVIKEN</t>
        </is>
      </c>
      <c r="H733" t="inlineStr">
        <is>
          <t>Naturvårdsverket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58983-2023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45252</v>
      </c>
      <c r="E734" s="1" t="n">
        <v>46286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45082</v>
      </c>
      <c r="E735" s="1" t="n">
        <v>46286</v>
      </c>
      <c r="F735" t="inlineStr">
        <is>
          <t>GÄVLEBORGS LÄN</t>
        </is>
      </c>
      <c r="G735" t="inlineStr">
        <is>
          <t>SANDVIKEN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7825-2026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46286</v>
      </c>
      <c r="F736" t="inlineStr">
        <is>
          <t>GÄVLEBORGS LÄN</t>
        </is>
      </c>
      <c r="G736" t="inlineStr">
        <is>
          <t>SANDVIKEN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19018-2026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46130</v>
      </c>
      <c r="E737" s="1" t="n">
        <v>46286</v>
      </c>
      <c r="F737" t="inlineStr">
        <is>
          <t>GÄVLEBORGS LÄN</t>
        </is>
      </c>
      <c r="G737" t="inlineStr">
        <is>
          <t>SANDVIKEN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46286</v>
      </c>
      <c r="F738" t="inlineStr">
        <is>
          <t>GÄVLEBORGS LÄN</t>
        </is>
      </c>
      <c r="G738" t="inlineStr">
        <is>
          <t>SANDVIKEN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29471-2026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46286</v>
      </c>
      <c r="F739" t="inlineStr">
        <is>
          <t>GÄVLEBORGS LÄN</t>
        </is>
      </c>
      <c r="G739" t="inlineStr">
        <is>
          <t>SANDVIKEN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45673</v>
      </c>
      <c r="E740" s="1" t="n">
        <v>46286</v>
      </c>
      <c r="F740" t="inlineStr">
        <is>
          <t>GÄVLEBORGS LÄN</t>
        </is>
      </c>
      <c r="G740" t="inlineStr">
        <is>
          <t>SANDVIKEN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29572-2026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46286</v>
      </c>
      <c r="F741" t="inlineStr">
        <is>
          <t>GÄVLEBORGS LÄN</t>
        </is>
      </c>
      <c r="G741" t="inlineStr">
        <is>
          <t>SANDVIKEN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12732-2026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46091</v>
      </c>
      <c r="E742" s="1" t="n">
        <v>46286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46132</v>
      </c>
      <c r="E743" s="1" t="n">
        <v>46286</v>
      </c>
      <c r="F743" t="inlineStr">
        <is>
          <t>GÄVLEBORGS LÄN</t>
        </is>
      </c>
      <c r="G743" t="inlineStr">
        <is>
          <t>SANDVIKEN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19273-2026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46286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10.1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46286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12675-2026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46091</v>
      </c>
      <c r="E746" s="1" t="n">
        <v>46286</v>
      </c>
      <c r="F746" t="inlineStr">
        <is>
          <t>GÄVLEBORGS LÄN</t>
        </is>
      </c>
      <c r="G746" t="inlineStr">
        <is>
          <t>SANDVIKEN</t>
        </is>
      </c>
      <c r="H746" t="inlineStr">
        <is>
          <t>Naturvårdsverket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19865-2026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46135</v>
      </c>
      <c r="E747" s="1" t="n">
        <v>46286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19827-2026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46286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16.4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12115-2026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46086</v>
      </c>
      <c r="E749" s="1" t="n">
        <v>46286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8603-2026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46286</v>
      </c>
      <c r="F750" t="inlineStr">
        <is>
          <t>GÄVLEBORGS LÄN</t>
        </is>
      </c>
      <c r="G750" t="inlineStr">
        <is>
          <t>SANDVIKEN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12382-2026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46090</v>
      </c>
      <c r="E751" s="1" t="n">
        <v>46286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45668</v>
      </c>
      <c r="E752" s="1" t="n">
        <v>46286</v>
      </c>
      <c r="F752" t="inlineStr">
        <is>
          <t>GÄVLEBORGS LÄN</t>
        </is>
      </c>
      <c r="G752" t="inlineStr">
        <is>
          <t>SANDVIKEN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46091</v>
      </c>
      <c r="E753" s="1" t="n">
        <v>46286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60908-2022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44914</v>
      </c>
      <c r="E754" s="1" t="n">
        <v>46286</v>
      </c>
      <c r="F754" t="inlineStr">
        <is>
          <t>GÄVLEBORGS LÄN</t>
        </is>
      </c>
      <c r="G754" t="inlineStr">
        <is>
          <t>SANDVIKEN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27969-2024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45476</v>
      </c>
      <c r="E755" s="1" t="n">
        <v>46286</v>
      </c>
      <c r="F755" t="inlineStr">
        <is>
          <t>GÄVLEBORGS LÄN</t>
        </is>
      </c>
      <c r="G755" t="inlineStr">
        <is>
          <t>SANDVIKEN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29681-2026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46286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46286</v>
      </c>
      <c r="F757" t="inlineStr">
        <is>
          <t>GÄVLEBORGS LÄN</t>
        </is>
      </c>
      <c r="G757" t="inlineStr">
        <is>
          <t>SANDVIKEN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59841-2023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45257</v>
      </c>
      <c r="E758" s="1" t="n">
        <v>46286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1392-2024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45303</v>
      </c>
      <c r="E759" s="1" t="n">
        <v>46286</v>
      </c>
      <c r="F759" t="inlineStr">
        <is>
          <t>GÄVLEBORGS LÄN</t>
        </is>
      </c>
      <c r="G759" t="inlineStr">
        <is>
          <t>SANDVIKEN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29715-2026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46204</v>
      </c>
      <c r="E760" s="1" t="n">
        <v>46286</v>
      </c>
      <c r="F760" t="inlineStr">
        <is>
          <t>GÄVLEBORGS LÄN</t>
        </is>
      </c>
      <c r="G760" t="inlineStr">
        <is>
          <t>SANDVIKEN</t>
        </is>
      </c>
      <c r="H760" t="inlineStr">
        <is>
          <t>Naturvårdsverket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45688</v>
      </c>
      <c r="E761" s="1" t="n">
        <v>46286</v>
      </c>
      <c r="F761" t="inlineStr">
        <is>
          <t>GÄVLEBORGS LÄN</t>
        </is>
      </c>
      <c r="G761" t="inlineStr">
        <is>
          <t>SANDVIKEN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56734-2021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44481</v>
      </c>
      <c r="E762" s="1" t="n">
        <v>46286</v>
      </c>
      <c r="F762" t="inlineStr">
        <is>
          <t>GÄVLEBORGS LÄN</t>
        </is>
      </c>
      <c r="G762" t="inlineStr">
        <is>
          <t>SANDVIKEN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46286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49209-2024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45595</v>
      </c>
      <c r="E764" s="1" t="n">
        <v>46286</v>
      </c>
      <c r="F764" t="inlineStr">
        <is>
          <t>GÄVLEBORGS LÄN</t>
        </is>
      </c>
      <c r="G764" t="inlineStr">
        <is>
          <t>SANDVIKEN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27006-2023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45094</v>
      </c>
      <c r="E765" s="1" t="n">
        <v>46286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29661-2026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46204</v>
      </c>
      <c r="E766" s="1" t="n">
        <v>46286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46286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46177-2022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44847</v>
      </c>
      <c r="E768" s="1" t="n">
        <v>46286</v>
      </c>
      <c r="F768" t="inlineStr">
        <is>
          <t>GÄVLEBORGS LÄN</t>
        </is>
      </c>
      <c r="G768" t="inlineStr">
        <is>
          <t>SANDVIKEN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46286</v>
      </c>
      <c r="F769" t="inlineStr">
        <is>
          <t>GÄVLEBORGS LÄN</t>
        </is>
      </c>
      <c r="G769" t="inlineStr">
        <is>
          <t>SANDVIKEN</t>
        </is>
      </c>
      <c r="H769" t="inlineStr">
        <is>
          <t>Kommuner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19346-2023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45049</v>
      </c>
      <c r="E770" s="1" t="n">
        <v>46286</v>
      </c>
      <c r="F770" t="inlineStr">
        <is>
          <t>GÄVLEBORGS LÄN</t>
        </is>
      </c>
      <c r="G770" t="inlineStr">
        <is>
          <t>SANDVIKEN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29613-2026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46286</v>
      </c>
      <c r="F771" t="inlineStr">
        <is>
          <t>GÄVLEBORGS LÄN</t>
        </is>
      </c>
      <c r="G771" t="inlineStr">
        <is>
          <t>SANDVIKEN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46247</v>
      </c>
      <c r="E772" s="1" t="n">
        <v>46286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61363-2023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45264</v>
      </c>
      <c r="E773" s="1" t="n">
        <v>46286</v>
      </c>
      <c r="F773" t="inlineStr">
        <is>
          <t>GÄVLEBORGS LÄN</t>
        </is>
      </c>
      <c r="G773" t="inlineStr">
        <is>
          <t>SANDVIKEN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46286</v>
      </c>
      <c r="F774" t="inlineStr">
        <is>
          <t>GÄVLEBORGS LÄN</t>
        </is>
      </c>
      <c r="G774" t="inlineStr">
        <is>
          <t>SANDVIKEN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46286</v>
      </c>
      <c r="F775" t="inlineStr">
        <is>
          <t>GÄVLEBORGS LÄN</t>
        </is>
      </c>
      <c r="G775" t="inlineStr">
        <is>
          <t>SANDVIKEN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46482-2023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45197</v>
      </c>
      <c r="E776" s="1" t="n">
        <v>46286</v>
      </c>
      <c r="F776" t="inlineStr">
        <is>
          <t>GÄVLEBORGS LÄN</t>
        </is>
      </c>
      <c r="G776" t="inlineStr">
        <is>
          <t>SANDVIKEN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33873-2026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46251</v>
      </c>
      <c r="E777" s="1" t="n">
        <v>46286</v>
      </c>
      <c r="F777" t="inlineStr">
        <is>
          <t>GÄVLEBORGS LÄN</t>
        </is>
      </c>
      <c r="G777" t="inlineStr">
        <is>
          <t>SANDVIKEN</t>
        </is>
      </c>
      <c r="H777" t="inlineStr">
        <is>
          <t>Sveaskog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46251</v>
      </c>
      <c r="E778" s="1" t="n">
        <v>46286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33874-2026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46286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22851-2026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46160</v>
      </c>
      <c r="E780" s="1" t="n">
        <v>46286</v>
      </c>
      <c r="F780" t="inlineStr">
        <is>
          <t>GÄVLEBORGS LÄN</t>
        </is>
      </c>
      <c r="G780" t="inlineStr">
        <is>
          <t>SANDVIKEN</t>
        </is>
      </c>
      <c r="H780" t="inlineStr">
        <is>
          <t>Kommuner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29833-2026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46205</v>
      </c>
      <c r="E781" s="1" t="n">
        <v>46286</v>
      </c>
      <c r="F781" t="inlineStr">
        <is>
          <t>GÄVLEBORGS LÄN</t>
        </is>
      </c>
      <c r="G781" t="inlineStr">
        <is>
          <t>SANDVIKEN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29842-2026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46286</v>
      </c>
      <c r="F782" t="inlineStr">
        <is>
          <t>GÄVLEBORGS LÄN</t>
        </is>
      </c>
      <c r="G782" t="inlineStr">
        <is>
          <t>SANDVIKEN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50797-2023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46286</v>
      </c>
      <c r="F783" t="inlineStr">
        <is>
          <t>GÄVLEBORGS LÄN</t>
        </is>
      </c>
      <c r="G783" t="inlineStr">
        <is>
          <t>SANDVIKEN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44564</v>
      </c>
      <c r="E784" s="1" t="n">
        <v>46286</v>
      </c>
      <c r="F784" t="inlineStr">
        <is>
          <t>GÄVLEBORGS LÄN</t>
        </is>
      </c>
      <c r="G784" t="inlineStr">
        <is>
          <t>SANDVIKEN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46286</v>
      </c>
      <c r="F785" t="inlineStr">
        <is>
          <t>GÄVLEBORGS LÄN</t>
        </is>
      </c>
      <c r="G785" t="inlineStr">
        <is>
          <t>SANDVIKEN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73331-2021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44551</v>
      </c>
      <c r="E786" s="1" t="n">
        <v>46286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41790-2024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45561</v>
      </c>
      <c r="E787" s="1" t="n">
        <v>46286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21456-2023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45063</v>
      </c>
      <c r="E788" s="1" t="n">
        <v>46286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34036-2026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46252</v>
      </c>
      <c r="E789" s="1" t="n">
        <v>46286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34253-2026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46253</v>
      </c>
      <c r="E790" s="1" t="n">
        <v>46286</v>
      </c>
      <c r="F790" t="inlineStr">
        <is>
          <t>GÄVLEBORGS LÄN</t>
        </is>
      </c>
      <c r="G790" t="inlineStr">
        <is>
          <t>SANDVIKEN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15788-2025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45748</v>
      </c>
      <c r="E791" s="1" t="n">
        <v>46286</v>
      </c>
      <c r="F791" t="inlineStr">
        <is>
          <t>GÄVLEBORGS LÄN</t>
        </is>
      </c>
      <c r="G791" t="inlineStr">
        <is>
          <t>SANDVIKEN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25498-2026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46177</v>
      </c>
      <c r="E792" s="1" t="n">
        <v>46286</v>
      </c>
      <c r="F792" t="inlineStr">
        <is>
          <t>GÄVLEBORGS LÄN</t>
        </is>
      </c>
      <c r="G792" t="inlineStr">
        <is>
          <t>SANDVIKEN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46286</v>
      </c>
      <c r="F793" t="inlineStr">
        <is>
          <t>GÄVLEBORGS LÄN</t>
        </is>
      </c>
      <c r="G793" t="inlineStr">
        <is>
          <t>SANDVIKEN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58797-2024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45636</v>
      </c>
      <c r="E794" s="1" t="n">
        <v>46286</v>
      </c>
      <c r="F794" t="inlineStr">
        <is>
          <t>GÄVLEBORGS LÄN</t>
        </is>
      </c>
      <c r="G794" t="inlineStr">
        <is>
          <t>SANDVIKEN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34603-2026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46255</v>
      </c>
      <c r="E795" s="1" t="n">
        <v>46286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24992-2023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45085</v>
      </c>
      <c r="E796" s="1" t="n">
        <v>46286</v>
      </c>
      <c r="F796" t="inlineStr">
        <is>
          <t>GÄVLEBORGS LÄN</t>
        </is>
      </c>
      <c r="G796" t="inlineStr">
        <is>
          <t>SANDVIKEN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34606-2026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46286</v>
      </c>
      <c r="F797" t="inlineStr">
        <is>
          <t>GÄVLEBORGS LÄN</t>
        </is>
      </c>
      <c r="G797" t="inlineStr">
        <is>
          <t>SANDVIKEN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34879-2026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46286</v>
      </c>
      <c r="F798" t="inlineStr">
        <is>
          <t>GÄVLEBORGS LÄN</t>
        </is>
      </c>
      <c r="G798" t="inlineStr">
        <is>
          <t>SANDVIKEN</t>
        </is>
      </c>
      <c r="H798" t="inlineStr">
        <is>
          <t>Sveaskog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7056-2025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46286</v>
      </c>
      <c r="F799" t="inlineStr">
        <is>
          <t>GÄVLEBORGS LÄN</t>
        </is>
      </c>
      <c r="G799" t="inlineStr">
        <is>
          <t>SANDVIKEN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45700</v>
      </c>
      <c r="E800" s="1" t="n">
        <v>46286</v>
      </c>
      <c r="F800" t="inlineStr">
        <is>
          <t>GÄVLEBORGS LÄN</t>
        </is>
      </c>
      <c r="G800" t="inlineStr">
        <is>
          <t>SANDVIKEN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34608-2026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46286</v>
      </c>
      <c r="F801" t="inlineStr">
        <is>
          <t>GÄVLEBORGS LÄN</t>
        </is>
      </c>
      <c r="G801" t="inlineStr">
        <is>
          <t>SANDVIKEN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47889-2022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44855</v>
      </c>
      <c r="E802" s="1" t="n">
        <v>46286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29972-2022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44756</v>
      </c>
      <c r="E803" s="1" t="n">
        <v>46286</v>
      </c>
      <c r="F803" t="inlineStr">
        <is>
          <t>GÄVLEBORGS LÄN</t>
        </is>
      </c>
      <c r="G803" t="inlineStr">
        <is>
          <t>SANDVIKEN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16385-2023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45022</v>
      </c>
      <c r="E804" s="1" t="n">
        <v>46286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46030</v>
      </c>
      <c r="E805" s="1" t="n">
        <v>46286</v>
      </c>
      <c r="F805" t="inlineStr">
        <is>
          <t>GÄVLEBORGS LÄN</t>
        </is>
      </c>
      <c r="G805" t="inlineStr">
        <is>
          <t>SANDVIKEN</t>
        </is>
      </c>
      <c r="I805" t="n">
        <v>10.2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46259</v>
      </c>
      <c r="E806" s="1" t="n">
        <v>46286</v>
      </c>
      <c r="F806" t="inlineStr">
        <is>
          <t>GÄVLEBORGS LÄN</t>
        </is>
      </c>
      <c r="G806" t="inlineStr">
        <is>
          <t>SANDVIKEN</t>
        </is>
      </c>
      <c r="H806" t="inlineStr">
        <is>
          <t>Sveaskog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35107-2026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46260</v>
      </c>
      <c r="E807" s="1" t="n">
        <v>46286</v>
      </c>
      <c r="F807" t="inlineStr">
        <is>
          <t>GÄVLEBORGS LÄN</t>
        </is>
      </c>
      <c r="G807" t="inlineStr">
        <is>
          <t>SANDVIKEN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25544-2024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45463</v>
      </c>
      <c r="E808" s="1" t="n">
        <v>46286</v>
      </c>
      <c r="F808" t="inlineStr">
        <is>
          <t>GÄVLEBORGS LÄN</t>
        </is>
      </c>
      <c r="G808" t="inlineStr">
        <is>
          <t>SANDVIKEN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35253-2026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46286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35255-2026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46286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37641-2024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45541</v>
      </c>
      <c r="E811" s="1" t="n">
        <v>46286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4.8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37643-2024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45541</v>
      </c>
      <c r="E812" s="1" t="n">
        <v>46286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35345-2026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46286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35416-2026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46286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35417-2026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46286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46261</v>
      </c>
      <c r="E816" s="1" t="n">
        <v>46286</v>
      </c>
      <c r="F816" t="inlineStr">
        <is>
          <t>GÄVLEBORGS LÄN</t>
        </is>
      </c>
      <c r="G816" t="inlineStr">
        <is>
          <t>SANDVIKEN</t>
        </is>
      </c>
      <c r="H816" t="inlineStr">
        <is>
          <t>Naturvårdsverket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46286</v>
      </c>
      <c r="F817" t="inlineStr">
        <is>
          <t>GÄVLEBORGS LÄN</t>
        </is>
      </c>
      <c r="G817" t="inlineStr">
        <is>
          <t>SANDVIKEN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35320-2026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46261</v>
      </c>
      <c r="E818" s="1" t="n">
        <v>46286</v>
      </c>
      <c r="F818" t="inlineStr">
        <is>
          <t>GÄVLEBORGS LÄN</t>
        </is>
      </c>
      <c r="G818" t="inlineStr">
        <is>
          <t>SANDVIKEN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35370-2026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46286</v>
      </c>
      <c r="F819" t="inlineStr">
        <is>
          <t>GÄVLEBORGS LÄN</t>
        </is>
      </c>
      <c r="G819" t="inlineStr">
        <is>
          <t>SANDVIKEN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46286</v>
      </c>
      <c r="F820" t="inlineStr">
        <is>
          <t>GÄVLEBORGS LÄN</t>
        </is>
      </c>
      <c r="G820" t="inlineStr">
        <is>
          <t>SANDVIKEN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46286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46286</v>
      </c>
      <c r="F822" t="inlineStr">
        <is>
          <t>GÄVLEBORGS LÄN</t>
        </is>
      </c>
      <c r="G822" t="inlineStr">
        <is>
          <t>SANDVIKEN</t>
        </is>
      </c>
      <c r="H822" t="inlineStr">
        <is>
          <t>Sveaskog</t>
        </is>
      </c>
      <c r="I822" t="n">
        <v>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46286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35420-2026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46286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46286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35578-2026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46262</v>
      </c>
      <c r="E826" s="1" t="n">
        <v>46286</v>
      </c>
      <c r="F826" t="inlineStr">
        <is>
          <t>GÄVLEBORGS LÄN</t>
        </is>
      </c>
      <c r="G826" t="inlineStr">
        <is>
          <t>SANDVIKEN</t>
        </is>
      </c>
      <c r="H826" t="inlineStr">
        <is>
          <t>Naturvårdsverket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46286</v>
      </c>
      <c r="F827" t="inlineStr">
        <is>
          <t>GÄVLEBORGS LÄN</t>
        </is>
      </c>
      <c r="G827" t="inlineStr">
        <is>
          <t>SANDVIKEN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3899-2022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44587</v>
      </c>
      <c r="E828" s="1" t="n">
        <v>46286</v>
      </c>
      <c r="F828" t="inlineStr">
        <is>
          <t>GÄVLEBORGS LÄN</t>
        </is>
      </c>
      <c r="G828" t="inlineStr">
        <is>
          <t>SANDVIKEN</t>
        </is>
      </c>
      <c r="H828" t="inlineStr">
        <is>
          <t>Kyrkan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4511-2024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45327</v>
      </c>
      <c r="E829" s="1" t="n">
        <v>46286</v>
      </c>
      <c r="F829" t="inlineStr">
        <is>
          <t>GÄVLEBORGS LÄN</t>
        </is>
      </c>
      <c r="G829" t="inlineStr">
        <is>
          <t>SANDVIKEN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46262</v>
      </c>
      <c r="E830" s="1" t="n">
        <v>46286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35575-2026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46262</v>
      </c>
      <c r="E831" s="1" t="n">
        <v>46286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31314-2026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46219</v>
      </c>
      <c r="E832" s="1" t="n">
        <v>46286</v>
      </c>
      <c r="F832" t="inlineStr">
        <is>
          <t>GÄVLEBORGS LÄN</t>
        </is>
      </c>
      <c r="G832" t="inlineStr">
        <is>
          <t>SANDVIKEN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46262</v>
      </c>
      <c r="E833" s="1" t="n">
        <v>46286</v>
      </c>
      <c r="F833" t="inlineStr">
        <is>
          <t>GÄVLEBORGS LÄN</t>
        </is>
      </c>
      <c r="G833" t="inlineStr">
        <is>
          <t>SANDVIKEN</t>
        </is>
      </c>
      <c r="H833" t="inlineStr">
        <is>
          <t>Kommuner</t>
        </is>
      </c>
      <c r="I833" t="n">
        <v>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35451-2026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46262</v>
      </c>
      <c r="E834" s="1" t="n">
        <v>46286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46262</v>
      </c>
      <c r="E835" s="1" t="n">
        <v>46286</v>
      </c>
      <c r="F835" t="inlineStr">
        <is>
          <t>GÄVLEBORGS LÄN</t>
        </is>
      </c>
      <c r="G835" t="inlineStr">
        <is>
          <t>SANDVIKEN</t>
        </is>
      </c>
      <c r="H835" t="inlineStr">
        <is>
          <t>Naturvårdsverket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19269-2025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45769</v>
      </c>
      <c r="E836" s="1" t="n">
        <v>46286</v>
      </c>
      <c r="F836" t="inlineStr">
        <is>
          <t>GÄVLEBORGS LÄN</t>
        </is>
      </c>
      <c r="G836" t="inlineStr">
        <is>
          <t>SANDVIKEN</t>
        </is>
      </c>
      <c r="I836" t="n">
        <v>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35865-2026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46266</v>
      </c>
      <c r="E837" s="1" t="n">
        <v>46286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35863-2026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46266</v>
      </c>
      <c r="E838" s="1" t="n">
        <v>46286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48435-2024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45590</v>
      </c>
      <c r="E839" s="1" t="n">
        <v>46286</v>
      </c>
      <c r="F839" t="inlineStr">
        <is>
          <t>GÄVLEBORGS LÄN</t>
        </is>
      </c>
      <c r="G839" t="inlineStr">
        <is>
          <t>SANDVIKEN</t>
        </is>
      </c>
      <c r="I839" t="n">
        <v>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46286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49518-2023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45211</v>
      </c>
      <c r="E841" s="1" t="n">
        <v>46286</v>
      </c>
      <c r="F841" t="inlineStr">
        <is>
          <t>GÄVLEBORGS LÄN</t>
        </is>
      </c>
      <c r="G841" t="inlineStr">
        <is>
          <t>SANDVIKEN</t>
        </is>
      </c>
      <c r="I841" t="n">
        <v>7.4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44566</v>
      </c>
      <c r="E842" s="1" t="n">
        <v>46286</v>
      </c>
      <c r="F842" t="inlineStr">
        <is>
          <t>GÄVLEBORGS LÄN</t>
        </is>
      </c>
      <c r="G842" t="inlineStr">
        <is>
          <t>SANDVIKEN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36656-2023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45153</v>
      </c>
      <c r="E843" s="1" t="n">
        <v>46286</v>
      </c>
      <c r="F843" t="inlineStr">
        <is>
          <t>GÄVLEBORGS LÄN</t>
        </is>
      </c>
      <c r="G843" t="inlineStr">
        <is>
          <t>SANDVIKEN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16258-2023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45022</v>
      </c>
      <c r="E844" s="1" t="n">
        <v>46286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väst AB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61100-2025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46000</v>
      </c>
      <c r="E845" s="1" t="n">
        <v>46286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31802-2026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46230</v>
      </c>
      <c r="E846" s="1" t="n">
        <v>46286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31807-2026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46230</v>
      </c>
      <c r="E847" s="1" t="n">
        <v>46286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21182-2025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45779</v>
      </c>
      <c r="E848" s="1" t="n">
        <v>46286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37024-2026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46273</v>
      </c>
      <c r="E849" s="1" t="n">
        <v>46286</v>
      </c>
      <c r="F849" t="inlineStr">
        <is>
          <t>GÄVLEBORGS LÄN</t>
        </is>
      </c>
      <c r="G849" t="inlineStr">
        <is>
          <t>SANDVIKEN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37459-2024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45540</v>
      </c>
      <c r="E850" s="1" t="n">
        <v>46286</v>
      </c>
      <c r="F850" t="inlineStr">
        <is>
          <t>GÄVLEBORGS LÄN</t>
        </is>
      </c>
      <c r="G850" t="inlineStr">
        <is>
          <t>SANDVIKEN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46063</v>
      </c>
      <c r="E851" s="1" t="n">
        <v>46286</v>
      </c>
      <c r="F851" t="inlineStr">
        <is>
          <t>GÄVLEBORGS LÄN</t>
        </is>
      </c>
      <c r="G851" t="inlineStr">
        <is>
          <t>SANDVIKEN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31723-2026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46227</v>
      </c>
      <c r="E852" s="1" t="n">
        <v>46286</v>
      </c>
      <c r="F852" t="inlineStr">
        <is>
          <t>GÄVLEBORGS LÄN</t>
        </is>
      </c>
      <c r="G852" t="inlineStr">
        <is>
          <t>SANDVIKEN</t>
        </is>
      </c>
      <c r="H852" t="inlineStr">
        <is>
          <t>Kommuner</t>
        </is>
      </c>
      <c r="I852" t="n">
        <v>9.300000000000001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48319-2023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45205</v>
      </c>
      <c r="E853" s="1" t="n">
        <v>46286</v>
      </c>
      <c r="F853" t="inlineStr">
        <is>
          <t>GÄVLEBORGS LÄN</t>
        </is>
      </c>
      <c r="G853" t="inlineStr">
        <is>
          <t>SANDVIKEN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55446-2024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45622</v>
      </c>
      <c r="E854" s="1" t="n">
        <v>46286</v>
      </c>
      <c r="F854" t="inlineStr">
        <is>
          <t>GÄVLEBORGS LÄN</t>
        </is>
      </c>
      <c r="G854" t="inlineStr">
        <is>
          <t>SANDVIKEN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45679</v>
      </c>
      <c r="E855" s="1" t="n">
        <v>46286</v>
      </c>
      <c r="F855" t="inlineStr">
        <is>
          <t>GÄVLEBORGS LÄN</t>
        </is>
      </c>
      <c r="G855" t="inlineStr">
        <is>
          <t>SANDVIKEN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40460-2024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45555</v>
      </c>
      <c r="E856" s="1" t="n">
        <v>46286</v>
      </c>
      <c r="F856" t="inlineStr">
        <is>
          <t>GÄVLEBORGS LÄN</t>
        </is>
      </c>
      <c r="G856" t="inlineStr">
        <is>
          <t>SANDVIKEN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37455-2026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46275</v>
      </c>
      <c r="E857" s="1" t="n">
        <v>46286</v>
      </c>
      <c r="F857" t="inlineStr">
        <is>
          <t>GÄVLEBORGS LÄN</t>
        </is>
      </c>
      <c r="G857" t="inlineStr">
        <is>
          <t>SANDVIKEN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41284-2023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45174</v>
      </c>
      <c r="E858" s="1" t="n">
        <v>46286</v>
      </c>
      <c r="F858" t="inlineStr">
        <is>
          <t>GÄVLEBORGS LÄN</t>
        </is>
      </c>
      <c r="G858" t="inlineStr">
        <is>
          <t>SANDVIKEN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69521-2021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44531</v>
      </c>
      <c r="E859" s="1" t="n">
        <v>46286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23476-2026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46163</v>
      </c>
      <c r="E860" s="1" t="n">
        <v>46286</v>
      </c>
      <c r="F860" t="inlineStr">
        <is>
          <t>GÄVLEBORGS LÄN</t>
        </is>
      </c>
      <c r="G860" t="inlineStr">
        <is>
          <t>SANDVIKEN</t>
        </is>
      </c>
      <c r="H860" t="inlineStr">
        <is>
          <t>Övriga statliga verk och myndigheter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56019-2023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46286</v>
      </c>
      <c r="F861" t="inlineStr">
        <is>
          <t>GÄVLEBORGS LÄN</t>
        </is>
      </c>
      <c r="G861" t="inlineStr">
        <is>
          <t>SANDVIKEN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42950-2023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45178</v>
      </c>
      <c r="E862" s="1" t="n">
        <v>46286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väst AB</t>
        </is>
      </c>
      <c r="I862" t="n">
        <v>16.5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33623-2024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45520</v>
      </c>
      <c r="E863" s="1" t="n">
        <v>46286</v>
      </c>
      <c r="F863" t="inlineStr">
        <is>
          <t>GÄVLEBORGS LÄN</t>
        </is>
      </c>
      <c r="G863" t="inlineStr">
        <is>
          <t>SANDVIKEN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35492-2026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46262</v>
      </c>
      <c r="E864" s="1" t="n">
        <v>46286</v>
      </c>
      <c r="F864" t="inlineStr">
        <is>
          <t>GÄVLEBORGS LÄN</t>
        </is>
      </c>
      <c r="G864" t="inlineStr">
        <is>
          <t>SANDVIKEN</t>
        </is>
      </c>
      <c r="I864" t="n">
        <v>5.2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34429-2024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45525</v>
      </c>
      <c r="E865" s="1" t="n">
        <v>46286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38047-2026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46280</v>
      </c>
      <c r="E866" s="1" t="n">
        <v>46286</v>
      </c>
      <c r="F866" t="inlineStr">
        <is>
          <t>GÄVLEBORGS LÄN</t>
        </is>
      </c>
      <c r="G866" t="inlineStr">
        <is>
          <t>SANDVIKEN</t>
        </is>
      </c>
      <c r="H866" t="inlineStr">
        <is>
          <t>Kommuner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7886-2026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46063</v>
      </c>
      <c r="E867" s="1" t="n">
        <v>46286</v>
      </c>
      <c r="F867" t="inlineStr">
        <is>
          <t>GÄVLEBORGS LÄN</t>
        </is>
      </c>
      <c r="G867" t="inlineStr">
        <is>
          <t>SANDVIKEN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15682-2024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45404</v>
      </c>
      <c r="E868" s="1" t="n">
        <v>46286</v>
      </c>
      <c r="F868" t="inlineStr">
        <is>
          <t>GÄVLEBORGS LÄN</t>
        </is>
      </c>
      <c r="G868" t="inlineStr">
        <is>
          <t>SANDVIKEN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44289-2023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45188</v>
      </c>
      <c r="E869" s="1" t="n">
        <v>46286</v>
      </c>
      <c r="F869" t="inlineStr">
        <is>
          <t>GÄVLEBORGS LÄN</t>
        </is>
      </c>
      <c r="G869" t="inlineStr">
        <is>
          <t>SANDVIKEN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27872-2024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45475</v>
      </c>
      <c r="E870" s="1" t="n">
        <v>46286</v>
      </c>
      <c r="F870" t="inlineStr">
        <is>
          <t>GÄVLEBORGS LÄN</t>
        </is>
      </c>
      <c r="G870" t="inlineStr">
        <is>
          <t>SANDVIKEN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45673</v>
      </c>
      <c r="E871" s="1" t="n">
        <v>46286</v>
      </c>
      <c r="F871" t="inlineStr">
        <is>
          <t>GÄVLEBORGS LÄN</t>
        </is>
      </c>
      <c r="G871" t="inlineStr">
        <is>
          <t>SANDVIKEN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36203-2025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45867</v>
      </c>
      <c r="E872" s="1" t="n">
        <v>46286</v>
      </c>
      <c r="F872" t="inlineStr">
        <is>
          <t>GÄVLEBORGS LÄN</t>
        </is>
      </c>
      <c r="G872" t="inlineStr">
        <is>
          <t>SANDVIKEN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18725-2025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45763</v>
      </c>
      <c r="E873" s="1" t="n">
        <v>46286</v>
      </c>
      <c r="F873" t="inlineStr">
        <is>
          <t>GÄVLEBORGS LÄN</t>
        </is>
      </c>
      <c r="G873" t="inlineStr">
        <is>
          <t>SANDVIKEN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64000-2023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45278</v>
      </c>
      <c r="E874" s="1" t="n">
        <v>46286</v>
      </c>
      <c r="F874" t="inlineStr">
        <is>
          <t>GÄVLEBORGS LÄN</t>
        </is>
      </c>
      <c r="G874" t="inlineStr">
        <is>
          <t>SANDVIKEN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17735-2024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45418</v>
      </c>
      <c r="E875" s="1" t="n">
        <v>46286</v>
      </c>
      <c r="F875" t="inlineStr">
        <is>
          <t>GÄVLEBORGS LÄN</t>
        </is>
      </c>
      <c r="G875" t="inlineStr">
        <is>
          <t>SANDVIKEN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53322-2024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45614</v>
      </c>
      <c r="E876" s="1" t="n">
        <v>46286</v>
      </c>
      <c r="F876" t="inlineStr">
        <is>
          <t>GÄVLEBORGS LÄN</t>
        </is>
      </c>
      <c r="G876" t="inlineStr">
        <is>
          <t>SANDVIKEN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24940-2025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45799</v>
      </c>
      <c r="E877" s="1" t="n">
        <v>46286</v>
      </c>
      <c r="F877" t="inlineStr">
        <is>
          <t>GÄVLEBORGS LÄN</t>
        </is>
      </c>
      <c r="G877" t="inlineStr">
        <is>
          <t>SANDVIKEN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24948-2025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45799</v>
      </c>
      <c r="E878" s="1" t="n">
        <v>46286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24953-2025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45799</v>
      </c>
      <c r="E879" s="1" t="n">
        <v>46286</v>
      </c>
      <c r="F879" t="inlineStr">
        <is>
          <t>GÄVLEBORGS LÄN</t>
        </is>
      </c>
      <c r="G879" t="inlineStr">
        <is>
          <t>SANDVIKEN</t>
        </is>
      </c>
      <c r="I879" t="n">
        <v>10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15340-2026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46105</v>
      </c>
      <c r="E880" s="1" t="n">
        <v>46286</v>
      </c>
      <c r="F880" t="inlineStr">
        <is>
          <t>GÄVLEBORGS LÄN</t>
        </is>
      </c>
      <c r="G880" t="inlineStr">
        <is>
          <t>SANDVIKEN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33136-2023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45126</v>
      </c>
      <c r="E881" s="1" t="n">
        <v>46286</v>
      </c>
      <c r="F881" t="inlineStr">
        <is>
          <t>GÄVLEBORGS LÄN</t>
        </is>
      </c>
      <c r="G881" t="inlineStr">
        <is>
          <t>SANDVIKEN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25300-2025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45800</v>
      </c>
      <c r="E882" s="1" t="n">
        <v>46286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25327-2025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45800</v>
      </c>
      <c r="E883" s="1" t="n">
        <v>46286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25111-2025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45800</v>
      </c>
      <c r="E884" s="1" t="n">
        <v>46286</v>
      </c>
      <c r="F884" t="inlineStr">
        <is>
          <t>GÄVLEBORGS LÄN</t>
        </is>
      </c>
      <c r="G884" t="inlineStr">
        <is>
          <t>SANDVIKEN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25317-2025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45800</v>
      </c>
      <c r="E885" s="1" t="n">
        <v>46286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26294-2025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45805</v>
      </c>
      <c r="E886" s="1" t="n">
        <v>46286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26787-2025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45810</v>
      </c>
      <c r="E887" s="1" t="n">
        <v>46286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28468-2025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45819</v>
      </c>
      <c r="E888" s="1" t="n">
        <v>46286</v>
      </c>
      <c r="F888" t="inlineStr">
        <is>
          <t>GÄVLEBORGS LÄN</t>
        </is>
      </c>
      <c r="G888" t="inlineStr">
        <is>
          <t>SANDVIKEN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28424-2025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45819</v>
      </c>
      <c r="E889" s="1" t="n">
        <v>46286</v>
      </c>
      <c r="F889" t="inlineStr">
        <is>
          <t>GÄVLEBORGS LÄN</t>
        </is>
      </c>
      <c r="G889" t="inlineStr">
        <is>
          <t>SANDVIKEN</t>
        </is>
      </c>
      <c r="I889" t="n">
        <v>6.8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28476-2025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45819</v>
      </c>
      <c r="E890" s="1" t="n">
        <v>46286</v>
      </c>
      <c r="F890" t="inlineStr">
        <is>
          <t>GÄVLEBORGS LÄN</t>
        </is>
      </c>
      <c r="G890" t="inlineStr">
        <is>
          <t>SANDVIKEN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29738-2025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45825</v>
      </c>
      <c r="E891" s="1" t="n">
        <v>46286</v>
      </c>
      <c r="F891" t="inlineStr">
        <is>
          <t>GÄVLEBORGS LÄN</t>
        </is>
      </c>
      <c r="G891" t="inlineStr">
        <is>
          <t>SANDVIKEN</t>
        </is>
      </c>
      <c r="I891" t="n">
        <v>4.8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30203-2025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45827</v>
      </c>
      <c r="E892" s="1" t="n">
        <v>46286</v>
      </c>
      <c r="F892" t="inlineStr">
        <is>
          <t>GÄVLEBORGS LÄN</t>
        </is>
      </c>
      <c r="G892" t="inlineStr">
        <is>
          <t>SANDVIKEN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31460-2025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45833</v>
      </c>
      <c r="E893" s="1" t="n">
        <v>46286</v>
      </c>
      <c r="F893" t="inlineStr">
        <is>
          <t>GÄVLEBORGS LÄN</t>
        </is>
      </c>
      <c r="G893" t="inlineStr">
        <is>
          <t>SANDVIKEN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31145-2025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45832</v>
      </c>
      <c r="E894" s="1" t="n">
        <v>46286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5.8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30843-2025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45831</v>
      </c>
      <c r="E895" s="1" t="n">
        <v>46286</v>
      </c>
      <c r="F895" t="inlineStr">
        <is>
          <t>GÄVLEBORGS LÄN</t>
        </is>
      </c>
      <c r="G895" t="inlineStr">
        <is>
          <t>SANDVIKEN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33015-2025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45840</v>
      </c>
      <c r="E896" s="1" t="n">
        <v>46286</v>
      </c>
      <c r="F896" t="inlineStr">
        <is>
          <t>GÄVLEBORGS LÄN</t>
        </is>
      </c>
      <c r="G896" t="inlineStr">
        <is>
          <t>SANDVIKEN</t>
        </is>
      </c>
      <c r="H896" t="inlineStr">
        <is>
          <t>Bergvik skog öst AB</t>
        </is>
      </c>
      <c r="I896" t="n">
        <v>27.3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34219-2025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45845</v>
      </c>
      <c r="E897" s="1" t="n">
        <v>46286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18357-2025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45762</v>
      </c>
      <c r="E898" s="1" t="n">
        <v>46286</v>
      </c>
      <c r="F898" t="inlineStr">
        <is>
          <t>GÄVLEBORGS LÄN</t>
        </is>
      </c>
      <c r="G898" t="inlineStr">
        <is>
          <t>SANDVIKEN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45842</v>
      </c>
      <c r="E899" s="1" t="n">
        <v>46286</v>
      </c>
      <c r="F899" t="inlineStr">
        <is>
          <t>GÄVLEBORGS LÄN</t>
        </is>
      </c>
      <c r="G899" t="inlineStr">
        <is>
          <t>SANDVIKEN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35995-2025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45863</v>
      </c>
      <c r="E900" s="1" t="n">
        <v>46286</v>
      </c>
      <c r="F900" t="inlineStr">
        <is>
          <t>GÄVLEBORGS LÄN</t>
        </is>
      </c>
      <c r="G900" t="inlineStr">
        <is>
          <t>SANDVIKEN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36107-2025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45866</v>
      </c>
      <c r="E901" s="1" t="n">
        <v>46286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36091-2025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45866</v>
      </c>
      <c r="E902" s="1" t="n">
        <v>46286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36212-2025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45867</v>
      </c>
      <c r="E903" s="1" t="n">
        <v>46286</v>
      </c>
      <c r="F903" t="inlineStr">
        <is>
          <t>GÄVLEBORGS LÄN</t>
        </is>
      </c>
      <c r="G903" t="inlineStr">
        <is>
          <t>SANDVIKEN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32849-2022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44784</v>
      </c>
      <c r="E904" s="1" t="n">
        <v>46286</v>
      </c>
      <c r="F904" t="inlineStr">
        <is>
          <t>GÄVLEBORGS LÄN</t>
        </is>
      </c>
      <c r="G904" t="inlineStr">
        <is>
          <t>SANDVIKEN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36584-2025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45870</v>
      </c>
      <c r="E905" s="1" t="n">
        <v>46286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36732-2025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45873</v>
      </c>
      <c r="E906" s="1" t="n">
        <v>46286</v>
      </c>
      <c r="F906" t="inlineStr">
        <is>
          <t>GÄVLEBORGS LÄN</t>
        </is>
      </c>
      <c r="G906" t="inlineStr">
        <is>
          <t>SANDVIKEN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36793-2025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45873</v>
      </c>
      <c r="E907" s="1" t="n">
        <v>46286</v>
      </c>
      <c r="F907" t="inlineStr">
        <is>
          <t>GÄVLEBORGS LÄN</t>
        </is>
      </c>
      <c r="G907" t="inlineStr">
        <is>
          <t>SANDVIKEN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36795-2025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45873</v>
      </c>
      <c r="E908" s="1" t="n">
        <v>46286</v>
      </c>
      <c r="F908" t="inlineStr">
        <is>
          <t>GÄVLEBORGS LÄN</t>
        </is>
      </c>
      <c r="G908" t="inlineStr">
        <is>
          <t>SANDVIKEN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36693-2025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45873</v>
      </c>
      <c r="E909" s="1" t="n">
        <v>46286</v>
      </c>
      <c r="F909" t="inlineStr">
        <is>
          <t>GÄVLEBORGS LÄN</t>
        </is>
      </c>
      <c r="G909" t="inlineStr">
        <is>
          <t>SANDVIKEN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38439-2025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45883</v>
      </c>
      <c r="E910" s="1" t="n">
        <v>46286</v>
      </c>
      <c r="F910" t="inlineStr">
        <is>
          <t>GÄVLEBORGS LÄN</t>
        </is>
      </c>
      <c r="G910" t="inlineStr">
        <is>
          <t>SANDVIKEN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38435-2025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45883</v>
      </c>
      <c r="E911" s="1" t="n">
        <v>46286</v>
      </c>
      <c r="F911" t="inlineStr">
        <is>
          <t>GÄVLEBORGS LÄN</t>
        </is>
      </c>
      <c r="G911" t="inlineStr">
        <is>
          <t>SANDVIKEN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38423-2025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45883</v>
      </c>
      <c r="E912" s="1" t="n">
        <v>46286</v>
      </c>
      <c r="F912" t="inlineStr">
        <is>
          <t>GÄVLEBORGS LÄN</t>
        </is>
      </c>
      <c r="G912" t="inlineStr">
        <is>
          <t>SANDVIKEN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2071-2020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44102</v>
      </c>
      <c r="E913" s="1" t="n">
        <v>46286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42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219-2024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45316</v>
      </c>
      <c r="E914" s="1" t="n">
        <v>46286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198-2024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45315</v>
      </c>
      <c r="E915" s="1" t="n">
        <v>46286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64.59999999999999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46286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46286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10363-2021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44550</v>
      </c>
      <c r="E918" s="1" t="n">
        <v>46286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73.3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513-2025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45706</v>
      </c>
      <c r="E919" s="1" t="n">
        <v>46286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29.5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706-2025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45720</v>
      </c>
      <c r="E920" s="1" t="n">
        <v>46286</v>
      </c>
      <c r="F920" t="inlineStr">
        <is>
          <t>GÄVLEBORGS LÄN</t>
        </is>
      </c>
      <c r="G920" t="inlineStr">
        <is>
          <t>SANDVIKEN</t>
        </is>
      </c>
      <c r="H920" t="inlineStr">
        <is>
          <t>Bergvik skog väst AB</t>
        </is>
      </c>
      <c r="I920" t="n">
        <v>24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531-2025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46286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530-2025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45707</v>
      </c>
      <c r="E922" s="1" t="n">
        <v>46286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23.1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318-2026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46286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14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320-2026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46059</v>
      </c>
      <c r="E924" s="1" t="n">
        <v>46286</v>
      </c>
      <c r="F924" t="inlineStr">
        <is>
          <t>GÄVLEBORGS LÄN</t>
        </is>
      </c>
      <c r="G924" t="inlineStr">
        <is>
          <t>SANDVIKEN</t>
        </is>
      </c>
      <c r="H924" t="inlineStr">
        <is>
          <t>Sveaskog</t>
        </is>
      </c>
      <c r="I924" t="n">
        <v>36.3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664-2026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46286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>
      <c r="A926" t="inlineStr">
        <is>
          <t>S 677-2026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46089</v>
      </c>
      <c r="E926" s="1" t="n">
        <v>46286</v>
      </c>
      <c r="F926" t="inlineStr">
        <is>
          <t>GÄVLEBORGS LÄN</t>
        </is>
      </c>
      <c r="G926" t="inlineStr">
        <is>
          <t>SANDVIKEN</t>
        </is>
      </c>
      <c r="H926" t="inlineStr">
        <is>
          <t>Bergvik skog öst AB</t>
        </is>
      </c>
      <c r="I926" t="n">
        <v>61.3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2026-09-21T02:01:20Z</dcterms:created>
  <dcterms:modified xmlns:dcterms="http://purl.org/dc/terms/" xmlns:xsi="http://www.w3.org/2001/XMLSchema-instance" xsi:type="dcterms:W3CDTF">2026-09-21T02:01:21Z</dcterms:modified>
</cp:coreProperties>
</file>