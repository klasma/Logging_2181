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46248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46248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46248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46248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46248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46248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46248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46248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46248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46248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46248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15650-2024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45404</v>
      </c>
      <c r="E14" s="1" t="n">
        <v>46248</v>
      </c>
      <c r="F14" t="inlineStr">
        <is>
          <t>GÄVLEBORGS LÄN</t>
        </is>
      </c>
      <c r="G14" t="inlineStr">
        <is>
          <t>SANDVIKEN</t>
        </is>
      </c>
      <c r="H14" t="inlineStr">
        <is>
          <t>Bergvik skog öst AB</t>
        </is>
      </c>
      <c r="I14" t="n">
        <v>9.300000000000001</v>
      </c>
      <c r="J14" t="n">
        <v>1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Dropptaggsvamp
Fjällig taggsvamp s.str.
Grönpyrola</t>
        </is>
      </c>
      <c r="W14">
        <f>HYPERLINK("https://klasma.github.io/Logging_2181/artfynd/A 15650-2024 artfynd.xlsx", "A 15650-2024")</f>
        <v/>
      </c>
      <c r="X14">
        <f>HYPERLINK("https://klasma.github.io/Logging_2181/kartor/A 15650-2024 karta.png", "A 15650-2024")</f>
        <v/>
      </c>
      <c r="Y14">
        <f>HYPERLINK("https://klasma.github.io/Logging_2181/kartor_geotiff/A 15650-2024 georefererad karta.tif", "A 15650-2024")</f>
        <v/>
      </c>
      <c r="Z14">
        <f>HYPERLINK("https://klasma.github.io/Logging_2181/knärot/A 15650-2024 karta knärot.png", "A 15650-2024")</f>
        <v/>
      </c>
      <c r="AA14">
        <f>HYPERLINK("https://klasma.github.io/Logging_2181/klagomål/A 15650-2024 FSC-klagomål.docx", "A 15650-2024")</f>
        <v/>
      </c>
      <c r="AB14">
        <f>HYPERLINK("https://klasma.github.io/Logging_2181/klagomålsmail/A 15650-2024 FSC-klagomål mail.docx", "A 15650-2024")</f>
        <v/>
      </c>
      <c r="AC14">
        <f>HYPERLINK("https://klasma.github.io/Logging_2181/tillsyn/A 15650-2024 tillsynsbegäran.docx", "A 15650-2024")</f>
        <v/>
      </c>
      <c r="AD14">
        <f>HYPERLINK("https://klasma.github.io/Logging_2181/tillsynsmail/A 15650-2024 tillsynsbegäran mail.docx", "A 15650-2024")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46248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46248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46248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46248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46248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46248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46248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46248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46248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Rödvingetrast
Törnskata
Vanlig groda</t>
        </is>
      </c>
      <c r="W23">
        <f>HYPERLINK("https://klasma.github.io/Logging_2181/artfynd/A 6378-2023 artfynd.xlsx", "A 6378-2023")</f>
        <v/>
      </c>
      <c r="X23">
        <f>HYPERLINK("https://klasma.github.io/Logging_2181/kartor/A 6378-2023 karta.png", "A 6378-2023")</f>
        <v/>
      </c>
      <c r="Y23">
        <f>HYPERLINK("https://klasma.github.io/Logging_2181/kartor_geotiff/A 6378-2023 georefererad karta.tif", "A 6378-2023")</f>
        <v/>
      </c>
      <c r="AA23">
        <f>HYPERLINK("https://klasma.github.io/Logging_2181/klagomål/A 6378-2023 FSC-klagomål.docx", "A 6378-2023")</f>
        <v/>
      </c>
      <c r="AB23">
        <f>HYPERLINK("https://klasma.github.io/Logging_2181/klagomålsmail/A 6378-2023 FSC-klagomål mail.docx", "A 6378-2023")</f>
        <v/>
      </c>
      <c r="AC23">
        <f>HYPERLINK("https://klasma.github.io/Logging_2181/tillsyn/A 6378-2023 tillsynsbegäran.docx", "A 6378-2023")</f>
        <v/>
      </c>
      <c r="AD23">
        <f>HYPERLINK("https://klasma.github.io/Logging_2181/tillsynsmail/A 6378-2023 tillsynsbegäran mail.docx", "A 6378-2023")</f>
        <v/>
      </c>
      <c r="AE23">
        <f>HYPERLINK("https://klasma.github.io/Logging_2181/fåglar/A 6378-2023 prioriterade fågelarter.docx", "A 6378-2023")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46248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46248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46248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46248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46248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46248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6108-2026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46053</v>
      </c>
      <c r="E30" s="1" t="n">
        <v>46248</v>
      </c>
      <c r="F30" t="inlineStr">
        <is>
          <t>GÄVLEBORGS LÄN</t>
        </is>
      </c>
      <c r="G30" t="inlineStr">
        <is>
          <t>SANDVIKEN</t>
        </is>
      </c>
      <c r="I30" t="n">
        <v>3.9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Knärot
Granvivel
Linnea</t>
        </is>
      </c>
      <c r="W30">
        <f>HYPERLINK("https://klasma.github.io/Logging_2181/artfynd/A 6108-2026 artfynd.xlsx", "A 6108-2026")</f>
        <v/>
      </c>
      <c r="X30">
        <f>HYPERLINK("https://klasma.github.io/Logging_2181/kartor/A 6108-2026 karta.png", "A 6108-2026")</f>
        <v/>
      </c>
      <c r="Y30">
        <f>HYPERLINK("https://klasma.github.io/Logging_2181/kartor_geotiff/A 6108-2026 georefererad karta.tif", "A 6108-2026")</f>
        <v/>
      </c>
      <c r="Z30">
        <f>HYPERLINK("https://klasma.github.io/Logging_2181/knärot/A 6108-2026 karta knärot.png", "A 6108-2026")</f>
        <v/>
      </c>
      <c r="AA30">
        <f>HYPERLINK("https://klasma.github.io/Logging_2181/klagomål/A 6108-2026 FSC-klagomål.docx", "A 6108-2026")</f>
        <v/>
      </c>
      <c r="AB30">
        <f>HYPERLINK("https://klasma.github.io/Logging_2181/klagomålsmail/A 6108-2026 FSC-klagomål mail.docx", "A 6108-2026")</f>
        <v/>
      </c>
      <c r="AC30">
        <f>HYPERLINK("https://klasma.github.io/Logging_2181/tillsyn/A 6108-2026 tillsynsbegäran.docx", "A 6108-2026")</f>
        <v/>
      </c>
      <c r="AD30">
        <f>HYPERLINK("https://klasma.github.io/Logging_2181/tillsynsmail/A 6108-2026 tillsynsbegäran mail.docx", "A 6108-2026")</f>
        <v/>
      </c>
    </row>
    <row r="31" ht="15" customHeight="1">
      <c r="A31" t="inlineStr">
        <is>
          <t>A 12192-2026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46248</v>
      </c>
      <c r="F31" t="inlineStr">
        <is>
          <t>GÄVLEBORGS LÄN</t>
        </is>
      </c>
      <c r="G31" t="inlineStr">
        <is>
          <t>SANDVIKEN</t>
        </is>
      </c>
      <c r="I31" t="n">
        <v>0.6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7</v>
      </c>
      <c r="U31" t="n">
        <v>7</v>
      </c>
      <c r="V31" s="2" t="inlineStr">
        <is>
          <t>Knärot
Tretåig hackspett
Spillkråka</t>
        </is>
      </c>
      <c r="W31">
        <f>HYPERLINK("https://klasma.github.io/Logging_2181/artfynd/A 12192-2026 artfynd.xlsx", "A 12192-2026")</f>
        <v/>
      </c>
      <c r="X31">
        <f>HYPERLINK("https://klasma.github.io/Logging_2181/kartor/A 12192-2026 karta.png", "A 12192-2026")</f>
        <v/>
      </c>
      <c r="Y31">
        <f>HYPERLINK("https://klasma.github.io/Logging_2181/kartor_geotiff/A 12192-2026 georefererad karta.tif", "A 12192-2026")</f>
        <v/>
      </c>
      <c r="Z31">
        <f>HYPERLINK("https://klasma.github.io/Logging_2181/knärot/A 12192-2026 karta knärot.png", "A 12192-2026")</f>
        <v/>
      </c>
      <c r="AA31">
        <f>HYPERLINK("https://klasma.github.io/Logging_2181/klagomål/A 12192-2026 FSC-klagomål.docx", "A 12192-2026")</f>
        <v/>
      </c>
      <c r="AB31">
        <f>HYPERLINK("https://klasma.github.io/Logging_2181/klagomålsmail/A 12192-2026 FSC-klagomål mail.docx", "A 12192-2026")</f>
        <v/>
      </c>
      <c r="AC31">
        <f>HYPERLINK("https://klasma.github.io/Logging_2181/tillsyn/A 12192-2026 tillsynsbegäran.docx", "A 12192-2026")</f>
        <v/>
      </c>
      <c r="AD31">
        <f>HYPERLINK("https://klasma.github.io/Logging_2181/tillsynsmail/A 12192-2026 tillsynsbegäran mail.docx", "A 12192-2026")</f>
        <v/>
      </c>
      <c r="AE31">
        <f>HYPERLINK("https://klasma.github.io/Logging_2181/fåglar/A 12192-2026 prioriterade fågelarter.docx", "A 12192-2026")</f>
        <v/>
      </c>
    </row>
    <row r="32" ht="15" customHeight="1">
      <c r="A32" t="inlineStr">
        <is>
          <t>A 12696-2026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46091</v>
      </c>
      <c r="E32" s="1" t="n">
        <v>46248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1.3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Blåsippa
Fläcknycklar
Äkta lopplummer</t>
        </is>
      </c>
      <c r="W32">
        <f>HYPERLINK("https://klasma.github.io/Logging_2181/artfynd/A 12696-2026 artfynd.xlsx", "A 12696-2026")</f>
        <v/>
      </c>
      <c r="X32">
        <f>HYPERLINK("https://klasma.github.io/Logging_2181/kartor/A 12696-2026 karta.png", "A 12696-2026")</f>
        <v/>
      </c>
      <c r="Y32">
        <f>HYPERLINK("https://klasma.github.io/Logging_2181/kartor_geotiff/A 12696-2026 georefererad karta.tif", "A 12696-2026")</f>
        <v/>
      </c>
      <c r="AA32">
        <f>HYPERLINK("https://klasma.github.io/Logging_2181/klagomål/A 12696-2026 FSC-klagomål.docx", "A 12696-2026")</f>
        <v/>
      </c>
      <c r="AB32">
        <f>HYPERLINK("https://klasma.github.io/Logging_2181/klagomålsmail/A 12696-2026 FSC-klagomål mail.docx", "A 12696-2026")</f>
        <v/>
      </c>
      <c r="AC32">
        <f>HYPERLINK("https://klasma.github.io/Logging_2181/tillsyn/A 12696-2026 tillsynsbegäran.docx", "A 12696-2026")</f>
        <v/>
      </c>
      <c r="AD32">
        <f>HYPERLINK("https://klasma.github.io/Logging_2181/tillsynsmail/A 12696-2026 tillsynsbegäran mail.docx", "A 12696-2026")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46248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46248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46248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46248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35523-2022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44799</v>
      </c>
      <c r="E37" s="1" t="n">
        <v>46248</v>
      </c>
      <c r="F37" t="inlineStr">
        <is>
          <t>GÄVLEBORGS LÄN</t>
        </is>
      </c>
      <c r="G37" t="inlineStr">
        <is>
          <t>SANDVIKEN</t>
        </is>
      </c>
      <c r="I37" t="n">
        <v>2.1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Nattviol</t>
        </is>
      </c>
      <c r="W37">
        <f>HYPERLINK("https://klasma.github.io/Logging_2181/artfynd/A 35523-2022 artfynd.xlsx", "A 35523-2022")</f>
        <v/>
      </c>
      <c r="X37">
        <f>HYPERLINK("https://klasma.github.io/Logging_2181/kartor/A 35523-2022 karta.png", "A 35523-2022")</f>
        <v/>
      </c>
      <c r="Y37">
        <f>HYPERLINK("https://klasma.github.io/Logging_2181/kartor_geotiff/A 35523-2022 georefererad karta.tif", "A 35523-2022")</f>
        <v/>
      </c>
      <c r="Z37">
        <f>HYPERLINK("https://klasma.github.io/Logging_2181/knärot/A 35523-2022 karta knärot.png", "A 35523-2022")</f>
        <v/>
      </c>
      <c r="AA37">
        <f>HYPERLINK("https://klasma.github.io/Logging_2181/klagomål/A 35523-2022 FSC-klagomål.docx", "A 35523-2022")</f>
        <v/>
      </c>
      <c r="AB37">
        <f>HYPERLINK("https://klasma.github.io/Logging_2181/klagomålsmail/A 35523-2022 FSC-klagomål mail.docx", "A 35523-2022")</f>
        <v/>
      </c>
      <c r="AC37">
        <f>HYPERLINK("https://klasma.github.io/Logging_2181/tillsyn/A 35523-2022 tillsynsbegäran.docx", "A 35523-2022")</f>
        <v/>
      </c>
      <c r="AD37">
        <f>HYPERLINK("https://klasma.github.io/Logging_2181/tillsynsmail/A 35523-2022 tillsynsbegäran mail.docx", "A 35523-2022")</f>
        <v/>
      </c>
    </row>
    <row r="38" ht="15" customHeight="1">
      <c r="A38" t="inlineStr">
        <is>
          <t>A 43716-2023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46248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HYPERLINK("https://klasma.github.io/Logging_2181/artfynd/A 43716-2023 artfynd.xlsx", "A 43716-2023")</f>
        <v/>
      </c>
      <c r="X38">
        <f>HYPERLINK("https://klasma.github.io/Logging_2181/kartor/A 43716-2023 karta.png", "A 43716-2023")</f>
        <v/>
      </c>
      <c r="Y38">
        <f>HYPERLINK("https://klasma.github.io/Logging_2181/kartor_geotiff/A 43716-2023 georefererad karta.tif", "A 43716-2023")</f>
        <v/>
      </c>
      <c r="Z38">
        <f>HYPERLINK("https://klasma.github.io/Logging_2181/knärot/A 43716-2023 karta knärot.png", "A 43716-2023")</f>
        <v/>
      </c>
      <c r="AA38">
        <f>HYPERLINK("https://klasma.github.io/Logging_2181/klagomål/A 43716-2023 FSC-klagomål.docx", "A 43716-2023")</f>
        <v/>
      </c>
      <c r="AB38">
        <f>HYPERLINK("https://klasma.github.io/Logging_2181/klagomålsmail/A 43716-2023 FSC-klagomål mail.docx", "A 43716-2023")</f>
        <v/>
      </c>
      <c r="AC38">
        <f>HYPERLINK("https://klasma.github.io/Logging_2181/tillsyn/A 43716-2023 tillsynsbegäran.docx", "A 43716-2023")</f>
        <v/>
      </c>
      <c r="AD38">
        <f>HYPERLINK("https://klasma.github.io/Logging_2181/tillsynsmail/A 43716-2023 tillsynsbegäran mail.docx", "A 43716-2023")</f>
        <v/>
      </c>
    </row>
    <row r="39" ht="15" customHeight="1">
      <c r="A39" t="inlineStr">
        <is>
          <t>A 10623-2025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45721</v>
      </c>
      <c r="E39" s="1" t="n">
        <v>46248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4.6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7</v>
      </c>
      <c r="U39" t="n">
        <v>7</v>
      </c>
      <c r="V39" s="2" t="inlineStr">
        <is>
          <t>Knärot
Revlummer</t>
        </is>
      </c>
      <c r="W39">
        <f>HYPERLINK("https://klasma.github.io/Logging_2181/artfynd/A 10623-2025 artfynd.xlsx", "A 10623-2025")</f>
        <v/>
      </c>
      <c r="X39">
        <f>HYPERLINK("https://klasma.github.io/Logging_2181/kartor/A 10623-2025 karta.png", "A 10623-2025")</f>
        <v/>
      </c>
      <c r="Y39">
        <f>HYPERLINK("https://klasma.github.io/Logging_2181/kartor_geotiff/A 10623-2025 georefererad karta.tif", "A 10623-2025")</f>
        <v/>
      </c>
      <c r="Z39">
        <f>HYPERLINK("https://klasma.github.io/Logging_2181/knärot/A 10623-2025 karta knärot.png", "A 10623-2025")</f>
        <v/>
      </c>
      <c r="AA39">
        <f>HYPERLINK("https://klasma.github.io/Logging_2181/klagomål/A 10623-2025 FSC-klagomål.docx", "A 10623-2025")</f>
        <v/>
      </c>
      <c r="AB39">
        <f>HYPERLINK("https://klasma.github.io/Logging_2181/klagomålsmail/A 10623-2025 FSC-klagomål mail.docx", "A 10623-2025")</f>
        <v/>
      </c>
      <c r="AC39">
        <f>HYPERLINK("https://klasma.github.io/Logging_2181/tillsyn/A 10623-2025 tillsynsbegäran.docx", "A 10623-2025")</f>
        <v/>
      </c>
      <c r="AD39">
        <f>HYPERLINK("https://klasma.github.io/Logging_2181/tillsynsmail/A 10623-2025 tillsynsbegäran mail.docx", "A 10623-2025")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46248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46729-2025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46248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7.6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Motaggsvamp
Ullticka</t>
        </is>
      </c>
      <c r="W41">
        <f>HYPERLINK("https://klasma.github.io/Logging_2181/artfynd/A 46729-2025 artfynd.xlsx", "A 46729-2025")</f>
        <v/>
      </c>
      <c r="X41">
        <f>HYPERLINK("https://klasma.github.io/Logging_2181/kartor/A 46729-2025 karta.png", "A 46729-2025")</f>
        <v/>
      </c>
      <c r="Y41">
        <f>HYPERLINK("https://klasma.github.io/Logging_2181/kartor_geotiff/A 46729-2025 georefererad karta.tif", "A 46729-2025")</f>
        <v/>
      </c>
      <c r="AA41">
        <f>HYPERLINK("https://klasma.github.io/Logging_2181/klagomål/A 46729-2025 FSC-klagomål.docx", "A 46729-2025")</f>
        <v/>
      </c>
      <c r="AB41">
        <f>HYPERLINK("https://klasma.github.io/Logging_2181/klagomålsmail/A 46729-2025 FSC-klagomål mail.docx", "A 46729-2025")</f>
        <v/>
      </c>
      <c r="AC41">
        <f>HYPERLINK("https://klasma.github.io/Logging_2181/tillsyn/A 46729-2025 tillsynsbegäran.docx", "A 46729-2025")</f>
        <v/>
      </c>
      <c r="AD41">
        <f>HYPERLINK("https://klasma.github.io/Logging_2181/tillsynsmail/A 46729-2025 tillsynsbegäran mail.docx", "A 46729-2025")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46248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46248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15895-2026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46248</v>
      </c>
      <c r="F44" t="inlineStr">
        <is>
          <t>GÄVLEBORGS LÄN</t>
        </is>
      </c>
      <c r="G44" t="inlineStr">
        <is>
          <t>SANDVIKEN</t>
        </is>
      </c>
      <c r="H44" t="inlineStr">
        <is>
          <t>Bergvik skog öst AB</t>
        </is>
      </c>
      <c r="I44" t="n">
        <v>10.2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Mattlummer
Revlummer</t>
        </is>
      </c>
      <c r="W44">
        <f>HYPERLINK("https://klasma.github.io/Logging_2181/artfynd/A 15895-2026 artfynd.xlsx", "A 15895-2026")</f>
        <v/>
      </c>
      <c r="X44">
        <f>HYPERLINK("https://klasma.github.io/Logging_2181/kartor/A 15895-2026 karta.png", "A 15895-2026")</f>
        <v/>
      </c>
      <c r="Y44">
        <f>HYPERLINK("https://klasma.github.io/Logging_2181/kartor_geotiff/A 15895-2026 georefererad karta.tif", "A 15895-2026")</f>
        <v/>
      </c>
      <c r="AA44">
        <f>HYPERLINK("https://klasma.github.io/Logging_2181/klagomål/A 15895-2026 FSC-klagomål.docx", "A 15895-2026")</f>
        <v/>
      </c>
      <c r="AB44">
        <f>HYPERLINK("https://klasma.github.io/Logging_2181/klagomålsmail/A 15895-2026 FSC-klagomål mail.docx", "A 15895-2026")</f>
        <v/>
      </c>
      <c r="AC44">
        <f>HYPERLINK("https://klasma.github.io/Logging_2181/tillsyn/A 15895-2026 tillsynsbegäran.docx", "A 15895-2026")</f>
        <v/>
      </c>
      <c r="AD44">
        <f>HYPERLINK("https://klasma.github.io/Logging_2181/tillsynsmail/A 15895-2026 tillsynsbegäran mail.docx", "A 15895-2026")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46248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19526-2026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46248</v>
      </c>
      <c r="F46" t="inlineStr">
        <is>
          <t>GÄVLEBORGS LÄN</t>
        </is>
      </c>
      <c r="G46" t="inlineStr">
        <is>
          <t>SANDVIKEN</t>
        </is>
      </c>
      <c r="I46" t="n">
        <v>3.1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Kambräken
Lopplummer (aggregat)</t>
        </is>
      </c>
      <c r="W46">
        <f>HYPERLINK("https://klasma.github.io/Logging_2181/artfynd/A 19526-2026 artfynd.xlsx", "A 19526-2026")</f>
        <v/>
      </c>
      <c r="X46">
        <f>HYPERLINK("https://klasma.github.io/Logging_2181/kartor/A 19526-2026 karta.png", "A 19526-2026")</f>
        <v/>
      </c>
      <c r="Y46">
        <f>HYPERLINK("https://klasma.github.io/Logging_2181/kartor_geotiff/A 19526-2026 georefererad karta.tif", "A 19526-2026")</f>
        <v/>
      </c>
      <c r="AA46">
        <f>HYPERLINK("https://klasma.github.io/Logging_2181/klagomål/A 19526-2026 FSC-klagomål.docx", "A 19526-2026")</f>
        <v/>
      </c>
      <c r="AB46">
        <f>HYPERLINK("https://klasma.github.io/Logging_2181/klagomålsmail/A 19526-2026 FSC-klagomål mail.docx", "A 19526-2026")</f>
        <v/>
      </c>
      <c r="AC46">
        <f>HYPERLINK("https://klasma.github.io/Logging_2181/tillsyn/A 19526-2026 tillsynsbegäran.docx", "A 19526-2026")</f>
        <v/>
      </c>
      <c r="AD46">
        <f>HYPERLINK("https://klasma.github.io/Logging_2181/tillsynsmail/A 19526-2026 tillsynsbegäran mail.docx", "A 19526-2026")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46248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46248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46248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46248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46248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46248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25479-2023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46248</v>
      </c>
      <c r="F53" t="inlineStr">
        <is>
          <t>GÄVLEBORGS LÄN</t>
        </is>
      </c>
      <c r="G53" t="inlineStr">
        <is>
          <t>SANDVIKEN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Grönpyrola</t>
        </is>
      </c>
      <c r="W53">
        <f>HYPERLINK("https://klasma.github.io/Logging_2181/artfynd/A 25479-2023 artfynd.xlsx", "A 25479-2023")</f>
        <v/>
      </c>
      <c r="X53">
        <f>HYPERLINK("https://klasma.github.io/Logging_2181/kartor/A 25479-2023 karta.png", "A 25479-2023")</f>
        <v/>
      </c>
      <c r="Y53">
        <f>HYPERLINK("https://klasma.github.io/Logging_2181/kartor_geotiff/A 25479-2023 georefererad karta.tif", "A 25479-2023")</f>
        <v/>
      </c>
      <c r="AA53">
        <f>HYPERLINK("https://klasma.github.io/Logging_2181/klagomål/A 25479-2023 FSC-klagomål.docx", "A 25479-2023")</f>
        <v/>
      </c>
      <c r="AB53">
        <f>HYPERLINK("https://klasma.github.io/Logging_2181/klagomålsmail/A 25479-2023 FSC-klagomål mail.docx", "A 25479-2023")</f>
        <v/>
      </c>
      <c r="AC53">
        <f>HYPERLINK("https://klasma.github.io/Logging_2181/tillsyn/A 25479-2023 tillsynsbegäran.docx", "A 25479-2023")</f>
        <v/>
      </c>
      <c r="AD53">
        <f>HYPERLINK("https://klasma.github.io/Logging_2181/tillsynsmail/A 25479-2023 tillsynsbegäran mail.docx", "A 25479-2023")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46248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3316-2023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44949</v>
      </c>
      <c r="E55" s="1" t="n">
        <v>46248</v>
      </c>
      <c r="F55" t="inlineStr">
        <is>
          <t>GÄVLEBORGS LÄN</t>
        </is>
      </c>
      <c r="G55" t="inlineStr">
        <is>
          <t>SANDVIKEN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HYPERLINK("https://klasma.github.io/Logging_2181/artfynd/A 3316-2023 artfynd.xlsx", "A 3316-2023")</f>
        <v/>
      </c>
      <c r="X55">
        <f>HYPERLINK("https://klasma.github.io/Logging_2181/kartor/A 3316-2023 karta.png", "A 3316-2023")</f>
        <v/>
      </c>
      <c r="Y55">
        <f>HYPERLINK("https://klasma.github.io/Logging_2181/kartor_geotiff/A 3316-2023 georefererad karta.tif", "A 3316-2023")</f>
        <v/>
      </c>
      <c r="AA55">
        <f>HYPERLINK("https://klasma.github.io/Logging_2181/klagomål/A 3316-2023 FSC-klagomål.docx", "A 3316-2023")</f>
        <v/>
      </c>
      <c r="AB55">
        <f>HYPERLINK("https://klasma.github.io/Logging_2181/klagomålsmail/A 3316-2023 FSC-klagomål mail.docx", "A 3316-2023")</f>
        <v/>
      </c>
      <c r="AC55">
        <f>HYPERLINK("https://klasma.github.io/Logging_2181/tillsyn/A 3316-2023 tillsynsbegäran.docx", "A 3316-2023")</f>
        <v/>
      </c>
      <c r="AD55">
        <f>HYPERLINK("https://klasma.github.io/Logging_2181/tillsynsmail/A 3316-2023 tillsynsbegäran mail.docx", "A 3316-2023")</f>
        <v/>
      </c>
      <c r="AE55">
        <f>HYPERLINK("https://klasma.github.io/Logging_2181/fåglar/A 3316-2023 prioriterade fågelarter.docx", "A 3316-2023")</f>
        <v/>
      </c>
    </row>
    <row r="56" ht="15" customHeight="1">
      <c r="A56" t="inlineStr">
        <is>
          <t>A 58845-2023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46248</v>
      </c>
      <c r="F56" t="inlineStr">
        <is>
          <t>GÄVLEBORGS LÄN</t>
        </is>
      </c>
      <c r="G56" t="inlineStr">
        <is>
          <t>SANDVIKEN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0</v>
      </c>
      <c r="V56" s="2" t="inlineStr">
        <is>
          <t>Vanlig padda</t>
        </is>
      </c>
      <c r="W56">
        <f>HYPERLINK("https://klasma.github.io/Logging_2181/artfynd/A 58845-2023 artfynd.xlsx", "A 58845-2023")</f>
        <v/>
      </c>
      <c r="X56">
        <f>HYPERLINK("https://klasma.github.io/Logging_2181/kartor/A 58845-2023 karta.png", "A 58845-2023")</f>
        <v/>
      </c>
      <c r="Y56">
        <f>HYPERLINK("https://klasma.github.io/Logging_2181/kartor_geotiff/A 58845-2023 georefererad karta.tif", "A 58845-2023")</f>
        <v/>
      </c>
      <c r="AA56">
        <f>HYPERLINK("https://klasma.github.io/Logging_2181/klagomål/A 58845-2023 FSC-klagomål.docx", "A 58845-2023")</f>
        <v/>
      </c>
      <c r="AB56">
        <f>HYPERLINK("https://klasma.github.io/Logging_2181/klagomålsmail/A 58845-2023 FSC-klagomål mail.docx", "A 58845-2023")</f>
        <v/>
      </c>
      <c r="AC56">
        <f>HYPERLINK("https://klasma.github.io/Logging_2181/tillsyn/A 58845-2023 tillsynsbegäran.docx", "A 58845-2023")</f>
        <v/>
      </c>
      <c r="AD56">
        <f>HYPERLINK("https://klasma.github.io/Logging_2181/tillsynsmail/A 58845-2023 tillsynsbegäran mail.docx", "A 58845-2023")</f>
        <v/>
      </c>
    </row>
    <row r="57" ht="15" customHeight="1">
      <c r="A57" t="inlineStr">
        <is>
          <t>A 22275-2024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46248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Ekorrbär</t>
        </is>
      </c>
      <c r="W57">
        <f>HYPERLINK("https://klasma.github.io/Logging_2181/artfynd/A 22275-2024 artfynd.xlsx", "A 22275-2024")</f>
        <v/>
      </c>
      <c r="X57">
        <f>HYPERLINK("https://klasma.github.io/Logging_2181/kartor/A 22275-2024 karta.png", "A 22275-2024")</f>
        <v/>
      </c>
      <c r="Y57">
        <f>HYPERLINK("https://klasma.github.io/Logging_2181/kartor_geotiff/A 22275-2024 georefererad karta.tif", "A 22275-2024")</f>
        <v/>
      </c>
      <c r="AA57">
        <f>HYPERLINK("https://klasma.github.io/Logging_2181/klagomål/A 22275-2024 FSC-klagomål.docx", "A 22275-2024")</f>
        <v/>
      </c>
      <c r="AB57">
        <f>HYPERLINK("https://klasma.github.io/Logging_2181/klagomålsmail/A 22275-2024 FSC-klagomål mail.docx", "A 22275-2024")</f>
        <v/>
      </c>
      <c r="AC57">
        <f>HYPERLINK("https://klasma.github.io/Logging_2181/tillsyn/A 22275-2024 tillsynsbegäran.docx", "A 22275-2024")</f>
        <v/>
      </c>
      <c r="AD57">
        <f>HYPERLINK("https://klasma.github.io/Logging_2181/tillsynsmail/A 22275-2024 tillsynsbegäran mail.docx", "A 22275-2024")</f>
        <v/>
      </c>
    </row>
    <row r="58" ht="15" customHeight="1">
      <c r="A58" t="inlineStr">
        <is>
          <t>A 5015-2023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44958</v>
      </c>
      <c r="E58" s="1" t="n">
        <v>46248</v>
      </c>
      <c r="F58" t="inlineStr">
        <is>
          <t>GÄVLEBORGS LÄN</t>
        </is>
      </c>
      <c r="G58" t="inlineStr">
        <is>
          <t>SANDVIKEN</t>
        </is>
      </c>
      <c r="I58" t="n">
        <v>7.8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Slåtterfibbla</t>
        </is>
      </c>
      <c r="W58">
        <f>HYPERLINK("https://klasma.github.io/Logging_2181/artfynd/A 5015-2023 artfynd.xlsx", "A 5015-2023")</f>
        <v/>
      </c>
      <c r="X58">
        <f>HYPERLINK("https://klasma.github.io/Logging_2181/kartor/A 5015-2023 karta.png", "A 5015-2023")</f>
        <v/>
      </c>
      <c r="Y58">
        <f>HYPERLINK("https://klasma.github.io/Logging_2181/kartor_geotiff/A 5015-2023 georefererad karta.tif", "A 5015-2023")</f>
        <v/>
      </c>
      <c r="AA58">
        <f>HYPERLINK("https://klasma.github.io/Logging_2181/klagomål/A 5015-2023 FSC-klagomål.docx", "A 5015-2023")</f>
        <v/>
      </c>
      <c r="AB58">
        <f>HYPERLINK("https://klasma.github.io/Logging_2181/klagomålsmail/A 5015-2023 FSC-klagomål mail.docx", "A 5015-2023")</f>
        <v/>
      </c>
      <c r="AC58">
        <f>HYPERLINK("https://klasma.github.io/Logging_2181/tillsyn/A 5015-2023 tillsynsbegäran.docx", "A 5015-2023")</f>
        <v/>
      </c>
      <c r="AD58">
        <f>HYPERLINK("https://klasma.github.io/Logging_2181/tillsynsmail/A 5015-2023 tillsynsbegäran mail.docx", "A 5015-2023")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46248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15729-2022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44663</v>
      </c>
      <c r="E60" s="1" t="n">
        <v>46248</v>
      </c>
      <c r="F60" t="inlineStr">
        <is>
          <t>GÄVLEBORGS LÄN</t>
        </is>
      </c>
      <c r="G60" t="inlineStr">
        <is>
          <t>SANDVIKEN</t>
        </is>
      </c>
      <c r="I60" t="n">
        <v>2.1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HYPERLINK("https://klasma.github.io/Logging_2181/artfynd/A 15729-2022 artfynd.xlsx", "A 15729-2022")</f>
        <v/>
      </c>
      <c r="X60">
        <f>HYPERLINK("https://klasma.github.io/Logging_2181/kartor/A 15729-2022 karta.png", "A 15729-2022")</f>
        <v/>
      </c>
      <c r="Y60">
        <f>HYPERLINK("https://klasma.github.io/Logging_2181/kartor_geotiff/A 15729-2022 georefererad karta.tif", "A 15729-2022")</f>
        <v/>
      </c>
      <c r="Z60">
        <f>HYPERLINK("https://klasma.github.io/Logging_2181/knärot/A 15729-2022 karta knärot.png", "A 15729-2022")</f>
        <v/>
      </c>
      <c r="AA60">
        <f>HYPERLINK("https://klasma.github.io/Logging_2181/klagomål/A 15729-2022 FSC-klagomål.docx", "A 15729-2022")</f>
        <v/>
      </c>
      <c r="AB60">
        <f>HYPERLINK("https://klasma.github.io/Logging_2181/klagomålsmail/A 15729-2022 FSC-klagomål mail.docx", "A 15729-2022")</f>
        <v/>
      </c>
      <c r="AC60">
        <f>HYPERLINK("https://klasma.github.io/Logging_2181/tillsyn/A 15729-2022 tillsynsbegäran.docx", "A 15729-2022")</f>
        <v/>
      </c>
      <c r="AD60">
        <f>HYPERLINK("https://klasma.github.io/Logging_2181/tillsynsmail/A 15729-2022 tillsynsbegäran mail.docx", "A 15729-2022")</f>
        <v/>
      </c>
    </row>
    <row r="61" ht="15" customHeight="1">
      <c r="A61" t="inlineStr">
        <is>
          <t>A 45427-2023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46248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HYPERLINK("https://klasma.github.io/Logging_2181/artfynd/A 45427-2023 artfynd.xlsx", "A 45427-2023")</f>
        <v/>
      </c>
      <c r="X61">
        <f>HYPERLINK("https://klasma.github.io/Logging_2181/kartor/A 45427-2023 karta.png", "A 45427-2023")</f>
        <v/>
      </c>
      <c r="Y61">
        <f>HYPERLINK("https://klasma.github.io/Logging_2181/kartor_geotiff/A 45427-2023 georefererad karta.tif", "A 45427-2023")</f>
        <v/>
      </c>
      <c r="AA61">
        <f>HYPERLINK("https://klasma.github.io/Logging_2181/klagomål/A 45427-2023 FSC-klagomål.docx", "A 45427-2023")</f>
        <v/>
      </c>
      <c r="AB61">
        <f>HYPERLINK("https://klasma.github.io/Logging_2181/klagomålsmail/A 45427-2023 FSC-klagomål mail.docx", "A 45427-2023")</f>
        <v/>
      </c>
      <c r="AC61">
        <f>HYPERLINK("https://klasma.github.io/Logging_2181/tillsyn/A 45427-2023 tillsynsbegäran.docx", "A 45427-2023")</f>
        <v/>
      </c>
      <c r="AD61">
        <f>HYPERLINK("https://klasma.github.io/Logging_2181/tillsynsmail/A 45427-2023 tillsynsbegäran mail.docx", "A 45427-2023")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46248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25323-2025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46248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Plattlummer</t>
        </is>
      </c>
      <c r="W63">
        <f>HYPERLINK("https://klasma.github.io/Logging_2181/artfynd/A 25323-2025 artfynd.xlsx", "A 25323-2025")</f>
        <v/>
      </c>
      <c r="X63">
        <f>HYPERLINK("https://klasma.github.io/Logging_2181/kartor/A 25323-2025 karta.png", "A 25323-2025")</f>
        <v/>
      </c>
      <c r="Y63">
        <f>HYPERLINK("https://klasma.github.io/Logging_2181/kartor_geotiff/A 25323-2025 georefererad karta.tif", "A 25323-2025")</f>
        <v/>
      </c>
      <c r="AA63">
        <f>HYPERLINK("https://klasma.github.io/Logging_2181/klagomål/A 25323-2025 FSC-klagomål.docx", "A 25323-2025")</f>
        <v/>
      </c>
      <c r="AB63">
        <f>HYPERLINK("https://klasma.github.io/Logging_2181/klagomålsmail/A 25323-2025 FSC-klagomål mail.docx", "A 25323-2025")</f>
        <v/>
      </c>
      <c r="AC63">
        <f>HYPERLINK("https://klasma.github.io/Logging_2181/tillsyn/A 25323-2025 tillsynsbegäran.docx", "A 25323-2025")</f>
        <v/>
      </c>
      <c r="AD63">
        <f>HYPERLINK("https://klasma.github.io/Logging_2181/tillsynsmail/A 25323-2025 tillsynsbegäran mail.docx", "A 25323-2025")</f>
        <v/>
      </c>
    </row>
    <row r="64" ht="15" customHeight="1">
      <c r="A64" t="inlineStr">
        <is>
          <t>A 4384-2023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44955</v>
      </c>
      <c r="E64" s="1" t="n">
        <v>46248</v>
      </c>
      <c r="F64" t="inlineStr">
        <is>
          <t>GÄVLEBORGS LÄN</t>
        </is>
      </c>
      <c r="G64" t="inlineStr">
        <is>
          <t>SANDVIKEN</t>
        </is>
      </c>
      <c r="I64" t="n">
        <v>1.4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HYPERLINK("https://klasma.github.io/Logging_2181/artfynd/A 4384-2023 artfynd.xlsx", "A 4384-2023")</f>
        <v/>
      </c>
      <c r="X64">
        <f>HYPERLINK("https://klasma.github.io/Logging_2181/kartor/A 4384-2023 karta.png", "A 4384-2023")</f>
        <v/>
      </c>
      <c r="Y64">
        <f>HYPERLINK("https://klasma.github.io/Logging_2181/kartor_geotiff/A 4384-2023 georefererad karta.tif", "A 4384-2023")</f>
        <v/>
      </c>
      <c r="AA64">
        <f>HYPERLINK("https://klasma.github.io/Logging_2181/klagomål/A 4384-2023 FSC-klagomål.docx", "A 4384-2023")</f>
        <v/>
      </c>
      <c r="AB64">
        <f>HYPERLINK("https://klasma.github.io/Logging_2181/klagomålsmail/A 4384-2023 FSC-klagomål mail.docx", "A 4384-2023")</f>
        <v/>
      </c>
      <c r="AC64">
        <f>HYPERLINK("https://klasma.github.io/Logging_2181/tillsyn/A 4384-2023 tillsynsbegäran.docx", "A 4384-2023")</f>
        <v/>
      </c>
      <c r="AD64">
        <f>HYPERLINK("https://klasma.github.io/Logging_2181/tillsynsmail/A 4384-2023 tillsynsbegäran mail.docx", "A 4384-2023")</f>
        <v/>
      </c>
      <c r="AE64">
        <f>HYPERLINK("https://klasma.github.io/Logging_2181/fåglar/A 4384-2023 prioriterade fågelarter.docx", "A 4384-2023")</f>
        <v/>
      </c>
    </row>
    <row r="65" ht="15" customHeight="1">
      <c r="A65" t="inlineStr">
        <is>
          <t>A 42115-2023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45177</v>
      </c>
      <c r="E65" s="1" t="n">
        <v>46248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HYPERLINK("https://klasma.github.io/Logging_2181/artfynd/A 42115-2023 artfynd.xlsx", "A 42115-2023")</f>
        <v/>
      </c>
      <c r="X65">
        <f>HYPERLINK("https://klasma.github.io/Logging_2181/kartor/A 42115-2023 karta.png", "A 42115-2023")</f>
        <v/>
      </c>
      <c r="Y65">
        <f>HYPERLINK("https://klasma.github.io/Logging_2181/kartor_geotiff/A 42115-2023 georefererad karta.tif", "A 42115-2023")</f>
        <v/>
      </c>
      <c r="AA65">
        <f>HYPERLINK("https://klasma.github.io/Logging_2181/klagomål/A 42115-2023 FSC-klagomål.docx", "A 42115-2023")</f>
        <v/>
      </c>
      <c r="AB65">
        <f>HYPERLINK("https://klasma.github.io/Logging_2181/klagomålsmail/A 42115-2023 FSC-klagomål mail.docx", "A 42115-2023")</f>
        <v/>
      </c>
      <c r="AC65">
        <f>HYPERLINK("https://klasma.github.io/Logging_2181/tillsyn/A 42115-2023 tillsynsbegäran.docx", "A 42115-2023")</f>
        <v/>
      </c>
      <c r="AD65">
        <f>HYPERLINK("https://klasma.github.io/Logging_2181/tillsynsmail/A 42115-2023 tillsynsbegäran mail.docx", "A 42115-2023")</f>
        <v/>
      </c>
      <c r="AE65">
        <f>HYPERLINK("https://klasma.github.io/Logging_2181/fåglar/A 42115-2023 prioriterade fågelarter.docx", "A 42115-2023")</f>
        <v/>
      </c>
    </row>
    <row r="66" ht="15" customHeight="1">
      <c r="A66" t="inlineStr">
        <is>
          <t>A 39872-2025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46248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3.5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0</v>
      </c>
      <c r="V66" s="2" t="inlineStr">
        <is>
          <t>Plattlummer</t>
        </is>
      </c>
      <c r="W66">
        <f>HYPERLINK("https://klasma.github.io/Logging_2181/artfynd/A 39872-2025 artfynd.xlsx", "A 39872-2025")</f>
        <v/>
      </c>
      <c r="X66">
        <f>HYPERLINK("https://klasma.github.io/Logging_2181/kartor/A 39872-2025 karta.png", "A 39872-2025")</f>
        <v/>
      </c>
      <c r="Y66">
        <f>HYPERLINK("https://klasma.github.io/Logging_2181/kartor_geotiff/A 39872-2025 georefererad karta.tif", "A 39872-2025")</f>
        <v/>
      </c>
      <c r="AA66">
        <f>HYPERLINK("https://klasma.github.io/Logging_2181/klagomål/A 39872-2025 FSC-klagomål.docx", "A 39872-2025")</f>
        <v/>
      </c>
      <c r="AB66">
        <f>HYPERLINK("https://klasma.github.io/Logging_2181/klagomålsmail/A 39872-2025 FSC-klagomål mail.docx", "A 39872-2025")</f>
        <v/>
      </c>
      <c r="AC66">
        <f>HYPERLINK("https://klasma.github.io/Logging_2181/tillsyn/A 39872-2025 tillsynsbegäran.docx", "A 39872-2025")</f>
        <v/>
      </c>
      <c r="AD66">
        <f>HYPERLINK("https://klasma.github.io/Logging_2181/tillsynsmail/A 39872-2025 tillsynsbegäran mail.docx", "A 39872-2025")</f>
        <v/>
      </c>
    </row>
    <row r="67" ht="15" customHeight="1">
      <c r="A67" t="inlineStr">
        <is>
          <t>A 39873-2025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46248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Dropptaggsvamp</t>
        </is>
      </c>
      <c r="W67">
        <f>HYPERLINK("https://klasma.github.io/Logging_2181/artfynd/A 39873-2025 artfynd.xlsx", "A 39873-2025")</f>
        <v/>
      </c>
      <c r="X67">
        <f>HYPERLINK("https://klasma.github.io/Logging_2181/kartor/A 39873-2025 karta.png", "A 39873-2025")</f>
        <v/>
      </c>
      <c r="Y67">
        <f>HYPERLINK("https://klasma.github.io/Logging_2181/kartor_geotiff/A 39873-2025 georefererad karta.tif", "A 39873-2025")</f>
        <v/>
      </c>
      <c r="AA67">
        <f>HYPERLINK("https://klasma.github.io/Logging_2181/klagomål/A 39873-2025 FSC-klagomål.docx", "A 39873-2025")</f>
        <v/>
      </c>
      <c r="AB67">
        <f>HYPERLINK("https://klasma.github.io/Logging_2181/klagomålsmail/A 39873-2025 FSC-klagomål mail.docx", "A 39873-2025")</f>
        <v/>
      </c>
      <c r="AC67">
        <f>HYPERLINK("https://klasma.github.io/Logging_2181/tillsyn/A 39873-2025 tillsynsbegäran.docx", "A 39873-2025")</f>
        <v/>
      </c>
      <c r="AD67">
        <f>HYPERLINK("https://klasma.github.io/Logging_2181/tillsynsmail/A 39873-2025 tillsynsbegäran mail.docx", "A 39873-2025")</f>
        <v/>
      </c>
    </row>
    <row r="68" ht="15" customHeight="1">
      <c r="A68" t="inlineStr">
        <is>
          <t>A 6972-2026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46248</v>
      </c>
      <c r="F68" t="inlineStr">
        <is>
          <t>GÄVLEBORGS LÄN</t>
        </is>
      </c>
      <c r="G68" t="inlineStr">
        <is>
          <t>SANDVIKEN</t>
        </is>
      </c>
      <c r="H68" t="inlineStr">
        <is>
          <t>Naturvårdsverket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Svartvit flugsnappare</t>
        </is>
      </c>
      <c r="W68">
        <f>HYPERLINK("https://klasma.github.io/Logging_2181/artfynd/A 6972-2026 artfynd.xlsx", "A 6972-2026")</f>
        <v/>
      </c>
      <c r="X68">
        <f>HYPERLINK("https://klasma.github.io/Logging_2181/kartor/A 6972-2026 karta.png", "A 6972-2026")</f>
        <v/>
      </c>
      <c r="Y68">
        <f>HYPERLINK("https://klasma.github.io/Logging_2181/kartor_geotiff/A 6972-2026 georefererad karta.tif", "A 6972-2026")</f>
        <v/>
      </c>
      <c r="AA68">
        <f>HYPERLINK("https://klasma.github.io/Logging_2181/klagomål/A 6972-2026 FSC-klagomål.docx", "A 6972-2026")</f>
        <v/>
      </c>
      <c r="AB68">
        <f>HYPERLINK("https://klasma.github.io/Logging_2181/klagomålsmail/A 6972-2026 FSC-klagomål mail.docx", "A 6972-2026")</f>
        <v/>
      </c>
      <c r="AC68">
        <f>HYPERLINK("https://klasma.github.io/Logging_2181/tillsyn/A 6972-2026 tillsynsbegäran.docx", "A 6972-2026")</f>
        <v/>
      </c>
      <c r="AD68">
        <f>HYPERLINK("https://klasma.github.io/Logging_2181/tillsynsmail/A 6972-2026 tillsynsbegäran mail.docx", "A 6972-2026")</f>
        <v/>
      </c>
    </row>
    <row r="69" ht="15" customHeight="1">
      <c r="A69" t="inlineStr">
        <is>
          <t>A 41349-2025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45899</v>
      </c>
      <c r="E69" s="1" t="n">
        <v>46248</v>
      </c>
      <c r="F69" t="inlineStr">
        <is>
          <t>GÄVLEBORGS LÄN</t>
        </is>
      </c>
      <c r="G69" t="inlineStr">
        <is>
          <t>SANDVIKEN</t>
        </is>
      </c>
      <c r="I69" t="n">
        <v>3.7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Skogsklocka</t>
        </is>
      </c>
      <c r="W69">
        <f>HYPERLINK("https://klasma.github.io/Logging_2181/artfynd/A 41349-2025 artfynd.xlsx", "A 41349-2025")</f>
        <v/>
      </c>
      <c r="X69">
        <f>HYPERLINK("https://klasma.github.io/Logging_2181/kartor/A 41349-2025 karta.png", "A 41349-2025")</f>
        <v/>
      </c>
      <c r="Y69">
        <f>HYPERLINK("https://klasma.github.io/Logging_2181/kartor_geotiff/A 41349-2025 georefererad karta.tif", "A 41349-2025")</f>
        <v/>
      </c>
      <c r="AA69">
        <f>HYPERLINK("https://klasma.github.io/Logging_2181/klagomål/A 41349-2025 FSC-klagomål.docx", "A 41349-2025")</f>
        <v/>
      </c>
      <c r="AB69">
        <f>HYPERLINK("https://klasma.github.io/Logging_2181/klagomålsmail/A 41349-2025 FSC-klagomål mail.docx", "A 41349-2025")</f>
        <v/>
      </c>
      <c r="AC69">
        <f>HYPERLINK("https://klasma.github.io/Logging_2181/tillsyn/A 41349-2025 tillsynsbegäran.docx", "A 41349-2025")</f>
        <v/>
      </c>
      <c r="AD69">
        <f>HYPERLINK("https://klasma.github.io/Logging_2181/tillsynsmail/A 41349-2025 tillsynsbegäran mail.docx", "A 41349-2025")</f>
        <v/>
      </c>
    </row>
    <row r="70" ht="15" customHeight="1">
      <c r="A70" t="inlineStr">
        <is>
          <t>A 36417-2025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45868</v>
      </c>
      <c r="E70" s="1" t="n">
        <v>46248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3.9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HYPERLINK("https://klasma.github.io/Logging_2181/artfynd/A 36417-2025 artfynd.xlsx", "A 36417-2025")</f>
        <v/>
      </c>
      <c r="X70">
        <f>HYPERLINK("https://klasma.github.io/Logging_2181/kartor/A 36417-2025 karta.png", "A 36417-2025")</f>
        <v/>
      </c>
      <c r="Y70">
        <f>HYPERLINK("https://klasma.github.io/Logging_2181/kartor_geotiff/A 36417-2025 georefererad karta.tif", "A 36417-2025")</f>
        <v/>
      </c>
      <c r="Z70">
        <f>HYPERLINK("https://klasma.github.io/Logging_2181/knärot/A 36417-2025 karta knärot.png", "A 36417-2025")</f>
        <v/>
      </c>
      <c r="AA70">
        <f>HYPERLINK("https://klasma.github.io/Logging_2181/klagomål/A 36417-2025 FSC-klagomål.docx", "A 36417-2025")</f>
        <v/>
      </c>
      <c r="AB70">
        <f>HYPERLINK("https://klasma.github.io/Logging_2181/klagomålsmail/A 36417-2025 FSC-klagomål mail.docx", "A 36417-2025")</f>
        <v/>
      </c>
      <c r="AC70">
        <f>HYPERLINK("https://klasma.github.io/Logging_2181/tillsyn/A 36417-2025 tillsynsbegäran.docx", "A 36417-2025")</f>
        <v/>
      </c>
      <c r="AD70">
        <f>HYPERLINK("https://klasma.github.io/Logging_2181/tillsynsmail/A 36417-2025 tillsynsbegäran mail.docx", "A 36417-2025")</f>
        <v/>
      </c>
    </row>
    <row r="71" ht="15" customHeight="1">
      <c r="A71" t="inlineStr">
        <is>
          <t>A 21532-2026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46148</v>
      </c>
      <c r="E71" s="1" t="n">
        <v>46248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Svartvit flugsnappare</t>
        </is>
      </c>
      <c r="W71">
        <f>HYPERLINK("https://klasma.github.io/Logging_2181/artfynd/A 21532-2026 artfynd.xlsx", "A 21532-2026")</f>
        <v/>
      </c>
      <c r="X71">
        <f>HYPERLINK("https://klasma.github.io/Logging_2181/kartor/A 21532-2026 karta.png", "A 21532-2026")</f>
        <v/>
      </c>
      <c r="Y71">
        <f>HYPERLINK("https://klasma.github.io/Logging_2181/kartor_geotiff/A 21532-2026 georefererad karta.tif", "A 21532-2026")</f>
        <v/>
      </c>
      <c r="AA71">
        <f>HYPERLINK("https://klasma.github.io/Logging_2181/klagomål/A 21532-2026 FSC-klagomål.docx", "A 21532-2026")</f>
        <v/>
      </c>
      <c r="AB71">
        <f>HYPERLINK("https://klasma.github.io/Logging_2181/klagomålsmail/A 21532-2026 FSC-klagomål mail.docx", "A 21532-2026")</f>
        <v/>
      </c>
      <c r="AC71">
        <f>HYPERLINK("https://klasma.github.io/Logging_2181/tillsyn/A 21532-2026 tillsynsbegäran.docx", "A 21532-2026")</f>
        <v/>
      </c>
      <c r="AD71">
        <f>HYPERLINK("https://klasma.github.io/Logging_2181/tillsynsmail/A 21532-2026 tillsynsbegäran mail.docx", "A 21532-2026")</f>
        <v/>
      </c>
    </row>
    <row r="72" ht="15" customHeight="1">
      <c r="A72" t="inlineStr">
        <is>
          <t>A 38350-2025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46248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väst AB</t>
        </is>
      </c>
      <c r="I72" t="n">
        <v>25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Brandticka</t>
        </is>
      </c>
      <c r="W72">
        <f>HYPERLINK("https://klasma.github.io/Logging_2181/artfynd/A 38350-2025 artfynd.xlsx", "A 38350-2025")</f>
        <v/>
      </c>
      <c r="X72">
        <f>HYPERLINK("https://klasma.github.io/Logging_2181/kartor/A 38350-2025 karta.png", "A 38350-2025")</f>
        <v/>
      </c>
      <c r="Y72">
        <f>HYPERLINK("https://klasma.github.io/Logging_2181/kartor_geotiff/A 38350-2025 georefererad karta.tif", "A 38350-2025")</f>
        <v/>
      </c>
      <c r="AA72">
        <f>HYPERLINK("https://klasma.github.io/Logging_2181/klagomål/A 38350-2025 FSC-klagomål.docx", "A 38350-2025")</f>
        <v/>
      </c>
      <c r="AB72">
        <f>HYPERLINK("https://klasma.github.io/Logging_2181/klagomålsmail/A 38350-2025 FSC-klagomål mail.docx", "A 38350-2025")</f>
        <v/>
      </c>
      <c r="AC72">
        <f>HYPERLINK("https://klasma.github.io/Logging_2181/tillsyn/A 38350-2025 tillsynsbegäran.docx", "A 38350-2025")</f>
        <v/>
      </c>
      <c r="AD72">
        <f>HYPERLINK("https://klasma.github.io/Logging_2181/tillsynsmail/A 38350-2025 tillsynsbegäran mail.docx", "A 38350-2025")</f>
        <v/>
      </c>
    </row>
    <row r="73" ht="15" customHeight="1">
      <c r="A73" t="inlineStr">
        <is>
          <t>A 46610-2025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46248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16.3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Tallticka</t>
        </is>
      </c>
      <c r="W73">
        <f>HYPERLINK("https://klasma.github.io/Logging_2181/artfynd/A 46610-2025 artfynd.xlsx", "A 46610-2025")</f>
        <v/>
      </c>
      <c r="X73">
        <f>HYPERLINK("https://klasma.github.io/Logging_2181/kartor/A 46610-2025 karta.png", "A 46610-2025")</f>
        <v/>
      </c>
      <c r="Y73">
        <f>HYPERLINK("https://klasma.github.io/Logging_2181/kartor_geotiff/A 46610-2025 georefererad karta.tif", "A 46610-2025")</f>
        <v/>
      </c>
      <c r="AA73">
        <f>HYPERLINK("https://klasma.github.io/Logging_2181/klagomål/A 46610-2025 FSC-klagomål.docx", "A 46610-2025")</f>
        <v/>
      </c>
      <c r="AB73">
        <f>HYPERLINK("https://klasma.github.io/Logging_2181/klagomålsmail/A 46610-2025 FSC-klagomål mail.docx", "A 46610-2025")</f>
        <v/>
      </c>
      <c r="AC73">
        <f>HYPERLINK("https://klasma.github.io/Logging_2181/tillsyn/A 46610-2025 tillsynsbegäran.docx", "A 46610-2025")</f>
        <v/>
      </c>
      <c r="AD73">
        <f>HYPERLINK("https://klasma.github.io/Logging_2181/tillsynsmail/A 46610-2025 tillsynsbegäran mail.docx", "A 46610-2025")</f>
        <v/>
      </c>
    </row>
    <row r="74" ht="15" customHeight="1">
      <c r="A74" t="inlineStr">
        <is>
          <t>A 47174-2025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46248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HYPERLINK("https://klasma.github.io/Logging_2181/artfynd/A 47174-2025 artfynd.xlsx", "A 47174-2025")</f>
        <v/>
      </c>
      <c r="X74">
        <f>HYPERLINK("https://klasma.github.io/Logging_2181/kartor/A 47174-2025 karta.png", "A 47174-2025")</f>
        <v/>
      </c>
      <c r="Y74">
        <f>HYPERLINK("https://klasma.github.io/Logging_2181/kartor_geotiff/A 47174-2025 georefererad karta.tif", "A 47174-2025")</f>
        <v/>
      </c>
      <c r="AA74">
        <f>HYPERLINK("https://klasma.github.io/Logging_2181/klagomål/A 47174-2025 FSC-klagomål.docx", "A 47174-2025")</f>
        <v/>
      </c>
      <c r="AB74">
        <f>HYPERLINK("https://klasma.github.io/Logging_2181/klagomålsmail/A 47174-2025 FSC-klagomål mail.docx", "A 47174-2025")</f>
        <v/>
      </c>
      <c r="AC74">
        <f>HYPERLINK("https://klasma.github.io/Logging_2181/tillsyn/A 47174-2025 tillsynsbegäran.docx", "A 47174-2025")</f>
        <v/>
      </c>
      <c r="AD74">
        <f>HYPERLINK("https://klasma.github.io/Logging_2181/tillsynsmail/A 47174-2025 tillsynsbegäran mail.docx", "A 47174-2025")</f>
        <v/>
      </c>
    </row>
    <row r="75" ht="15" customHeight="1">
      <c r="A75" t="inlineStr">
        <is>
          <t>A 24171-2026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46168</v>
      </c>
      <c r="E75" s="1" t="n">
        <v>46248</v>
      </c>
      <c r="F75" t="inlineStr">
        <is>
          <t>GÄVLEBORGS LÄN</t>
        </is>
      </c>
      <c r="G75" t="inlineStr">
        <is>
          <t>SANDVIKEN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HYPERLINK("https://klasma.github.io/Logging_2181/artfynd/A 24171-2026 artfynd.xlsx", "A 24171-2026")</f>
        <v/>
      </c>
      <c r="X75">
        <f>HYPERLINK("https://klasma.github.io/Logging_2181/kartor/A 24171-2026 karta.png", "A 24171-2026")</f>
        <v/>
      </c>
      <c r="Y75">
        <f>HYPERLINK("https://klasma.github.io/Logging_2181/kartor_geotiff/A 24171-2026 georefererad karta.tif", "A 24171-2026")</f>
        <v/>
      </c>
      <c r="AA75">
        <f>HYPERLINK("https://klasma.github.io/Logging_2181/klagomål/A 24171-2026 FSC-klagomål.docx", "A 24171-2026")</f>
        <v/>
      </c>
      <c r="AB75">
        <f>HYPERLINK("https://klasma.github.io/Logging_2181/klagomålsmail/A 24171-2026 FSC-klagomål mail.docx", "A 24171-2026")</f>
        <v/>
      </c>
      <c r="AC75">
        <f>HYPERLINK("https://klasma.github.io/Logging_2181/tillsyn/A 24171-2026 tillsynsbegäran.docx", "A 24171-2026")</f>
        <v/>
      </c>
      <c r="AD75">
        <f>HYPERLINK("https://klasma.github.io/Logging_2181/tillsynsmail/A 24171-2026 tillsynsbegäran mail.docx", "A 24171-2026")</f>
        <v/>
      </c>
    </row>
    <row r="76" ht="15" customHeight="1">
      <c r="A76" t="inlineStr">
        <is>
          <t>A 24357-2026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46169</v>
      </c>
      <c r="E76" s="1" t="n">
        <v>46248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Plattlummer</t>
        </is>
      </c>
      <c r="W76">
        <f>HYPERLINK("https://klasma.github.io/Logging_2181/artfynd/A 24357-2026 artfynd.xlsx", "A 24357-2026")</f>
        <v/>
      </c>
      <c r="X76">
        <f>HYPERLINK("https://klasma.github.io/Logging_2181/kartor/A 24357-2026 karta.png", "A 24357-2026")</f>
        <v/>
      </c>
      <c r="Y76">
        <f>HYPERLINK("https://klasma.github.io/Logging_2181/kartor_geotiff/A 24357-2026 georefererad karta.tif", "A 24357-2026")</f>
        <v/>
      </c>
      <c r="AA76">
        <f>HYPERLINK("https://klasma.github.io/Logging_2181/klagomål/A 24357-2026 FSC-klagomål.docx", "A 24357-2026")</f>
        <v/>
      </c>
      <c r="AB76">
        <f>HYPERLINK("https://klasma.github.io/Logging_2181/klagomålsmail/A 24357-2026 FSC-klagomål mail.docx", "A 24357-2026")</f>
        <v/>
      </c>
      <c r="AC76">
        <f>HYPERLINK("https://klasma.github.io/Logging_2181/tillsyn/A 24357-2026 tillsynsbegäran.docx", "A 24357-2026")</f>
        <v/>
      </c>
      <c r="AD76">
        <f>HYPERLINK("https://klasma.github.io/Logging_2181/tillsynsmail/A 24357-2026 tillsynsbegäran mail.docx", "A 24357-2026")</f>
        <v/>
      </c>
    </row>
    <row r="77" ht="15" customHeight="1">
      <c r="A77" t="inlineStr">
        <is>
          <t>A 25247-2026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46175</v>
      </c>
      <c r="E77" s="1" t="n">
        <v>46248</v>
      </c>
      <c r="F77" t="inlineStr">
        <is>
          <t>GÄVLEBORGS LÄN</t>
        </is>
      </c>
      <c r="G77" t="inlineStr">
        <is>
          <t>SANDVIKEN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Skinnlav</t>
        </is>
      </c>
      <c r="W77">
        <f>HYPERLINK("https://klasma.github.io/Logging_2181/artfynd/A 25247-2026 artfynd.xlsx", "A 25247-2026")</f>
        <v/>
      </c>
      <c r="X77">
        <f>HYPERLINK("https://klasma.github.io/Logging_2181/kartor/A 25247-2026 karta.png", "A 25247-2026")</f>
        <v/>
      </c>
      <c r="Y77">
        <f>HYPERLINK("https://klasma.github.io/Logging_2181/kartor_geotiff/A 25247-2026 georefererad karta.tif", "A 25247-2026")</f>
        <v/>
      </c>
      <c r="AA77">
        <f>HYPERLINK("https://klasma.github.io/Logging_2181/klagomål/A 25247-2026 FSC-klagomål.docx", "A 25247-2026")</f>
        <v/>
      </c>
      <c r="AB77">
        <f>HYPERLINK("https://klasma.github.io/Logging_2181/klagomålsmail/A 25247-2026 FSC-klagomål mail.docx", "A 25247-2026")</f>
        <v/>
      </c>
      <c r="AC77">
        <f>HYPERLINK("https://klasma.github.io/Logging_2181/tillsyn/A 25247-2026 tillsynsbegäran.docx", "A 25247-2026")</f>
        <v/>
      </c>
      <c r="AD77">
        <f>HYPERLINK("https://klasma.github.io/Logging_2181/tillsynsmail/A 25247-2026 tillsynsbegäran mail.docx", "A 25247-2026")</f>
        <v/>
      </c>
    </row>
    <row r="78" ht="15" customHeight="1">
      <c r="A78" t="inlineStr">
        <is>
          <t>A 31311-2026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46219</v>
      </c>
      <c r="E78" s="1" t="n">
        <v>46248</v>
      </c>
      <c r="F78" t="inlineStr">
        <is>
          <t>GÄVLEBORGS LÄN</t>
        </is>
      </c>
      <c r="G78" t="inlineStr">
        <is>
          <t>SANDVIKEN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31311-2026 artfynd.xlsx", "A 31311-2026")</f>
        <v/>
      </c>
      <c r="X78">
        <f>HYPERLINK("https://klasma.github.io/Logging_2181/kartor/A 31311-2026 karta.png", "A 31311-2026")</f>
        <v/>
      </c>
      <c r="Y78">
        <f>HYPERLINK("https://klasma.github.io/Logging_2181/kartor_geotiff/A 31311-2026 georefererad karta.tif", "A 31311-2026")</f>
        <v/>
      </c>
      <c r="AA78">
        <f>HYPERLINK("https://klasma.github.io/Logging_2181/klagomål/A 31311-2026 FSC-klagomål.docx", "A 31311-2026")</f>
        <v/>
      </c>
      <c r="AB78">
        <f>HYPERLINK("https://klasma.github.io/Logging_2181/klagomålsmail/A 31311-2026 FSC-klagomål mail.docx", "A 31311-2026")</f>
        <v/>
      </c>
      <c r="AC78">
        <f>HYPERLINK("https://klasma.github.io/Logging_2181/tillsyn/A 31311-2026 tillsynsbegäran.docx", "A 31311-2026")</f>
        <v/>
      </c>
      <c r="AD78">
        <f>HYPERLINK("https://klasma.github.io/Logging_2181/tillsynsmail/A 31311-2026 tillsynsbegäran mail.docx", "A 31311-2026")</f>
        <v/>
      </c>
    </row>
    <row r="79" ht="15" customHeight="1">
      <c r="A79" t="inlineStr">
        <is>
          <t>A 26212-2026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46248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HYPERLINK("https://klasma.github.io/Logging_2181/artfynd/A 26212-2026 artfynd.xlsx", "A 26212-2026")</f>
        <v/>
      </c>
      <c r="X79">
        <f>HYPERLINK("https://klasma.github.io/Logging_2181/kartor/A 26212-2026 karta.png", "A 26212-2026")</f>
        <v/>
      </c>
      <c r="Y79">
        <f>HYPERLINK("https://klasma.github.io/Logging_2181/kartor_geotiff/A 26212-2026 georefererad karta.tif", "A 26212-2026")</f>
        <v/>
      </c>
      <c r="Z79">
        <f>HYPERLINK("https://klasma.github.io/Logging_2181/knärot/A 26212-2026 karta knärot.png", "A 26212-2026")</f>
        <v/>
      </c>
      <c r="AA79">
        <f>HYPERLINK("https://klasma.github.io/Logging_2181/klagomål/A 26212-2026 FSC-klagomål.docx", "A 26212-2026")</f>
        <v/>
      </c>
      <c r="AB79">
        <f>HYPERLINK("https://klasma.github.io/Logging_2181/klagomålsmail/A 26212-2026 FSC-klagomål mail.docx", "A 26212-2026")</f>
        <v/>
      </c>
      <c r="AC79">
        <f>HYPERLINK("https://klasma.github.io/Logging_2181/tillsyn/A 26212-2026 tillsynsbegäran.docx", "A 26212-2026")</f>
        <v/>
      </c>
      <c r="AD79">
        <f>HYPERLINK("https://klasma.github.io/Logging_2181/tillsynsmail/A 26212-2026 tillsynsbegäran mail.docx", "A 26212-2026")</f>
        <v/>
      </c>
    </row>
    <row r="80" ht="15" customHeight="1">
      <c r="A80" t="inlineStr">
        <is>
          <t>A 27207-2026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46188</v>
      </c>
      <c r="E80" s="1" t="n">
        <v>46248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Kungsfågel</t>
        </is>
      </c>
      <c r="W80">
        <f>HYPERLINK("https://klasma.github.io/Logging_2181/artfynd/A 27207-2026 artfynd.xlsx", "A 27207-2026")</f>
        <v/>
      </c>
      <c r="X80">
        <f>HYPERLINK("https://klasma.github.io/Logging_2181/kartor/A 27207-2026 karta.png", "A 27207-2026")</f>
        <v/>
      </c>
      <c r="Y80">
        <f>HYPERLINK("https://klasma.github.io/Logging_2181/kartor_geotiff/A 27207-2026 georefererad karta.tif", "A 27207-2026")</f>
        <v/>
      </c>
      <c r="AA80">
        <f>HYPERLINK("https://klasma.github.io/Logging_2181/klagomål/A 27207-2026 FSC-klagomål.docx", "A 27207-2026")</f>
        <v/>
      </c>
      <c r="AB80">
        <f>HYPERLINK("https://klasma.github.io/Logging_2181/klagomålsmail/A 27207-2026 FSC-klagomål mail.docx", "A 27207-2026")</f>
        <v/>
      </c>
      <c r="AC80">
        <f>HYPERLINK("https://klasma.github.io/Logging_2181/tillsyn/A 27207-2026 tillsynsbegäran.docx", "A 27207-2026")</f>
        <v/>
      </c>
      <c r="AD80">
        <f>HYPERLINK("https://klasma.github.io/Logging_2181/tillsynsmail/A 27207-2026 tillsynsbegäran mail.docx", "A 27207-2026")</f>
        <v/>
      </c>
    </row>
    <row r="81" ht="15" customHeight="1">
      <c r="A81" t="inlineStr">
        <is>
          <t>A 57934-2025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46248</v>
      </c>
      <c r="F81" t="inlineStr">
        <is>
          <t>GÄVLEBORGS LÄN</t>
        </is>
      </c>
      <c r="G81" t="inlineStr">
        <is>
          <t>SANDVIKEN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Grönsiska</t>
        </is>
      </c>
      <c r="W81">
        <f>HYPERLINK("https://klasma.github.io/Logging_2181/artfynd/A 57934-2025 artfynd.xlsx", "A 57934-2025")</f>
        <v/>
      </c>
      <c r="X81">
        <f>HYPERLINK("https://klasma.github.io/Logging_2181/kartor/A 57934-2025 karta.png", "A 57934-2025")</f>
        <v/>
      </c>
      <c r="Y81">
        <f>HYPERLINK("https://klasma.github.io/Logging_2181/kartor_geotiff/A 57934-2025 georefererad karta.tif", "A 57934-2025")</f>
        <v/>
      </c>
      <c r="AA81">
        <f>HYPERLINK("https://klasma.github.io/Logging_2181/klagomål/A 57934-2025 FSC-klagomål.docx", "A 57934-2025")</f>
        <v/>
      </c>
      <c r="AB81">
        <f>HYPERLINK("https://klasma.github.io/Logging_2181/klagomålsmail/A 57934-2025 FSC-klagomål mail.docx", "A 57934-2025")</f>
        <v/>
      </c>
      <c r="AC81">
        <f>HYPERLINK("https://klasma.github.io/Logging_2181/tillsyn/A 57934-2025 tillsynsbegäran.docx", "A 57934-2025")</f>
        <v/>
      </c>
      <c r="AD81">
        <f>HYPERLINK("https://klasma.github.io/Logging_2181/tillsynsmail/A 57934-2025 tillsynsbegäran mail.docx", "A 57934-2025")</f>
        <v/>
      </c>
    </row>
    <row r="82" ht="15" customHeight="1">
      <c r="A82" t="inlineStr">
        <is>
          <t>A 23225-2026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46162</v>
      </c>
      <c r="E82" s="1" t="n">
        <v>46248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1.3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Rödvingetrast</t>
        </is>
      </c>
      <c r="W82">
        <f>HYPERLINK("https://klasma.github.io/Logging_2181/artfynd/A 23225-2026 artfynd.xlsx", "A 23225-2026")</f>
        <v/>
      </c>
      <c r="X82">
        <f>HYPERLINK("https://klasma.github.io/Logging_2181/kartor/A 23225-2026 karta.png", "A 23225-2026")</f>
        <v/>
      </c>
      <c r="Y82">
        <f>HYPERLINK("https://klasma.github.io/Logging_2181/kartor_geotiff/A 23225-2026 georefererad karta.tif", "A 23225-2026")</f>
        <v/>
      </c>
      <c r="AA82">
        <f>HYPERLINK("https://klasma.github.io/Logging_2181/klagomål/A 23225-2026 FSC-klagomål.docx", "A 23225-2026")</f>
        <v/>
      </c>
      <c r="AB82">
        <f>HYPERLINK("https://klasma.github.io/Logging_2181/klagomålsmail/A 23225-2026 FSC-klagomål mail.docx", "A 23225-2026")</f>
        <v/>
      </c>
      <c r="AC82">
        <f>HYPERLINK("https://klasma.github.io/Logging_2181/tillsyn/A 23225-2026 tillsynsbegäran.docx", "A 23225-2026")</f>
        <v/>
      </c>
      <c r="AD82">
        <f>HYPERLINK("https://klasma.github.io/Logging_2181/tillsynsmail/A 23225-2026 tillsynsbegäran mail.docx", "A 23225-2026")</f>
        <v/>
      </c>
      <c r="AE82">
        <f>HYPERLINK("https://klasma.github.io/Logging_2181/fåglar/A 23225-2026 prioriterade fågelarter.docx", "A 23225-2026")</f>
        <v/>
      </c>
    </row>
    <row r="83" ht="15" customHeight="1">
      <c r="A83" t="inlineStr">
        <is>
          <t>A 32533-2026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46239</v>
      </c>
      <c r="E83" s="1" t="n">
        <v>46248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3.1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Järnsparv</t>
        </is>
      </c>
      <c r="W83">
        <f>HYPERLINK("https://klasma.github.io/Logging_2181/artfynd/A 32533-2026 artfynd.xlsx", "A 32533-2026")</f>
        <v/>
      </c>
      <c r="X83">
        <f>HYPERLINK("https://klasma.github.io/Logging_2181/kartor/A 32533-2026 karta.png", "A 32533-2026")</f>
        <v/>
      </c>
      <c r="Y83">
        <f>HYPERLINK("https://klasma.github.io/Logging_2181/kartor_geotiff/A 32533-2026 georefererad karta.tif", "A 32533-2026")</f>
        <v/>
      </c>
      <c r="AA83">
        <f>HYPERLINK("https://klasma.github.io/Logging_2181/klagomål/A 32533-2026 FSC-klagomål.docx", "A 32533-2026")</f>
        <v/>
      </c>
      <c r="AB83">
        <f>HYPERLINK("https://klasma.github.io/Logging_2181/klagomålsmail/A 32533-2026 FSC-klagomål mail.docx", "A 32533-2026")</f>
        <v/>
      </c>
      <c r="AC83">
        <f>HYPERLINK("https://klasma.github.io/Logging_2181/tillsyn/A 32533-2026 tillsynsbegäran.docx", "A 32533-2026")</f>
        <v/>
      </c>
      <c r="AD83">
        <f>HYPERLINK("https://klasma.github.io/Logging_2181/tillsynsmail/A 32533-2026 tillsynsbegäran mail.docx", "A 32533-2026")</f>
        <v/>
      </c>
      <c r="AE83">
        <f>HYPERLINK("https://klasma.github.io/Logging_2181/fåglar/A 32533-2026 prioriterade fågelarter.docx", "A 32533-2026")</f>
        <v/>
      </c>
    </row>
    <row r="84" ht="15" customHeight="1">
      <c r="A84" t="inlineStr">
        <is>
          <t>A 32539-2026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46239</v>
      </c>
      <c r="E84" s="1" t="n">
        <v>46248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Grönsiska</t>
        </is>
      </c>
      <c r="W84">
        <f>HYPERLINK("https://klasma.github.io/Logging_2181/artfynd/A 32539-2026 artfynd.xlsx", "A 32539-2026")</f>
        <v/>
      </c>
      <c r="X84">
        <f>HYPERLINK("https://klasma.github.io/Logging_2181/kartor/A 32539-2026 karta.png", "A 32539-2026")</f>
        <v/>
      </c>
      <c r="Y84">
        <f>HYPERLINK("https://klasma.github.io/Logging_2181/kartor_geotiff/A 32539-2026 georefererad karta.tif", "A 32539-2026")</f>
        <v/>
      </c>
      <c r="AA84">
        <f>HYPERLINK("https://klasma.github.io/Logging_2181/klagomål/A 32539-2026 FSC-klagomål.docx", "A 32539-2026")</f>
        <v/>
      </c>
      <c r="AB84">
        <f>HYPERLINK("https://klasma.github.io/Logging_2181/klagomålsmail/A 32539-2026 FSC-klagomål mail.docx", "A 32539-2026")</f>
        <v/>
      </c>
      <c r="AC84">
        <f>HYPERLINK("https://klasma.github.io/Logging_2181/tillsyn/A 32539-2026 tillsynsbegäran.docx", "A 32539-2026")</f>
        <v/>
      </c>
      <c r="AD84">
        <f>HYPERLINK("https://klasma.github.io/Logging_2181/tillsynsmail/A 32539-2026 tillsynsbegäran mail.docx", "A 32539-2026")</f>
        <v/>
      </c>
    </row>
    <row r="85" ht="15" customHeight="1">
      <c r="A85" t="inlineStr">
        <is>
          <t>A 32544-2026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46239</v>
      </c>
      <c r="E85" s="1" t="n">
        <v>46248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3.8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HYPERLINK("https://klasma.github.io/Logging_2181/artfynd/A 32544-2026 artfynd.xlsx", "A 32544-2026")</f>
        <v/>
      </c>
      <c r="X85">
        <f>HYPERLINK("https://klasma.github.io/Logging_2181/kartor/A 32544-2026 karta.png", "A 32544-2026")</f>
        <v/>
      </c>
      <c r="Y85">
        <f>HYPERLINK("https://klasma.github.io/Logging_2181/kartor_geotiff/A 32544-2026 georefererad karta.tif", "A 32544-2026")</f>
        <v/>
      </c>
      <c r="AA85">
        <f>HYPERLINK("https://klasma.github.io/Logging_2181/klagomål/A 32544-2026 FSC-klagomål.docx", "A 32544-2026")</f>
        <v/>
      </c>
      <c r="AB85">
        <f>HYPERLINK("https://klasma.github.io/Logging_2181/klagomålsmail/A 32544-2026 FSC-klagomål mail.docx", "A 32544-2026")</f>
        <v/>
      </c>
      <c r="AC85">
        <f>HYPERLINK("https://klasma.github.io/Logging_2181/tillsyn/A 32544-2026 tillsynsbegäran.docx", "A 32544-2026")</f>
        <v/>
      </c>
      <c r="AD85">
        <f>HYPERLINK("https://klasma.github.io/Logging_2181/tillsynsmail/A 32544-2026 tillsynsbegäran mail.docx", "A 32544-2026")</f>
        <v/>
      </c>
    </row>
    <row r="86" ht="15" customHeight="1">
      <c r="A86" t="inlineStr">
        <is>
          <t>A 29111-2026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46201</v>
      </c>
      <c r="E86" s="1" t="n">
        <v>46248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HYPERLINK("https://klasma.github.io/Logging_2181/artfynd/A 29111-2026 artfynd.xlsx", "A 29111-2026")</f>
        <v/>
      </c>
      <c r="X86">
        <f>HYPERLINK("https://klasma.github.io/Logging_2181/kartor/A 29111-2026 karta.png", "A 29111-2026")</f>
        <v/>
      </c>
      <c r="Y86">
        <f>HYPERLINK("https://klasma.github.io/Logging_2181/kartor_geotiff/A 29111-2026 georefererad karta.tif", "A 29111-2026")</f>
        <v/>
      </c>
      <c r="AA86">
        <f>HYPERLINK("https://klasma.github.io/Logging_2181/klagomål/A 29111-2026 FSC-klagomål.docx", "A 29111-2026")</f>
        <v/>
      </c>
      <c r="AB86">
        <f>HYPERLINK("https://klasma.github.io/Logging_2181/klagomålsmail/A 29111-2026 FSC-klagomål mail.docx", "A 29111-2026")</f>
        <v/>
      </c>
      <c r="AC86">
        <f>HYPERLINK("https://klasma.github.io/Logging_2181/tillsyn/A 29111-2026 tillsynsbegäran.docx", "A 29111-2026")</f>
        <v/>
      </c>
      <c r="AD86">
        <f>HYPERLINK("https://klasma.github.io/Logging_2181/tillsynsmail/A 29111-2026 tillsynsbegäran mail.docx", "A 29111-2026")</f>
        <v/>
      </c>
    </row>
    <row r="87" ht="15" customHeight="1">
      <c r="A87" t="inlineStr">
        <is>
          <t>A 448-2026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46021</v>
      </c>
      <c r="E87" s="1" t="n">
        <v>46248</v>
      </c>
      <c r="F87" t="inlineStr">
        <is>
          <t>GÄVLEBORGS LÄN</t>
        </is>
      </c>
      <c r="G87" t="inlineStr">
        <is>
          <t>SANDVIKEN</t>
        </is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Dvärghäxört</t>
        </is>
      </c>
      <c r="W87">
        <f>HYPERLINK("https://klasma.github.io/Logging_2181/artfynd/A 448-2026 artfynd.xlsx", "A 448-2026")</f>
        <v/>
      </c>
      <c r="X87">
        <f>HYPERLINK("https://klasma.github.io/Logging_2181/kartor/A 448-2026 karta.png", "A 448-2026")</f>
        <v/>
      </c>
      <c r="Y87">
        <f>HYPERLINK("https://klasma.github.io/Logging_2181/kartor_geotiff/A 448-2026 georefererad karta.tif", "A 448-2026")</f>
        <v/>
      </c>
      <c r="AA87">
        <f>HYPERLINK("https://klasma.github.io/Logging_2181/klagomål/A 448-2026 FSC-klagomål.docx", "A 448-2026")</f>
        <v/>
      </c>
      <c r="AB87">
        <f>HYPERLINK("https://klasma.github.io/Logging_2181/klagomålsmail/A 448-2026 FSC-klagomål mail.docx", "A 448-2026")</f>
        <v/>
      </c>
      <c r="AC87">
        <f>HYPERLINK("https://klasma.github.io/Logging_2181/tillsyn/A 448-2026 tillsynsbegäran.docx", "A 448-2026")</f>
        <v/>
      </c>
      <c r="AD87">
        <f>HYPERLINK("https://klasma.github.io/Logging_2181/tillsynsmail/A 448-2026 tillsynsbegäran mail.docx", "A 448-2026")</f>
        <v/>
      </c>
    </row>
    <row r="88" ht="15" customHeight="1">
      <c r="A88" t="inlineStr">
        <is>
          <t>A 23289-2024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46248</v>
      </c>
      <c r="F88" t="inlineStr">
        <is>
          <t>GÄVLEBORGS LÄN</t>
        </is>
      </c>
      <c r="G88" t="inlineStr">
        <is>
          <t>SANDVIKEN</t>
        </is>
      </c>
      <c r="H88" t="inlineStr">
        <is>
          <t>Kyrkan</t>
        </is>
      </c>
      <c r="I88" t="n">
        <v>3.8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Skogsödla</t>
        </is>
      </c>
      <c r="W88">
        <f>HYPERLINK("https://klasma.github.io/Logging_2181/artfynd/A 23289-2024 artfynd.xlsx", "A 23289-2024")</f>
        <v/>
      </c>
      <c r="X88">
        <f>HYPERLINK("https://klasma.github.io/Logging_2181/kartor/A 23289-2024 karta.png", "A 23289-2024")</f>
        <v/>
      </c>
      <c r="Y88">
        <f>HYPERLINK("https://klasma.github.io/Logging_2181/kartor_geotiff/A 23289-2024 georefererad karta.tif", "A 23289-2024")</f>
        <v/>
      </c>
      <c r="AA88">
        <f>HYPERLINK("https://klasma.github.io/Logging_2181/klagomål/A 23289-2024 FSC-klagomål.docx", "A 23289-2024")</f>
        <v/>
      </c>
      <c r="AB88">
        <f>HYPERLINK("https://klasma.github.io/Logging_2181/klagomålsmail/A 23289-2024 FSC-klagomål mail.docx", "A 23289-2024")</f>
        <v/>
      </c>
      <c r="AC88">
        <f>HYPERLINK("https://klasma.github.io/Logging_2181/tillsyn/A 23289-2024 tillsynsbegäran.docx", "A 23289-2024")</f>
        <v/>
      </c>
      <c r="AD88">
        <f>HYPERLINK("https://klasma.github.io/Logging_2181/tillsynsmail/A 23289-2024 tillsynsbegäran mail.docx", "A 23289-2024")</f>
        <v/>
      </c>
    </row>
    <row r="89" ht="15" customHeight="1">
      <c r="A89" t="inlineStr">
        <is>
          <t>A 1083-2026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46248</v>
      </c>
      <c r="F89" t="inlineStr">
        <is>
          <t>GÄVLEBORGS LÄN</t>
        </is>
      </c>
      <c r="G89" t="inlineStr">
        <is>
          <t>SANDVIKEN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padda</t>
        </is>
      </c>
      <c r="W89">
        <f>HYPERLINK("https://klasma.github.io/Logging_2181/artfynd/A 1083-2026 artfynd.xlsx", "A 1083-2026")</f>
        <v/>
      </c>
      <c r="X89">
        <f>HYPERLINK("https://klasma.github.io/Logging_2181/kartor/A 1083-2026 karta.png", "A 1083-2026")</f>
        <v/>
      </c>
      <c r="Y89">
        <f>HYPERLINK("https://klasma.github.io/Logging_2181/kartor_geotiff/A 1083-2026 georefererad karta.tif", "A 1083-2026")</f>
        <v/>
      </c>
      <c r="AA89">
        <f>HYPERLINK("https://klasma.github.io/Logging_2181/klagomål/A 1083-2026 FSC-klagomål.docx", "A 1083-2026")</f>
        <v/>
      </c>
      <c r="AB89">
        <f>HYPERLINK("https://klasma.github.io/Logging_2181/klagomålsmail/A 1083-2026 FSC-klagomål mail.docx", "A 1083-2026")</f>
        <v/>
      </c>
      <c r="AC89">
        <f>HYPERLINK("https://klasma.github.io/Logging_2181/tillsyn/A 1083-2026 tillsynsbegäran.docx", "A 1083-2026")</f>
        <v/>
      </c>
      <c r="AD89">
        <f>HYPERLINK("https://klasma.github.io/Logging_2181/tillsynsmail/A 1083-2026 tillsynsbegäran mail.docx", "A 1083-2026")</f>
        <v/>
      </c>
    </row>
    <row r="90" ht="15" customHeight="1">
      <c r="A90" t="inlineStr">
        <is>
          <t>A 7393-2026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46248</v>
      </c>
      <c r="F90" t="inlineStr">
        <is>
          <t>GÄVLEBORGS LÄN</t>
        </is>
      </c>
      <c r="G90" t="inlineStr">
        <is>
          <t>SANDVIKEN</t>
        </is>
      </c>
      <c r="I90" t="n">
        <v>6.7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HYPERLINK("https://klasma.github.io/Logging_2181/artfynd/A 7393-2026 artfynd.xlsx", "A 7393-2026")</f>
        <v/>
      </c>
      <c r="X90">
        <f>HYPERLINK("https://klasma.github.io/Logging_2181/kartor/A 7393-2026 karta.png", "A 7393-2026")</f>
        <v/>
      </c>
      <c r="Y90">
        <f>HYPERLINK("https://klasma.github.io/Logging_2181/kartor_geotiff/A 7393-2026 georefererad karta.tif", "A 7393-2026")</f>
        <v/>
      </c>
      <c r="AA90">
        <f>HYPERLINK("https://klasma.github.io/Logging_2181/klagomål/A 7393-2026 FSC-klagomål.docx", "A 7393-2026")</f>
        <v/>
      </c>
      <c r="AB90">
        <f>HYPERLINK("https://klasma.github.io/Logging_2181/klagomålsmail/A 7393-2026 FSC-klagomål mail.docx", "A 7393-2026")</f>
        <v/>
      </c>
      <c r="AC90">
        <f>HYPERLINK("https://klasma.github.io/Logging_2181/tillsyn/A 7393-2026 tillsynsbegäran.docx", "A 7393-2026")</f>
        <v/>
      </c>
      <c r="AD90">
        <f>HYPERLINK("https://klasma.github.io/Logging_2181/tillsynsmail/A 7393-2026 tillsynsbegäran mail.docx", "A 7393-2026")</f>
        <v/>
      </c>
    </row>
    <row r="91" ht="15" customHeight="1">
      <c r="A91" t="inlineStr">
        <is>
          <t>A 9267-2026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46248</v>
      </c>
      <c r="F91" t="inlineStr">
        <is>
          <t>GÄVLEBORGS LÄN</t>
        </is>
      </c>
      <c r="G91" t="inlineStr">
        <is>
          <t>SANDVIKEN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Gullpudra</t>
        </is>
      </c>
      <c r="W91">
        <f>HYPERLINK("https://klasma.github.io/Logging_2181/artfynd/A 9267-2026 artfynd.xlsx", "A 9267-2026")</f>
        <v/>
      </c>
      <c r="X91">
        <f>HYPERLINK("https://klasma.github.io/Logging_2181/kartor/A 9267-2026 karta.png", "A 9267-2026")</f>
        <v/>
      </c>
      <c r="Y91">
        <f>HYPERLINK("https://klasma.github.io/Logging_2181/kartor_geotiff/A 9267-2026 georefererad karta.tif", "A 9267-2026")</f>
        <v/>
      </c>
      <c r="AA91">
        <f>HYPERLINK("https://klasma.github.io/Logging_2181/klagomål/A 9267-2026 FSC-klagomål.docx", "A 9267-2026")</f>
        <v/>
      </c>
      <c r="AB91">
        <f>HYPERLINK("https://klasma.github.io/Logging_2181/klagomålsmail/A 9267-2026 FSC-klagomål mail.docx", "A 9267-2026")</f>
        <v/>
      </c>
      <c r="AC91">
        <f>HYPERLINK("https://klasma.github.io/Logging_2181/tillsyn/A 9267-2026 tillsynsbegäran.docx", "A 9267-2026")</f>
        <v/>
      </c>
      <c r="AD91">
        <f>HYPERLINK("https://klasma.github.io/Logging_2181/tillsynsmail/A 9267-2026 tillsynsbegäran mail.docx", "A 9267-2026")</f>
        <v/>
      </c>
    </row>
    <row r="92" ht="15" customHeight="1">
      <c r="A92" t="inlineStr">
        <is>
          <t>A 11784-2026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46248</v>
      </c>
      <c r="F92" t="inlineStr">
        <is>
          <t>GÄVLEBORGS LÄN</t>
        </is>
      </c>
      <c r="G92" t="inlineStr">
        <is>
          <t>SANDVIKEN</t>
        </is>
      </c>
      <c r="I92" t="n">
        <v>1.5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HYPERLINK("https://klasma.github.io/Logging_2181/artfynd/A 11784-2026 artfynd.xlsx", "A 11784-2026")</f>
        <v/>
      </c>
      <c r="X92">
        <f>HYPERLINK("https://klasma.github.io/Logging_2181/kartor/A 11784-2026 karta.png", "A 11784-2026")</f>
        <v/>
      </c>
      <c r="Y92">
        <f>HYPERLINK("https://klasma.github.io/Logging_2181/kartor_geotiff/A 11784-2026 georefererad karta.tif", "A 11784-2026")</f>
        <v/>
      </c>
      <c r="AA92">
        <f>HYPERLINK("https://klasma.github.io/Logging_2181/klagomål/A 11784-2026 FSC-klagomål.docx", "A 11784-2026")</f>
        <v/>
      </c>
      <c r="AB92">
        <f>HYPERLINK("https://klasma.github.io/Logging_2181/klagomålsmail/A 11784-2026 FSC-klagomål mail.docx", "A 11784-2026")</f>
        <v/>
      </c>
      <c r="AC92">
        <f>HYPERLINK("https://klasma.github.io/Logging_2181/tillsyn/A 11784-2026 tillsynsbegäran.docx", "A 11784-2026")</f>
        <v/>
      </c>
      <c r="AD92">
        <f>HYPERLINK("https://klasma.github.io/Logging_2181/tillsynsmail/A 11784-2026 tillsynsbegäran mail.docx", "A 11784-2026")</f>
        <v/>
      </c>
    </row>
    <row r="93" ht="15" customHeight="1">
      <c r="A93" t="inlineStr">
        <is>
          <t>A 13135-2026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46248</v>
      </c>
      <c r="F93" t="inlineStr">
        <is>
          <t>GÄVLEBORGS LÄN</t>
        </is>
      </c>
      <c r="G93" t="inlineStr">
        <is>
          <t>SANDVIKEN</t>
        </is>
      </c>
      <c r="I93" t="n">
        <v>2.4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HYPERLINK("https://klasma.github.io/Logging_2181/artfynd/A 13135-2026 artfynd.xlsx", "A 13135-2026")</f>
        <v/>
      </c>
      <c r="X93">
        <f>HYPERLINK("https://klasma.github.io/Logging_2181/kartor/A 13135-2026 karta.png", "A 13135-2026")</f>
        <v/>
      </c>
      <c r="Y93">
        <f>HYPERLINK("https://klasma.github.io/Logging_2181/kartor_geotiff/A 13135-2026 georefererad karta.tif", "A 13135-2026")</f>
        <v/>
      </c>
      <c r="AA93">
        <f>HYPERLINK("https://klasma.github.io/Logging_2181/klagomål/A 13135-2026 FSC-klagomål.docx", "A 13135-2026")</f>
        <v/>
      </c>
      <c r="AB93">
        <f>HYPERLINK("https://klasma.github.io/Logging_2181/klagomålsmail/A 13135-2026 FSC-klagomål mail.docx", "A 13135-2026")</f>
        <v/>
      </c>
      <c r="AC93">
        <f>HYPERLINK("https://klasma.github.io/Logging_2181/tillsyn/A 13135-2026 tillsynsbegäran.docx", "A 13135-2026")</f>
        <v/>
      </c>
      <c r="AD93">
        <f>HYPERLINK("https://klasma.github.io/Logging_2181/tillsynsmail/A 13135-2026 tillsynsbegäran mail.docx", "A 13135-2026")</f>
        <v/>
      </c>
    </row>
    <row r="94" ht="15" customHeight="1">
      <c r="A94" t="inlineStr">
        <is>
          <t>A 13645-2026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46248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HYPERLINK("https://klasma.github.io/Logging_2181/artfynd/A 13645-2026 artfynd.xlsx", "A 13645-2026")</f>
        <v/>
      </c>
      <c r="X94">
        <f>HYPERLINK("https://klasma.github.io/Logging_2181/kartor/A 13645-2026 karta.png", "A 13645-2026")</f>
        <v/>
      </c>
      <c r="Y94">
        <f>HYPERLINK("https://klasma.github.io/Logging_2181/kartor_geotiff/A 13645-2026 georefererad karta.tif", "A 13645-2026")</f>
        <v/>
      </c>
      <c r="AA94">
        <f>HYPERLINK("https://klasma.github.io/Logging_2181/klagomål/A 13645-2026 FSC-klagomål.docx", "A 13645-2026")</f>
        <v/>
      </c>
      <c r="AB94">
        <f>HYPERLINK("https://klasma.github.io/Logging_2181/klagomålsmail/A 13645-2026 FSC-klagomål mail.docx", "A 13645-2026")</f>
        <v/>
      </c>
      <c r="AC94">
        <f>HYPERLINK("https://klasma.github.io/Logging_2181/tillsyn/A 13645-2026 tillsynsbegäran.docx", "A 13645-2026")</f>
        <v/>
      </c>
      <c r="AD94">
        <f>HYPERLINK("https://klasma.github.io/Logging_2181/tillsynsmail/A 13645-2026 tillsynsbegäran mail.docx", "A 13645-2026")</f>
        <v/>
      </c>
      <c r="AE94">
        <f>HYPERLINK("https://klasma.github.io/Logging_2181/fåglar/A 13645-2026 prioriterade fågelarter.docx", "A 13645-2026")</f>
        <v/>
      </c>
    </row>
    <row r="95" ht="15" customHeight="1">
      <c r="A95" t="inlineStr">
        <is>
          <t>A 14835-2026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46104</v>
      </c>
      <c r="E95" s="1" t="n">
        <v>46248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2.5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Höstlåsbräken</t>
        </is>
      </c>
      <c r="W95">
        <f>HYPERLINK("https://klasma.github.io/Logging_2181/artfynd/A 14835-2026 artfynd.xlsx", "A 14835-2026")</f>
        <v/>
      </c>
      <c r="X95">
        <f>HYPERLINK("https://klasma.github.io/Logging_2181/kartor/A 14835-2026 karta.png", "A 14835-2026")</f>
        <v/>
      </c>
      <c r="Y95">
        <f>HYPERLINK("https://klasma.github.io/Logging_2181/kartor_geotiff/A 14835-2026 georefererad karta.tif", "A 14835-2026")</f>
        <v/>
      </c>
      <c r="AA95">
        <f>HYPERLINK("https://klasma.github.io/Logging_2181/klagomål/A 14835-2026 FSC-klagomål.docx", "A 14835-2026")</f>
        <v/>
      </c>
      <c r="AB95">
        <f>HYPERLINK("https://klasma.github.io/Logging_2181/klagomålsmail/A 14835-2026 FSC-klagomål mail.docx", "A 14835-2026")</f>
        <v/>
      </c>
      <c r="AC95">
        <f>HYPERLINK("https://klasma.github.io/Logging_2181/tillsyn/A 14835-2026 tillsynsbegäran.docx", "A 14835-2026")</f>
        <v/>
      </c>
      <c r="AD95">
        <f>HYPERLINK("https://klasma.github.io/Logging_2181/tillsynsmail/A 14835-2026 tillsynsbegäran mail.docx", "A 14835-2026")</f>
        <v/>
      </c>
    </row>
    <row r="96" ht="15" customHeight="1">
      <c r="A96" t="inlineStr">
        <is>
          <t>A 15121-2026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46248</v>
      </c>
      <c r="F96" t="inlineStr">
        <is>
          <t>GÄVLEBORGS LÄN</t>
        </is>
      </c>
      <c r="G96" t="inlineStr">
        <is>
          <t>SANDVIKEN</t>
        </is>
      </c>
      <c r="I96" t="n">
        <v>2.7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Brandticka</t>
        </is>
      </c>
      <c r="W96">
        <f>HYPERLINK("https://klasma.github.io/Logging_2181/artfynd/A 15121-2026 artfynd.xlsx", "A 15121-2026")</f>
        <v/>
      </c>
      <c r="X96">
        <f>HYPERLINK("https://klasma.github.io/Logging_2181/kartor/A 15121-2026 karta.png", "A 15121-2026")</f>
        <v/>
      </c>
      <c r="Y96">
        <f>HYPERLINK("https://klasma.github.io/Logging_2181/kartor_geotiff/A 15121-2026 georefererad karta.tif", "A 15121-2026")</f>
        <v/>
      </c>
      <c r="AA96">
        <f>HYPERLINK("https://klasma.github.io/Logging_2181/klagomål/A 15121-2026 FSC-klagomål.docx", "A 15121-2026")</f>
        <v/>
      </c>
      <c r="AB96">
        <f>HYPERLINK("https://klasma.github.io/Logging_2181/klagomålsmail/A 15121-2026 FSC-klagomål mail.docx", "A 15121-2026")</f>
        <v/>
      </c>
      <c r="AC96">
        <f>HYPERLINK("https://klasma.github.io/Logging_2181/tillsyn/A 15121-2026 tillsynsbegäran.docx", "A 15121-2026")</f>
        <v/>
      </c>
      <c r="AD96">
        <f>HYPERLINK("https://klasma.github.io/Logging_2181/tillsynsmail/A 15121-2026 tillsynsbegäran mail.docx", "A 15121-2026")</f>
        <v/>
      </c>
    </row>
    <row r="97" ht="15" customHeight="1">
      <c r="A97" t="inlineStr">
        <is>
          <t>A 17062-2026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46114</v>
      </c>
      <c r="E97" s="1" t="n">
        <v>46248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5.7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Vårärt</t>
        </is>
      </c>
      <c r="W97">
        <f>HYPERLINK("https://klasma.github.io/Logging_2181/artfynd/A 17062-2026 artfynd.xlsx", "A 17062-2026")</f>
        <v/>
      </c>
      <c r="X97">
        <f>HYPERLINK("https://klasma.github.io/Logging_2181/kartor/A 17062-2026 karta.png", "A 17062-2026")</f>
        <v/>
      </c>
      <c r="Y97">
        <f>HYPERLINK("https://klasma.github.io/Logging_2181/kartor_geotiff/A 17062-2026 georefererad karta.tif", "A 17062-2026")</f>
        <v/>
      </c>
      <c r="AA97">
        <f>HYPERLINK("https://klasma.github.io/Logging_2181/klagomål/A 17062-2026 FSC-klagomål.docx", "A 17062-2026")</f>
        <v/>
      </c>
      <c r="AB97">
        <f>HYPERLINK("https://klasma.github.io/Logging_2181/klagomålsmail/A 17062-2026 FSC-klagomål mail.docx", "A 17062-2026")</f>
        <v/>
      </c>
      <c r="AC97">
        <f>HYPERLINK("https://klasma.github.io/Logging_2181/tillsyn/A 17062-2026 tillsynsbegäran.docx", "A 17062-2026")</f>
        <v/>
      </c>
      <c r="AD97">
        <f>HYPERLINK("https://klasma.github.io/Logging_2181/tillsynsmail/A 17062-2026 tillsynsbegäran mail.docx", "A 17062-2026")</f>
        <v/>
      </c>
    </row>
    <row r="98" ht="15" customHeight="1">
      <c r="A98" t="inlineStr">
        <is>
          <t>A 17364-2026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46248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3.2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Höstlåsbräken</t>
        </is>
      </c>
      <c r="W98">
        <f>HYPERLINK("https://klasma.github.io/Logging_2181/artfynd/A 17364-2026 artfynd.xlsx", "A 17364-2026")</f>
        <v/>
      </c>
      <c r="X98">
        <f>HYPERLINK("https://klasma.github.io/Logging_2181/kartor/A 17364-2026 karta.png", "A 17364-2026")</f>
        <v/>
      </c>
      <c r="Y98">
        <f>HYPERLINK("https://klasma.github.io/Logging_2181/kartor_geotiff/A 17364-2026 georefererad karta.tif", "A 17364-2026")</f>
        <v/>
      </c>
      <c r="AA98">
        <f>HYPERLINK("https://klasma.github.io/Logging_2181/klagomål/A 17364-2026 FSC-klagomål.docx", "A 17364-2026")</f>
        <v/>
      </c>
      <c r="AB98">
        <f>HYPERLINK("https://klasma.github.io/Logging_2181/klagomålsmail/A 17364-2026 FSC-klagomål mail.docx", "A 17364-2026")</f>
        <v/>
      </c>
      <c r="AC98">
        <f>HYPERLINK("https://klasma.github.io/Logging_2181/tillsyn/A 17364-2026 tillsynsbegäran.docx", "A 17364-2026")</f>
        <v/>
      </c>
      <c r="AD98">
        <f>HYPERLINK("https://klasma.github.io/Logging_2181/tillsynsmail/A 17364-2026 tillsynsbegäran mail.docx", "A 17364-2026")</f>
        <v/>
      </c>
    </row>
    <row r="99" ht="15" customHeight="1">
      <c r="A99" t="inlineStr">
        <is>
          <t>A 19272-2026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46248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9.4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Nattviol</t>
        </is>
      </c>
      <c r="W99">
        <f>HYPERLINK("https://klasma.github.io/Logging_2181/artfynd/A 19272-2026 artfynd.xlsx", "A 19272-2026")</f>
        <v/>
      </c>
      <c r="X99">
        <f>HYPERLINK("https://klasma.github.io/Logging_2181/kartor/A 19272-2026 karta.png", "A 19272-2026")</f>
        <v/>
      </c>
      <c r="Y99">
        <f>HYPERLINK("https://klasma.github.io/Logging_2181/kartor_geotiff/A 19272-2026 georefererad karta.tif", "A 19272-2026")</f>
        <v/>
      </c>
      <c r="AA99">
        <f>HYPERLINK("https://klasma.github.io/Logging_2181/klagomål/A 19272-2026 FSC-klagomål.docx", "A 19272-2026")</f>
        <v/>
      </c>
      <c r="AB99">
        <f>HYPERLINK("https://klasma.github.io/Logging_2181/klagomålsmail/A 19272-2026 FSC-klagomål mail.docx", "A 19272-2026")</f>
        <v/>
      </c>
      <c r="AC99">
        <f>HYPERLINK("https://klasma.github.io/Logging_2181/tillsyn/A 19272-2026 tillsynsbegäran.docx", "A 19272-2026")</f>
        <v/>
      </c>
      <c r="AD99">
        <f>HYPERLINK("https://klasma.github.io/Logging_2181/tillsynsmail/A 19272-2026 tillsynsbegäran mail.docx", "A 19272-2026")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46248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S 242-2024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45319</v>
      </c>
      <c r="E101" s="1" t="n">
        <v>46248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51.8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Bivråk</t>
        </is>
      </c>
      <c r="W101">
        <f>HYPERLINK("https://klasma.github.io/Logging_2181/artfynd/S 242-2024 artfynd.xlsx", "S 242-2024")</f>
        <v/>
      </c>
      <c r="X101">
        <f>HYPERLINK("https://klasma.github.io/Logging_2181/kartor/S 242-2024 karta.png", "S 242-2024")</f>
        <v/>
      </c>
      <c r="Y101">
        <f>HYPERLINK("https://klasma.github.io/Logging_2181/kartor_geotiff/S 242-2024 georefererad karta.tif", "S 242-2024")</f>
        <v/>
      </c>
      <c r="AA101">
        <f>HYPERLINK("https://klasma.github.io/Logging_2181/klagomål/S 242-2024 FSC-klagomål.docx", "S 242-2024")</f>
        <v/>
      </c>
      <c r="AB101">
        <f>HYPERLINK("https://klasma.github.io/Logging_2181/klagomålsmail/S 242-2024 FSC-klagomål mail.docx", "S 242-2024")</f>
        <v/>
      </c>
      <c r="AC101">
        <f>HYPERLINK("https://klasma.github.io/Logging_2181/tillsyn/S 242-2024 tillsynsbegäran.docx", "S 242-2024")</f>
        <v/>
      </c>
      <c r="AD101">
        <f>HYPERLINK("https://klasma.github.io/Logging_2181/tillsynsmail/S 242-2024 tillsynsbegäran mail.docx", "S 242-2024")</f>
        <v/>
      </c>
      <c r="AE101">
        <f>HYPERLINK("https://klasma.github.io/Logging_2181/fåglar/S 242-2024 prioriterade fågelarter.docx", "S 242-2024")</f>
        <v/>
      </c>
    </row>
    <row r="102" ht="15" customHeight="1">
      <c r="A102" t="inlineStr">
        <is>
          <t>S 1687-2023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45064</v>
      </c>
      <c r="E102" s="1" t="n">
        <v>46248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12.6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HYPERLINK("https://klasma.github.io/Logging_2181/artfynd/S 1687-2023 artfynd.xlsx", "S 1687-2023")</f>
        <v/>
      </c>
      <c r="X102">
        <f>HYPERLINK("https://klasma.github.io/Logging_2181/kartor/S 1687-2023 karta.png", "S 1687-2023")</f>
        <v/>
      </c>
      <c r="Y102">
        <f>HYPERLINK("https://klasma.github.io/Logging_2181/kartor_geotiff/S 1687-2023 georefererad karta.tif", "S 1687-2023")</f>
        <v/>
      </c>
      <c r="AA102">
        <f>HYPERLINK("https://klasma.github.io/Logging_2181/klagomål/S 1687-2023 FSC-klagomål.docx", "S 1687-2023")</f>
        <v/>
      </c>
      <c r="AB102">
        <f>HYPERLINK("https://klasma.github.io/Logging_2181/klagomålsmail/S 1687-2023 FSC-klagomål mail.docx", "S 1687-2023")</f>
        <v/>
      </c>
      <c r="AC102">
        <f>HYPERLINK("https://klasma.github.io/Logging_2181/tillsyn/S 1687-2023 tillsynsbegäran.docx", "S 1687-2023")</f>
        <v/>
      </c>
      <c r="AD102">
        <f>HYPERLINK("https://klasma.github.io/Logging_2181/tillsynsmail/S 1687-2023 tillsynsbegäran mail.docx", "S 1687-2023")</f>
        <v/>
      </c>
    </row>
    <row r="103" ht="15" customHeight="1">
      <c r="A103" t="inlineStr">
        <is>
          <t>S 504-2025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45706</v>
      </c>
      <c r="E103" s="1" t="n">
        <v>46248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19.3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Fläcknycklar</t>
        </is>
      </c>
      <c r="W103">
        <f>HYPERLINK("https://klasma.github.io/Logging_2181/artfynd/S 504-2025 artfynd.xlsx", "S 504-2025")</f>
        <v/>
      </c>
      <c r="X103">
        <f>HYPERLINK("https://klasma.github.io/Logging_2181/kartor/S 504-2025 karta.png", "S 504-2025")</f>
        <v/>
      </c>
      <c r="Y103">
        <f>HYPERLINK("https://klasma.github.io/Logging_2181/kartor_geotiff/S 504-2025 georefererad karta.tif", "S 504-2025")</f>
        <v/>
      </c>
      <c r="AA103">
        <f>HYPERLINK("https://klasma.github.io/Logging_2181/klagomål/S 504-2025 FSC-klagomål.docx", "S 504-2025")</f>
        <v/>
      </c>
      <c r="AB103">
        <f>HYPERLINK("https://klasma.github.io/Logging_2181/klagomålsmail/S 504-2025 FSC-klagomål mail.docx", "S 504-2025")</f>
        <v/>
      </c>
      <c r="AC103">
        <f>HYPERLINK("https://klasma.github.io/Logging_2181/tillsyn/S 504-2025 tillsynsbegäran.docx", "S 504-2025")</f>
        <v/>
      </c>
      <c r="AD103">
        <f>HYPERLINK("https://klasma.github.io/Logging_2181/tillsynsmail/S 504-2025 tillsynsbegäran mail.docx", "S 504-2025")</f>
        <v/>
      </c>
    </row>
    <row r="104" ht="15" customHeight="1">
      <c r="A104" t="inlineStr">
        <is>
          <t>S 412-2025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45699</v>
      </c>
      <c r="E104" s="1" t="n">
        <v>46248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21.2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Aspbarkgnagare</t>
        </is>
      </c>
      <c r="W104">
        <f>HYPERLINK("https://klasma.github.io/Logging_2181/artfynd/S 412-2025 artfynd.xlsx", "S 412-2025")</f>
        <v/>
      </c>
      <c r="X104">
        <f>HYPERLINK("https://klasma.github.io/Logging_2181/kartor/S 412-2025 karta.png", "S 412-2025")</f>
        <v/>
      </c>
      <c r="Y104">
        <f>HYPERLINK("https://klasma.github.io/Logging_2181/kartor_geotiff/S 412-2025 georefererad karta.tif", "S 412-2025")</f>
        <v/>
      </c>
      <c r="AA104">
        <f>HYPERLINK("https://klasma.github.io/Logging_2181/klagomål/S 412-2025 FSC-klagomål.docx", "S 412-2025")</f>
        <v/>
      </c>
      <c r="AB104">
        <f>HYPERLINK("https://klasma.github.io/Logging_2181/klagomålsmail/S 412-2025 FSC-klagomål mail.docx", "S 412-2025")</f>
        <v/>
      </c>
      <c r="AC104">
        <f>HYPERLINK("https://klasma.github.io/Logging_2181/tillsyn/S 412-2025 tillsynsbegäran.docx", "S 412-2025")</f>
        <v/>
      </c>
      <c r="AD104">
        <f>HYPERLINK("https://klasma.github.io/Logging_2181/tillsynsmail/S 412-2025 tillsynsbegäran mail.docx", "S 412-2025")</f>
        <v/>
      </c>
    </row>
    <row r="105" ht="15" customHeight="1">
      <c r="A105" t="inlineStr">
        <is>
          <t>S 501-2025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45706</v>
      </c>
      <c r="E105" s="1" t="n">
        <v>46248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HYPERLINK("https://klasma.github.io/Logging_2181/artfynd/S 501-2025 artfynd.xlsx", "S 501-2025")</f>
        <v/>
      </c>
      <c r="X105">
        <f>HYPERLINK("https://klasma.github.io/Logging_2181/kartor/S 501-2025 karta.png", "S 501-2025")</f>
        <v/>
      </c>
      <c r="Y105">
        <f>HYPERLINK("https://klasma.github.io/Logging_2181/kartor_geotiff/S 501-2025 georefererad karta.tif", "S 501-2025")</f>
        <v/>
      </c>
      <c r="AA105">
        <f>HYPERLINK("https://klasma.github.io/Logging_2181/klagomål/S 501-2025 FSC-klagomål.docx", "S 501-2025")</f>
        <v/>
      </c>
      <c r="AB105">
        <f>HYPERLINK("https://klasma.github.io/Logging_2181/klagomålsmail/S 501-2025 FSC-klagomål mail.docx", "S 501-2025")</f>
        <v/>
      </c>
      <c r="AC105">
        <f>HYPERLINK("https://klasma.github.io/Logging_2181/tillsyn/S 501-2025 tillsynsbegäran.docx", "S 501-2025")</f>
        <v/>
      </c>
      <c r="AD105">
        <f>HYPERLINK("https://klasma.github.io/Logging_2181/tillsynsmail/S 501-2025 tillsynsbegäran mail.docx", "S 501-2025")</f>
        <v/>
      </c>
      <c r="AE105">
        <f>HYPERLINK("https://klasma.github.io/Logging_2181/fåglar/S 501-2025 prioriterade fågelarter.docx", "S 501-2025")</f>
        <v/>
      </c>
    </row>
    <row r="106" ht="15" customHeight="1">
      <c r="A106" t="inlineStr">
        <is>
          <t>S 1025-2026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46122</v>
      </c>
      <c r="E106" s="1" t="n">
        <v>46248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62.8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1025-2026 artfynd.xlsx", "S 1025-2026")</f>
        <v/>
      </c>
      <c r="X106">
        <f>HYPERLINK("https://klasma.github.io/Logging_2181/kartor/S 1025-2026 karta.png", "S 1025-2026")</f>
        <v/>
      </c>
      <c r="Y106">
        <f>HYPERLINK("https://klasma.github.io/Logging_2181/kartor_geotiff/S 1025-2026 georefererad karta.tif", "S 1025-2026")</f>
        <v/>
      </c>
      <c r="AA106">
        <f>HYPERLINK("https://klasma.github.io/Logging_2181/klagomål/S 1025-2026 FSC-klagomål.docx", "S 1025-2026")</f>
        <v/>
      </c>
      <c r="AB106">
        <f>HYPERLINK("https://klasma.github.io/Logging_2181/klagomålsmail/S 1025-2026 FSC-klagomål mail.docx", "S 1025-2026")</f>
        <v/>
      </c>
      <c r="AC106">
        <f>HYPERLINK("https://klasma.github.io/Logging_2181/tillsyn/S 1025-2026 tillsynsbegäran.docx", "S 1025-2026")</f>
        <v/>
      </c>
      <c r="AD106">
        <f>HYPERLINK("https://klasma.github.io/Logging_2181/tillsynsmail/S 1025-2026 tillsynsbegäran mail.docx", "S 1025-2026")</f>
        <v/>
      </c>
      <c r="AE106">
        <f>HYPERLINK("https://klasma.github.io/Logging_2181/fåglar/S 1025-2026 prioriterade fågelarter.docx", "S 1025-2026")</f>
        <v/>
      </c>
    </row>
    <row r="107" ht="15" customHeight="1">
      <c r="A107" t="inlineStr">
        <is>
          <t>A 51162-2022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44868</v>
      </c>
      <c r="E107" s="1" t="n">
        <v>46248</v>
      </c>
      <c r="F107" t="inlineStr">
        <is>
          <t>GÄVLEBORGS LÄN</t>
        </is>
      </c>
      <c r="G107" t="inlineStr">
        <is>
          <t>SANDVIKEN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46248</v>
      </c>
      <c r="F108" t="inlineStr">
        <is>
          <t>GÄVLEBORGS LÄN</t>
        </is>
      </c>
      <c r="G108" t="inlineStr">
        <is>
          <t>SANDVIKEN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46248</v>
      </c>
      <c r="F109" t="inlineStr">
        <is>
          <t>GÄVLEBORGS LÄN</t>
        </is>
      </c>
      <c r="G109" t="inlineStr">
        <is>
          <t>SANDVIKEN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44774</v>
      </c>
      <c r="E110" s="1" t="n">
        <v>46248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50876-2021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44460</v>
      </c>
      <c r="E111" s="1" t="n">
        <v>46248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64068-2021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44510</v>
      </c>
      <c r="E112" s="1" t="n">
        <v>46248</v>
      </c>
      <c r="F112" t="inlineStr">
        <is>
          <t>GÄVLEBORGS LÄN</t>
        </is>
      </c>
      <c r="G112" t="inlineStr">
        <is>
          <t>SANDVIKEN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61729-2021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46248</v>
      </c>
      <c r="F113" t="inlineStr">
        <is>
          <t>GÄVLEBORGS LÄN</t>
        </is>
      </c>
      <c r="G113" t="inlineStr">
        <is>
          <t>SANDVIKEN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45985-2021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46248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46248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46248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46248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44635</v>
      </c>
      <c r="E118" s="1" t="n">
        <v>46248</v>
      </c>
      <c r="F118" t="inlineStr">
        <is>
          <t>GÄVLEBORGS LÄN</t>
        </is>
      </c>
      <c r="G118" t="inlineStr">
        <is>
          <t>SANDVIKEN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44519</v>
      </c>
      <c r="E119" s="1" t="n">
        <v>46248</v>
      </c>
      <c r="F119" t="inlineStr">
        <is>
          <t>GÄVLEBORGS LÄN</t>
        </is>
      </c>
      <c r="G119" t="inlineStr">
        <is>
          <t>SANDVIKEN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44596</v>
      </c>
      <c r="E120" s="1" t="n">
        <v>46248</v>
      </c>
      <c r="F120" t="inlineStr">
        <is>
          <t>GÄVLEBORGS LÄN</t>
        </is>
      </c>
      <c r="G120" t="inlineStr">
        <is>
          <t>SANDVIKEN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44595</v>
      </c>
      <c r="E121" s="1" t="n">
        <v>46248</v>
      </c>
      <c r="F121" t="inlineStr">
        <is>
          <t>GÄVLEBORGS LÄN</t>
        </is>
      </c>
      <c r="G121" t="inlineStr">
        <is>
          <t>SANDVIKEN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46248</v>
      </c>
      <c r="F122" t="inlineStr">
        <is>
          <t>GÄVLEBORGS LÄN</t>
        </is>
      </c>
      <c r="G122" t="inlineStr">
        <is>
          <t>SANDVIKEN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46248</v>
      </c>
      <c r="F123" t="inlineStr">
        <is>
          <t>GÄVLEBORGS LÄN</t>
        </is>
      </c>
      <c r="G123" t="inlineStr">
        <is>
          <t>SANDVIKEN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46248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46248</v>
      </c>
      <c r="F125" t="inlineStr">
        <is>
          <t>GÄVLEBORGS LÄN</t>
        </is>
      </c>
      <c r="G125" t="inlineStr">
        <is>
          <t>SANDVIKEN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46248</v>
      </c>
      <c r="F126" t="inlineStr">
        <is>
          <t>GÄVLEBORGS LÄN</t>
        </is>
      </c>
      <c r="G126" t="inlineStr">
        <is>
          <t>SANDVIKEN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46248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44714</v>
      </c>
      <c r="E128" s="1" t="n">
        <v>46248</v>
      </c>
      <c r="F128" t="inlineStr">
        <is>
          <t>GÄVLEBORGS LÄN</t>
        </is>
      </c>
      <c r="G128" t="inlineStr">
        <is>
          <t>SANDVIKEN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44512</v>
      </c>
      <c r="E129" s="1" t="n">
        <v>46248</v>
      </c>
      <c r="F129" t="inlineStr">
        <is>
          <t>GÄVLEBORGS LÄN</t>
        </is>
      </c>
      <c r="G129" t="inlineStr">
        <is>
          <t>SANDVIKEN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46248</v>
      </c>
      <c r="F130" t="inlineStr">
        <is>
          <t>GÄVLEBORGS LÄN</t>
        </is>
      </c>
      <c r="G130" t="inlineStr">
        <is>
          <t>SANDVIKEN</t>
        </is>
      </c>
      <c r="H130" t="inlineStr">
        <is>
          <t>Bergvik skog öst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44876</v>
      </c>
      <c r="E131" s="1" t="n">
        <v>46248</v>
      </c>
      <c r="F131" t="inlineStr">
        <is>
          <t>GÄVLEBORGS LÄN</t>
        </is>
      </c>
      <c r="G131" t="inlineStr">
        <is>
          <t>SANDVIKEN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67180-2021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46248</v>
      </c>
      <c r="F132" t="inlineStr">
        <is>
          <t>GÄVLEBORGS LÄN</t>
        </is>
      </c>
      <c r="G132" t="inlineStr">
        <is>
          <t>SANDVIKEN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6947-2022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44603</v>
      </c>
      <c r="E133" s="1" t="n">
        <v>46248</v>
      </c>
      <c r="F133" t="inlineStr">
        <is>
          <t>GÄVLEBORGS LÄN</t>
        </is>
      </c>
      <c r="G133" t="inlineStr">
        <is>
          <t>SANDVIKEN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44635</v>
      </c>
      <c r="E134" s="1" t="n">
        <v>46248</v>
      </c>
      <c r="F134" t="inlineStr">
        <is>
          <t>GÄVLEBORGS LÄN</t>
        </is>
      </c>
      <c r="G134" t="inlineStr">
        <is>
          <t>SANDVIKEN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46248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46248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14840-2022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46248</v>
      </c>
      <c r="F137" t="inlineStr">
        <is>
          <t>GÄVLEBORGS LÄN</t>
        </is>
      </c>
      <c r="G137" t="inlineStr">
        <is>
          <t>SANDVIKEN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46248</v>
      </c>
      <c r="F138" t="inlineStr">
        <is>
          <t>GÄVLEBORGS LÄN</t>
        </is>
      </c>
      <c r="G138" t="inlineStr">
        <is>
          <t>SANDVIKEN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44988</v>
      </c>
      <c r="E139" s="1" t="n">
        <v>46248</v>
      </c>
      <c r="F139" t="inlineStr">
        <is>
          <t>GÄVLEBORGS LÄN</t>
        </is>
      </c>
      <c r="G139" t="inlineStr">
        <is>
          <t>SANDVIKEN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46248</v>
      </c>
      <c r="F140" t="inlineStr">
        <is>
          <t>GÄVLEBORGS LÄN</t>
        </is>
      </c>
      <c r="G140" t="inlineStr">
        <is>
          <t>SANDVIKEN</t>
        </is>
      </c>
      <c r="H140" t="inlineStr">
        <is>
          <t>Bergvik skog öst AB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46248</v>
      </c>
      <c r="F141" t="inlineStr">
        <is>
          <t>GÄVLEBORGS LÄN</t>
        </is>
      </c>
      <c r="G141" t="inlineStr">
        <is>
          <t>SANDVIKEN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46248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46248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46248</v>
      </c>
      <c r="F144" t="inlineStr">
        <is>
          <t>GÄVLEBORGS LÄN</t>
        </is>
      </c>
      <c r="G144" t="inlineStr">
        <is>
          <t>SANDVIKEN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46248</v>
      </c>
      <c r="F145" t="inlineStr">
        <is>
          <t>GÄVLEBORGS LÄN</t>
        </is>
      </c>
      <c r="G145" t="inlineStr">
        <is>
          <t>SANDVIKEN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44843</v>
      </c>
      <c r="E146" s="1" t="n">
        <v>46248</v>
      </c>
      <c r="F146" t="inlineStr">
        <is>
          <t>GÄVLEBORGS LÄN</t>
        </is>
      </c>
      <c r="G146" t="inlineStr">
        <is>
          <t>SANDVIKEN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72997-2021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44549</v>
      </c>
      <c r="E147" s="1" t="n">
        <v>46248</v>
      </c>
      <c r="F147" t="inlineStr">
        <is>
          <t>GÄVLEBORGS LÄN</t>
        </is>
      </c>
      <c r="G147" t="inlineStr">
        <is>
          <t>SANDVIKEN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46248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46248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46248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45121</v>
      </c>
      <c r="E151" s="1" t="n">
        <v>46248</v>
      </c>
      <c r="F151" t="inlineStr">
        <is>
          <t>GÄVLEBORGS LÄN</t>
        </is>
      </c>
      <c r="G151" t="inlineStr">
        <is>
          <t>SANDVIKEN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46248</v>
      </c>
      <c r="F152" t="inlineStr">
        <is>
          <t>GÄVLEBORGS LÄN</t>
        </is>
      </c>
      <c r="G152" t="inlineStr">
        <is>
          <t>SANDVIKEN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46248</v>
      </c>
      <c r="F153" t="inlineStr">
        <is>
          <t>GÄVLEBORGS LÄN</t>
        </is>
      </c>
      <c r="G153" t="inlineStr">
        <is>
          <t>SANDVIKEN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46248</v>
      </c>
      <c r="F154" t="inlineStr">
        <is>
          <t>GÄVLEBORGS LÄN</t>
        </is>
      </c>
      <c r="G154" t="inlineStr">
        <is>
          <t>SANDVIKEN</t>
        </is>
      </c>
      <c r="H154" t="inlineStr">
        <is>
          <t>Kyrkan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46248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45706</v>
      </c>
      <c r="E156" s="1" t="n">
        <v>46248</v>
      </c>
      <c r="F156" t="inlineStr">
        <is>
          <t>GÄVLEBORGS LÄN</t>
        </is>
      </c>
      <c r="G156" t="inlineStr">
        <is>
          <t>SANDVIKEN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45660</v>
      </c>
      <c r="E157" s="1" t="n">
        <v>46248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46248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44845</v>
      </c>
      <c r="E159" s="1" t="n">
        <v>46248</v>
      </c>
      <c r="F159" t="inlineStr">
        <is>
          <t>GÄVLEBORGS LÄN</t>
        </is>
      </c>
      <c r="G159" t="inlineStr">
        <is>
          <t>SANDVIKEN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44810</v>
      </c>
      <c r="E160" s="1" t="n">
        <v>46248</v>
      </c>
      <c r="F160" t="inlineStr">
        <is>
          <t>GÄVLEBORGS LÄN</t>
        </is>
      </c>
      <c r="G160" t="inlineStr">
        <is>
          <t>SANDVIKEN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46248</v>
      </c>
      <c r="F161" t="inlineStr">
        <is>
          <t>GÄVLEBORGS LÄN</t>
        </is>
      </c>
      <c r="G161" t="inlineStr">
        <is>
          <t>SANDVIKEN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49704-2023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45212</v>
      </c>
      <c r="E162" s="1" t="n">
        <v>46248</v>
      </c>
      <c r="F162" t="inlineStr">
        <is>
          <t>GÄVLEBORGS LÄN</t>
        </is>
      </c>
      <c r="G162" t="inlineStr">
        <is>
          <t>SANDVIKEN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45698</v>
      </c>
      <c r="E163" s="1" t="n">
        <v>46248</v>
      </c>
      <c r="F163" t="inlineStr">
        <is>
          <t>GÄVLEBORGS LÄN</t>
        </is>
      </c>
      <c r="G163" t="inlineStr">
        <is>
          <t>SANDVIKEN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46248</v>
      </c>
      <c r="F164" t="inlineStr">
        <is>
          <t>GÄVLEBORGS LÄN</t>
        </is>
      </c>
      <c r="G164" t="inlineStr">
        <is>
          <t>SANDVIKEN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45478</v>
      </c>
      <c r="E165" s="1" t="n">
        <v>46248</v>
      </c>
      <c r="F165" t="inlineStr">
        <is>
          <t>GÄVLEBORGS LÄN</t>
        </is>
      </c>
      <c r="G165" t="inlineStr">
        <is>
          <t>SANDVIKEN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46248</v>
      </c>
      <c r="F166" t="inlineStr">
        <is>
          <t>GÄVLEBORGS LÄN</t>
        </is>
      </c>
      <c r="G166" t="inlineStr">
        <is>
          <t>SANDVIKEN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46248</v>
      </c>
      <c r="F167" t="inlineStr">
        <is>
          <t>GÄVLEBORGS LÄN</t>
        </is>
      </c>
      <c r="G167" t="inlineStr">
        <is>
          <t>SANDVIKEN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32260-2023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46248</v>
      </c>
      <c r="F168" t="inlineStr">
        <is>
          <t>GÄVLEBORGS LÄN</t>
        </is>
      </c>
      <c r="G168" t="inlineStr">
        <is>
          <t>SANDVIKEN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46248</v>
      </c>
      <c r="F169" t="inlineStr">
        <is>
          <t>GÄVLEBORGS LÄN</t>
        </is>
      </c>
      <c r="G169" t="inlineStr">
        <is>
          <t>SANDVIKEN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44586</v>
      </c>
      <c r="E170" s="1" t="n">
        <v>46248</v>
      </c>
      <c r="F170" t="inlineStr">
        <is>
          <t>GÄVLEBORGS LÄN</t>
        </is>
      </c>
      <c r="G170" t="inlineStr">
        <is>
          <t>SANDVIKEN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46248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46248</v>
      </c>
      <c r="F172" t="inlineStr">
        <is>
          <t>GÄVLEBORGS LÄN</t>
        </is>
      </c>
      <c r="G172" t="inlineStr">
        <is>
          <t>SANDVIKEN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45649</v>
      </c>
      <c r="E173" s="1" t="n">
        <v>46248</v>
      </c>
      <c r="F173" t="inlineStr">
        <is>
          <t>GÄVLEBORGS LÄN</t>
        </is>
      </c>
      <c r="G173" t="inlineStr">
        <is>
          <t>SANDVIKEN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46248</v>
      </c>
      <c r="F174" t="inlineStr">
        <is>
          <t>GÄVLEBORGS LÄN</t>
        </is>
      </c>
      <c r="G174" t="inlineStr">
        <is>
          <t>SANDVIKEN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45540</v>
      </c>
      <c r="E175" s="1" t="n">
        <v>46248</v>
      </c>
      <c r="F175" t="inlineStr">
        <is>
          <t>GÄVLEBORGS LÄN</t>
        </is>
      </c>
      <c r="G175" t="inlineStr">
        <is>
          <t>SANDVIKEN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46248</v>
      </c>
      <c r="F176" t="inlineStr">
        <is>
          <t>GÄVLEBORGS LÄN</t>
        </is>
      </c>
      <c r="G176" t="inlineStr">
        <is>
          <t>SANDVIKEN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46248</v>
      </c>
      <c r="F177" t="inlineStr">
        <is>
          <t>GÄVLEBORGS LÄN</t>
        </is>
      </c>
      <c r="G177" t="inlineStr">
        <is>
          <t>SANDVIKEN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46248</v>
      </c>
      <c r="F178" t="inlineStr">
        <is>
          <t>GÄVLEBORGS LÄN</t>
        </is>
      </c>
      <c r="G178" t="inlineStr">
        <is>
          <t>SANDVIKEN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46248</v>
      </c>
      <c r="F179" t="inlineStr">
        <is>
          <t>GÄVLEBORGS LÄN</t>
        </is>
      </c>
      <c r="G179" t="inlineStr">
        <is>
          <t>SANDVIKEN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46248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46248</v>
      </c>
      <c r="F181" t="inlineStr">
        <is>
          <t>GÄVLEBORGS LÄN</t>
        </is>
      </c>
      <c r="G181" t="inlineStr">
        <is>
          <t>SANDVIKEN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46248</v>
      </c>
      <c r="F182" t="inlineStr">
        <is>
          <t>GÄVLEBORGS LÄN</t>
        </is>
      </c>
      <c r="G182" t="inlineStr">
        <is>
          <t>SANDVIKEN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46248</v>
      </c>
      <c r="F183" t="inlineStr">
        <is>
          <t>GÄVLEBORGS LÄN</t>
        </is>
      </c>
      <c r="G183" t="inlineStr">
        <is>
          <t>SANDVIKEN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46248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45087</v>
      </c>
      <c r="E185" s="1" t="n">
        <v>46248</v>
      </c>
      <c r="F185" t="inlineStr">
        <is>
          <t>GÄVLEBORGS LÄN</t>
        </is>
      </c>
      <c r="G185" t="inlineStr">
        <is>
          <t>SANDVIKEN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46248</v>
      </c>
      <c r="F186" t="inlineStr">
        <is>
          <t>GÄVLEBORGS LÄN</t>
        </is>
      </c>
      <c r="G186" t="inlineStr">
        <is>
          <t>SANDVIKEN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45512</v>
      </c>
      <c r="E187" s="1" t="n">
        <v>46248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46248</v>
      </c>
      <c r="F188" t="inlineStr">
        <is>
          <t>GÄVLEBORGS LÄN</t>
        </is>
      </c>
      <c r="G188" t="inlineStr">
        <is>
          <t>SANDVIKEN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46248</v>
      </c>
      <c r="F189" t="inlineStr">
        <is>
          <t>GÄVLEBORGS LÄN</t>
        </is>
      </c>
      <c r="G189" t="inlineStr">
        <is>
          <t>SANDVIKEN</t>
        </is>
      </c>
      <c r="H189" t="inlineStr">
        <is>
          <t>Kommuner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46248</v>
      </c>
      <c r="F190" t="inlineStr">
        <is>
          <t>GÄVLEBORGS LÄN</t>
        </is>
      </c>
      <c r="G190" t="inlineStr">
        <is>
          <t>SANDVIKEN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45153</v>
      </c>
      <c r="E191" s="1" t="n">
        <v>46248</v>
      </c>
      <c r="F191" t="inlineStr">
        <is>
          <t>GÄVLEBORGS LÄN</t>
        </is>
      </c>
      <c r="G191" t="inlineStr">
        <is>
          <t>SANDVIKEN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46248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öst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44439</v>
      </c>
      <c r="E193" s="1" t="n">
        <v>46248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46248</v>
      </c>
      <c r="F194" t="inlineStr">
        <is>
          <t>GÄVLEBORGS LÄN</t>
        </is>
      </c>
      <c r="G194" t="inlineStr">
        <is>
          <t>SANDVIKEN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46248</v>
      </c>
      <c r="F195" t="inlineStr">
        <is>
          <t>GÄVLEBORGS LÄN</t>
        </is>
      </c>
      <c r="G195" t="inlineStr">
        <is>
          <t>SANDVIKEN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46248</v>
      </c>
      <c r="F196" t="inlineStr">
        <is>
          <t>GÄVLEBORGS LÄN</t>
        </is>
      </c>
      <c r="G196" t="inlineStr">
        <is>
          <t>SANDVIKEN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46248</v>
      </c>
      <c r="F197" t="inlineStr">
        <is>
          <t>GÄVLEBORGS LÄN</t>
        </is>
      </c>
      <c r="G197" t="inlineStr">
        <is>
          <t>SANDVIKEN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46248</v>
      </c>
      <c r="F198" t="inlineStr">
        <is>
          <t>GÄVLEBORGS LÄN</t>
        </is>
      </c>
      <c r="G198" t="inlineStr">
        <is>
          <t>SANDVIKEN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44477</v>
      </c>
      <c r="E199" s="1" t="n">
        <v>46248</v>
      </c>
      <c r="F199" t="inlineStr">
        <is>
          <t>GÄVLEBORGS LÄN</t>
        </is>
      </c>
      <c r="G199" t="inlineStr">
        <is>
          <t>SANDVIKEN</t>
        </is>
      </c>
      <c r="H199" t="inlineStr">
        <is>
          <t>Bergvik skog väst AB</t>
        </is>
      </c>
      <c r="I199" t="n">
        <v>18.5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45576</v>
      </c>
      <c r="E200" s="1" t="n">
        <v>46248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öst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46248</v>
      </c>
      <c r="F201" t="inlineStr">
        <is>
          <t>GÄVLEBORGS LÄN</t>
        </is>
      </c>
      <c r="G201" t="inlineStr">
        <is>
          <t>SANDVIKEN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62642-2023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46248</v>
      </c>
      <c r="F202" t="inlineStr">
        <is>
          <t>GÄVLEBORGS LÄN</t>
        </is>
      </c>
      <c r="G202" t="inlineStr">
        <is>
          <t>SANDVIKEN</t>
        </is>
      </c>
      <c r="H202" t="inlineStr">
        <is>
          <t>Bergvik skog öst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46248</v>
      </c>
      <c r="F203" t="inlineStr">
        <is>
          <t>GÄVLEBORGS LÄN</t>
        </is>
      </c>
      <c r="G203" t="inlineStr">
        <is>
          <t>SANDVIKEN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46248</v>
      </c>
      <c r="F204" t="inlineStr">
        <is>
          <t>GÄVLEBORGS LÄN</t>
        </is>
      </c>
      <c r="G204" t="inlineStr">
        <is>
          <t>SANDVIKEN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44918</v>
      </c>
      <c r="E205" s="1" t="n">
        <v>46248</v>
      </c>
      <c r="F205" t="inlineStr">
        <is>
          <t>GÄVLEBORGS LÄN</t>
        </is>
      </c>
      <c r="G205" t="inlineStr">
        <is>
          <t>SANDVIKEN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46248</v>
      </c>
      <c r="F206" t="inlineStr">
        <is>
          <t>GÄVLEBORGS LÄN</t>
        </is>
      </c>
      <c r="G206" t="inlineStr">
        <is>
          <t>SANDVIKEN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46248</v>
      </c>
      <c r="F207" t="inlineStr">
        <is>
          <t>GÄVLEBORGS LÄN</t>
        </is>
      </c>
      <c r="G207" t="inlineStr">
        <is>
          <t>SANDVIKEN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23217-2023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45075</v>
      </c>
      <c r="E208" s="1" t="n">
        <v>46248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46248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46248</v>
      </c>
      <c r="F210" t="inlineStr">
        <is>
          <t>GÄVLEBORGS LÄN</t>
        </is>
      </c>
      <c r="G210" t="inlineStr">
        <is>
          <t>SANDVIKEN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46248</v>
      </c>
      <c r="F211" t="inlineStr">
        <is>
          <t>GÄVLEBORGS LÄN</t>
        </is>
      </c>
      <c r="G211" t="inlineStr">
        <is>
          <t>SANDVIKEN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46248</v>
      </c>
      <c r="F212" t="inlineStr">
        <is>
          <t>GÄVLEBORGS LÄN</t>
        </is>
      </c>
      <c r="G212" t="inlineStr">
        <is>
          <t>SANDVIKEN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46248</v>
      </c>
      <c r="F213" t="inlineStr">
        <is>
          <t>GÄVLEBORGS LÄN</t>
        </is>
      </c>
      <c r="G213" t="inlineStr">
        <is>
          <t>SANDVIKEN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46248</v>
      </c>
      <c r="F214" t="inlineStr">
        <is>
          <t>GÄVLEBORGS LÄN</t>
        </is>
      </c>
      <c r="G214" t="inlineStr">
        <is>
          <t>SANDVIKEN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45755</v>
      </c>
      <c r="E215" s="1" t="n">
        <v>46248</v>
      </c>
      <c r="F215" t="inlineStr">
        <is>
          <t>GÄVLEBORGS LÄN</t>
        </is>
      </c>
      <c r="G215" t="inlineStr">
        <is>
          <t>SANDVIKEN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45069</v>
      </c>
      <c r="E216" s="1" t="n">
        <v>46248</v>
      </c>
      <c r="F216" t="inlineStr">
        <is>
          <t>GÄVLEBORGS LÄN</t>
        </is>
      </c>
      <c r="G216" t="inlineStr">
        <is>
          <t>SANDVIKEN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44744</v>
      </c>
      <c r="E217" s="1" t="n">
        <v>46248</v>
      </c>
      <c r="F217" t="inlineStr">
        <is>
          <t>GÄVLEBORGS LÄN</t>
        </is>
      </c>
      <c r="G217" t="inlineStr">
        <is>
          <t>SANDVIKEN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45415</v>
      </c>
      <c r="E218" s="1" t="n">
        <v>46248</v>
      </c>
      <c r="F218" t="inlineStr">
        <is>
          <t>GÄVLEBORGS LÄN</t>
        </is>
      </c>
      <c r="G218" t="inlineStr">
        <is>
          <t>SANDVIKEN</t>
        </is>
      </c>
      <c r="H218" t="inlineStr">
        <is>
          <t>Kommuner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46248</v>
      </c>
      <c r="F219" t="inlineStr">
        <is>
          <t>GÄVLEBORGS LÄN</t>
        </is>
      </c>
      <c r="G219" t="inlineStr">
        <is>
          <t>SANDVIKEN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46248</v>
      </c>
      <c r="F220" t="inlineStr">
        <is>
          <t>GÄVLEBORGS LÄN</t>
        </is>
      </c>
      <c r="G220" t="inlineStr">
        <is>
          <t>SANDVIKEN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46248</v>
      </c>
      <c r="F221" t="inlineStr">
        <is>
          <t>GÄVLEBORGS LÄN</t>
        </is>
      </c>
      <c r="G221" t="inlineStr">
        <is>
          <t>SANDVIKEN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46248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46248</v>
      </c>
      <c r="F223" t="inlineStr">
        <is>
          <t>GÄVLEBORGS LÄN</t>
        </is>
      </c>
      <c r="G223" t="inlineStr">
        <is>
          <t>SANDVIKEN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46248</v>
      </c>
      <c r="F224" t="inlineStr">
        <is>
          <t>GÄVLEBORGS LÄN</t>
        </is>
      </c>
      <c r="G224" t="inlineStr">
        <is>
          <t>SANDVIKEN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46248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46248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46248</v>
      </c>
      <c r="F227" t="inlineStr">
        <is>
          <t>GÄVLEBORGS LÄN</t>
        </is>
      </c>
      <c r="G227" t="inlineStr">
        <is>
          <t>SANDVIKEN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46248</v>
      </c>
      <c r="F228" t="inlineStr">
        <is>
          <t>GÄVLEBORGS LÄN</t>
        </is>
      </c>
      <c r="G228" t="inlineStr">
        <is>
          <t>SANDVIKEN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46248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46248</v>
      </c>
      <c r="F230" t="inlineStr">
        <is>
          <t>GÄVLEBORGS LÄN</t>
        </is>
      </c>
      <c r="G230" t="inlineStr">
        <is>
          <t>SANDVIKEN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46248</v>
      </c>
      <c r="F231" t="inlineStr">
        <is>
          <t>GÄVLEBORGS LÄN</t>
        </is>
      </c>
      <c r="G231" t="inlineStr">
        <is>
          <t>SANDVIKEN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46248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45639</v>
      </c>
      <c r="E233" s="1" t="n">
        <v>46248</v>
      </c>
      <c r="F233" t="inlineStr">
        <is>
          <t>GÄVLEBORGS LÄN</t>
        </is>
      </c>
      <c r="G233" t="inlineStr">
        <is>
          <t>SANDVIKEN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12417-2025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45730</v>
      </c>
      <c r="E234" s="1" t="n">
        <v>46248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46248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46248</v>
      </c>
      <c r="F236" t="inlineStr">
        <is>
          <t>GÄVLEBORGS LÄN</t>
        </is>
      </c>
      <c r="G236" t="inlineStr">
        <is>
          <t>SANDVIKEN</t>
        </is>
      </c>
      <c r="I236" t="n">
        <v>11.1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46248</v>
      </c>
      <c r="F237" t="inlineStr">
        <is>
          <t>GÄVLEBORGS LÄN</t>
        </is>
      </c>
      <c r="G237" t="inlineStr">
        <is>
          <t>SANDVIKEN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45261</v>
      </c>
      <c r="E238" s="1" t="n">
        <v>46248</v>
      </c>
      <c r="F238" t="inlineStr">
        <is>
          <t>GÄVLEBORGS LÄN</t>
        </is>
      </c>
      <c r="G238" t="inlineStr">
        <is>
          <t>SANDVIKEN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45320</v>
      </c>
      <c r="E239" s="1" t="n">
        <v>46248</v>
      </c>
      <c r="F239" t="inlineStr">
        <is>
          <t>GÄVLEBORGS LÄN</t>
        </is>
      </c>
      <c r="G239" t="inlineStr">
        <is>
          <t>SANDVIKEN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46248</v>
      </c>
      <c r="F240" t="inlineStr">
        <is>
          <t>GÄVLEBORGS LÄN</t>
        </is>
      </c>
      <c r="G240" t="inlineStr">
        <is>
          <t>SANDVIKEN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46248</v>
      </c>
      <c r="F241" t="inlineStr">
        <is>
          <t>GÄVLEBORGS LÄN</t>
        </is>
      </c>
      <c r="G241" t="inlineStr">
        <is>
          <t>SANDVIKEN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45730</v>
      </c>
      <c r="E242" s="1" t="n">
        <v>46248</v>
      </c>
      <c r="F242" t="inlineStr">
        <is>
          <t>GÄVLEBORGS LÄN</t>
        </is>
      </c>
      <c r="G242" t="inlineStr">
        <is>
          <t>SANDVIKEN</t>
        </is>
      </c>
      <c r="H242" t="inlineStr">
        <is>
          <t>Bergvik skog öst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45649</v>
      </c>
      <c r="E243" s="1" t="n">
        <v>46248</v>
      </c>
      <c r="F243" t="inlineStr">
        <is>
          <t>GÄVLEBORGS LÄN</t>
        </is>
      </c>
      <c r="G243" t="inlineStr">
        <is>
          <t>SANDVIKEN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46248</v>
      </c>
      <c r="F244" t="inlineStr">
        <is>
          <t>GÄVLEBORGS LÄN</t>
        </is>
      </c>
      <c r="G244" t="inlineStr">
        <is>
          <t>SANDVIKEN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45374</v>
      </c>
      <c r="E245" s="1" t="n">
        <v>46248</v>
      </c>
      <c r="F245" t="inlineStr">
        <is>
          <t>GÄVLEBORGS LÄN</t>
        </is>
      </c>
      <c r="G245" t="inlineStr">
        <is>
          <t>SANDVIKEN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46248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47710-2022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44854</v>
      </c>
      <c r="E247" s="1" t="n">
        <v>46248</v>
      </c>
      <c r="F247" t="inlineStr">
        <is>
          <t>GÄVLEBORGS LÄN</t>
        </is>
      </c>
      <c r="G247" t="inlineStr">
        <is>
          <t>SANDVIKEN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46248</v>
      </c>
      <c r="F248" t="inlineStr">
        <is>
          <t>GÄVLEBORGS LÄN</t>
        </is>
      </c>
      <c r="G248" t="inlineStr">
        <is>
          <t>SANDVIKEN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45721</v>
      </c>
      <c r="E249" s="1" t="n">
        <v>46248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46248</v>
      </c>
      <c r="F250" t="inlineStr">
        <is>
          <t>GÄVLEBORGS LÄN</t>
        </is>
      </c>
      <c r="G250" t="inlineStr">
        <is>
          <t>SANDVIKEN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46248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46248</v>
      </c>
      <c r="F252" t="inlineStr">
        <is>
          <t>GÄVLEBORGS LÄN</t>
        </is>
      </c>
      <c r="G252" t="inlineStr">
        <is>
          <t>SANDVIKEN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45483</v>
      </c>
      <c r="E253" s="1" t="n">
        <v>46248</v>
      </c>
      <c r="F253" t="inlineStr">
        <is>
          <t>GÄVLEBORGS LÄN</t>
        </is>
      </c>
      <c r="G253" t="inlineStr">
        <is>
          <t>SANDVIKEN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46248</v>
      </c>
      <c r="F254" t="inlineStr">
        <is>
          <t>GÄVLEBORGS LÄN</t>
        </is>
      </c>
      <c r="G254" t="inlineStr">
        <is>
          <t>SANDVIKEN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39566-2022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46248</v>
      </c>
      <c r="F255" t="inlineStr">
        <is>
          <t>GÄVLEBORGS LÄN</t>
        </is>
      </c>
      <c r="G255" t="inlineStr">
        <is>
          <t>SANDVIKEN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43121-2024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45567</v>
      </c>
      <c r="E256" s="1" t="n">
        <v>46248</v>
      </c>
      <c r="F256" t="inlineStr">
        <is>
          <t>GÄVLEBORGS LÄN</t>
        </is>
      </c>
      <c r="G256" t="inlineStr">
        <is>
          <t>SANDVIKEN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46248</v>
      </c>
      <c r="F257" t="inlineStr">
        <is>
          <t>GÄVLEBORGS LÄN</t>
        </is>
      </c>
      <c r="G257" t="inlineStr">
        <is>
          <t>SANDVIKEN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46248</v>
      </c>
      <c r="F258" t="inlineStr">
        <is>
          <t>GÄVLEBORGS LÄN</t>
        </is>
      </c>
      <c r="G258" t="inlineStr">
        <is>
          <t>SANDVIKEN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45615</v>
      </c>
      <c r="E259" s="1" t="n">
        <v>46248</v>
      </c>
      <c r="F259" t="inlineStr">
        <is>
          <t>GÄVLEBORGS LÄN</t>
        </is>
      </c>
      <c r="G259" t="inlineStr">
        <is>
          <t>SANDVIKEN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46248</v>
      </c>
      <c r="F260" t="inlineStr">
        <is>
          <t>GÄVLEBORGS LÄN</t>
        </is>
      </c>
      <c r="G260" t="inlineStr">
        <is>
          <t>SANDVIKEN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45153</v>
      </c>
      <c r="E261" s="1" t="n">
        <v>46248</v>
      </c>
      <c r="F261" t="inlineStr">
        <is>
          <t>GÄVLEBORGS LÄN</t>
        </is>
      </c>
      <c r="G261" t="inlineStr">
        <is>
          <t>SANDVIKEN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44875</v>
      </c>
      <c r="E262" s="1" t="n">
        <v>46248</v>
      </c>
      <c r="F262" t="inlineStr">
        <is>
          <t>GÄVLEBORGS LÄN</t>
        </is>
      </c>
      <c r="G262" t="inlineStr">
        <is>
          <t>SANDVIKEN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44813</v>
      </c>
      <c r="E263" s="1" t="n">
        <v>46248</v>
      </c>
      <c r="F263" t="inlineStr">
        <is>
          <t>GÄVLEBORGS LÄN</t>
        </is>
      </c>
      <c r="G263" t="inlineStr">
        <is>
          <t>SANDVIKEN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46248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45196</v>
      </c>
      <c r="E265" s="1" t="n">
        <v>46248</v>
      </c>
      <c r="F265" t="inlineStr">
        <is>
          <t>GÄVLEBORGS LÄN</t>
        </is>
      </c>
      <c r="G265" t="inlineStr">
        <is>
          <t>SANDVIKEN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45112</v>
      </c>
      <c r="E266" s="1" t="n">
        <v>46248</v>
      </c>
      <c r="F266" t="inlineStr">
        <is>
          <t>GÄVLEBORGS LÄN</t>
        </is>
      </c>
      <c r="G266" t="inlineStr">
        <is>
          <t>SANDVIKEN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28897-2024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45480</v>
      </c>
      <c r="E267" s="1" t="n">
        <v>46248</v>
      </c>
      <c r="F267" t="inlineStr">
        <is>
          <t>GÄVLEBORGS LÄN</t>
        </is>
      </c>
      <c r="G267" t="inlineStr">
        <is>
          <t>SANDVIKEN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65098-2023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45288</v>
      </c>
      <c r="E268" s="1" t="n">
        <v>46248</v>
      </c>
      <c r="F268" t="inlineStr">
        <is>
          <t>GÄVLEBORGS LÄN</t>
        </is>
      </c>
      <c r="G268" t="inlineStr">
        <is>
          <t>SANDVIKEN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44797</v>
      </c>
      <c r="E269" s="1" t="n">
        <v>46248</v>
      </c>
      <c r="F269" t="inlineStr">
        <is>
          <t>GÄVLEBORGS LÄN</t>
        </is>
      </c>
      <c r="G269" t="inlineStr">
        <is>
          <t>SANDVIKEN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46248</v>
      </c>
      <c r="F270" t="inlineStr">
        <is>
          <t>GÄVLEBORGS LÄN</t>
        </is>
      </c>
      <c r="G270" t="inlineStr">
        <is>
          <t>SANDVIKEN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46248</v>
      </c>
      <c r="F271" t="inlineStr">
        <is>
          <t>GÄVLEBORGS LÄN</t>
        </is>
      </c>
      <c r="G271" t="inlineStr">
        <is>
          <t>SANDVIKEN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45645</v>
      </c>
      <c r="E272" s="1" t="n">
        <v>46248</v>
      </c>
      <c r="F272" t="inlineStr">
        <is>
          <t>GÄVLEBORGS LÄN</t>
        </is>
      </c>
      <c r="G272" t="inlineStr">
        <is>
          <t>SANDVIKEN</t>
        </is>
      </c>
      <c r="H272" t="inlineStr">
        <is>
          <t>Naturvårdsverket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46248</v>
      </c>
      <c r="F273" t="inlineStr">
        <is>
          <t>GÄVLEBORGS LÄN</t>
        </is>
      </c>
      <c r="G273" t="inlineStr">
        <is>
          <t>SANDVIKEN</t>
        </is>
      </c>
      <c r="H273" t="inlineStr">
        <is>
          <t>Bergvik skog öst AB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15907-2023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46248</v>
      </c>
      <c r="F274" t="inlineStr">
        <is>
          <t>GÄVLEBORGS LÄN</t>
        </is>
      </c>
      <c r="G274" t="inlineStr">
        <is>
          <t>SANDVIKEN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46248</v>
      </c>
      <c r="F275" t="inlineStr">
        <is>
          <t>GÄVLEBORGS LÄN</t>
        </is>
      </c>
      <c r="G275" t="inlineStr">
        <is>
          <t>SANDVIKEN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44796</v>
      </c>
      <c r="E276" s="1" t="n">
        <v>46248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71995-2021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44544</v>
      </c>
      <c r="E277" s="1" t="n">
        <v>46248</v>
      </c>
      <c r="F277" t="inlineStr">
        <is>
          <t>GÄVLEBORGS LÄN</t>
        </is>
      </c>
      <c r="G277" t="inlineStr">
        <is>
          <t>SANDVIKEN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46248</v>
      </c>
      <c r="F278" t="inlineStr">
        <is>
          <t>GÄVLEBORGS LÄN</t>
        </is>
      </c>
      <c r="G278" t="inlineStr">
        <is>
          <t>SANDVIKEN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46248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44988</v>
      </c>
      <c r="E280" s="1" t="n">
        <v>46248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46248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45070</v>
      </c>
      <c r="E282" s="1" t="n">
        <v>46248</v>
      </c>
      <c r="F282" t="inlineStr">
        <is>
          <t>GÄVLEBORGS LÄN</t>
        </is>
      </c>
      <c r="G282" t="inlineStr">
        <is>
          <t>SANDVIKEN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44582</v>
      </c>
      <c r="E283" s="1" t="n">
        <v>46248</v>
      </c>
      <c r="F283" t="inlineStr">
        <is>
          <t>GÄVLEBORGS LÄN</t>
        </is>
      </c>
      <c r="G283" t="inlineStr">
        <is>
          <t>SANDVIKEN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46248</v>
      </c>
      <c r="F284" t="inlineStr">
        <is>
          <t>GÄVLEBORGS LÄN</t>
        </is>
      </c>
      <c r="G284" t="inlineStr">
        <is>
          <t>SANDVIKEN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46248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46248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46248</v>
      </c>
      <c r="F287" t="inlineStr">
        <is>
          <t>GÄVLEBORGS LÄN</t>
        </is>
      </c>
      <c r="G287" t="inlineStr">
        <is>
          <t>SANDVIKEN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46248</v>
      </c>
      <c r="F288" t="inlineStr">
        <is>
          <t>GÄVLEBORGS LÄN</t>
        </is>
      </c>
      <c r="G288" t="inlineStr">
        <is>
          <t>SANDVIKEN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45300</v>
      </c>
      <c r="E289" s="1" t="n">
        <v>46248</v>
      </c>
      <c r="F289" t="inlineStr">
        <is>
          <t>GÄVLEBORGS LÄN</t>
        </is>
      </c>
      <c r="G289" t="inlineStr">
        <is>
          <t>SANDVIKEN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45282</v>
      </c>
      <c r="E290" s="1" t="n">
        <v>46248</v>
      </c>
      <c r="F290" t="inlineStr">
        <is>
          <t>GÄVLEBORGS LÄN</t>
        </is>
      </c>
      <c r="G290" t="inlineStr">
        <is>
          <t>SANDVIKEN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46248</v>
      </c>
      <c r="F291" t="inlineStr">
        <is>
          <t>GÄVLEBORGS LÄN</t>
        </is>
      </c>
      <c r="G291" t="inlineStr">
        <is>
          <t>SANDVIKEN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46248</v>
      </c>
      <c r="F292" t="inlineStr">
        <is>
          <t>GÄVLEBORGS LÄN</t>
        </is>
      </c>
      <c r="G292" t="inlineStr">
        <is>
          <t>SANDVIKEN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45602</v>
      </c>
      <c r="E293" s="1" t="n">
        <v>46248</v>
      </c>
      <c r="F293" t="inlineStr">
        <is>
          <t>GÄVLEBORGS LÄN</t>
        </is>
      </c>
      <c r="G293" t="inlineStr">
        <is>
          <t>SANDVIKEN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44901</v>
      </c>
      <c r="E294" s="1" t="n">
        <v>46248</v>
      </c>
      <c r="F294" t="inlineStr">
        <is>
          <t>GÄVLEBORGS LÄN</t>
        </is>
      </c>
      <c r="G294" t="inlineStr">
        <is>
          <t>SANDVIKEN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46248</v>
      </c>
      <c r="F295" t="inlineStr">
        <is>
          <t>GÄVLEBORGS LÄN</t>
        </is>
      </c>
      <c r="G295" t="inlineStr">
        <is>
          <t>SANDVIKEN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45252</v>
      </c>
      <c r="E296" s="1" t="n">
        <v>46248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46248</v>
      </c>
      <c r="F297" t="inlineStr">
        <is>
          <t>GÄVLEBORGS LÄN</t>
        </is>
      </c>
      <c r="G297" t="inlineStr">
        <is>
          <t>SANDVIKEN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46248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45617</v>
      </c>
      <c r="E299" s="1" t="n">
        <v>46248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46248</v>
      </c>
      <c r="F300" t="inlineStr">
        <is>
          <t>GÄVLEBORGS LÄN</t>
        </is>
      </c>
      <c r="G300" t="inlineStr">
        <is>
          <t>SANDVIKEN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46248</v>
      </c>
      <c r="F301" t="inlineStr">
        <is>
          <t>GÄVLEBORGS LÄN</t>
        </is>
      </c>
      <c r="G301" t="inlineStr">
        <is>
          <t>SANDVIKEN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45488</v>
      </c>
      <c r="E302" s="1" t="n">
        <v>46248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45666</v>
      </c>
      <c r="E303" s="1" t="n">
        <v>46248</v>
      </c>
      <c r="F303" t="inlineStr">
        <is>
          <t>GÄVLEBORGS LÄN</t>
        </is>
      </c>
      <c r="G303" t="inlineStr">
        <is>
          <t>SANDVIKEN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46248</v>
      </c>
      <c r="F304" t="inlineStr">
        <is>
          <t>GÄVLEBORGS LÄN</t>
        </is>
      </c>
      <c r="G304" t="inlineStr">
        <is>
          <t>SANDVIKEN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46248</v>
      </c>
      <c r="F305" t="inlineStr">
        <is>
          <t>GÄVLEBORGS LÄN</t>
        </is>
      </c>
      <c r="G305" t="inlineStr">
        <is>
          <t>SANDVIKEN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46248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44972</v>
      </c>
      <c r="E307" s="1" t="n">
        <v>46248</v>
      </c>
      <c r="F307" t="inlineStr">
        <is>
          <t>GÄVLEBORGS LÄN</t>
        </is>
      </c>
      <c r="G307" t="inlineStr">
        <is>
          <t>SANDVIKEN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56150-2023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45240</v>
      </c>
      <c r="E308" s="1" t="n">
        <v>46248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49706-2023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45212</v>
      </c>
      <c r="E309" s="1" t="n">
        <v>46248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45668</v>
      </c>
      <c r="E310" s="1" t="n">
        <v>46248</v>
      </c>
      <c r="F310" t="inlineStr">
        <is>
          <t>GÄVLEBORGS LÄN</t>
        </is>
      </c>
      <c r="G310" t="inlineStr">
        <is>
          <t>SANDVIKEN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64225-2021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44510</v>
      </c>
      <c r="E311" s="1" t="n">
        <v>46248</v>
      </c>
      <c r="F311" t="inlineStr">
        <is>
          <t>GÄVLEBORGS LÄN</t>
        </is>
      </c>
      <c r="G311" t="inlineStr">
        <is>
          <t>SANDVIKEN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45721</v>
      </c>
      <c r="E312" s="1" t="n">
        <v>46248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46248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46248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60908-2022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44914</v>
      </c>
      <c r="E315" s="1" t="n">
        <v>46248</v>
      </c>
      <c r="F315" t="inlineStr">
        <is>
          <t>GÄVLEBORGS LÄN</t>
        </is>
      </c>
      <c r="G315" t="inlineStr">
        <is>
          <t>SANDVIKEN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46248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46248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46248</v>
      </c>
      <c r="F318" t="inlineStr">
        <is>
          <t>GÄVLEBORGS LÄN</t>
        </is>
      </c>
      <c r="G318" t="inlineStr">
        <is>
          <t>SANDVIKEN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45688</v>
      </c>
      <c r="E319" s="1" t="n">
        <v>46248</v>
      </c>
      <c r="F319" t="inlineStr">
        <is>
          <t>GÄVLEBORGS LÄN</t>
        </is>
      </c>
      <c r="G319" t="inlineStr">
        <is>
          <t>SANDVIKEN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46248</v>
      </c>
      <c r="F320" t="inlineStr">
        <is>
          <t>GÄVLEBORGS LÄN</t>
        </is>
      </c>
      <c r="G320" t="inlineStr">
        <is>
          <t>SANDVIKEN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46248</v>
      </c>
      <c r="F321" t="inlineStr">
        <is>
          <t>GÄVLEBORGS LÄN</t>
        </is>
      </c>
      <c r="G321" t="inlineStr">
        <is>
          <t>SANDVIKEN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46248</v>
      </c>
      <c r="F322" t="inlineStr">
        <is>
          <t>GÄVLEBORGS LÄN</t>
        </is>
      </c>
      <c r="G322" t="inlineStr">
        <is>
          <t>SANDVIKEN</t>
        </is>
      </c>
      <c r="I322" t="n">
        <v>10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45094</v>
      </c>
      <c r="E323" s="1" t="n">
        <v>46248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9.5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44847</v>
      </c>
      <c r="E324" s="1" t="n">
        <v>46248</v>
      </c>
      <c r="F324" t="inlineStr">
        <is>
          <t>GÄVLEBORGS LÄN</t>
        </is>
      </c>
      <c r="G324" t="inlineStr">
        <is>
          <t>SANDVIKEN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46248</v>
      </c>
      <c r="F325" t="inlineStr">
        <is>
          <t>GÄVLEBORGS LÄN</t>
        </is>
      </c>
      <c r="G325" t="inlineStr">
        <is>
          <t>SANDVIKEN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45126</v>
      </c>
      <c r="E326" s="1" t="n">
        <v>46248</v>
      </c>
      <c r="F326" t="inlineStr">
        <is>
          <t>GÄVLEBORGS LÄN</t>
        </is>
      </c>
      <c r="G326" t="inlineStr">
        <is>
          <t>SANDVIKEN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46248</v>
      </c>
      <c r="F327" t="inlineStr">
        <is>
          <t>GÄVLEBORGS LÄN</t>
        </is>
      </c>
      <c r="G327" t="inlineStr">
        <is>
          <t>SANDVIKEN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46248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46248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46248</v>
      </c>
      <c r="F330" t="inlineStr">
        <is>
          <t>GÄVLEBORGS LÄN</t>
        </is>
      </c>
      <c r="G330" t="inlineStr">
        <is>
          <t>SANDVIKEN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46248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45217</v>
      </c>
      <c r="E332" s="1" t="n">
        <v>46248</v>
      </c>
      <c r="F332" t="inlineStr">
        <is>
          <t>GÄVLEBORGS LÄN</t>
        </is>
      </c>
      <c r="G332" t="inlineStr">
        <is>
          <t>SANDVIKEN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46248</v>
      </c>
      <c r="F333" t="inlineStr">
        <is>
          <t>GÄVLEBORGS LÄN</t>
        </is>
      </c>
      <c r="G333" t="inlineStr">
        <is>
          <t>SANDVIKEN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44564</v>
      </c>
      <c r="E334" s="1" t="n">
        <v>46248</v>
      </c>
      <c r="F334" t="inlineStr">
        <is>
          <t>GÄVLEBORGS LÄN</t>
        </is>
      </c>
      <c r="G334" t="inlineStr">
        <is>
          <t>SANDVIKEN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45805</v>
      </c>
      <c r="E335" s="1" t="n">
        <v>46248</v>
      </c>
      <c r="F335" t="inlineStr">
        <is>
          <t>GÄVLEBORGS LÄN</t>
        </is>
      </c>
      <c r="G335" t="inlineStr">
        <is>
          <t>SANDVIKEN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73331-2021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46248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45330</v>
      </c>
      <c r="E337" s="1" t="n">
        <v>46248</v>
      </c>
      <c r="F337" t="inlineStr">
        <is>
          <t>GÄVLEBORGS LÄN</t>
        </is>
      </c>
      <c r="G337" t="inlineStr">
        <is>
          <t>SANDVIKEN</t>
        </is>
      </c>
      <c r="I337" t="n">
        <v>8.5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45887</v>
      </c>
      <c r="E338" s="1" t="n">
        <v>46248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45810</v>
      </c>
      <c r="E339" s="1" t="n">
        <v>46248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46248</v>
      </c>
      <c r="F340" t="inlineStr">
        <is>
          <t>GÄVLEBORGS LÄN</t>
        </is>
      </c>
      <c r="G340" t="inlineStr">
        <is>
          <t>SANDVIKEN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46248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46248</v>
      </c>
      <c r="F342" t="inlineStr">
        <is>
          <t>GÄVLEBORGS LÄN</t>
        </is>
      </c>
      <c r="G342" t="inlineStr">
        <is>
          <t>SANDVIKEN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45748</v>
      </c>
      <c r="E343" s="1" t="n">
        <v>46248</v>
      </c>
      <c r="F343" t="inlineStr">
        <is>
          <t>GÄVLEBORGS LÄN</t>
        </is>
      </c>
      <c r="G343" t="inlineStr">
        <is>
          <t>SANDVIKEN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46248</v>
      </c>
      <c r="F344" t="inlineStr">
        <is>
          <t>GÄVLEBORGS LÄN</t>
        </is>
      </c>
      <c r="G344" t="inlineStr">
        <is>
          <t>SANDVIKEN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46248</v>
      </c>
      <c r="F345" t="inlineStr">
        <is>
          <t>GÄVLEBORGS LÄN</t>
        </is>
      </c>
      <c r="G345" t="inlineStr">
        <is>
          <t>SANDVIKEN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46248</v>
      </c>
      <c r="F346" t="inlineStr">
        <is>
          <t>GÄVLEBORGS LÄN</t>
        </is>
      </c>
      <c r="G346" t="inlineStr">
        <is>
          <t>SANDVIKEN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45819</v>
      </c>
      <c r="E347" s="1" t="n">
        <v>46248</v>
      </c>
      <c r="F347" t="inlineStr">
        <is>
          <t>GÄVLEBORGS LÄN</t>
        </is>
      </c>
      <c r="G347" t="inlineStr">
        <is>
          <t>SANDVIKEN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45800</v>
      </c>
      <c r="E348" s="1" t="n">
        <v>46248</v>
      </c>
      <c r="F348" t="inlineStr">
        <is>
          <t>GÄVLEBORGS LÄN</t>
        </is>
      </c>
      <c r="G348" t="inlineStr">
        <is>
          <t>SANDVIKEN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46248</v>
      </c>
      <c r="F349" t="inlineStr">
        <is>
          <t>GÄVLEBORGS LÄN</t>
        </is>
      </c>
      <c r="G349" t="inlineStr">
        <is>
          <t>SANDVIKEN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45884</v>
      </c>
      <c r="E350" s="1" t="n">
        <v>46248</v>
      </c>
      <c r="F350" t="inlineStr">
        <is>
          <t>GÄVLEBORGS LÄN</t>
        </is>
      </c>
      <c r="G350" t="inlineStr">
        <is>
          <t>SANDVIKEN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58797-2024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46248</v>
      </c>
      <c r="F351" t="inlineStr">
        <is>
          <t>GÄVLEBORGS LÄN</t>
        </is>
      </c>
      <c r="G351" t="inlineStr">
        <is>
          <t>SANDVIKEN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46248</v>
      </c>
      <c r="F352" t="inlineStr">
        <is>
          <t>GÄVLEBORGS LÄN</t>
        </is>
      </c>
      <c r="G352" t="inlineStr">
        <is>
          <t>SANDVIKEN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46248</v>
      </c>
      <c r="F353" t="inlineStr">
        <is>
          <t>GÄVLEBORGS LÄN</t>
        </is>
      </c>
      <c r="G353" t="inlineStr">
        <is>
          <t>SANDVIKEN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46248</v>
      </c>
      <c r="F354" t="inlineStr">
        <is>
          <t>GÄVLEBORGS LÄN</t>
        </is>
      </c>
      <c r="G354" t="inlineStr">
        <is>
          <t>SANDVIKEN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45085</v>
      </c>
      <c r="E355" s="1" t="n">
        <v>46248</v>
      </c>
      <c r="F355" t="inlineStr">
        <is>
          <t>GÄVLEBORGS LÄN</t>
        </is>
      </c>
      <c r="G355" t="inlineStr">
        <is>
          <t>SANDVIKEN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46248</v>
      </c>
      <c r="F356" t="inlineStr">
        <is>
          <t>GÄVLEBORGS LÄN</t>
        </is>
      </c>
      <c r="G356" t="inlineStr">
        <is>
          <t>SANDVIKEN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46248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46248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45356</v>
      </c>
      <c r="E359" s="1" t="n">
        <v>46248</v>
      </c>
      <c r="F359" t="inlineStr">
        <is>
          <t>GÄVLEBORGS LÄN</t>
        </is>
      </c>
      <c r="G359" t="inlineStr">
        <is>
          <t>SANDVIKEN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46046</v>
      </c>
      <c r="E360" s="1" t="n">
        <v>46248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45558</v>
      </c>
      <c r="E361" s="1" t="n">
        <v>46248</v>
      </c>
      <c r="F361" t="inlineStr">
        <is>
          <t>GÄVLEBORGS LÄN</t>
        </is>
      </c>
      <c r="G361" t="inlineStr">
        <is>
          <t>SANDVIKEN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46248</v>
      </c>
      <c r="F362" t="inlineStr">
        <is>
          <t>GÄVLEBORGS LÄN</t>
        </is>
      </c>
      <c r="G362" t="inlineStr">
        <is>
          <t>SANDVIKEN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45602</v>
      </c>
      <c r="E363" s="1" t="n">
        <v>46248</v>
      </c>
      <c r="F363" t="inlineStr">
        <is>
          <t>GÄVLEBORGS LÄN</t>
        </is>
      </c>
      <c r="G363" t="inlineStr">
        <is>
          <t>SANDVIKEN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46248</v>
      </c>
      <c r="F364" t="inlineStr">
        <is>
          <t>GÄVLEBORGS LÄN</t>
        </is>
      </c>
      <c r="G364" t="inlineStr">
        <is>
          <t>SANDVIKEN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46071</v>
      </c>
      <c r="E365" s="1" t="n">
        <v>46248</v>
      </c>
      <c r="F365" t="inlineStr">
        <is>
          <t>GÄVLEBORGS LÄN</t>
        </is>
      </c>
      <c r="G365" t="inlineStr">
        <is>
          <t>SANDVIKEN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19904-2026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46136</v>
      </c>
      <c r="E366" s="1" t="n">
        <v>46248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10.9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46248</v>
      </c>
      <c r="F367" t="inlineStr">
        <is>
          <t>GÄVLEBORGS LÄN</t>
        </is>
      </c>
      <c r="G367" t="inlineStr">
        <is>
          <t>SANDVIKEN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46248</v>
      </c>
      <c r="F368" t="inlineStr">
        <is>
          <t>GÄVLEBORGS LÄN</t>
        </is>
      </c>
      <c r="G368" t="inlineStr">
        <is>
          <t>SANDVIKEN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46248</v>
      </c>
      <c r="F369" t="inlineStr">
        <is>
          <t>GÄVLEBORGS LÄN</t>
        </is>
      </c>
      <c r="G369" t="inlineStr">
        <is>
          <t>SANDVIKEN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46248</v>
      </c>
      <c r="F370" t="inlineStr">
        <is>
          <t>GÄVLEBORGS LÄN</t>
        </is>
      </c>
      <c r="G370" t="inlineStr">
        <is>
          <t>SANDVIKEN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46248</v>
      </c>
      <c r="F371" t="inlineStr">
        <is>
          <t>GÄVLEBORGS LÄN</t>
        </is>
      </c>
      <c r="G371" t="inlineStr">
        <is>
          <t>SANDVIKEN</t>
        </is>
      </c>
      <c r="H371" t="inlineStr">
        <is>
          <t>Sveaskog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45832</v>
      </c>
      <c r="E372" s="1" t="n">
        <v>46248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30843-2025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45831</v>
      </c>
      <c r="E373" s="1" t="n">
        <v>46248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44756</v>
      </c>
      <c r="E374" s="1" t="n">
        <v>46248</v>
      </c>
      <c r="F374" t="inlineStr">
        <is>
          <t>GÄVLEBORGS LÄN</t>
        </is>
      </c>
      <c r="G374" t="inlineStr">
        <is>
          <t>SANDVIKEN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46248</v>
      </c>
      <c r="F375" t="inlineStr">
        <is>
          <t>GÄVLEBORGS LÄN</t>
        </is>
      </c>
      <c r="G375" t="inlineStr">
        <is>
          <t>SANDVIKEN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46248</v>
      </c>
      <c r="F376" t="inlineStr">
        <is>
          <t>GÄVLEBORGS LÄN</t>
        </is>
      </c>
      <c r="G376" t="inlineStr">
        <is>
          <t>SANDVIKEN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45891</v>
      </c>
      <c r="E377" s="1" t="n">
        <v>46248</v>
      </c>
      <c r="F377" t="inlineStr">
        <is>
          <t>GÄVLEBORGS LÄN</t>
        </is>
      </c>
      <c r="G377" t="inlineStr">
        <is>
          <t>SANDVIKEN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44717-2025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46248</v>
      </c>
      <c r="F378" t="inlineStr">
        <is>
          <t>GÄVLEBORGS LÄN</t>
        </is>
      </c>
      <c r="G378" t="inlineStr">
        <is>
          <t>SANDVIKEN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45769</v>
      </c>
      <c r="E379" s="1" t="n">
        <v>46248</v>
      </c>
      <c r="F379" t="inlineStr">
        <is>
          <t>GÄVLEBORGS LÄN</t>
        </is>
      </c>
      <c r="G379" t="inlineStr">
        <is>
          <t>SANDVIKEN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45463</v>
      </c>
      <c r="E380" s="1" t="n">
        <v>46248</v>
      </c>
      <c r="F380" t="inlineStr">
        <is>
          <t>GÄVLEBORGS LÄN</t>
        </is>
      </c>
      <c r="G380" t="inlineStr">
        <is>
          <t>SANDVIKEN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46248</v>
      </c>
      <c r="F381" t="inlineStr">
        <is>
          <t>GÄVLEBORGS LÄN</t>
        </is>
      </c>
      <c r="G381" t="inlineStr">
        <is>
          <t>SANDVIKEN</t>
        </is>
      </c>
      <c r="H381" t="inlineStr">
        <is>
          <t>Kommuner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46248</v>
      </c>
      <c r="F382" t="inlineStr">
        <is>
          <t>GÄVLEBORGS LÄN</t>
        </is>
      </c>
      <c r="G382" t="inlineStr">
        <is>
          <t>SANDVIKEN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45779</v>
      </c>
      <c r="E383" s="1" t="n">
        <v>46248</v>
      </c>
      <c r="F383" t="inlineStr">
        <is>
          <t>GÄVLEBORGS LÄN</t>
        </is>
      </c>
      <c r="G383" t="inlineStr">
        <is>
          <t>SANDVIKEN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46248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46248</v>
      </c>
      <c r="F385" t="inlineStr">
        <is>
          <t>GÄVLEBORGS LÄN</t>
        </is>
      </c>
      <c r="G385" t="inlineStr">
        <is>
          <t>SANDVIKEN</t>
        </is>
      </c>
      <c r="H385" t="inlineStr">
        <is>
          <t>Sveaskog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46248</v>
      </c>
      <c r="F386" t="inlineStr">
        <is>
          <t>GÄVLEBORGS LÄN</t>
        </is>
      </c>
      <c r="G386" t="inlineStr">
        <is>
          <t>SANDVIKEN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46248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45728</v>
      </c>
      <c r="E388" s="1" t="n">
        <v>46248</v>
      </c>
      <c r="F388" t="inlineStr">
        <is>
          <t>GÄVLEBORGS LÄN</t>
        </is>
      </c>
      <c r="G388" t="inlineStr">
        <is>
          <t>SANDVIKEN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46248</v>
      </c>
      <c r="F389" t="inlineStr">
        <is>
          <t>GÄVLEBORGS LÄN</t>
        </is>
      </c>
      <c r="G389" t="inlineStr">
        <is>
          <t>SANDVIKEN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46248</v>
      </c>
      <c r="F390" t="inlineStr">
        <is>
          <t>GÄVLEBORGS LÄN</t>
        </is>
      </c>
      <c r="G390" t="inlineStr">
        <is>
          <t>SANDVIKEN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45896</v>
      </c>
      <c r="E391" s="1" t="n">
        <v>46248</v>
      </c>
      <c r="F391" t="inlineStr">
        <is>
          <t>GÄVLEBORGS LÄN</t>
        </is>
      </c>
      <c r="G391" t="inlineStr">
        <is>
          <t>SANDVIKEN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33015-2025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46248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27.3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41348-2025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45899</v>
      </c>
      <c r="E393" s="1" t="n">
        <v>46248</v>
      </c>
      <c r="F393" t="inlineStr">
        <is>
          <t>GÄVLEBORGS LÄN</t>
        </is>
      </c>
      <c r="G393" t="inlineStr">
        <is>
          <t>SANDVIKEN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46248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väst AB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45845</v>
      </c>
      <c r="E395" s="1" t="n">
        <v>46248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46248</v>
      </c>
      <c r="F396" t="inlineStr">
        <is>
          <t>GÄVLEBORGS LÄN</t>
        </is>
      </c>
      <c r="G396" t="inlineStr">
        <is>
          <t>SANDVIKEN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8952-2026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46248</v>
      </c>
      <c r="F397" t="inlineStr">
        <is>
          <t>GÄVLEBORGS LÄN</t>
        </is>
      </c>
      <c r="G397" t="inlineStr">
        <is>
          <t>SANDVIKEN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46248</v>
      </c>
      <c r="F398" t="inlineStr">
        <is>
          <t>GÄVLEBORGS LÄN</t>
        </is>
      </c>
      <c r="G398" t="inlineStr">
        <is>
          <t>SANDVIKEN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46248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46248</v>
      </c>
      <c r="F400" t="inlineStr">
        <is>
          <t>GÄVLEBORGS LÄN</t>
        </is>
      </c>
      <c r="G400" t="inlineStr">
        <is>
          <t>SANDVIKEN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45762</v>
      </c>
      <c r="E401" s="1" t="n">
        <v>46248</v>
      </c>
      <c r="F401" t="inlineStr">
        <is>
          <t>GÄVLEBORGS LÄN</t>
        </is>
      </c>
      <c r="G401" t="inlineStr">
        <is>
          <t>SANDVIKEN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46248</v>
      </c>
      <c r="F402" t="inlineStr">
        <is>
          <t>GÄVLEBORGS LÄN</t>
        </is>
      </c>
      <c r="G402" t="inlineStr">
        <is>
          <t>SANDVIKEN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12477-2026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46248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46248</v>
      </c>
      <c r="F404" t="inlineStr">
        <is>
          <t>GÄVLEBORGS LÄN</t>
        </is>
      </c>
      <c r="G404" t="inlineStr">
        <is>
          <t>SANDVIKEN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33757-2025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46248</v>
      </c>
      <c r="F405" t="inlineStr">
        <is>
          <t>GÄVLEBORGS LÄN</t>
        </is>
      </c>
      <c r="G405" t="inlineStr">
        <is>
          <t>SANDVIKEN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46248</v>
      </c>
      <c r="F406" t="inlineStr">
        <is>
          <t>GÄVLEBORGS LÄN</t>
        </is>
      </c>
      <c r="G406" t="inlineStr">
        <is>
          <t>SANDVIKEN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46248</v>
      </c>
      <c r="F407" t="inlineStr">
        <is>
          <t>GÄVLEBORGS LÄN</t>
        </is>
      </c>
      <c r="G407" t="inlineStr">
        <is>
          <t>SANDVIKEN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46248</v>
      </c>
      <c r="F408" t="inlineStr">
        <is>
          <t>GÄVLEBORGS LÄN</t>
        </is>
      </c>
      <c r="G408" t="inlineStr">
        <is>
          <t>SANDVIKEN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46248</v>
      </c>
      <c r="F409" t="inlineStr">
        <is>
          <t>GÄVLEBORGS LÄN</t>
        </is>
      </c>
      <c r="G409" t="inlineStr">
        <is>
          <t>SANDVIKEN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44587</v>
      </c>
      <c r="E410" s="1" t="n">
        <v>46248</v>
      </c>
      <c r="F410" t="inlineStr">
        <is>
          <t>GÄVLEBORGS LÄN</t>
        </is>
      </c>
      <c r="G410" t="inlineStr">
        <is>
          <t>SANDVIKEN</t>
        </is>
      </c>
      <c r="H410" t="inlineStr">
        <is>
          <t>Kyrkan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46248</v>
      </c>
      <c r="F411" t="inlineStr">
        <is>
          <t>GÄVLEBORGS LÄN</t>
        </is>
      </c>
      <c r="G411" t="inlineStr">
        <is>
          <t>SANDVIKEN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46248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11894-2026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46248</v>
      </c>
      <c r="F413" t="inlineStr">
        <is>
          <t>GÄVLEBORGS LÄN</t>
        </is>
      </c>
      <c r="G413" t="inlineStr">
        <is>
          <t>SANDVIKEN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46043</v>
      </c>
      <c r="E414" s="1" t="n">
        <v>46248</v>
      </c>
      <c r="F414" t="inlineStr">
        <is>
          <t>GÄVLEBORGS LÄN</t>
        </is>
      </c>
      <c r="G414" t="inlineStr">
        <is>
          <t>SANDVIKEN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46248</v>
      </c>
      <c r="F415" t="inlineStr">
        <is>
          <t>GÄVLEBORGS LÄN</t>
        </is>
      </c>
      <c r="G415" t="inlineStr">
        <is>
          <t>SANDVIKEN</t>
        </is>
      </c>
      <c r="I415" t="n">
        <v>11.2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46248</v>
      </c>
      <c r="F416" t="inlineStr">
        <is>
          <t>GÄVLEBORGS LÄN</t>
        </is>
      </c>
      <c r="G416" t="inlineStr">
        <is>
          <t>SANDVIKEN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46248</v>
      </c>
      <c r="F417" t="inlineStr">
        <is>
          <t>GÄVLEBORGS LÄN</t>
        </is>
      </c>
      <c r="G417" t="inlineStr">
        <is>
          <t>SANDVIKEN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45863</v>
      </c>
      <c r="E418" s="1" t="n">
        <v>46248</v>
      </c>
      <c r="F418" t="inlineStr">
        <is>
          <t>GÄVLEBORGS LÄN</t>
        </is>
      </c>
      <c r="G418" t="inlineStr">
        <is>
          <t>SANDVIKEN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19269-2025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45769</v>
      </c>
      <c r="E419" s="1" t="n">
        <v>46248</v>
      </c>
      <c r="F419" t="inlineStr">
        <is>
          <t>GÄVLEBORGS LÄN</t>
        </is>
      </c>
      <c r="G419" t="inlineStr">
        <is>
          <t>SANDVIKEN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36107-2025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45866</v>
      </c>
      <c r="E420" s="1" t="n">
        <v>46248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36091-2025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45866</v>
      </c>
      <c r="E421" s="1" t="n">
        <v>46248</v>
      </c>
      <c r="F421" t="inlineStr">
        <is>
          <t>GÄVLEBORGS LÄN</t>
        </is>
      </c>
      <c r="G421" t="inlineStr">
        <is>
          <t>SANDVIKEN</t>
        </is>
      </c>
      <c r="H421" t="inlineStr">
        <is>
          <t>Sveaskog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46038</v>
      </c>
      <c r="E422" s="1" t="n">
        <v>46248</v>
      </c>
      <c r="F422" t="inlineStr">
        <is>
          <t>GÄVLEBORGS LÄN</t>
        </is>
      </c>
      <c r="G422" t="inlineStr">
        <is>
          <t>SANDVIKEN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46248</v>
      </c>
      <c r="F423" t="inlineStr">
        <is>
          <t>GÄVLEBORGS LÄN</t>
        </is>
      </c>
      <c r="G423" t="inlineStr">
        <is>
          <t>SANDVIKEN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36212-2025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45867</v>
      </c>
      <c r="E424" s="1" t="n">
        <v>46248</v>
      </c>
      <c r="F424" t="inlineStr">
        <is>
          <t>GÄVLEBORGS LÄN</t>
        </is>
      </c>
      <c r="G424" t="inlineStr">
        <is>
          <t>SANDVIKEN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46142</v>
      </c>
      <c r="E425" s="1" t="n">
        <v>46248</v>
      </c>
      <c r="F425" t="inlineStr">
        <is>
          <t>GÄVLEBORGS LÄN</t>
        </is>
      </c>
      <c r="G425" t="inlineStr">
        <is>
          <t>SANDVIKEN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46248</v>
      </c>
      <c r="F426" t="inlineStr">
        <is>
          <t>GÄVLEBORGS LÄN</t>
        </is>
      </c>
      <c r="G426" t="inlineStr">
        <is>
          <t>SANDVIKEN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32849-2022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44784</v>
      </c>
      <c r="E427" s="1" t="n">
        <v>46248</v>
      </c>
      <c r="F427" t="inlineStr">
        <is>
          <t>GÄVLEBORGS LÄN</t>
        </is>
      </c>
      <c r="G427" t="inlineStr">
        <is>
          <t>SANDVIKEN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15671-2024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45404</v>
      </c>
      <c r="E428" s="1" t="n">
        <v>46248</v>
      </c>
      <c r="F428" t="inlineStr">
        <is>
          <t>GÄVLEBORGS LÄN</t>
        </is>
      </c>
      <c r="G428" t="inlineStr">
        <is>
          <t>SANDVIKEN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46248</v>
      </c>
      <c r="F429" t="inlineStr">
        <is>
          <t>GÄVLEBORGS LÄN</t>
        </is>
      </c>
      <c r="G429" t="inlineStr">
        <is>
          <t>SANDVIKEN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45870</v>
      </c>
      <c r="E430" s="1" t="n">
        <v>46248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45590</v>
      </c>
      <c r="E431" s="1" t="n">
        <v>46248</v>
      </c>
      <c r="F431" t="inlineStr">
        <is>
          <t>GÄVLEBORGS LÄN</t>
        </is>
      </c>
      <c r="G431" t="inlineStr">
        <is>
          <t>SANDVIKEN</t>
        </is>
      </c>
      <c r="I431" t="n">
        <v>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46248</v>
      </c>
      <c r="F432" t="inlineStr">
        <is>
          <t>GÄVLEBORGS LÄN</t>
        </is>
      </c>
      <c r="G432" t="inlineStr">
        <is>
          <t>SANDVIKEN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21377-2026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46147</v>
      </c>
      <c r="E433" s="1" t="n">
        <v>46248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45672</v>
      </c>
      <c r="E434" s="1" t="n">
        <v>46248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46248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21334-2026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46248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49518-2023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46248</v>
      </c>
      <c r="F437" t="inlineStr">
        <is>
          <t>GÄVLEBORGS LÄN</t>
        </is>
      </c>
      <c r="G437" t="inlineStr">
        <is>
          <t>SANDVIKEN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45873</v>
      </c>
      <c r="E438" s="1" t="n">
        <v>46248</v>
      </c>
      <c r="F438" t="inlineStr">
        <is>
          <t>GÄVLEBORGS LÄN</t>
        </is>
      </c>
      <c r="G438" t="inlineStr">
        <is>
          <t>SANDVIKEN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45873</v>
      </c>
      <c r="E439" s="1" t="n">
        <v>46248</v>
      </c>
      <c r="F439" t="inlineStr">
        <is>
          <t>GÄVLEBORGS LÄN</t>
        </is>
      </c>
      <c r="G439" t="inlineStr">
        <is>
          <t>SANDVIKEN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45873</v>
      </c>
      <c r="E440" s="1" t="n">
        <v>46248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17177-2026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46115</v>
      </c>
      <c r="E441" s="1" t="n">
        <v>46248</v>
      </c>
      <c r="F441" t="inlineStr">
        <is>
          <t>GÄVLEBORGS LÄN</t>
        </is>
      </c>
      <c r="G441" t="inlineStr">
        <is>
          <t>SANDVIKEN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44566</v>
      </c>
      <c r="E442" s="1" t="n">
        <v>46248</v>
      </c>
      <c r="F442" t="inlineStr">
        <is>
          <t>GÄVLEBORGS LÄN</t>
        </is>
      </c>
      <c r="G442" t="inlineStr">
        <is>
          <t>SANDVIKEN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46248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36656-2023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45153</v>
      </c>
      <c r="E444" s="1" t="n">
        <v>46248</v>
      </c>
      <c r="F444" t="inlineStr">
        <is>
          <t>GÄVLEBORGS LÄN</t>
        </is>
      </c>
      <c r="G444" t="inlineStr">
        <is>
          <t>SANDVIKEN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46248</v>
      </c>
      <c r="F445" t="inlineStr">
        <is>
          <t>GÄVLEBORGS LÄN</t>
        </is>
      </c>
      <c r="G445" t="inlineStr">
        <is>
          <t>SANDVIKEN</t>
        </is>
      </c>
      <c r="H445" t="inlineStr">
        <is>
          <t>Kommuner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46248</v>
      </c>
      <c r="F446" t="inlineStr">
        <is>
          <t>GÄVLEBORGS LÄN</t>
        </is>
      </c>
      <c r="G446" t="inlineStr">
        <is>
          <t>SANDVIKEN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45022</v>
      </c>
      <c r="E447" s="1" t="n">
        <v>46248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väst AB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46148</v>
      </c>
      <c r="E448" s="1" t="n">
        <v>46248</v>
      </c>
      <c r="F448" t="inlineStr">
        <is>
          <t>GÄVLEBORGS LÄN</t>
        </is>
      </c>
      <c r="G448" t="inlineStr">
        <is>
          <t>SANDVIKEN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45779</v>
      </c>
      <c r="E449" s="1" t="n">
        <v>46248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46151</v>
      </c>
      <c r="E450" s="1" t="n">
        <v>46248</v>
      </c>
      <c r="F450" t="inlineStr">
        <is>
          <t>GÄVLEBORGS LÄN</t>
        </is>
      </c>
      <c r="G450" t="inlineStr">
        <is>
          <t>SANDVIKEN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46248</v>
      </c>
      <c r="F451" t="inlineStr">
        <is>
          <t>GÄVLEBORGS LÄN</t>
        </is>
      </c>
      <c r="G451" t="inlineStr">
        <is>
          <t>SANDVIKEN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46248</v>
      </c>
      <c r="F452" t="inlineStr">
        <is>
          <t>GÄVLEBORGS LÄN</t>
        </is>
      </c>
      <c r="G452" t="inlineStr">
        <is>
          <t>SANDVIKEN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46248</v>
      </c>
      <c r="F453" t="inlineStr">
        <is>
          <t>GÄVLEBORGS LÄN</t>
        </is>
      </c>
      <c r="G453" t="inlineStr">
        <is>
          <t>SANDVIKEN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46248</v>
      </c>
      <c r="F454" t="inlineStr">
        <is>
          <t>GÄVLEBORGS LÄN</t>
        </is>
      </c>
      <c r="G454" t="inlineStr">
        <is>
          <t>SANDVIKEN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45883</v>
      </c>
      <c r="E455" s="1" t="n">
        <v>46248</v>
      </c>
      <c r="F455" t="inlineStr">
        <is>
          <t>GÄVLEBORGS LÄN</t>
        </is>
      </c>
      <c r="G455" t="inlineStr">
        <is>
          <t>SANDVIKEN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37459-2024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45540</v>
      </c>
      <c r="E456" s="1" t="n">
        <v>46248</v>
      </c>
      <c r="F456" t="inlineStr">
        <is>
          <t>GÄVLEBORGS LÄN</t>
        </is>
      </c>
      <c r="G456" t="inlineStr">
        <is>
          <t>SANDVIKEN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46150</v>
      </c>
      <c r="E457" s="1" t="n">
        <v>46248</v>
      </c>
      <c r="F457" t="inlineStr">
        <is>
          <t>GÄVLEBORGS LÄN</t>
        </is>
      </c>
      <c r="G457" t="inlineStr">
        <is>
          <t>SANDVIKEN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46248</v>
      </c>
      <c r="F458" t="inlineStr">
        <is>
          <t>GÄVLEBORGS LÄN</t>
        </is>
      </c>
      <c r="G458" t="inlineStr">
        <is>
          <t>SANDVIKEN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48319-2023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45205</v>
      </c>
      <c r="E459" s="1" t="n">
        <v>46248</v>
      </c>
      <c r="F459" t="inlineStr">
        <is>
          <t>GÄVLEBORGS LÄN</t>
        </is>
      </c>
      <c r="G459" t="inlineStr">
        <is>
          <t>SANDVIKEN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55446-2024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45622</v>
      </c>
      <c r="E460" s="1" t="n">
        <v>46248</v>
      </c>
      <c r="F460" t="inlineStr">
        <is>
          <t>GÄVLEBORGS LÄN</t>
        </is>
      </c>
      <c r="G460" t="inlineStr">
        <is>
          <t>SANDVIKEN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45679</v>
      </c>
      <c r="E461" s="1" t="n">
        <v>46248</v>
      </c>
      <c r="F461" t="inlineStr">
        <is>
          <t>GÄVLEBORGS LÄN</t>
        </is>
      </c>
      <c r="G461" t="inlineStr">
        <is>
          <t>SANDVIKEN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48765-2021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44452</v>
      </c>
      <c r="E462" s="1" t="n">
        <v>46248</v>
      </c>
      <c r="F462" t="inlineStr">
        <is>
          <t>GÄVLEBORGS LÄN</t>
        </is>
      </c>
      <c r="G462" t="inlineStr">
        <is>
          <t>SANDVIKEN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46248</v>
      </c>
      <c r="F463" t="inlineStr">
        <is>
          <t>GÄVLEBORGS LÄN</t>
        </is>
      </c>
      <c r="G463" t="inlineStr">
        <is>
          <t>SANDVIKEN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22068-2026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46248</v>
      </c>
      <c r="F464" t="inlineStr">
        <is>
          <t>GÄVLEBORGS LÄN</t>
        </is>
      </c>
      <c r="G464" t="inlineStr">
        <is>
          <t>SANDVIKEN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45174</v>
      </c>
      <c r="E465" s="1" t="n">
        <v>46248</v>
      </c>
      <c r="F465" t="inlineStr">
        <is>
          <t>GÄVLEBORGS LÄN</t>
        </is>
      </c>
      <c r="G465" t="inlineStr">
        <is>
          <t>SANDVIKEN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46248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69521-2021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44531</v>
      </c>
      <c r="E467" s="1" t="n">
        <v>46248</v>
      </c>
      <c r="F467" t="inlineStr">
        <is>
          <t>GÄVLEBORGS LÄN</t>
        </is>
      </c>
      <c r="G467" t="inlineStr">
        <is>
          <t>SANDVIKEN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46248</v>
      </c>
      <c r="F468" t="inlineStr">
        <is>
          <t>GÄVLEBORGS LÄN</t>
        </is>
      </c>
      <c r="G468" t="inlineStr">
        <is>
          <t>SANDVIKEN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46248</v>
      </c>
      <c r="F469" t="inlineStr">
        <is>
          <t>GÄVLEBORGS LÄN</t>
        </is>
      </c>
      <c r="G469" t="inlineStr">
        <is>
          <t>SANDVIKEN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45178</v>
      </c>
      <c r="E470" s="1" t="n">
        <v>46248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väst AB</t>
        </is>
      </c>
      <c r="I470" t="n">
        <v>16.5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46248</v>
      </c>
      <c r="F471" t="inlineStr">
        <is>
          <t>GÄVLEBORGS LÄN</t>
        </is>
      </c>
      <c r="G471" t="inlineStr">
        <is>
          <t>SANDVIKEN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45910</v>
      </c>
      <c r="E472" s="1" t="n">
        <v>46248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46086</v>
      </c>
      <c r="E473" s="1" t="n">
        <v>46248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46248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45520</v>
      </c>
      <c r="E475" s="1" t="n">
        <v>46248</v>
      </c>
      <c r="F475" t="inlineStr">
        <is>
          <t>GÄVLEBORGS LÄN</t>
        </is>
      </c>
      <c r="G475" t="inlineStr">
        <is>
          <t>SANDVIKEN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45910</v>
      </c>
      <c r="E476" s="1" t="n">
        <v>46248</v>
      </c>
      <c r="F476" t="inlineStr">
        <is>
          <t>GÄVLEBORGS LÄN</t>
        </is>
      </c>
      <c r="G476" t="inlineStr">
        <is>
          <t>SANDVIKEN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46248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45525</v>
      </c>
      <c r="E478" s="1" t="n">
        <v>46248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46104</v>
      </c>
      <c r="E479" s="1" t="n">
        <v>46248</v>
      </c>
      <c r="F479" t="inlineStr">
        <is>
          <t>GÄVLEBORGS LÄN</t>
        </is>
      </c>
      <c r="G479" t="inlineStr">
        <is>
          <t>SANDVIKEN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46248</v>
      </c>
      <c r="F480" t="inlineStr">
        <is>
          <t>GÄVLEBORGS LÄN</t>
        </is>
      </c>
      <c r="G480" t="inlineStr">
        <is>
          <t>SANDVIKEN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46248</v>
      </c>
      <c r="F481" t="inlineStr">
        <is>
          <t>GÄVLEBORGS LÄN</t>
        </is>
      </c>
      <c r="G481" t="inlineStr">
        <is>
          <t>SANDVIKEN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46160</v>
      </c>
      <c r="E482" s="1" t="n">
        <v>46248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46248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46115</v>
      </c>
      <c r="E484" s="1" t="n">
        <v>46248</v>
      </c>
      <c r="F484" t="inlineStr">
        <is>
          <t>GÄVLEBORGS LÄN</t>
        </is>
      </c>
      <c r="G484" t="inlineStr">
        <is>
          <t>SANDVIKEN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46248</v>
      </c>
      <c r="F485" t="inlineStr">
        <is>
          <t>GÄVLEBORGS LÄN</t>
        </is>
      </c>
      <c r="G485" t="inlineStr">
        <is>
          <t>SANDVIKEN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45404</v>
      </c>
      <c r="E486" s="1" t="n">
        <v>46248</v>
      </c>
      <c r="F486" t="inlineStr">
        <is>
          <t>GÄVLEBORGS LÄN</t>
        </is>
      </c>
      <c r="G486" t="inlineStr">
        <is>
          <t>SANDVIKEN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46248</v>
      </c>
      <c r="F487" t="inlineStr">
        <is>
          <t>GÄVLEBORGS LÄN</t>
        </is>
      </c>
      <c r="G487" t="inlineStr">
        <is>
          <t>SANDVIKEN</t>
        </is>
      </c>
      <c r="H487" t="inlineStr">
        <is>
          <t>Övriga statliga verk och myndigheter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44289-2023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46248</v>
      </c>
      <c r="F488" t="inlineStr">
        <is>
          <t>GÄVLEBORGS LÄN</t>
        </is>
      </c>
      <c r="G488" t="inlineStr">
        <is>
          <t>SANDVIKEN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46248</v>
      </c>
      <c r="F489" t="inlineStr">
        <is>
          <t>GÄVLEBORGS LÄN</t>
        </is>
      </c>
      <c r="G489" t="inlineStr">
        <is>
          <t>SANDVIKEN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44450-2025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45916</v>
      </c>
      <c r="E490" s="1" t="n">
        <v>46248</v>
      </c>
      <c r="F490" t="inlineStr">
        <is>
          <t>GÄVLEBORGS LÄN</t>
        </is>
      </c>
      <c r="G490" t="inlineStr">
        <is>
          <t>SANDVIKEN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46248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23493-2026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46248</v>
      </c>
      <c r="F492" t="inlineStr">
        <is>
          <t>GÄVLEBORGS LÄN</t>
        </is>
      </c>
      <c r="G492" t="inlineStr">
        <is>
          <t>SANDVIKEN</t>
        </is>
      </c>
      <c r="H492" t="inlineStr">
        <is>
          <t>Övriga statliga verk och myndigheter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46248</v>
      </c>
      <c r="F493" t="inlineStr">
        <is>
          <t>GÄVLEBORGS LÄN</t>
        </is>
      </c>
      <c r="G493" t="inlineStr">
        <is>
          <t>SANDVIKEN</t>
        </is>
      </c>
      <c r="I493" t="n">
        <v>14.2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45103-2025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45919</v>
      </c>
      <c r="E494" s="1" t="n">
        <v>46248</v>
      </c>
      <c r="F494" t="inlineStr">
        <is>
          <t>GÄVLEBORGS LÄN</t>
        </is>
      </c>
      <c r="G494" t="inlineStr">
        <is>
          <t>SANDVIKEN</t>
        </is>
      </c>
      <c r="H494" t="inlineStr">
        <is>
          <t>Kyrkan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45919</v>
      </c>
      <c r="E495" s="1" t="n">
        <v>46248</v>
      </c>
      <c r="F495" t="inlineStr">
        <is>
          <t>GÄVLEBORGS LÄN</t>
        </is>
      </c>
      <c r="G495" t="inlineStr">
        <is>
          <t>SANDVIKEN</t>
        </is>
      </c>
      <c r="H495" t="inlineStr">
        <is>
          <t>Kyrkan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46248</v>
      </c>
      <c r="F496" t="inlineStr">
        <is>
          <t>GÄVLEBORGS LÄN</t>
        </is>
      </c>
      <c r="G496" t="inlineStr">
        <is>
          <t>SANDVIKEN</t>
        </is>
      </c>
      <c r="H496" t="inlineStr">
        <is>
          <t>Övriga statliga verk och myndigheter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46248</v>
      </c>
      <c r="F497" t="inlineStr">
        <is>
          <t>GÄVLEBORGS LÄN</t>
        </is>
      </c>
      <c r="G497" t="inlineStr">
        <is>
          <t>SANDVIKEN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46248</v>
      </c>
      <c r="F498" t="inlineStr">
        <is>
          <t>GÄVLEBORGS LÄN</t>
        </is>
      </c>
      <c r="G498" t="inlineStr">
        <is>
          <t>SANDVIKEN</t>
        </is>
      </c>
      <c r="H498" t="inlineStr">
        <is>
          <t>Övriga statliga verk och myndigheter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18725-2025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46248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23459-2026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46248</v>
      </c>
      <c r="F500" t="inlineStr">
        <is>
          <t>GÄVLEBORGS LÄN</t>
        </is>
      </c>
      <c r="G500" t="inlineStr">
        <is>
          <t>SANDVIKEN</t>
        </is>
      </c>
      <c r="H500" t="inlineStr">
        <is>
          <t>Övriga statliga verk och myndigheter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45278</v>
      </c>
      <c r="E501" s="1" t="n">
        <v>46248</v>
      </c>
      <c r="F501" t="inlineStr">
        <is>
          <t>GÄVLEBORGS LÄN</t>
        </is>
      </c>
      <c r="G501" t="inlineStr">
        <is>
          <t>SANDVIKEN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45925</v>
      </c>
      <c r="E502" s="1" t="n">
        <v>46248</v>
      </c>
      <c r="F502" t="inlineStr">
        <is>
          <t>GÄVLEBORGS LÄN</t>
        </is>
      </c>
      <c r="G502" t="inlineStr">
        <is>
          <t>SANDVIKEN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46165</v>
      </c>
      <c r="E503" s="1" t="n">
        <v>46248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45925</v>
      </c>
      <c r="E504" s="1" t="n">
        <v>46248</v>
      </c>
      <c r="F504" t="inlineStr">
        <is>
          <t>GÄVLEBORGS LÄN</t>
        </is>
      </c>
      <c r="G504" t="inlineStr">
        <is>
          <t>SANDVIKEN</t>
        </is>
      </c>
      <c r="I504" t="n">
        <v>10.3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45418</v>
      </c>
      <c r="E505" s="1" t="n">
        <v>46248</v>
      </c>
      <c r="F505" t="inlineStr">
        <is>
          <t>GÄVLEBORGS LÄN</t>
        </is>
      </c>
      <c r="G505" t="inlineStr">
        <is>
          <t>SANDVIKEN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46618-2025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46248</v>
      </c>
      <c r="F506" t="inlineStr">
        <is>
          <t>GÄVLEBORGS LÄN</t>
        </is>
      </c>
      <c r="G506" t="inlineStr">
        <is>
          <t>SANDVIKEN</t>
        </is>
      </c>
      <c r="H506" t="inlineStr">
        <is>
          <t>Sveaskog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46730-2025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46248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46248</v>
      </c>
      <c r="F508" t="inlineStr">
        <is>
          <t>GÄVLEBORGS LÄN</t>
        </is>
      </c>
      <c r="G508" t="inlineStr">
        <is>
          <t>SANDVIKEN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45926</v>
      </c>
      <c r="E509" s="1" t="n">
        <v>46248</v>
      </c>
      <c r="F509" t="inlineStr">
        <is>
          <t>GÄVLEBORGS LÄN</t>
        </is>
      </c>
      <c r="G509" t="inlineStr">
        <is>
          <t>SANDVIKEN</t>
        </is>
      </c>
      <c r="H509" t="inlineStr">
        <is>
          <t>Sveaskog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46248</v>
      </c>
      <c r="F510" t="inlineStr">
        <is>
          <t>GÄVLEBORGS LÄN</t>
        </is>
      </c>
      <c r="G510" t="inlineStr">
        <is>
          <t>SANDVIKEN</t>
        </is>
      </c>
      <c r="H510" t="inlineStr">
        <is>
          <t>Sveaskog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46248</v>
      </c>
      <c r="F511" t="inlineStr">
        <is>
          <t>GÄVLEBORGS LÄN</t>
        </is>
      </c>
      <c r="G511" t="inlineStr">
        <is>
          <t>SANDVIKEN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47770-2025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45931</v>
      </c>
      <c r="E512" s="1" t="n">
        <v>46248</v>
      </c>
      <c r="F512" t="inlineStr">
        <is>
          <t>GÄVLEBORGS LÄN</t>
        </is>
      </c>
      <c r="G512" t="inlineStr">
        <is>
          <t>SANDVIKEN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48261-2025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45933</v>
      </c>
      <c r="E513" s="1" t="n">
        <v>46248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48268-2025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45933</v>
      </c>
      <c r="E514" s="1" t="n">
        <v>46248</v>
      </c>
      <c r="F514" t="inlineStr">
        <is>
          <t>GÄVLEBORGS LÄN</t>
        </is>
      </c>
      <c r="G514" t="inlineStr">
        <is>
          <t>SANDVIKEN</t>
        </is>
      </c>
      <c r="H514" t="inlineStr">
        <is>
          <t>Sveaskog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46248</v>
      </c>
      <c r="F515" t="inlineStr">
        <is>
          <t>GÄVLEBORGS LÄN</t>
        </is>
      </c>
      <c r="G515" t="inlineStr">
        <is>
          <t>SANDVIKEN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46165</v>
      </c>
      <c r="E516" s="1" t="n">
        <v>46248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46165</v>
      </c>
      <c r="E517" s="1" t="n">
        <v>46248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46165</v>
      </c>
      <c r="E518" s="1" t="n">
        <v>46248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46165</v>
      </c>
      <c r="E519" s="1" t="n">
        <v>46248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48263-2025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45933</v>
      </c>
      <c r="E520" s="1" t="n">
        <v>46248</v>
      </c>
      <c r="F520" t="inlineStr">
        <is>
          <t>GÄVLEBORGS LÄN</t>
        </is>
      </c>
      <c r="G520" t="inlineStr">
        <is>
          <t>SANDVIKEN</t>
        </is>
      </c>
      <c r="H520" t="inlineStr">
        <is>
          <t>Sveaskog</t>
        </is>
      </c>
      <c r="I520" t="n">
        <v>11.9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45936</v>
      </c>
      <c r="E521" s="1" t="n">
        <v>46248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väst AB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49021-2025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45937</v>
      </c>
      <c r="E522" s="1" t="n">
        <v>46248</v>
      </c>
      <c r="F522" t="inlineStr">
        <is>
          <t>GÄVLEBORGS LÄN</t>
        </is>
      </c>
      <c r="G522" t="inlineStr">
        <is>
          <t>SANDVIKEN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45936</v>
      </c>
      <c r="E523" s="1" t="n">
        <v>46248</v>
      </c>
      <c r="F523" t="inlineStr">
        <is>
          <t>GÄVLEBORGS LÄN</t>
        </is>
      </c>
      <c r="G523" t="inlineStr">
        <is>
          <t>SANDVIKEN</t>
        </is>
      </c>
      <c r="H523" t="inlineStr">
        <is>
          <t>Sveaskog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46248</v>
      </c>
      <c r="F524" t="inlineStr">
        <is>
          <t>GÄVLEBORGS LÄN</t>
        </is>
      </c>
      <c r="G524" t="inlineStr">
        <is>
          <t>SANDVIKEN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15340-2026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46105</v>
      </c>
      <c r="E525" s="1" t="n">
        <v>46248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46248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49446-2025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46248</v>
      </c>
      <c r="F527" t="inlineStr">
        <is>
          <t>GÄVLEBORGS LÄN</t>
        </is>
      </c>
      <c r="G527" t="inlineStr">
        <is>
          <t>SANDVIKEN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45939</v>
      </c>
      <c r="E528" s="1" t="n">
        <v>46248</v>
      </c>
      <c r="F528" t="inlineStr">
        <is>
          <t>GÄVLEBORGS LÄN</t>
        </is>
      </c>
      <c r="G528" t="inlineStr">
        <is>
          <t>SANDVIKEN</t>
        </is>
      </c>
      <c r="H528" t="inlineStr">
        <is>
          <t>Sveaskog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49217-2025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45938</v>
      </c>
      <c r="E529" s="1" t="n">
        <v>46248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46168</v>
      </c>
      <c r="E530" s="1" t="n">
        <v>46248</v>
      </c>
      <c r="F530" t="inlineStr">
        <is>
          <t>GÄVLEBORGS LÄN</t>
        </is>
      </c>
      <c r="G530" t="inlineStr">
        <is>
          <t>SANDVIKEN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46248</v>
      </c>
      <c r="F531" t="inlineStr">
        <is>
          <t>GÄVLEBORGS LÄN</t>
        </is>
      </c>
      <c r="G531" t="inlineStr">
        <is>
          <t>SANDVIKEN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24355-2026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46169</v>
      </c>
      <c r="E532" s="1" t="n">
        <v>46248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8.9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46248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45937</v>
      </c>
      <c r="E534" s="1" t="n">
        <v>46248</v>
      </c>
      <c r="F534" t="inlineStr">
        <is>
          <t>GÄVLEBORGS LÄN</t>
        </is>
      </c>
      <c r="G534" t="inlineStr">
        <is>
          <t>SANDVIKEN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49320-2025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45938</v>
      </c>
      <c r="E535" s="1" t="n">
        <v>46248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50012-2025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45943</v>
      </c>
      <c r="E536" s="1" t="n">
        <v>46248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16.6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46169</v>
      </c>
      <c r="E537" s="1" t="n">
        <v>46248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46169</v>
      </c>
      <c r="E538" s="1" t="n">
        <v>46248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50665-2025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45945</v>
      </c>
      <c r="E539" s="1" t="n">
        <v>46248</v>
      </c>
      <c r="F539" t="inlineStr">
        <is>
          <t>GÄVLEBORGS LÄN</t>
        </is>
      </c>
      <c r="G539" t="inlineStr">
        <is>
          <t>SANDVIKEN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18752-2026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46128</v>
      </c>
      <c r="E540" s="1" t="n">
        <v>46248</v>
      </c>
      <c r="F540" t="inlineStr">
        <is>
          <t>GÄVLEBORGS LÄN</t>
        </is>
      </c>
      <c r="G540" t="inlineStr">
        <is>
          <t>SANDVIKEN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47395-2025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45930</v>
      </c>
      <c r="E541" s="1" t="n">
        <v>46248</v>
      </c>
      <c r="F541" t="inlineStr">
        <is>
          <t>GÄVLEBORGS LÄN</t>
        </is>
      </c>
      <c r="G541" t="inlineStr">
        <is>
          <t>SANDVIKEN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47398-2025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46248</v>
      </c>
      <c r="F542" t="inlineStr">
        <is>
          <t>GÄVLEBORGS LÄN</t>
        </is>
      </c>
      <c r="G542" t="inlineStr">
        <is>
          <t>SANDVIKEN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50552-2025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45945</v>
      </c>
      <c r="E543" s="1" t="n">
        <v>46248</v>
      </c>
      <c r="F543" t="inlineStr">
        <is>
          <t>GÄVLEBORGS LÄN</t>
        </is>
      </c>
      <c r="G543" t="inlineStr">
        <is>
          <t>SANDVIKEN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50851-2025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45946</v>
      </c>
      <c r="E544" s="1" t="n">
        <v>46248</v>
      </c>
      <c r="F544" t="inlineStr">
        <is>
          <t>GÄVLEBORGS LÄN</t>
        </is>
      </c>
      <c r="G544" t="inlineStr">
        <is>
          <t>SANDVIKEN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24650-2026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46248</v>
      </c>
      <c r="F545" t="inlineStr">
        <is>
          <t>GÄVLEBORGS LÄN</t>
        </is>
      </c>
      <c r="G545" t="inlineStr">
        <is>
          <t>SANDVIKEN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50833-2025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45946</v>
      </c>
      <c r="E546" s="1" t="n">
        <v>46248</v>
      </c>
      <c r="F546" t="inlineStr">
        <is>
          <t>GÄVLEBORGS LÄN</t>
        </is>
      </c>
      <c r="G546" t="inlineStr">
        <is>
          <t>SANDVIKEN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46171</v>
      </c>
      <c r="E547" s="1" t="n">
        <v>46248</v>
      </c>
      <c r="F547" t="inlineStr">
        <is>
          <t>GÄVLEBORGS LÄN</t>
        </is>
      </c>
      <c r="G547" t="inlineStr">
        <is>
          <t>SANDVIKEN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46045</v>
      </c>
      <c r="E548" s="1" t="n">
        <v>46248</v>
      </c>
      <c r="F548" t="inlineStr">
        <is>
          <t>GÄVLEBORGS LÄN</t>
        </is>
      </c>
      <c r="G548" t="inlineStr">
        <is>
          <t>SANDVIKEN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46045</v>
      </c>
      <c r="E549" s="1" t="n">
        <v>46248</v>
      </c>
      <c r="F549" t="inlineStr">
        <is>
          <t>GÄVLEBORGS LÄN</t>
        </is>
      </c>
      <c r="G549" t="inlineStr">
        <is>
          <t>SANDVIKEN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46248</v>
      </c>
      <c r="F550" t="inlineStr">
        <is>
          <t>GÄVLEBORGS LÄN</t>
        </is>
      </c>
      <c r="G550" t="inlineStr">
        <is>
          <t>SANDVIKEN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46248</v>
      </c>
      <c r="F551" t="inlineStr">
        <is>
          <t>GÄVLEBORGS LÄN</t>
        </is>
      </c>
      <c r="G551" t="inlineStr">
        <is>
          <t>SANDVIKEN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46248</v>
      </c>
      <c r="F552" t="inlineStr">
        <is>
          <t>GÄVLEBORGS LÄN</t>
        </is>
      </c>
      <c r="G552" t="inlineStr">
        <is>
          <t>SANDVIKEN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46248</v>
      </c>
      <c r="F553" t="inlineStr">
        <is>
          <t>GÄVLEBORGS LÄN</t>
        </is>
      </c>
      <c r="G553" t="inlineStr">
        <is>
          <t>SANDVIKEN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46176</v>
      </c>
      <c r="E554" s="1" t="n">
        <v>46248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46176</v>
      </c>
      <c r="E555" s="1" t="n">
        <v>46248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46248</v>
      </c>
      <c r="F556" t="inlineStr">
        <is>
          <t>GÄVLEBORGS LÄN</t>
        </is>
      </c>
      <c r="G556" t="inlineStr">
        <is>
          <t>SANDVIKEN</t>
        </is>
      </c>
      <c r="H556" t="inlineStr">
        <is>
          <t>Kommuner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45957</v>
      </c>
      <c r="E557" s="1" t="n">
        <v>46248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  <c r="Z557">
        <f>HYPERLINK("https://klasma.github.io/Logging_2181/knärot/A 52786-2025 karta knärot.png", "A 52786-2025")</f>
        <v/>
      </c>
      <c r="AA557">
        <f>HYPERLINK("https://klasma.github.io/Logging_2181/klagomål/A 52786-2025 FSC-klagomål.docx", "A 52786-2025")</f>
        <v/>
      </c>
      <c r="AB557">
        <f>HYPERLINK("https://klasma.github.io/Logging_2181/klagomålsmail/A 52786-2025 FSC-klagomål mail.docx", "A 52786-2025")</f>
        <v/>
      </c>
      <c r="AC557">
        <f>HYPERLINK("https://klasma.github.io/Logging_2181/tillsyn/A 52786-2025 tillsynsbegäran.docx", "A 52786-2025")</f>
        <v/>
      </c>
      <c r="AD557">
        <f>HYPERLINK("https://klasma.github.io/Logging_2181/tillsynsmail/A 52786-2025 tillsynsbegäran mail.docx", "A 52786-2025")</f>
        <v/>
      </c>
    </row>
    <row r="558" ht="15" customHeight="1">
      <c r="A558" t="inlineStr">
        <is>
          <t>A 25691-2026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46178</v>
      </c>
      <c r="E558" s="1" t="n">
        <v>46248</v>
      </c>
      <c r="F558" t="inlineStr">
        <is>
          <t>GÄVLEBORGS LÄN</t>
        </is>
      </c>
      <c r="G558" t="inlineStr">
        <is>
          <t>SANDVIKEN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46248</v>
      </c>
      <c r="F559" t="inlineStr">
        <is>
          <t>GÄVLEBORGS LÄN</t>
        </is>
      </c>
      <c r="G559" t="inlineStr">
        <is>
          <t>SANDVIKEN</t>
        </is>
      </c>
      <c r="H559" t="inlineStr">
        <is>
          <t>Sveaskog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46178</v>
      </c>
      <c r="E560" s="1" t="n">
        <v>46248</v>
      </c>
      <c r="F560" t="inlineStr">
        <is>
          <t>GÄVLEBORGS LÄN</t>
        </is>
      </c>
      <c r="G560" t="inlineStr">
        <is>
          <t>SANDVIKEN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46248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46178</v>
      </c>
      <c r="E562" s="1" t="n">
        <v>46248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46248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46069</v>
      </c>
      <c r="E564" s="1" t="n">
        <v>46248</v>
      </c>
      <c r="F564" t="inlineStr">
        <is>
          <t>GÄVLEBORGS LÄN</t>
        </is>
      </c>
      <c r="G564" t="inlineStr">
        <is>
          <t>SANDVIKEN</t>
        </is>
      </c>
      <c r="I564" t="n">
        <v>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46248</v>
      </c>
      <c r="F565" t="inlineStr">
        <is>
          <t>GÄVLEBORGS LÄN</t>
        </is>
      </c>
      <c r="G565" t="inlineStr">
        <is>
          <t>SANDVIKEN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46248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46248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46248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46248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46248</v>
      </c>
      <c r="F570" t="inlineStr">
        <is>
          <t>GÄVLEBORGS LÄN</t>
        </is>
      </c>
      <c r="G570" t="inlineStr">
        <is>
          <t>SANDVIKEN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46248</v>
      </c>
      <c r="F571" t="inlineStr">
        <is>
          <t>GÄVLEBORGS LÄN</t>
        </is>
      </c>
      <c r="G571" t="inlineStr">
        <is>
          <t>SANDVIKEN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46248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55595-2025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45971</v>
      </c>
      <c r="E573" s="1" t="n">
        <v>46248</v>
      </c>
      <c r="F573" t="inlineStr">
        <is>
          <t>GÄVLEBORGS LÄN</t>
        </is>
      </c>
      <c r="G573" t="inlineStr">
        <is>
          <t>SANDVIKEN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55355-2025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45971</v>
      </c>
      <c r="E574" s="1" t="n">
        <v>46248</v>
      </c>
      <c r="F574" t="inlineStr">
        <is>
          <t>GÄVLEBORGS LÄN</t>
        </is>
      </c>
      <c r="G574" t="inlineStr">
        <is>
          <t>SANDVIKEN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55099-2025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46248</v>
      </c>
      <c r="F575" t="inlineStr">
        <is>
          <t>GÄVLEBORGS LÄN</t>
        </is>
      </c>
      <c r="G575" t="inlineStr">
        <is>
          <t>SANDVIKEN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46248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46227</v>
      </c>
      <c r="E577" s="1" t="n">
        <v>46248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55607-2025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45971</v>
      </c>
      <c r="E578" s="1" t="n">
        <v>46248</v>
      </c>
      <c r="F578" t="inlineStr">
        <is>
          <t>GÄVLEBORGS LÄN</t>
        </is>
      </c>
      <c r="G578" t="inlineStr">
        <is>
          <t>SANDVIKEN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26780-2026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46248</v>
      </c>
      <c r="F579" t="inlineStr">
        <is>
          <t>GÄVLEBORGS LÄN</t>
        </is>
      </c>
      <c r="G579" t="inlineStr">
        <is>
          <t>SANDVIKEN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46248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56587-2025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45975</v>
      </c>
      <c r="E581" s="1" t="n">
        <v>46248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46248</v>
      </c>
      <c r="F582" t="inlineStr">
        <is>
          <t>GÄVLEBORGS LÄN</t>
        </is>
      </c>
      <c r="G582" t="inlineStr">
        <is>
          <t>SANDVIKEN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31802-2026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46230</v>
      </c>
      <c r="E583" s="1" t="n">
        <v>46248</v>
      </c>
      <c r="F583" t="inlineStr">
        <is>
          <t>GÄVLEBORGS LÄN</t>
        </is>
      </c>
      <c r="G583" t="inlineStr">
        <is>
          <t>SANDVIKEN</t>
        </is>
      </c>
      <c r="H583" t="inlineStr">
        <is>
          <t>Kommuner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46230</v>
      </c>
      <c r="E584" s="1" t="n">
        <v>46248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11.2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46248</v>
      </c>
      <c r="F585" t="inlineStr">
        <is>
          <t>GÄVLEBORGS LÄN</t>
        </is>
      </c>
      <c r="G585" t="inlineStr">
        <is>
          <t>SANDVIKEN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56703-2025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45977</v>
      </c>
      <c r="E586" s="1" t="n">
        <v>46248</v>
      </c>
      <c r="F586" t="inlineStr">
        <is>
          <t>GÄVLEBORGS LÄN</t>
        </is>
      </c>
      <c r="G586" t="inlineStr">
        <is>
          <t>SANDVIKEN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46248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45978</v>
      </c>
      <c r="E588" s="1" t="n">
        <v>46248</v>
      </c>
      <c r="F588" t="inlineStr">
        <is>
          <t>GÄVLEBORGS LÄN</t>
        </is>
      </c>
      <c r="G588" t="inlineStr">
        <is>
          <t>SANDVIKEN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46248</v>
      </c>
      <c r="F589" t="inlineStr">
        <is>
          <t>GÄVLEBORGS LÄN</t>
        </is>
      </c>
      <c r="G589" t="inlineStr">
        <is>
          <t>SANDVIKEN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57261-2025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45979</v>
      </c>
      <c r="E590" s="1" t="n">
        <v>46248</v>
      </c>
      <c r="F590" t="inlineStr">
        <is>
          <t>GÄVLEBORGS LÄN</t>
        </is>
      </c>
      <c r="G590" t="inlineStr">
        <is>
          <t>SANDVIKEN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45983</v>
      </c>
      <c r="E591" s="1" t="n">
        <v>46248</v>
      </c>
      <c r="F591" t="inlineStr">
        <is>
          <t>GÄVLEBORGS LÄN</t>
        </is>
      </c>
      <c r="G591" t="inlineStr">
        <is>
          <t>SANDVIKEN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58197-2025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45984</v>
      </c>
      <c r="E592" s="1" t="n">
        <v>46248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58199-2025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45984</v>
      </c>
      <c r="E593" s="1" t="n">
        <v>46248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58201-2025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45984</v>
      </c>
      <c r="E594" s="1" t="n">
        <v>46248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46248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46248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57932-2025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45981</v>
      </c>
      <c r="E597" s="1" t="n">
        <v>46248</v>
      </c>
      <c r="F597" t="inlineStr">
        <is>
          <t>GÄVLEBORGS LÄN</t>
        </is>
      </c>
      <c r="G597" t="inlineStr">
        <is>
          <t>SANDVIKEN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46101</v>
      </c>
      <c r="E598" s="1" t="n">
        <v>46248</v>
      </c>
      <c r="F598" t="inlineStr">
        <is>
          <t>GÄVLEBORGS LÄN</t>
        </is>
      </c>
      <c r="G598" t="inlineStr">
        <is>
          <t>SANDVIKEN</t>
        </is>
      </c>
      <c r="H598" t="inlineStr">
        <is>
          <t>Kommuner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57933-2025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45981</v>
      </c>
      <c r="E599" s="1" t="n">
        <v>46248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58207-2025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45985</v>
      </c>
      <c r="E600" s="1" t="n">
        <v>46248</v>
      </c>
      <c r="F600" t="inlineStr">
        <is>
          <t>GÄVLEBORGS LÄN</t>
        </is>
      </c>
      <c r="G600" t="inlineStr">
        <is>
          <t>SANDVIKEN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46248</v>
      </c>
      <c r="F601" t="inlineStr">
        <is>
          <t>GÄVLEBORGS LÄN</t>
        </is>
      </c>
      <c r="G601" t="inlineStr">
        <is>
          <t>SANDVIKEN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58592-2025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46248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27743-2026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46248</v>
      </c>
      <c r="F603" t="inlineStr">
        <is>
          <t>GÄVLEBORGS LÄN</t>
        </is>
      </c>
      <c r="G603" t="inlineStr">
        <is>
          <t>SANDVIKEN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46248</v>
      </c>
      <c r="F604" t="inlineStr">
        <is>
          <t>GÄVLEBORGS LÄN</t>
        </is>
      </c>
      <c r="G604" t="inlineStr">
        <is>
          <t>SANDVIKEN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32158-2026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46236</v>
      </c>
      <c r="E605" s="1" t="n">
        <v>46248</v>
      </c>
      <c r="F605" t="inlineStr">
        <is>
          <t>GÄVLEBORGS LÄN</t>
        </is>
      </c>
      <c r="G605" t="inlineStr">
        <is>
          <t>SANDVIKEN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46248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46248</v>
      </c>
      <c r="F607" t="inlineStr">
        <is>
          <t>GÄVLEBORGS LÄN</t>
        </is>
      </c>
      <c r="G607" t="inlineStr">
        <is>
          <t>SANDVIKEN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59755-2025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46248</v>
      </c>
      <c r="F608" t="inlineStr">
        <is>
          <t>GÄVLEBORGS LÄN</t>
        </is>
      </c>
      <c r="G608" t="inlineStr">
        <is>
          <t>SANDVIKEN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46248</v>
      </c>
      <c r="F609" t="inlineStr">
        <is>
          <t>GÄVLEBORGS LÄN</t>
        </is>
      </c>
      <c r="G609" t="inlineStr">
        <is>
          <t>SANDVIKEN</t>
        </is>
      </c>
      <c r="I609" t="n">
        <v>10.2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46248</v>
      </c>
      <c r="F610" t="inlineStr">
        <is>
          <t>GÄVLEBORGS LÄN</t>
        </is>
      </c>
      <c r="G610" t="inlineStr">
        <is>
          <t>SANDVIKEN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59623-2025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46248</v>
      </c>
      <c r="F611" t="inlineStr">
        <is>
          <t>GÄVLEBORGS LÄN</t>
        </is>
      </c>
      <c r="G611" t="inlineStr">
        <is>
          <t>SANDVIKEN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28340-2026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46248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26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46248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46196</v>
      </c>
      <c r="E614" s="1" t="n">
        <v>46248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46196</v>
      </c>
      <c r="E615" s="1" t="n">
        <v>46248</v>
      </c>
      <c r="F615" t="inlineStr">
        <is>
          <t>GÄVLEBORGS LÄN</t>
        </is>
      </c>
      <c r="G615" t="inlineStr">
        <is>
          <t>SANDVIKEN</t>
        </is>
      </c>
      <c r="H615" t="inlineStr">
        <is>
          <t>Sveaskog</t>
        </is>
      </c>
      <c r="I615" t="n">
        <v>11.9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60952-2025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46248</v>
      </c>
      <c r="F616" t="inlineStr">
        <is>
          <t>GÄVLEBORGS LÄN</t>
        </is>
      </c>
      <c r="G616" t="inlineStr">
        <is>
          <t>SANDVIKEN</t>
        </is>
      </c>
      <c r="I616" t="n">
        <v>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46248</v>
      </c>
      <c r="F617" t="inlineStr">
        <is>
          <t>GÄVLEBORGS LÄN</t>
        </is>
      </c>
      <c r="G617" t="inlineStr">
        <is>
          <t>SANDVIKEN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46248</v>
      </c>
      <c r="F618" t="inlineStr">
        <is>
          <t>GÄVLEBORGS LÄN</t>
        </is>
      </c>
      <c r="G618" t="inlineStr">
        <is>
          <t>SANDVIKEN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58198-2025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45984</v>
      </c>
      <c r="E619" s="1" t="n">
        <v>46248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28728-2026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46248</v>
      </c>
      <c r="F620" t="inlineStr">
        <is>
          <t>GÄVLEBORGS LÄN</t>
        </is>
      </c>
      <c r="G620" t="inlineStr">
        <is>
          <t>SANDVIKEN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58804-2025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45986</v>
      </c>
      <c r="E621" s="1" t="n">
        <v>46248</v>
      </c>
      <c r="F621" t="inlineStr">
        <is>
          <t>GÄVLEBORGS LÄN</t>
        </is>
      </c>
      <c r="G621" t="inlineStr">
        <is>
          <t>SANDVIKEN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45999</v>
      </c>
      <c r="E622" s="1" t="n">
        <v>46248</v>
      </c>
      <c r="F622" t="inlineStr">
        <is>
          <t>GÄVLEBORGS LÄN</t>
        </is>
      </c>
      <c r="G622" t="inlineStr">
        <is>
          <t>SANDVIKEN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45999</v>
      </c>
      <c r="E623" s="1" t="n">
        <v>46248</v>
      </c>
      <c r="F623" t="inlineStr">
        <is>
          <t>GÄVLEBORGS LÄN</t>
        </is>
      </c>
      <c r="G623" t="inlineStr">
        <is>
          <t>SANDVIKEN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61301-2025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46248</v>
      </c>
      <c r="F624" t="inlineStr">
        <is>
          <t>GÄVLEBORGS LÄN</t>
        </is>
      </c>
      <c r="G624" t="inlineStr">
        <is>
          <t>SANDVIKEN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32875-2026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46248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29115-2026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46201</v>
      </c>
      <c r="E626" s="1" t="n">
        <v>46248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46202</v>
      </c>
      <c r="E627" s="1" t="n">
        <v>46248</v>
      </c>
      <c r="F627" t="inlineStr">
        <is>
          <t>GÄVLEBORGS LÄN</t>
        </is>
      </c>
      <c r="G627" t="inlineStr">
        <is>
          <t>SANDVIKEN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46244</v>
      </c>
      <c r="E628" s="1" t="n">
        <v>46248</v>
      </c>
      <c r="F628" t="inlineStr">
        <is>
          <t>GÄVLEBORGS LÄN</t>
        </is>
      </c>
      <c r="G628" t="inlineStr">
        <is>
          <t>SANDVIKEN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58200-2025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45984</v>
      </c>
      <c r="E629" s="1" t="n">
        <v>46248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32989-2026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46244</v>
      </c>
      <c r="E630" s="1" t="n">
        <v>46248</v>
      </c>
      <c r="F630" t="inlineStr">
        <is>
          <t>GÄVLEBORGS LÄN</t>
        </is>
      </c>
      <c r="G630" t="inlineStr">
        <is>
          <t>SANDVIKEN</t>
        </is>
      </c>
      <c r="H630" t="inlineStr">
        <is>
          <t>Kommuner</t>
        </is>
      </c>
      <c r="I630" t="n">
        <v>8.6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32998-2026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46248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29682-2026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46248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46248</v>
      </c>
      <c r="F633" t="inlineStr">
        <is>
          <t>GÄVLEBORGS LÄN</t>
        </is>
      </c>
      <c r="G633" t="inlineStr">
        <is>
          <t>SANDVIKEN</t>
        </is>
      </c>
      <c r="H633" t="inlineStr">
        <is>
          <t>Naturvårdsverket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63486-2025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46013</v>
      </c>
      <c r="E634" s="1" t="n">
        <v>46248</v>
      </c>
      <c r="F634" t="inlineStr">
        <is>
          <t>GÄVLEBORGS LÄN</t>
        </is>
      </c>
      <c r="G634" t="inlineStr">
        <is>
          <t>SANDVIKEN</t>
        </is>
      </c>
      <c r="H634" t="inlineStr">
        <is>
          <t>Sveaskog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46203</v>
      </c>
      <c r="E635" s="1" t="n">
        <v>46248</v>
      </c>
      <c r="F635" t="inlineStr">
        <is>
          <t>GÄVLEBORGS LÄN</t>
        </is>
      </c>
      <c r="G635" t="inlineStr">
        <is>
          <t>SANDVIKEN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46248</v>
      </c>
      <c r="F636" t="inlineStr">
        <is>
          <t>GÄVLEBORGS LÄN</t>
        </is>
      </c>
      <c r="G636" t="inlineStr">
        <is>
          <t>SANDVIKEN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46205</v>
      </c>
      <c r="E637" s="1" t="n">
        <v>46248</v>
      </c>
      <c r="F637" t="inlineStr">
        <is>
          <t>GÄVLEBORGS LÄN</t>
        </is>
      </c>
      <c r="G637" t="inlineStr">
        <is>
          <t>SANDVIKEN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46205</v>
      </c>
      <c r="E638" s="1" t="n">
        <v>46248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29681-2026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46204</v>
      </c>
      <c r="E639" s="1" t="n">
        <v>46248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46248</v>
      </c>
      <c r="F640" t="inlineStr">
        <is>
          <t>GÄVLEBORGS LÄN</t>
        </is>
      </c>
      <c r="G640" t="inlineStr">
        <is>
          <t>SANDVIKEN</t>
        </is>
      </c>
      <c r="H640" t="inlineStr">
        <is>
          <t>Naturvårdsverket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46248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46021</v>
      </c>
      <c r="E642" s="1" t="n">
        <v>46248</v>
      </c>
      <c r="F642" t="inlineStr">
        <is>
          <t>GÄVLEBORGS LÄN</t>
        </is>
      </c>
      <c r="G642" t="inlineStr">
        <is>
          <t>SANDVIKEN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29661-2026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46248</v>
      </c>
      <c r="F643" t="inlineStr">
        <is>
          <t>GÄVLEBORGS LÄN</t>
        </is>
      </c>
      <c r="G643" t="inlineStr">
        <is>
          <t>SANDVIKEN</t>
        </is>
      </c>
      <c r="H643" t="inlineStr">
        <is>
          <t>Bergvik skog öst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29616-2026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46248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33310-2026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46248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29613-2026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46204</v>
      </c>
      <c r="E646" s="1" t="n">
        <v>46248</v>
      </c>
      <c r="F646" t="inlineStr">
        <is>
          <t>GÄVLEBORGS LÄN</t>
        </is>
      </c>
      <c r="G646" t="inlineStr">
        <is>
          <t>SANDVIKEN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46248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46248</v>
      </c>
      <c r="F648" t="inlineStr">
        <is>
          <t>GÄVLEBORGS LÄN</t>
        </is>
      </c>
      <c r="G648" t="inlineStr">
        <is>
          <t>SANDVIKEN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29608-2026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46248</v>
      </c>
      <c r="F649" t="inlineStr">
        <is>
          <t>GÄVLEBORGS LÄN</t>
        </is>
      </c>
      <c r="G649" t="inlineStr">
        <is>
          <t>SANDVIKEN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46248</v>
      </c>
      <c r="F650" t="inlineStr">
        <is>
          <t>GÄVLEBORGS LÄN</t>
        </is>
      </c>
      <c r="G650" t="inlineStr">
        <is>
          <t>SANDVIKEN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46248</v>
      </c>
      <c r="F651" t="inlineStr">
        <is>
          <t>GÄVLEBORGS LÄN</t>
        </is>
      </c>
      <c r="G651" t="inlineStr">
        <is>
          <t>SANDVIKEN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46248</v>
      </c>
      <c r="F652" t="inlineStr">
        <is>
          <t>GÄVLEBORGS LÄN</t>
        </is>
      </c>
      <c r="G652" t="inlineStr">
        <is>
          <t>SANDVIKEN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46035</v>
      </c>
      <c r="E653" s="1" t="n">
        <v>46248</v>
      </c>
      <c r="F653" t="inlineStr">
        <is>
          <t>GÄVLEBORGS LÄN</t>
        </is>
      </c>
      <c r="G653" t="inlineStr">
        <is>
          <t>SANDVIKEN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46035</v>
      </c>
      <c r="E654" s="1" t="n">
        <v>46248</v>
      </c>
      <c r="F654" t="inlineStr">
        <is>
          <t>GÄVLEBORGS LÄN</t>
        </is>
      </c>
      <c r="G654" t="inlineStr">
        <is>
          <t>SANDVIKEN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46248</v>
      </c>
      <c r="F655" t="inlineStr">
        <is>
          <t>GÄVLEBORGS LÄN</t>
        </is>
      </c>
      <c r="G655" t="inlineStr">
        <is>
          <t>SANDVIKEN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46037</v>
      </c>
      <c r="E656" s="1" t="n">
        <v>46248</v>
      </c>
      <c r="F656" t="inlineStr">
        <is>
          <t>GÄVLEBORGS LÄN</t>
        </is>
      </c>
      <c r="G656" t="inlineStr">
        <is>
          <t>SANDVIKEN</t>
        </is>
      </c>
      <c r="I656" t="n">
        <v>8.699999999999999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46036</v>
      </c>
      <c r="E657" s="1" t="n">
        <v>46248</v>
      </c>
      <c r="F657" t="inlineStr">
        <is>
          <t>GÄVLEBORGS LÄN</t>
        </is>
      </c>
      <c r="G657" t="inlineStr">
        <is>
          <t>SANDVIKEN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2238-2026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46036</v>
      </c>
      <c r="E658" s="1" t="n">
        <v>46248</v>
      </c>
      <c r="F658" t="inlineStr">
        <is>
          <t>GÄVLEBORGS LÄN</t>
        </is>
      </c>
      <c r="G658" t="inlineStr">
        <is>
          <t>SANDVIKEN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46036</v>
      </c>
      <c r="E659" s="1" t="n">
        <v>46248</v>
      </c>
      <c r="F659" t="inlineStr">
        <is>
          <t>GÄVLEBORGS LÄN</t>
        </is>
      </c>
      <c r="G659" t="inlineStr">
        <is>
          <t>SANDVIKEN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46248</v>
      </c>
      <c r="F660" t="inlineStr">
        <is>
          <t>GÄVLEBORGS LÄN</t>
        </is>
      </c>
      <c r="G660" t="inlineStr">
        <is>
          <t>SANDVIKEN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46248</v>
      </c>
      <c r="F661" t="inlineStr">
        <is>
          <t>GÄVLEBORGS LÄN</t>
        </is>
      </c>
      <c r="G661" t="inlineStr">
        <is>
          <t>SANDVIKEN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46030</v>
      </c>
      <c r="E662" s="1" t="n">
        <v>46248</v>
      </c>
      <c r="F662" t="inlineStr">
        <is>
          <t>GÄVLEBORGS LÄN</t>
        </is>
      </c>
      <c r="G662" t="inlineStr">
        <is>
          <t>SANDVIKEN</t>
        </is>
      </c>
      <c r="I662" t="n">
        <v>10.2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46038</v>
      </c>
      <c r="E663" s="1" t="n">
        <v>46248</v>
      </c>
      <c r="F663" t="inlineStr">
        <is>
          <t>GÄVLEBORGS LÄN</t>
        </is>
      </c>
      <c r="G663" t="inlineStr">
        <is>
          <t>SANDVIKEN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46248</v>
      </c>
      <c r="F664" t="inlineStr">
        <is>
          <t>GÄVLEBORGS LÄN</t>
        </is>
      </c>
      <c r="G664" t="inlineStr">
        <is>
          <t>SANDVIKEN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46042</v>
      </c>
      <c r="E665" s="1" t="n">
        <v>46248</v>
      </c>
      <c r="F665" t="inlineStr">
        <is>
          <t>GÄVLEBORGS LÄN</t>
        </is>
      </c>
      <c r="G665" t="inlineStr">
        <is>
          <t>SANDVIKEN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46248</v>
      </c>
      <c r="F666" t="inlineStr">
        <is>
          <t>GÄVLEBORGS LÄN</t>
        </is>
      </c>
      <c r="G666" t="inlineStr">
        <is>
          <t>SANDVIKEN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46044</v>
      </c>
      <c r="E667" s="1" t="n">
        <v>46248</v>
      </c>
      <c r="F667" t="inlineStr">
        <is>
          <t>GÄVLEBORGS LÄN</t>
        </is>
      </c>
      <c r="G667" t="inlineStr">
        <is>
          <t>SANDVIKEN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46248</v>
      </c>
      <c r="F668" t="inlineStr">
        <is>
          <t>GÄVLEBORGS LÄN</t>
        </is>
      </c>
      <c r="G668" t="inlineStr">
        <is>
          <t>SANDVIKEN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46248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46248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46045</v>
      </c>
      <c r="E671" s="1" t="n">
        <v>46248</v>
      </c>
      <c r="F671" t="inlineStr">
        <is>
          <t>GÄVLEBORGS LÄN</t>
        </is>
      </c>
      <c r="G671" t="inlineStr">
        <is>
          <t>SANDVIKEN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46050</v>
      </c>
      <c r="E672" s="1" t="n">
        <v>46248</v>
      </c>
      <c r="F672" t="inlineStr">
        <is>
          <t>GÄVLEBORGS LÄN</t>
        </is>
      </c>
      <c r="G672" t="inlineStr">
        <is>
          <t>SANDVIKEN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46050</v>
      </c>
      <c r="E673" s="1" t="n">
        <v>46248</v>
      </c>
      <c r="F673" t="inlineStr">
        <is>
          <t>GÄVLEBORGS LÄN</t>
        </is>
      </c>
      <c r="G673" t="inlineStr">
        <is>
          <t>SANDVIKEN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46248</v>
      </c>
      <c r="F674" t="inlineStr">
        <is>
          <t>GÄVLEBORGS LÄN</t>
        </is>
      </c>
      <c r="G674" t="inlineStr">
        <is>
          <t>SANDVIKEN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46051</v>
      </c>
      <c r="E675" s="1" t="n">
        <v>46248</v>
      </c>
      <c r="F675" t="inlineStr">
        <is>
          <t>GÄVLEBORGS LÄN</t>
        </is>
      </c>
      <c r="G675" t="inlineStr">
        <is>
          <t>SANDVIKEN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46248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6793-2026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46248</v>
      </c>
      <c r="F677" t="inlineStr">
        <is>
          <t>GÄVLEBORGS LÄN</t>
        </is>
      </c>
      <c r="G677" t="inlineStr">
        <is>
          <t>SANDVIKEN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46248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46056</v>
      </c>
      <c r="E679" s="1" t="n">
        <v>46248</v>
      </c>
      <c r="F679" t="inlineStr">
        <is>
          <t>GÄVLEBORGS LÄN</t>
        </is>
      </c>
      <c r="G679" t="inlineStr">
        <is>
          <t>SANDVIKEN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46043</v>
      </c>
      <c r="E680" s="1" t="n">
        <v>46248</v>
      </c>
      <c r="F680" t="inlineStr">
        <is>
          <t>GÄVLEBORGS LÄN</t>
        </is>
      </c>
      <c r="G680" t="inlineStr">
        <is>
          <t>SANDVIKEN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46248</v>
      </c>
      <c r="F681" t="inlineStr">
        <is>
          <t>GÄVLEBORGS LÄN</t>
        </is>
      </c>
      <c r="G681" t="inlineStr">
        <is>
          <t>SANDVIKEN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46056</v>
      </c>
      <c r="E682" s="1" t="n">
        <v>46248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46248</v>
      </c>
      <c r="F683" t="inlineStr">
        <is>
          <t>GÄVLEBORGS LÄN</t>
        </is>
      </c>
      <c r="G683" t="inlineStr">
        <is>
          <t>SANDVIKEN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46248</v>
      </c>
      <c r="F684" t="inlineStr">
        <is>
          <t>GÄVLEBORGS LÄN</t>
        </is>
      </c>
      <c r="G684" t="inlineStr">
        <is>
          <t>SANDVIKEN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46248</v>
      </c>
      <c r="F685" t="inlineStr">
        <is>
          <t>GÄVLEBORGS LÄN</t>
        </is>
      </c>
      <c r="G685" t="inlineStr">
        <is>
          <t>SANDVIKEN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46248</v>
      </c>
      <c r="F686" t="inlineStr">
        <is>
          <t>GÄVLEBORGS LÄN</t>
        </is>
      </c>
      <c r="G686" t="inlineStr">
        <is>
          <t>SANDVIKEN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46248</v>
      </c>
      <c r="F687" t="inlineStr">
        <is>
          <t>GÄVLEBORGS LÄN</t>
        </is>
      </c>
      <c r="G687" t="inlineStr">
        <is>
          <t>SANDVIKEN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46063</v>
      </c>
      <c r="E688" s="1" t="n">
        <v>46248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46063</v>
      </c>
      <c r="E689" s="1" t="n">
        <v>46248</v>
      </c>
      <c r="F689" t="inlineStr">
        <is>
          <t>GÄVLEBORGS LÄN</t>
        </is>
      </c>
      <c r="G689" t="inlineStr">
        <is>
          <t>SANDVIKEN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7886-2026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46063</v>
      </c>
      <c r="E690" s="1" t="n">
        <v>46248</v>
      </c>
      <c r="F690" t="inlineStr">
        <is>
          <t>GÄVLEBORGS LÄN</t>
        </is>
      </c>
      <c r="G690" t="inlineStr">
        <is>
          <t>SANDVIKEN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7725-2026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46248</v>
      </c>
      <c r="F691" t="inlineStr">
        <is>
          <t>GÄVLEBORGS LÄN</t>
        </is>
      </c>
      <c r="G691" t="inlineStr">
        <is>
          <t>SANDVIKEN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46063</v>
      </c>
      <c r="E692" s="1" t="n">
        <v>46248</v>
      </c>
      <c r="F692" t="inlineStr">
        <is>
          <t>GÄVLEBORGS LÄN</t>
        </is>
      </c>
      <c r="G692" t="inlineStr">
        <is>
          <t>SANDVIKEN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7914-2026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46248</v>
      </c>
      <c r="F693" t="inlineStr">
        <is>
          <t>GÄVLEBORGS LÄN</t>
        </is>
      </c>
      <c r="G693" t="inlineStr">
        <is>
          <t>SANDVIKEN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46248</v>
      </c>
      <c r="F694" t="inlineStr">
        <is>
          <t>GÄVLEBORGS LÄN</t>
        </is>
      </c>
      <c r="G694" t="inlineStr">
        <is>
          <t>SANDVIKEN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7892-2026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46248</v>
      </c>
      <c r="F695" t="inlineStr">
        <is>
          <t>GÄVLEBORGS LÄN</t>
        </is>
      </c>
      <c r="G695" t="inlineStr">
        <is>
          <t>SANDVIKEN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7694-2026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46248</v>
      </c>
      <c r="F696" t="inlineStr">
        <is>
          <t>GÄVLEBORGS LÄN</t>
        </is>
      </c>
      <c r="G696" t="inlineStr">
        <is>
          <t>SANDVIKEN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8295-2026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46248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8611-2026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46065</v>
      </c>
      <c r="E698" s="1" t="n">
        <v>46248</v>
      </c>
      <c r="F698" t="inlineStr">
        <is>
          <t>GÄVLEBORGS LÄN</t>
        </is>
      </c>
      <c r="G698" t="inlineStr">
        <is>
          <t>SANDVIKEN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8612-2026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46065</v>
      </c>
      <c r="E699" s="1" t="n">
        <v>46248</v>
      </c>
      <c r="F699" t="inlineStr">
        <is>
          <t>GÄVLEBORGS LÄN</t>
        </is>
      </c>
      <c r="G699" t="inlineStr">
        <is>
          <t>SANDVIKEN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46248</v>
      </c>
      <c r="F700" t="inlineStr">
        <is>
          <t>GÄVLEBORGS LÄN</t>
        </is>
      </c>
      <c r="G700" t="inlineStr">
        <is>
          <t>SANDVIKEN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8363-2026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46064</v>
      </c>
      <c r="E701" s="1" t="n">
        <v>46248</v>
      </c>
      <c r="F701" t="inlineStr">
        <is>
          <t>GÄVLEBORGS LÄN</t>
        </is>
      </c>
      <c r="G701" t="inlineStr">
        <is>
          <t>SANDVIKEN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46065</v>
      </c>
      <c r="E702" s="1" t="n">
        <v>46248</v>
      </c>
      <c r="F702" t="inlineStr">
        <is>
          <t>GÄVLEBORGS LÄN</t>
        </is>
      </c>
      <c r="G702" t="inlineStr">
        <is>
          <t>SANDVIKEN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46248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8719-2026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46066</v>
      </c>
      <c r="E704" s="1" t="n">
        <v>46248</v>
      </c>
      <c r="F704" t="inlineStr">
        <is>
          <t>GÄVLEBORGS LÄN</t>
        </is>
      </c>
      <c r="G704" t="inlineStr">
        <is>
          <t>SANDVIKEN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9142-2026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46248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8713-2026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46066</v>
      </c>
      <c r="E706" s="1" t="n">
        <v>46248</v>
      </c>
      <c r="F706" t="inlineStr">
        <is>
          <t>GÄVLEBORGS LÄN</t>
        </is>
      </c>
      <c r="G706" t="inlineStr">
        <is>
          <t>SANDVIKEN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46248</v>
      </c>
      <c r="F707" t="inlineStr">
        <is>
          <t>GÄVLEBORGS LÄN</t>
        </is>
      </c>
      <c r="G707" t="inlineStr">
        <is>
          <t>SANDVIKEN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9480-2026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46248</v>
      </c>
      <c r="F708" t="inlineStr">
        <is>
          <t>GÄVLEBORGS LÄN</t>
        </is>
      </c>
      <c r="G708" t="inlineStr">
        <is>
          <t>SANDVIKEN</t>
        </is>
      </c>
      <c r="H708" t="inlineStr">
        <is>
          <t>Naturvårdsverket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10022-2026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46248</v>
      </c>
      <c r="F709" t="inlineStr">
        <is>
          <t>GÄVLEBORGS LÄN</t>
        </is>
      </c>
      <c r="G709" t="inlineStr">
        <is>
          <t>SANDVIKEN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10025-2026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46073</v>
      </c>
      <c r="E710" s="1" t="n">
        <v>46248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9651-2026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46248</v>
      </c>
      <c r="F711" t="inlineStr">
        <is>
          <t>GÄVLEBORGS LÄN</t>
        </is>
      </c>
      <c r="G711" t="inlineStr">
        <is>
          <t>SANDVIKEN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46248</v>
      </c>
      <c r="F712" t="inlineStr">
        <is>
          <t>GÄVLEBORGS LÄN</t>
        </is>
      </c>
      <c r="G712" t="inlineStr">
        <is>
          <t>SANDVIKEN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46248</v>
      </c>
      <c r="F713" t="inlineStr">
        <is>
          <t>GÄVLEBORGS LÄN</t>
        </is>
      </c>
      <c r="G713" t="inlineStr">
        <is>
          <t>SANDVIKEN</t>
        </is>
      </c>
      <c r="H713" t="inlineStr">
        <is>
          <t>Naturvårdsverket</t>
        </is>
      </c>
      <c r="I713" t="n">
        <v>19.5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46248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10107-2026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46074</v>
      </c>
      <c r="E715" s="1" t="n">
        <v>46248</v>
      </c>
      <c r="F715" t="inlineStr">
        <is>
          <t>GÄVLEBORGS LÄN</t>
        </is>
      </c>
      <c r="G715" t="inlineStr">
        <is>
          <t>SANDVIKEN</t>
        </is>
      </c>
      <c r="I715" t="n">
        <v>7.6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10346-2026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46076</v>
      </c>
      <c r="E716" s="1" t="n">
        <v>46248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46031</v>
      </c>
      <c r="E717" s="1" t="n">
        <v>46248</v>
      </c>
      <c r="F717" t="inlineStr">
        <is>
          <t>GÄVLEBORGS LÄN</t>
        </is>
      </c>
      <c r="G717" t="inlineStr">
        <is>
          <t>SANDVIKEN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10808-2026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46248</v>
      </c>
      <c r="F718" t="inlineStr">
        <is>
          <t>GÄVLEBORGS LÄN</t>
        </is>
      </c>
      <c r="G718" t="inlineStr">
        <is>
          <t>SANDVIKEN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46034</v>
      </c>
      <c r="E719" s="1" t="n">
        <v>46248</v>
      </c>
      <c r="F719" t="inlineStr">
        <is>
          <t>GÄVLEBORGS LÄN</t>
        </is>
      </c>
      <c r="G719" t="inlineStr">
        <is>
          <t>SANDVIKEN</t>
        </is>
      </c>
      <c r="I719" t="n">
        <v>9.300000000000001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46080</v>
      </c>
      <c r="E720" s="1" t="n">
        <v>46248</v>
      </c>
      <c r="F720" t="inlineStr">
        <is>
          <t>GÄVLEBORGS LÄN</t>
        </is>
      </c>
      <c r="G720" t="inlineStr">
        <is>
          <t>SANDVIKEN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46036</v>
      </c>
      <c r="E721" s="1" t="n">
        <v>46248</v>
      </c>
      <c r="F721" t="inlineStr">
        <is>
          <t>GÄVLEBORGS LÄN</t>
        </is>
      </c>
      <c r="G721" t="inlineStr">
        <is>
          <t>SANDVIKEN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11213-2026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46080</v>
      </c>
      <c r="E722" s="1" t="n">
        <v>46248</v>
      </c>
      <c r="F722" t="inlineStr">
        <is>
          <t>GÄVLEBORGS LÄN</t>
        </is>
      </c>
      <c r="G722" t="inlineStr">
        <is>
          <t>SANDVIKEN</t>
        </is>
      </c>
      <c r="I722" t="n">
        <v>14.5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46248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11725-2026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46248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10.5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11726-2026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46248</v>
      </c>
      <c r="F725" t="inlineStr">
        <is>
          <t>GÄVLEBORGS LÄN</t>
        </is>
      </c>
      <c r="G725" t="inlineStr">
        <is>
          <t>SANDVIKEN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46248</v>
      </c>
      <c r="F726" t="inlineStr">
        <is>
          <t>GÄVLEBORGS LÄN</t>
        </is>
      </c>
      <c r="G726" t="inlineStr">
        <is>
          <t>SANDVIKEN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46248</v>
      </c>
      <c r="F727" t="inlineStr">
        <is>
          <t>GÄVLEBORGS LÄN</t>
        </is>
      </c>
      <c r="G727" t="inlineStr">
        <is>
          <t>SANDVIKEN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12064-2026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46086</v>
      </c>
      <c r="E728" s="1" t="n">
        <v>46248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11914-2026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46085</v>
      </c>
      <c r="E729" s="1" t="n">
        <v>46248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46086</v>
      </c>
      <c r="E730" s="1" t="n">
        <v>46248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46248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46085</v>
      </c>
      <c r="E732" s="1" t="n">
        <v>46248</v>
      </c>
      <c r="F732" t="inlineStr">
        <is>
          <t>GÄVLEBORGS LÄN</t>
        </is>
      </c>
      <c r="G732" t="inlineStr">
        <is>
          <t>SANDVIKEN</t>
        </is>
      </c>
      <c r="H732" t="inlineStr">
        <is>
          <t>Naturvårdsverket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12146-2026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46086</v>
      </c>
      <c r="E733" s="1" t="n">
        <v>46248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11800-2026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46085</v>
      </c>
      <c r="E734" s="1" t="n">
        <v>46248</v>
      </c>
      <c r="F734" t="inlineStr">
        <is>
          <t>GÄVLEBORGS LÄN</t>
        </is>
      </c>
      <c r="G734" t="inlineStr">
        <is>
          <t>SANDVIKEN</t>
        </is>
      </c>
      <c r="H734" t="inlineStr">
        <is>
          <t>Naturvårdsverket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46085</v>
      </c>
      <c r="E735" s="1" t="n">
        <v>46248</v>
      </c>
      <c r="F735" t="inlineStr">
        <is>
          <t>GÄVLEBORGS LÄN</t>
        </is>
      </c>
      <c r="G735" t="inlineStr">
        <is>
          <t>SANDVIKEN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12089-2026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46086</v>
      </c>
      <c r="E736" s="1" t="n">
        <v>46248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12091-2026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46086</v>
      </c>
      <c r="E737" s="1" t="n">
        <v>46248</v>
      </c>
      <c r="F737" t="inlineStr">
        <is>
          <t>GÄVLEBORGS LÄN</t>
        </is>
      </c>
      <c r="G737" t="inlineStr">
        <is>
          <t>SANDVIKEN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46086</v>
      </c>
      <c r="E738" s="1" t="n">
        <v>46248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46248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12062-2026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46248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12098-2026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46086</v>
      </c>
      <c r="E741" s="1" t="n">
        <v>46248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12208-2026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46087</v>
      </c>
      <c r="E742" s="1" t="n">
        <v>46248</v>
      </c>
      <c r="F742" t="inlineStr">
        <is>
          <t>GÄVLEBORGS LÄN</t>
        </is>
      </c>
      <c r="G742" t="inlineStr">
        <is>
          <t>SANDVIKEN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12433-2026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46090</v>
      </c>
      <c r="E743" s="1" t="n">
        <v>46248</v>
      </c>
      <c r="F743" t="inlineStr">
        <is>
          <t>GÄVLEBORGS LÄN</t>
        </is>
      </c>
      <c r="G743" t="inlineStr">
        <is>
          <t>SANDVIKEN</t>
        </is>
      </c>
      <c r="H743" t="inlineStr">
        <is>
          <t>Kommuner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12293-2026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46248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12317-2026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46248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46248</v>
      </c>
      <c r="F746" t="inlineStr">
        <is>
          <t>GÄVLEBORGS LÄN</t>
        </is>
      </c>
      <c r="G746" t="inlineStr">
        <is>
          <t>SANDVIKEN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46248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46092</v>
      </c>
      <c r="E748" s="1" t="n">
        <v>46248</v>
      </c>
      <c r="F748" t="inlineStr">
        <is>
          <t>GÄVLEBORGS LÄN</t>
        </is>
      </c>
      <c r="G748" t="inlineStr">
        <is>
          <t>SANDVIKEN</t>
        </is>
      </c>
      <c r="H748" t="inlineStr">
        <is>
          <t>Naturvårdsverket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12826-2026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46092</v>
      </c>
      <c r="E749" s="1" t="n">
        <v>46248</v>
      </c>
      <c r="F749" t="inlineStr">
        <is>
          <t>GÄVLEBORGS LÄN</t>
        </is>
      </c>
      <c r="G749" t="inlineStr">
        <is>
          <t>SANDVIKEN</t>
        </is>
      </c>
      <c r="H749" t="inlineStr">
        <is>
          <t>Naturvårdsverket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12641-2026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46091</v>
      </c>
      <c r="E750" s="1" t="n">
        <v>46248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12656-2026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46091</v>
      </c>
      <c r="E751" s="1" t="n">
        <v>46248</v>
      </c>
      <c r="F751" t="inlineStr">
        <is>
          <t>GÄVLEBORGS LÄN</t>
        </is>
      </c>
      <c r="G751" t="inlineStr">
        <is>
          <t>SANDVIKEN</t>
        </is>
      </c>
      <c r="H751" t="inlineStr">
        <is>
          <t>Naturvårdsverket</t>
        </is>
      </c>
      <c r="I751" t="n">
        <v>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12847-2026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46248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12857-2026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46092</v>
      </c>
      <c r="E753" s="1" t="n">
        <v>46248</v>
      </c>
      <c r="F753" t="inlineStr">
        <is>
          <t>GÄVLEBORGS LÄN</t>
        </is>
      </c>
      <c r="G753" t="inlineStr">
        <is>
          <t>SANDVIKEN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46043</v>
      </c>
      <c r="E754" s="1" t="n">
        <v>46248</v>
      </c>
      <c r="F754" t="inlineStr">
        <is>
          <t>GÄVLEBORGS LÄN</t>
        </is>
      </c>
      <c r="G754" t="inlineStr">
        <is>
          <t>SANDVIKEN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46092</v>
      </c>
      <c r="E755" s="1" t="n">
        <v>46248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12704-2026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46091</v>
      </c>
      <c r="E756" s="1" t="n">
        <v>46248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46248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46248</v>
      </c>
      <c r="F758" t="inlineStr">
        <is>
          <t>GÄVLEBORGS LÄN</t>
        </is>
      </c>
      <c r="G758" t="inlineStr">
        <is>
          <t>SANDVIKEN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13108-2026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46248</v>
      </c>
      <c r="F759" t="inlineStr">
        <is>
          <t>GÄVLEBORGS LÄN</t>
        </is>
      </c>
      <c r="G759" t="inlineStr">
        <is>
          <t>SANDVIKEN</t>
        </is>
      </c>
      <c r="I759" t="n">
        <v>22.5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46036</v>
      </c>
      <c r="E760" s="1" t="n">
        <v>46248</v>
      </c>
      <c r="F760" t="inlineStr">
        <is>
          <t>GÄVLEBORGS LÄN</t>
        </is>
      </c>
      <c r="G760" t="inlineStr">
        <is>
          <t>SANDVIKEN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13552-2026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46248</v>
      </c>
      <c r="F761" t="inlineStr">
        <is>
          <t>GÄVLEBORGS LÄN</t>
        </is>
      </c>
      <c r="G761" t="inlineStr">
        <is>
          <t>SANDVIKEN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46248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13727-2026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46248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46095</v>
      </c>
      <c r="E764" s="1" t="n">
        <v>46248</v>
      </c>
      <c r="F764" t="inlineStr">
        <is>
          <t>GÄVLEBORGS LÄN</t>
        </is>
      </c>
      <c r="G764" t="inlineStr">
        <is>
          <t>SANDVIKEN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13577-2026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46095</v>
      </c>
      <c r="E765" s="1" t="n">
        <v>46248</v>
      </c>
      <c r="F765" t="inlineStr">
        <is>
          <t>GÄVLEBORGS LÄN</t>
        </is>
      </c>
      <c r="G765" t="inlineStr">
        <is>
          <t>SANDVIKEN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13581-2026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46095</v>
      </c>
      <c r="E766" s="1" t="n">
        <v>46248</v>
      </c>
      <c r="F766" t="inlineStr">
        <is>
          <t>GÄVLEBORGS LÄN</t>
        </is>
      </c>
      <c r="G766" t="inlineStr">
        <is>
          <t>SANDVIKEN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46095</v>
      </c>
      <c r="E767" s="1" t="n">
        <v>46248</v>
      </c>
      <c r="F767" t="inlineStr">
        <is>
          <t>GÄVLEBORGS LÄN</t>
        </is>
      </c>
      <c r="G767" t="inlineStr">
        <is>
          <t>SANDVIKEN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46095</v>
      </c>
      <c r="E768" s="1" t="n">
        <v>46248</v>
      </c>
      <c r="F768" t="inlineStr">
        <is>
          <t>GÄVLEBORGS LÄN</t>
        </is>
      </c>
      <c r="G768" t="inlineStr">
        <is>
          <t>SANDVIKEN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13584-2026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46095</v>
      </c>
      <c r="E769" s="1" t="n">
        <v>46248</v>
      </c>
      <c r="F769" t="inlineStr">
        <is>
          <t>GÄVLEBORGS LÄN</t>
        </is>
      </c>
      <c r="G769" t="inlineStr">
        <is>
          <t>SANDVIKEN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46248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14044-2026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46098</v>
      </c>
      <c r="E771" s="1" t="n">
        <v>46248</v>
      </c>
      <c r="F771" t="inlineStr">
        <is>
          <t>GÄVLEBORGS LÄN</t>
        </is>
      </c>
      <c r="G771" t="inlineStr">
        <is>
          <t>SANDVIKEN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13586-2026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46095</v>
      </c>
      <c r="E772" s="1" t="n">
        <v>46248</v>
      </c>
      <c r="F772" t="inlineStr">
        <is>
          <t>GÄVLEBORGS LÄN</t>
        </is>
      </c>
      <c r="G772" t="inlineStr">
        <is>
          <t>SANDVIKEN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13605-2026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46248</v>
      </c>
      <c r="F773" t="inlineStr">
        <is>
          <t>GÄVLEBORGS LÄN</t>
        </is>
      </c>
      <c r="G773" t="inlineStr">
        <is>
          <t>SANDVIKEN</t>
        </is>
      </c>
      <c r="H773" t="inlineStr">
        <is>
          <t>Kommuner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14257-2026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46248</v>
      </c>
      <c r="F774" t="inlineStr">
        <is>
          <t>GÄVLEBORGS LÄN</t>
        </is>
      </c>
      <c r="G774" t="inlineStr">
        <is>
          <t>SANDVIKEN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14423-2026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46100</v>
      </c>
      <c r="E775" s="1" t="n">
        <v>46248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14330-2026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46248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14119-2026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46099</v>
      </c>
      <c r="E777" s="1" t="n">
        <v>46248</v>
      </c>
      <c r="F777" t="inlineStr">
        <is>
          <t>GÄVLEBORGS LÄN</t>
        </is>
      </c>
      <c r="G777" t="inlineStr">
        <is>
          <t>SANDVIKEN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14094-2026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46099</v>
      </c>
      <c r="E778" s="1" t="n">
        <v>46248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14192-2026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46248</v>
      </c>
      <c r="F779" t="inlineStr">
        <is>
          <t>GÄVLEBORGS LÄN</t>
        </is>
      </c>
      <c r="G779" t="inlineStr">
        <is>
          <t>SANDVIKEN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14219-2026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46099</v>
      </c>
      <c r="E780" s="1" t="n">
        <v>46248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14093-2026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46099</v>
      </c>
      <c r="E781" s="1" t="n">
        <v>46248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46101</v>
      </c>
      <c r="E782" s="1" t="n">
        <v>46248</v>
      </c>
      <c r="F782" t="inlineStr">
        <is>
          <t>GÄVLEBORGS LÄN</t>
        </is>
      </c>
      <c r="G782" t="inlineStr">
        <is>
          <t>SANDVIKEN</t>
        </is>
      </c>
      <c r="H782" t="inlineStr">
        <is>
          <t>Kommuner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14663-2026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46101</v>
      </c>
      <c r="E783" s="1" t="n">
        <v>46248</v>
      </c>
      <c r="F783" t="inlineStr">
        <is>
          <t>GÄVLEBORGS LÄN</t>
        </is>
      </c>
      <c r="G783" t="inlineStr">
        <is>
          <t>SANDVIKEN</t>
        </is>
      </c>
      <c r="H783" t="inlineStr">
        <is>
          <t>Kommuner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14649-2026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46101</v>
      </c>
      <c r="E784" s="1" t="n">
        <v>46248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7351-2026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46058</v>
      </c>
      <c r="E785" s="1" t="n">
        <v>46248</v>
      </c>
      <c r="F785" t="inlineStr">
        <is>
          <t>GÄVLEBORGS LÄN</t>
        </is>
      </c>
      <c r="G785" t="inlineStr">
        <is>
          <t>SANDVIKEN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46248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15529-2026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46248</v>
      </c>
      <c r="F787" t="inlineStr">
        <is>
          <t>GÄVLEBORGS LÄN</t>
        </is>
      </c>
      <c r="G787" t="inlineStr">
        <is>
          <t>SANDVIKEN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15113-2026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46105</v>
      </c>
      <c r="E788" s="1" t="n">
        <v>46248</v>
      </c>
      <c r="F788" t="inlineStr">
        <is>
          <t>GÄVLEBORGS LÄN</t>
        </is>
      </c>
      <c r="G788" t="inlineStr">
        <is>
          <t>SANDVIKEN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15770-2026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46107</v>
      </c>
      <c r="E789" s="1" t="n">
        <v>46248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15778-2026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46107</v>
      </c>
      <c r="E790" s="1" t="n">
        <v>46248</v>
      </c>
      <c r="F790" t="inlineStr">
        <is>
          <t>GÄVLEBORGS LÄN</t>
        </is>
      </c>
      <c r="G790" t="inlineStr">
        <is>
          <t>SANDVIKEN</t>
        </is>
      </c>
      <c r="H790" t="inlineStr">
        <is>
          <t>Kommuner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15861-2026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46107</v>
      </c>
      <c r="E791" s="1" t="n">
        <v>46248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16019-2026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46108</v>
      </c>
      <c r="E792" s="1" t="n">
        <v>46248</v>
      </c>
      <c r="F792" t="inlineStr">
        <is>
          <t>GÄVLEBORGS LÄN</t>
        </is>
      </c>
      <c r="G792" t="inlineStr">
        <is>
          <t>SANDVIKEN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16060-2026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46108</v>
      </c>
      <c r="E793" s="1" t="n">
        <v>46248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46248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46248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16328-2026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46111</v>
      </c>
      <c r="E796" s="1" t="n">
        <v>46248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46049</v>
      </c>
      <c r="E797" s="1" t="n">
        <v>46248</v>
      </c>
      <c r="F797" t="inlineStr">
        <is>
          <t>GÄVLEBORGS LÄN</t>
        </is>
      </c>
      <c r="G797" t="inlineStr">
        <is>
          <t>SANDVIKEN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16569-2026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46112</v>
      </c>
      <c r="E798" s="1" t="n">
        <v>46248</v>
      </c>
      <c r="F798" t="inlineStr">
        <is>
          <t>GÄVLEBORGS LÄN</t>
        </is>
      </c>
      <c r="G798" t="inlineStr">
        <is>
          <t>SANDVIKEN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46114</v>
      </c>
      <c r="E799" s="1" t="n">
        <v>46248</v>
      </c>
      <c r="F799" t="inlineStr">
        <is>
          <t>GÄVLEBORGS LÄN</t>
        </is>
      </c>
      <c r="G799" t="inlineStr">
        <is>
          <t>SANDVIKEN</t>
        </is>
      </c>
      <c r="I799" t="n">
        <v>10.3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17172-2026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46115</v>
      </c>
      <c r="E800" s="1" t="n">
        <v>46248</v>
      </c>
      <c r="F800" t="inlineStr">
        <is>
          <t>GÄVLEBORGS LÄN</t>
        </is>
      </c>
      <c r="G800" t="inlineStr">
        <is>
          <t>SANDVIKEN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17182-2026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46116</v>
      </c>
      <c r="E801" s="1" t="n">
        <v>46248</v>
      </c>
      <c r="F801" t="inlineStr">
        <is>
          <t>GÄVLEBORGS LÄN</t>
        </is>
      </c>
      <c r="G801" t="inlineStr">
        <is>
          <t>SANDVIKEN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17165-2026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46115</v>
      </c>
      <c r="E802" s="1" t="n">
        <v>46248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17175-2026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46115</v>
      </c>
      <c r="E803" s="1" t="n">
        <v>46248</v>
      </c>
      <c r="F803" t="inlineStr">
        <is>
          <t>GÄVLEBORGS LÄN</t>
        </is>
      </c>
      <c r="G803" t="inlineStr">
        <is>
          <t>SANDVIKEN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17180-2026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46116</v>
      </c>
      <c r="E804" s="1" t="n">
        <v>46248</v>
      </c>
      <c r="F804" t="inlineStr">
        <is>
          <t>GÄVLEBORGS LÄN</t>
        </is>
      </c>
      <c r="G804" t="inlineStr">
        <is>
          <t>SANDVIKEN</t>
        </is>
      </c>
      <c r="I804" t="n">
        <v>8.9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46115</v>
      </c>
      <c r="E805" s="1" t="n">
        <v>46248</v>
      </c>
      <c r="F805" t="inlineStr">
        <is>
          <t>GÄVLEBORGS LÄN</t>
        </is>
      </c>
      <c r="G805" t="inlineStr">
        <is>
          <t>SANDVIKEN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17183-2026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46116</v>
      </c>
      <c r="E806" s="1" t="n">
        <v>46248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17166-2026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46115</v>
      </c>
      <c r="E807" s="1" t="n">
        <v>46248</v>
      </c>
      <c r="F807" t="inlineStr">
        <is>
          <t>GÄVLEBORGS LÄN</t>
        </is>
      </c>
      <c r="G807" t="inlineStr">
        <is>
          <t>SANDVIKEN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17173-2026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46115</v>
      </c>
      <c r="E808" s="1" t="n">
        <v>46248</v>
      </c>
      <c r="F808" t="inlineStr">
        <is>
          <t>GÄVLEBORGS LÄN</t>
        </is>
      </c>
      <c r="G808" t="inlineStr">
        <is>
          <t>SANDVIKEN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17359-2026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46119</v>
      </c>
      <c r="E809" s="1" t="n">
        <v>46248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17363-2026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46248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46119</v>
      </c>
      <c r="E811" s="1" t="n">
        <v>46248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17361-2026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46119</v>
      </c>
      <c r="E812" s="1" t="n">
        <v>46248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17366-2026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46248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17360-2026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46119</v>
      </c>
      <c r="E814" s="1" t="n">
        <v>46248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17473-2026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46120</v>
      </c>
      <c r="E815" s="1" t="n">
        <v>46248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17626-2026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46121</v>
      </c>
      <c r="E816" s="1" t="n">
        <v>46248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17596-2026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46121</v>
      </c>
      <c r="E817" s="1" t="n">
        <v>46248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23539-2026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46163</v>
      </c>
      <c r="E818" s="1" t="n">
        <v>46248</v>
      </c>
      <c r="F818" t="inlineStr">
        <is>
          <t>GÄVLEBORGS LÄN</t>
        </is>
      </c>
      <c r="G818" t="inlineStr">
        <is>
          <t>SANDVIKEN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18218-2026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46126</v>
      </c>
      <c r="E819" s="1" t="n">
        <v>46248</v>
      </c>
      <c r="F819" t="inlineStr">
        <is>
          <t>GÄVLEBORGS LÄN</t>
        </is>
      </c>
      <c r="G819" t="inlineStr">
        <is>
          <t>SANDVIKEN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18224-2026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46126</v>
      </c>
      <c r="E820" s="1" t="n">
        <v>46248</v>
      </c>
      <c r="F820" t="inlineStr">
        <is>
          <t>GÄVLEBORGS LÄN</t>
        </is>
      </c>
      <c r="G820" t="inlineStr">
        <is>
          <t>SANDVIKEN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18395-2026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46126</v>
      </c>
      <c r="E821" s="1" t="n">
        <v>46248</v>
      </c>
      <c r="F821" t="inlineStr">
        <is>
          <t>GÄVLEBORGS LÄN</t>
        </is>
      </c>
      <c r="G821" t="inlineStr">
        <is>
          <t>SANDVIKEN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18219-2026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46126</v>
      </c>
      <c r="E822" s="1" t="n">
        <v>46248</v>
      </c>
      <c r="F822" t="inlineStr">
        <is>
          <t>GÄVLEBORGS LÄN</t>
        </is>
      </c>
      <c r="G822" t="inlineStr">
        <is>
          <t>SANDVIKEN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18988-2026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46129</v>
      </c>
      <c r="E823" s="1" t="n">
        <v>46248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18992-2026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46129</v>
      </c>
      <c r="E824" s="1" t="n">
        <v>46248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18997-2026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46129</v>
      </c>
      <c r="E825" s="1" t="n">
        <v>46248</v>
      </c>
      <c r="F825" t="inlineStr">
        <is>
          <t>GÄVLEBORGS LÄN</t>
        </is>
      </c>
      <c r="G825" t="inlineStr">
        <is>
          <t>SANDVIKEN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18750-2026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46128</v>
      </c>
      <c r="E826" s="1" t="n">
        <v>46248</v>
      </c>
      <c r="F826" t="inlineStr">
        <is>
          <t>GÄVLEBORGS LÄN</t>
        </is>
      </c>
      <c r="G826" t="inlineStr">
        <is>
          <t>SANDVIKEN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18656-2026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46128</v>
      </c>
      <c r="E827" s="1" t="n">
        <v>46248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18991-2026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46129</v>
      </c>
      <c r="E828" s="1" t="n">
        <v>46248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14092-2026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46099</v>
      </c>
      <c r="E829" s="1" t="n">
        <v>46248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18990-2026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46129</v>
      </c>
      <c r="E830" s="1" t="n">
        <v>46248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18987-2026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46248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18749-2026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46128</v>
      </c>
      <c r="E832" s="1" t="n">
        <v>46248</v>
      </c>
      <c r="F832" t="inlineStr">
        <is>
          <t>GÄVLEBORGS LÄN</t>
        </is>
      </c>
      <c r="G832" t="inlineStr">
        <is>
          <t>SANDVIKEN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18811-2026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46128</v>
      </c>
      <c r="E833" s="1" t="n">
        <v>46248</v>
      </c>
      <c r="F833" t="inlineStr">
        <is>
          <t>GÄVLEBORGS LÄN</t>
        </is>
      </c>
      <c r="G833" t="inlineStr">
        <is>
          <t>SANDVIKEN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15855-2026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46107</v>
      </c>
      <c r="E834" s="1" t="n">
        <v>46248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19189-2026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46248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7825-2026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46062</v>
      </c>
      <c r="E836" s="1" t="n">
        <v>46248</v>
      </c>
      <c r="F836" t="inlineStr">
        <is>
          <t>GÄVLEBORGS LÄN</t>
        </is>
      </c>
      <c r="G836" t="inlineStr">
        <is>
          <t>SANDVIKEN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46130</v>
      </c>
      <c r="E837" s="1" t="n">
        <v>46248</v>
      </c>
      <c r="F837" t="inlineStr">
        <is>
          <t>GÄVLEBORGS LÄN</t>
        </is>
      </c>
      <c r="G837" t="inlineStr">
        <is>
          <t>SANDVIKEN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46132</v>
      </c>
      <c r="E838" s="1" t="n">
        <v>46248</v>
      </c>
      <c r="F838" t="inlineStr">
        <is>
          <t>GÄVLEBORGS LÄN</t>
        </is>
      </c>
      <c r="G838" t="inlineStr">
        <is>
          <t>SANDVIKEN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12732-2026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46091</v>
      </c>
      <c r="E839" s="1" t="n">
        <v>46248</v>
      </c>
      <c r="F839" t="inlineStr">
        <is>
          <t>GÄVLEBORGS LÄN</t>
        </is>
      </c>
      <c r="G839" t="inlineStr">
        <is>
          <t>SANDVIKEN</t>
        </is>
      </c>
      <c r="H839" t="inlineStr">
        <is>
          <t>Naturvårdsverket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19467-2026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46248</v>
      </c>
      <c r="F840" t="inlineStr">
        <is>
          <t>GÄVLEBORGS LÄN</t>
        </is>
      </c>
      <c r="G840" t="inlineStr">
        <is>
          <t>SANDVIKEN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19273-2026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46133</v>
      </c>
      <c r="E841" s="1" t="n">
        <v>46248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19080-2026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46132</v>
      </c>
      <c r="E842" s="1" t="n">
        <v>46248</v>
      </c>
      <c r="F842" t="inlineStr">
        <is>
          <t>GÄVLEBORGS LÄN</t>
        </is>
      </c>
      <c r="G842" t="inlineStr">
        <is>
          <t>SANDVIKEN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12675-2026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46091</v>
      </c>
      <c r="E843" s="1" t="n">
        <v>46248</v>
      </c>
      <c r="F843" t="inlineStr">
        <is>
          <t>GÄVLEBORGS LÄN</t>
        </is>
      </c>
      <c r="G843" t="inlineStr">
        <is>
          <t>SANDVIKEN</t>
        </is>
      </c>
      <c r="H843" t="inlineStr">
        <is>
          <t>Naturvårdsverket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19865-2026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46135</v>
      </c>
      <c r="E844" s="1" t="n">
        <v>46248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19827-2026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46135</v>
      </c>
      <c r="E845" s="1" t="n">
        <v>46248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12115-2026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46086</v>
      </c>
      <c r="E846" s="1" t="n">
        <v>46248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8603-2026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46065</v>
      </c>
      <c r="E847" s="1" t="n">
        <v>46248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12382-2026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46090</v>
      </c>
      <c r="E848" s="1" t="n">
        <v>46248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12776-2026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46091</v>
      </c>
      <c r="E849" s="1" t="n">
        <v>46248</v>
      </c>
      <c r="F849" t="inlineStr">
        <is>
          <t>GÄVLEBORGS LÄN</t>
        </is>
      </c>
      <c r="G849" t="inlineStr">
        <is>
          <t>SANDVIKEN</t>
        </is>
      </c>
      <c r="H849" t="inlineStr">
        <is>
          <t>Naturvårdsverket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36203-2025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45867</v>
      </c>
      <c r="E850" s="1" t="n">
        <v>46248</v>
      </c>
      <c r="F850" t="inlineStr">
        <is>
          <t>GÄVLEBORGS LÄN</t>
        </is>
      </c>
      <c r="G850" t="inlineStr">
        <is>
          <t>SANDVIKEN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27969-2024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45476</v>
      </c>
      <c r="E851" s="1" t="n">
        <v>46248</v>
      </c>
      <c r="F851" t="inlineStr">
        <is>
          <t>GÄVLEBORGS LÄN</t>
        </is>
      </c>
      <c r="G851" t="inlineStr">
        <is>
          <t>SANDVIKEN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2189-2026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46248</v>
      </c>
      <c r="F852" t="inlineStr">
        <is>
          <t>GÄVLEBORGS LÄN</t>
        </is>
      </c>
      <c r="G852" t="inlineStr">
        <is>
          <t>SANDVIKEN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1392-2024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45303</v>
      </c>
      <c r="E853" s="1" t="n">
        <v>46248</v>
      </c>
      <c r="F853" t="inlineStr">
        <is>
          <t>GÄVLEBORGS LÄN</t>
        </is>
      </c>
      <c r="G853" t="inlineStr">
        <is>
          <t>SANDVIKEN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56734-2021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44481</v>
      </c>
      <c r="E854" s="1" t="n">
        <v>46248</v>
      </c>
      <c r="F854" t="inlineStr">
        <is>
          <t>GÄVLEBORGS LÄN</t>
        </is>
      </c>
      <c r="G854" t="inlineStr">
        <is>
          <t>SANDVIKEN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49209-2024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45595</v>
      </c>
      <c r="E855" s="1" t="n">
        <v>46248</v>
      </c>
      <c r="F855" t="inlineStr">
        <is>
          <t>GÄVLEBORGS LÄN</t>
        </is>
      </c>
      <c r="G855" t="inlineStr">
        <is>
          <t>SANDVIKEN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42495-2025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45905</v>
      </c>
      <c r="E856" s="1" t="n">
        <v>46248</v>
      </c>
      <c r="F856" t="inlineStr">
        <is>
          <t>GÄVLEBORGS LÄN</t>
        </is>
      </c>
      <c r="G856" t="inlineStr">
        <is>
          <t>SANDVIKEN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8379-2025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45709</v>
      </c>
      <c r="E857" s="1" t="n">
        <v>46248</v>
      </c>
      <c r="F857" t="inlineStr">
        <is>
          <t>GÄVLEBORGS LÄN</t>
        </is>
      </c>
      <c r="G857" t="inlineStr">
        <is>
          <t>SANDVIKEN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1974-2026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46248</v>
      </c>
      <c r="F858" t="inlineStr">
        <is>
          <t>GÄVLEBORGS LÄN</t>
        </is>
      </c>
      <c r="G858" t="inlineStr">
        <is>
          <t>SANDVIKEN</t>
        </is>
      </c>
      <c r="I858" t="n">
        <v>6.9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1064-2026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46248</v>
      </c>
      <c r="F859" t="inlineStr">
        <is>
          <t>GÄVLEBORGS LÄN</t>
        </is>
      </c>
      <c r="G859" t="inlineStr">
        <is>
          <t>SANDVIKEN</t>
        </is>
      </c>
      <c r="I859" t="n">
        <v>10.1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11205-2026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46080</v>
      </c>
      <c r="E860" s="1" t="n">
        <v>46248</v>
      </c>
      <c r="F860" t="inlineStr">
        <is>
          <t>GÄVLEBORGS LÄN</t>
        </is>
      </c>
      <c r="G860" t="inlineStr">
        <is>
          <t>SANDVIKEN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46030</v>
      </c>
      <c r="E861" s="1" t="n">
        <v>46248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19499-2026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46248</v>
      </c>
      <c r="F862" t="inlineStr">
        <is>
          <t>GÄVLEBORGS LÄN</t>
        </is>
      </c>
      <c r="G862" t="inlineStr">
        <is>
          <t>SANDVIKEN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46029</v>
      </c>
      <c r="E863" s="1" t="n">
        <v>46248</v>
      </c>
      <c r="F863" t="inlineStr">
        <is>
          <t>GÄVLEBORGS LÄN</t>
        </is>
      </c>
      <c r="G863" t="inlineStr">
        <is>
          <t>SANDVIKEN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55539-2023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45238</v>
      </c>
      <c r="E864" s="1" t="n">
        <v>46248</v>
      </c>
      <c r="F864" t="inlineStr">
        <is>
          <t>GÄVLEBORGS LÄN</t>
        </is>
      </c>
      <c r="G864" t="inlineStr">
        <is>
          <t>SANDVIKEN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7599-2026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46061</v>
      </c>
      <c r="E865" s="1" t="n">
        <v>46248</v>
      </c>
      <c r="F865" t="inlineStr">
        <is>
          <t>GÄVLEBORGS LÄN</t>
        </is>
      </c>
      <c r="G865" t="inlineStr">
        <is>
          <t>SANDVIKEN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46037</v>
      </c>
      <c r="E866" s="1" t="n">
        <v>46248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6078-2026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46052</v>
      </c>
      <c r="E867" s="1" t="n">
        <v>46248</v>
      </c>
      <c r="F867" t="inlineStr">
        <is>
          <t>GÄVLEBORGS LÄN</t>
        </is>
      </c>
      <c r="G867" t="inlineStr">
        <is>
          <t>SANDVIKEN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7898-2026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46063</v>
      </c>
      <c r="E868" s="1" t="n">
        <v>46248</v>
      </c>
      <c r="F868" t="inlineStr">
        <is>
          <t>GÄVLEBORGS LÄN</t>
        </is>
      </c>
      <c r="G868" t="inlineStr">
        <is>
          <t>SANDVIKEN</t>
        </is>
      </c>
      <c r="I868" t="n">
        <v>5.6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42107-2024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46248</v>
      </c>
      <c r="F869" t="inlineStr">
        <is>
          <t>GÄVLEBORGS LÄN</t>
        </is>
      </c>
      <c r="G869" t="inlineStr">
        <is>
          <t>SANDVIKEN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46248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219-2024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45316</v>
      </c>
      <c r="E871" s="1" t="n">
        <v>46248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21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198-2024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45315</v>
      </c>
      <c r="E872" s="1" t="n">
        <v>46248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64.59999999999999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7975-2021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44484</v>
      </c>
      <c r="E873" s="1" t="n">
        <v>46248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2574-2023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45142</v>
      </c>
      <c r="E874" s="1" t="n">
        <v>46248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31.8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10363-2021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44550</v>
      </c>
      <c r="E875" s="1" t="n">
        <v>46248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73.3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46248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46248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46248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46248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46248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46248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46248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46248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2026-08-14T01:58:03Z</dcterms:created>
  <dcterms:modified xmlns:dcterms="http://purl.org/dc/terms/" xmlns:xsi="http://www.w3.org/2001/XMLSchema-instance" xsi:type="dcterms:W3CDTF">2026-08-14T01:58:04Z</dcterms:modified>
</cp:coreProperties>
</file>