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46300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46300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46300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46300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46300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46300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46300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46300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46300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46300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46300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46300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46300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46300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46300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46300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46300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46300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46300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46300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46300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46729-2025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46300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7.6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Motaggsvamp
Ullticka</t>
        </is>
      </c>
      <c r="W35">
        <f>HYPERLINK("https://klasma.github.io/Logging_2181/artfynd/A 46729-2025 artfynd.xlsx", "A 46729-2025")</f>
        <v/>
      </c>
      <c r="X35">
        <f>HYPERLINK("https://klasma.github.io/Logging_2181/kartor/A 46729-2025 karta.png", "A 46729-2025")</f>
        <v/>
      </c>
      <c r="Y35">
        <f>HYPERLINK("https://klasma.github.io/Logging_2181/kartor_geotiff/A 46729-2025 georefererad karta.tif", "A 46729-2025")</f>
        <v/>
      </c>
      <c r="AA35">
        <f>HYPERLINK("https://klasma.github.io/Logging_2181/klagomål/A 46729-2025 FSC-klagomål.docx", "A 46729-2025")</f>
        <v/>
      </c>
      <c r="AB35">
        <f>HYPERLINK("https://klasma.github.io/Logging_2181/klagomålsmail/A 46729-2025 FSC-klagomål mail.docx", "A 46729-2025")</f>
        <v/>
      </c>
      <c r="AC35">
        <f>HYPERLINK("https://klasma.github.io/Logging_2181/tillsyn/A 46729-2025 tillsynsbegäran.docx", "A 46729-2025")</f>
        <v/>
      </c>
      <c r="AD35">
        <f>HYPERLINK("https://klasma.github.io/Logging_2181/tillsynsmail/A 46729-2025 tillsynsbegäran mail.docx", "A 46729-2025")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46300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46300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46300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46300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46300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46300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46300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46300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46300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46300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35377-2026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46300</v>
      </c>
      <c r="F46" t="inlineStr">
        <is>
          <t>GÄVLEBORGS LÄN</t>
        </is>
      </c>
      <c r="G46" t="inlineStr">
        <is>
          <t>SANDVIKEN</t>
        </is>
      </c>
      <c r="I46" t="n">
        <v>1.8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Garnlav
Tallticka</t>
        </is>
      </c>
      <c r="W46">
        <f>HYPERLINK("https://klasma.github.io/Logging_2181/artfynd/A 35377-2026 artfynd.xlsx", "A 35377-2026")</f>
        <v/>
      </c>
      <c r="X46">
        <f>HYPERLINK("https://klasma.github.io/Logging_2181/kartor/A 35377-2026 karta.png", "A 35377-2026")</f>
        <v/>
      </c>
      <c r="Y46">
        <f>HYPERLINK("https://klasma.github.io/Logging_2181/kartor_geotiff/A 35377-2026 georefererad karta.tif", "A 35377-2026")</f>
        <v/>
      </c>
      <c r="AA46">
        <f>HYPERLINK("https://klasma.github.io/Logging_2181/klagomål/A 35377-2026 FSC-klagomål.docx", "A 35377-2026")</f>
        <v/>
      </c>
      <c r="AB46">
        <f>HYPERLINK("https://klasma.github.io/Logging_2181/klagomålsmail/A 35377-2026 FSC-klagomål mail.docx", "A 35377-2026")</f>
        <v/>
      </c>
      <c r="AC46">
        <f>HYPERLINK("https://klasma.github.io/Logging_2181/tillsyn/A 35377-2026 tillsynsbegäran.docx", "A 35377-2026")</f>
        <v/>
      </c>
      <c r="AD46">
        <f>HYPERLINK("https://klasma.github.io/Logging_2181/tillsynsmail/A 35377-2026 tillsynsbegäran mail.docx", "A 35377-2026")</f>
        <v/>
      </c>
    </row>
    <row r="47" ht="15" customHeight="1">
      <c r="A47" t="inlineStr">
        <is>
          <t>A 42869-2024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46300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6.9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Rödgul trumpetsvamp
Vanlig padda</t>
        </is>
      </c>
      <c r="W47">
        <f>HYPERLINK("https://klasma.github.io/Logging_2181/artfynd/A 42869-2024 artfynd.xlsx", "A 42869-2024")</f>
        <v/>
      </c>
      <c r="X47">
        <f>HYPERLINK("https://klasma.github.io/Logging_2181/kartor/A 42869-2024 karta.png", "A 42869-2024")</f>
        <v/>
      </c>
      <c r="Y47">
        <f>HYPERLINK("https://klasma.github.io/Logging_2181/kartor_geotiff/A 42869-2024 georefererad karta.tif", "A 42869-2024")</f>
        <v/>
      </c>
      <c r="AA47">
        <f>HYPERLINK("https://klasma.github.io/Logging_2181/klagomål/A 42869-2024 FSC-klagomål.docx", "A 42869-2024")</f>
        <v/>
      </c>
      <c r="AB47">
        <f>HYPERLINK("https://klasma.github.io/Logging_2181/klagomålsmail/A 42869-2024 FSC-klagomål mail.docx", "A 42869-2024")</f>
        <v/>
      </c>
      <c r="AC47">
        <f>HYPERLINK("https://klasma.github.io/Logging_2181/tillsyn/A 42869-2024 tillsynsbegäran.docx", "A 42869-2024")</f>
        <v/>
      </c>
      <c r="AD47">
        <f>HYPERLINK("https://klasma.github.io/Logging_2181/tillsynsmail/A 42869-2024 tillsynsbegäran mail.docx", "A 42869-2024")</f>
        <v/>
      </c>
    </row>
    <row r="48" ht="15" customHeight="1">
      <c r="A48" t="inlineStr">
        <is>
          <t>A 39510-2026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46300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8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Mörk vedstrit
Plattlummer</t>
        </is>
      </c>
      <c r="W48">
        <f>HYPERLINK("https://klasma.github.io/Logging_2181/artfynd/A 39510-2026 artfynd.xlsx", "A 39510-2026")</f>
        <v/>
      </c>
      <c r="X48">
        <f>HYPERLINK("https://klasma.github.io/Logging_2181/kartor/A 39510-2026 karta.png", "A 39510-2026")</f>
        <v/>
      </c>
      <c r="Y48">
        <f>HYPERLINK("https://klasma.github.io/Logging_2181/kartor_geotiff/A 39510-2026 georefererad karta.tif", "A 39510-2026")</f>
        <v/>
      </c>
      <c r="AA48">
        <f>HYPERLINK("https://klasma.github.io/Logging_2181/klagomål/A 39510-2026 FSC-klagomål.docx", "A 39510-2026")</f>
        <v/>
      </c>
      <c r="AB48">
        <f>HYPERLINK("https://klasma.github.io/Logging_2181/klagomålsmail/A 39510-2026 FSC-klagomål mail.docx", "A 39510-2026")</f>
        <v/>
      </c>
      <c r="AC48">
        <f>HYPERLINK("https://klasma.github.io/Logging_2181/tillsyn/A 39510-2026 tillsynsbegäran.docx", "A 39510-2026")</f>
        <v/>
      </c>
      <c r="AD48">
        <f>HYPERLINK("https://klasma.github.io/Logging_2181/tillsynsmail/A 39510-2026 tillsynsbegäran mail.docx", "A 39510-2026")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46300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46300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A 34124-2026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46300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2.1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Blåsippa
Revlummer</t>
        </is>
      </c>
      <c r="W51">
        <f>HYPERLINK("https://klasma.github.io/Logging_2181/artfynd/A 34124-2026 artfynd.xlsx", "A 34124-2026")</f>
        <v/>
      </c>
      <c r="X51">
        <f>HYPERLINK("https://klasma.github.io/Logging_2181/kartor/A 34124-2026 karta.png", "A 34124-2026")</f>
        <v/>
      </c>
      <c r="Y51">
        <f>HYPERLINK("https://klasma.github.io/Logging_2181/kartor_geotiff/A 34124-2026 georefererad karta.tif", "A 34124-2026")</f>
        <v/>
      </c>
      <c r="AA51">
        <f>HYPERLINK("https://klasma.github.io/Logging_2181/klagomål/A 34124-2026 FSC-klagomål.docx", "A 34124-2026")</f>
        <v/>
      </c>
      <c r="AB51">
        <f>HYPERLINK("https://klasma.github.io/Logging_2181/klagomålsmail/A 34124-2026 FSC-klagomål mail.docx", "A 34124-2026")</f>
        <v/>
      </c>
      <c r="AC51">
        <f>HYPERLINK("https://klasma.github.io/Logging_2181/tillsyn/A 34124-2026 tillsynsbegäran.docx", "A 34124-2026")</f>
        <v/>
      </c>
      <c r="AD51">
        <f>HYPERLINK("https://klasma.github.io/Logging_2181/tillsynsmail/A 34124-2026 tillsynsbegäran mail.docx", "A 34124-2026")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46300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46300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46300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46300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46300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46300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46300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46300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46300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39872-2025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46300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Plattlummer</t>
        </is>
      </c>
      <c r="W61">
        <f>HYPERLINK("https://klasma.github.io/Logging_2181/artfynd/A 39872-2025 artfynd.xlsx", "A 39872-2025")</f>
        <v/>
      </c>
      <c r="X61">
        <f>HYPERLINK("https://klasma.github.io/Logging_2181/kartor/A 39872-2025 karta.png", "A 39872-2025")</f>
        <v/>
      </c>
      <c r="Y61">
        <f>HYPERLINK("https://klasma.github.io/Logging_2181/kartor_geotiff/A 39872-2025 georefererad karta.tif", "A 39872-2025")</f>
        <v/>
      </c>
      <c r="AA61">
        <f>HYPERLINK("https://klasma.github.io/Logging_2181/klagomål/A 39872-2025 FSC-klagomål.docx", "A 39872-2025")</f>
        <v/>
      </c>
      <c r="AB61">
        <f>HYPERLINK("https://klasma.github.io/Logging_2181/klagomålsmail/A 39872-2025 FSC-klagomål mail.docx", "A 39872-2025")</f>
        <v/>
      </c>
      <c r="AC61">
        <f>HYPERLINK("https://klasma.github.io/Logging_2181/tillsyn/A 39872-2025 tillsynsbegäran.docx", "A 39872-2025")</f>
        <v/>
      </c>
      <c r="AD61">
        <f>HYPERLINK("https://klasma.github.io/Logging_2181/tillsynsmail/A 39872-2025 tillsynsbegäran mail.docx", "A 39872-2025")</f>
        <v/>
      </c>
    </row>
    <row r="62" ht="15" customHeight="1">
      <c r="A62" t="inlineStr">
        <is>
          <t>A 39873-2025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46300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HYPERLINK("https://klasma.github.io/Logging_2181/artfynd/A 39873-2025 artfynd.xlsx", "A 39873-2025")</f>
        <v/>
      </c>
      <c r="X62">
        <f>HYPERLINK("https://klasma.github.io/Logging_2181/kartor/A 39873-2025 karta.png", "A 39873-2025")</f>
        <v/>
      </c>
      <c r="Y62">
        <f>HYPERLINK("https://klasma.github.io/Logging_2181/kartor_geotiff/A 39873-2025 georefererad karta.tif", "A 39873-2025")</f>
        <v/>
      </c>
      <c r="AA62">
        <f>HYPERLINK("https://klasma.github.io/Logging_2181/klagomål/A 39873-2025 FSC-klagomål.docx", "A 39873-2025")</f>
        <v/>
      </c>
      <c r="AB62">
        <f>HYPERLINK("https://klasma.github.io/Logging_2181/klagomålsmail/A 39873-2025 FSC-klagomål mail.docx", "A 39873-2025")</f>
        <v/>
      </c>
      <c r="AC62">
        <f>HYPERLINK("https://klasma.github.io/Logging_2181/tillsyn/A 39873-2025 tillsynsbegäran.docx", "A 39873-2025")</f>
        <v/>
      </c>
      <c r="AD62">
        <f>HYPERLINK("https://klasma.github.io/Logging_2181/tillsynsmail/A 39873-2025 tillsynsbegäran mail.docx", "A 39873-2025")</f>
        <v/>
      </c>
    </row>
    <row r="63" ht="15" customHeight="1">
      <c r="A63" t="inlineStr">
        <is>
          <t>A 1083-2026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46300</v>
      </c>
      <c r="F63" t="inlineStr">
        <is>
          <t>GÄVLEBORGS LÄN</t>
        </is>
      </c>
      <c r="G63" t="inlineStr">
        <is>
          <t>SANDVIKEN</t>
        </is>
      </c>
      <c r="I63" t="n">
        <v>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HYPERLINK("https://klasma.github.io/Logging_2181/artfynd/A 1083-2026 artfynd.xlsx", "A 1083-2026")</f>
        <v/>
      </c>
      <c r="X63">
        <f>HYPERLINK("https://klasma.github.io/Logging_2181/kartor/A 1083-2026 karta.png", "A 1083-2026")</f>
        <v/>
      </c>
      <c r="Y63">
        <f>HYPERLINK("https://klasma.github.io/Logging_2181/kartor_geotiff/A 1083-2026 georefererad karta.tif", "A 1083-2026")</f>
        <v/>
      </c>
      <c r="AA63">
        <f>HYPERLINK("https://klasma.github.io/Logging_2181/klagomål/A 1083-2026 FSC-klagomål.docx", "A 1083-2026")</f>
        <v/>
      </c>
      <c r="AB63">
        <f>HYPERLINK("https://klasma.github.io/Logging_2181/klagomålsmail/A 1083-2026 FSC-klagomål mail.docx", "A 1083-2026")</f>
        <v/>
      </c>
      <c r="AC63">
        <f>HYPERLINK("https://klasma.github.io/Logging_2181/tillsyn/A 1083-2026 tillsynsbegäran.docx", "A 1083-2026")</f>
        <v/>
      </c>
      <c r="AD63">
        <f>HYPERLINK("https://klasma.github.io/Logging_2181/tillsynsmail/A 1083-2026 tillsynsbegäran mail.docx", "A 1083-2026")</f>
        <v/>
      </c>
    </row>
    <row r="64" ht="15" customHeight="1">
      <c r="A64" t="inlineStr">
        <is>
          <t>A 25314-2025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46300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2.1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25314-2025 artfynd.xlsx", "A 25314-2025")</f>
        <v/>
      </c>
      <c r="X64">
        <f>HYPERLINK("https://klasma.github.io/Logging_2181/kartor/A 25314-2025 karta.png", "A 25314-2025")</f>
        <v/>
      </c>
      <c r="Y64">
        <f>HYPERLINK("https://klasma.github.io/Logging_2181/kartor_geotiff/A 25314-2025 georefererad karta.tif", "A 25314-2025")</f>
        <v/>
      </c>
      <c r="AA64">
        <f>HYPERLINK("https://klasma.github.io/Logging_2181/klagomål/A 25314-2025 FSC-klagomål.docx", "A 25314-2025")</f>
        <v/>
      </c>
      <c r="AB64">
        <f>HYPERLINK("https://klasma.github.io/Logging_2181/klagomålsmail/A 25314-2025 FSC-klagomål mail.docx", "A 25314-2025")</f>
        <v/>
      </c>
      <c r="AC64">
        <f>HYPERLINK("https://klasma.github.io/Logging_2181/tillsyn/A 25314-2025 tillsynsbegäran.docx", "A 25314-2025")</f>
        <v/>
      </c>
      <c r="AD64">
        <f>HYPERLINK("https://klasma.github.io/Logging_2181/tillsynsmail/A 25314-2025 tillsynsbegäran mail.docx", "A 25314-2025")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46300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Plattlummer</t>
        </is>
      </c>
      <c r="W65">
        <f>HYPERLINK("https://klasma.github.io/Logging_2181/artfynd/A 25323-2025 artfynd.xlsx", "A 25323-2025")</f>
        <v/>
      </c>
      <c r="X65">
        <f>HYPERLINK("https://klasma.github.io/Logging_2181/kartor/A 25323-2025 karta.png", "A 25323-2025")</f>
        <v/>
      </c>
      <c r="Y65">
        <f>HYPERLINK("https://klasma.github.io/Logging_2181/kartor_geotiff/A 25323-2025 georefererad karta.tif", "A 25323-2025")</f>
        <v/>
      </c>
      <c r="AA65">
        <f>HYPERLINK("https://klasma.github.io/Logging_2181/klagomål/A 25323-2025 FSC-klagomål.docx", "A 25323-2025")</f>
        <v/>
      </c>
      <c r="AB65">
        <f>HYPERLINK("https://klasma.github.io/Logging_2181/klagomålsmail/A 25323-2025 FSC-klagomål mail.docx", "A 25323-2025")</f>
        <v/>
      </c>
      <c r="AC65">
        <f>HYPERLINK("https://klasma.github.io/Logging_2181/tillsyn/A 25323-2025 tillsynsbegäran.docx", "A 25323-2025")</f>
        <v/>
      </c>
      <c r="AD65">
        <f>HYPERLINK("https://klasma.github.io/Logging_2181/tillsynsmail/A 25323-2025 tillsynsbegäran mail.docx", "A 25323-2025")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46300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47174-2025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46300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47174-2025 artfynd.xlsx", "A 47174-2025")</f>
        <v/>
      </c>
      <c r="X67">
        <f>HYPERLINK("https://klasma.github.io/Logging_2181/kartor/A 47174-2025 karta.png", "A 47174-2025")</f>
        <v/>
      </c>
      <c r="Y67">
        <f>HYPERLINK("https://klasma.github.io/Logging_2181/kartor_geotiff/A 47174-2025 georefererad karta.tif", "A 47174-2025")</f>
        <v/>
      </c>
      <c r="AA67">
        <f>HYPERLINK("https://klasma.github.io/Logging_2181/klagomål/A 47174-2025 FSC-klagomål.docx", "A 47174-2025")</f>
        <v/>
      </c>
      <c r="AB67">
        <f>HYPERLINK("https://klasma.github.io/Logging_2181/klagomålsmail/A 47174-2025 FSC-klagomål mail.docx", "A 47174-2025")</f>
        <v/>
      </c>
      <c r="AC67">
        <f>HYPERLINK("https://klasma.github.io/Logging_2181/tillsyn/A 47174-2025 tillsynsbegäran.docx", "A 47174-2025")</f>
        <v/>
      </c>
      <c r="AD67">
        <f>HYPERLINK("https://klasma.github.io/Logging_2181/tillsynsmail/A 47174-2025 tillsynsbegäran mail.docx", "A 47174-2025")</f>
        <v/>
      </c>
    </row>
    <row r="68" ht="15" customHeight="1">
      <c r="A68" t="inlineStr">
        <is>
          <t>A 9267-2026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46300</v>
      </c>
      <c r="F68" t="inlineStr">
        <is>
          <t>GÄVLEBORGS LÄN</t>
        </is>
      </c>
      <c r="G68" t="inlineStr">
        <is>
          <t>SANDVIKEN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HYPERLINK("https://klasma.github.io/Logging_2181/artfynd/A 9267-2026 artfynd.xlsx", "A 9267-2026")</f>
        <v/>
      </c>
      <c r="X68">
        <f>HYPERLINK("https://klasma.github.io/Logging_2181/kartor/A 9267-2026 karta.png", "A 9267-2026")</f>
        <v/>
      </c>
      <c r="Y68">
        <f>HYPERLINK("https://klasma.github.io/Logging_2181/kartor_geotiff/A 9267-2026 georefererad karta.tif", "A 9267-2026")</f>
        <v/>
      </c>
      <c r="AA68">
        <f>HYPERLINK("https://klasma.github.io/Logging_2181/klagomål/A 9267-2026 FSC-klagomål.docx", "A 9267-2026")</f>
        <v/>
      </c>
      <c r="AB68">
        <f>HYPERLINK("https://klasma.github.io/Logging_2181/klagomålsmail/A 9267-2026 FSC-klagomål mail.docx", "A 9267-2026")</f>
        <v/>
      </c>
      <c r="AC68">
        <f>HYPERLINK("https://klasma.github.io/Logging_2181/tillsyn/A 9267-2026 tillsynsbegäran.docx", "A 9267-2026")</f>
        <v/>
      </c>
      <c r="AD68">
        <f>HYPERLINK("https://klasma.github.io/Logging_2181/tillsynsmail/A 9267-2026 tillsynsbegäran mail.docx", "A 9267-2026")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46300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46300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46300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12419-2025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46300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Månlåsbräken</t>
        </is>
      </c>
      <c r="W72">
        <f>HYPERLINK("https://klasma.github.io/Logging_2181/artfynd/A 12419-2025 artfynd.xlsx", "A 12419-2025")</f>
        <v/>
      </c>
      <c r="X72">
        <f>HYPERLINK("https://klasma.github.io/Logging_2181/kartor/A 12419-2025 karta.png", "A 12419-2025")</f>
        <v/>
      </c>
      <c r="Y72">
        <f>HYPERLINK("https://klasma.github.io/Logging_2181/kartor_geotiff/A 12419-2025 georefererad karta.tif", "A 12419-2025")</f>
        <v/>
      </c>
      <c r="AA72">
        <f>HYPERLINK("https://klasma.github.io/Logging_2181/klagomål/A 12419-2025 FSC-klagomål.docx", "A 12419-2025")</f>
        <v/>
      </c>
      <c r="AB72">
        <f>HYPERLINK("https://klasma.github.io/Logging_2181/klagomålsmail/A 12419-2025 FSC-klagomål mail.docx", "A 12419-2025")</f>
        <v/>
      </c>
      <c r="AC72">
        <f>HYPERLINK("https://klasma.github.io/Logging_2181/tillsyn/A 12419-2025 tillsynsbegäran.docx", "A 12419-2025")</f>
        <v/>
      </c>
      <c r="AD72">
        <f>HYPERLINK("https://klasma.github.io/Logging_2181/tillsynsmail/A 12419-2025 tillsynsbegäran mail.docx", "A 12419-2025")</f>
        <v/>
      </c>
    </row>
    <row r="73" ht="15" customHeight="1">
      <c r="A73" t="inlineStr">
        <is>
          <t>A 15729-2022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44663</v>
      </c>
      <c r="E73" s="1" t="n">
        <v>46300</v>
      </c>
      <c r="F73" t="inlineStr">
        <is>
          <t>GÄVLEBORGS LÄN</t>
        </is>
      </c>
      <c r="G73" t="inlineStr">
        <is>
          <t>SANDVIKEN</t>
        </is>
      </c>
      <c r="I73" t="n">
        <v>2.1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HYPERLINK("https://klasma.github.io/Logging_2181/artfynd/A 15729-2022 artfynd.xlsx", "A 15729-2022")</f>
        <v/>
      </c>
      <c r="X73">
        <f>HYPERLINK("https://klasma.github.io/Logging_2181/kartor/A 15729-2022 karta.png", "A 15729-2022")</f>
        <v/>
      </c>
      <c r="Y73">
        <f>HYPERLINK("https://klasma.github.io/Logging_2181/kartor_geotiff/A 15729-2022 georefererad karta.tif", "A 15729-2022")</f>
        <v/>
      </c>
      <c r="Z73">
        <f>HYPERLINK("https://klasma.github.io/Logging_2181/knärot/A 15729-2022 karta knärot.png", "A 15729-2022")</f>
        <v/>
      </c>
      <c r="AA73">
        <f>HYPERLINK("https://klasma.github.io/Logging_2181/klagomål/A 15729-2022 FSC-klagomål.docx", "A 15729-2022")</f>
        <v/>
      </c>
      <c r="AB73">
        <f>HYPERLINK("https://klasma.github.io/Logging_2181/klagomålsmail/A 15729-2022 FSC-klagomål mail.docx", "A 15729-2022")</f>
        <v/>
      </c>
      <c r="AC73">
        <f>HYPERLINK("https://klasma.github.io/Logging_2181/tillsyn/A 15729-2022 tillsynsbegäran.docx", "A 15729-2022")</f>
        <v/>
      </c>
      <c r="AD73">
        <f>HYPERLINK("https://klasma.github.io/Logging_2181/tillsynsmail/A 15729-2022 tillsynsbegäran mail.docx", "A 15729-2022")</f>
        <v/>
      </c>
    </row>
    <row r="74" ht="15" customHeight="1">
      <c r="A74" t="inlineStr">
        <is>
          <t>A 13645-2026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46097</v>
      </c>
      <c r="E74" s="1" t="n">
        <v>46300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HYPERLINK("https://klasma.github.io/Logging_2181/artfynd/A 13645-2026 artfynd.xlsx", "A 13645-2026")</f>
        <v/>
      </c>
      <c r="X74">
        <f>HYPERLINK("https://klasma.github.io/Logging_2181/kartor/A 13645-2026 karta.png", "A 13645-2026")</f>
        <v/>
      </c>
      <c r="Y74">
        <f>HYPERLINK("https://klasma.github.io/Logging_2181/kartor_geotiff/A 13645-2026 georefererad karta.tif", "A 13645-2026")</f>
        <v/>
      </c>
      <c r="AA74">
        <f>HYPERLINK("https://klasma.github.io/Logging_2181/klagomål/A 13645-2026 FSC-klagomål.docx", "A 13645-2026")</f>
        <v/>
      </c>
      <c r="AB74">
        <f>HYPERLINK("https://klasma.github.io/Logging_2181/klagomålsmail/A 13645-2026 FSC-klagomål mail.docx", "A 13645-2026")</f>
        <v/>
      </c>
      <c r="AC74">
        <f>HYPERLINK("https://klasma.github.io/Logging_2181/tillsyn/A 13645-2026 tillsynsbegäran.docx", "A 13645-2026")</f>
        <v/>
      </c>
      <c r="AD74">
        <f>HYPERLINK("https://klasma.github.io/Logging_2181/tillsynsmail/A 13645-2026 tillsynsbegäran mail.docx", "A 13645-2026")</f>
        <v/>
      </c>
      <c r="AE74">
        <f>HYPERLINK("https://klasma.github.io/Logging_2181/fåglar/A 13645-2026 prioriterade fågelarter.docx", "A 13645-2026")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46300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45427-2023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46300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HYPERLINK("https://klasma.github.io/Logging_2181/artfynd/A 45427-2023 artfynd.xlsx", "A 45427-2023")</f>
        <v/>
      </c>
      <c r="X76">
        <f>HYPERLINK("https://klasma.github.io/Logging_2181/kartor/A 45427-2023 karta.png", "A 45427-2023")</f>
        <v/>
      </c>
      <c r="Y76">
        <f>HYPERLINK("https://klasma.github.io/Logging_2181/kartor_geotiff/A 45427-2023 georefererad karta.tif", "A 45427-2023")</f>
        <v/>
      </c>
      <c r="AA76">
        <f>HYPERLINK("https://klasma.github.io/Logging_2181/klagomål/A 45427-2023 FSC-klagomål.docx", "A 45427-2023")</f>
        <v/>
      </c>
      <c r="AB76">
        <f>HYPERLINK("https://klasma.github.io/Logging_2181/klagomålsmail/A 45427-2023 FSC-klagomål mail.docx", "A 45427-2023")</f>
        <v/>
      </c>
      <c r="AC76">
        <f>HYPERLINK("https://klasma.github.io/Logging_2181/tillsyn/A 45427-2023 tillsynsbegäran.docx", "A 45427-2023")</f>
        <v/>
      </c>
      <c r="AD76">
        <f>HYPERLINK("https://klasma.github.io/Logging_2181/tillsynsmail/A 45427-2023 tillsynsbegäran mail.docx", "A 45427-2023")</f>
        <v/>
      </c>
    </row>
    <row r="77" ht="15" customHeight="1">
      <c r="A77" t="inlineStr">
        <is>
          <t>A 15121-2026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46300</v>
      </c>
      <c r="F77" t="inlineStr">
        <is>
          <t>GÄVLEBORGS LÄN</t>
        </is>
      </c>
      <c r="G77" t="inlineStr">
        <is>
          <t>SANDVIKEN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Brandticka</t>
        </is>
      </c>
      <c r="W77">
        <f>HYPERLINK("https://klasma.github.io/Logging_2181/artfynd/A 15121-2026 artfynd.xlsx", "A 15121-2026")</f>
        <v/>
      </c>
      <c r="X77">
        <f>HYPERLINK("https://klasma.github.io/Logging_2181/kartor/A 15121-2026 karta.png", "A 15121-2026")</f>
        <v/>
      </c>
      <c r="Y77">
        <f>HYPERLINK("https://klasma.github.io/Logging_2181/kartor_geotiff/A 15121-2026 georefererad karta.tif", "A 15121-2026")</f>
        <v/>
      </c>
      <c r="AA77">
        <f>HYPERLINK("https://klasma.github.io/Logging_2181/klagomål/A 15121-2026 FSC-klagomål.docx", "A 15121-2026")</f>
        <v/>
      </c>
      <c r="AB77">
        <f>HYPERLINK("https://klasma.github.io/Logging_2181/klagomålsmail/A 15121-2026 FSC-klagomål mail.docx", "A 15121-2026")</f>
        <v/>
      </c>
      <c r="AC77">
        <f>HYPERLINK("https://klasma.github.io/Logging_2181/tillsyn/A 15121-2026 tillsynsbegäran.docx", "A 15121-2026")</f>
        <v/>
      </c>
      <c r="AD77">
        <f>HYPERLINK("https://klasma.github.io/Logging_2181/tillsynsmail/A 15121-2026 tillsynsbegäran mail.docx", "A 15121-2026")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46300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46300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46300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46300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4324-2026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46300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11.2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HYPERLINK("https://klasma.github.io/Logging_2181/artfynd/A 4324-2026 artfynd.xlsx", "A 4324-2026")</f>
        <v/>
      </c>
      <c r="X82">
        <f>HYPERLINK("https://klasma.github.io/Logging_2181/kartor/A 4324-2026 karta.png", "A 4324-2026")</f>
        <v/>
      </c>
      <c r="Y82">
        <f>HYPERLINK("https://klasma.github.io/Logging_2181/kartor_geotiff/A 4324-2026 georefererad karta.tif", "A 4324-2026")</f>
        <v/>
      </c>
      <c r="AA82">
        <f>HYPERLINK("https://klasma.github.io/Logging_2181/klagomål/A 4324-2026 FSC-klagomål.docx", "A 4324-2026")</f>
        <v/>
      </c>
      <c r="AB82">
        <f>HYPERLINK("https://klasma.github.io/Logging_2181/klagomålsmail/A 4324-2026 FSC-klagomål mail.docx", "A 4324-2026")</f>
        <v/>
      </c>
      <c r="AC82">
        <f>HYPERLINK("https://klasma.github.io/Logging_2181/tillsyn/A 4324-2026 tillsynsbegäran.docx", "A 4324-2026")</f>
        <v/>
      </c>
      <c r="AD82">
        <f>HYPERLINK("https://klasma.github.io/Logging_2181/tillsynsmail/A 4324-2026 tillsynsbegäran mail.docx", "A 4324-2026")</f>
        <v/>
      </c>
      <c r="AE82">
        <f>HYPERLINK("https://klasma.github.io/Logging_2181/fåglar/A 4324-2026 prioriterade fågelarter.docx", "A 4324-2026")</f>
        <v/>
      </c>
    </row>
    <row r="83" ht="15" customHeight="1">
      <c r="A83" t="inlineStr">
        <is>
          <t>A 25479-2023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46300</v>
      </c>
      <c r="F83" t="inlineStr">
        <is>
          <t>GÄVLEBORGS LÄN</t>
        </is>
      </c>
      <c r="G83" t="inlineStr">
        <is>
          <t>SANDVIKEN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Grönpyrola</t>
        </is>
      </c>
      <c r="W83">
        <f>HYPERLINK("https://klasma.github.io/Logging_2181/artfynd/A 25479-2023 artfynd.xlsx", "A 25479-2023")</f>
        <v/>
      </c>
      <c r="X83">
        <f>HYPERLINK("https://klasma.github.io/Logging_2181/kartor/A 25479-2023 karta.png", "A 25479-2023")</f>
        <v/>
      </c>
      <c r="Y83">
        <f>HYPERLINK("https://klasma.github.io/Logging_2181/kartor_geotiff/A 25479-2023 georefererad karta.tif", "A 25479-2023")</f>
        <v/>
      </c>
      <c r="AA83">
        <f>HYPERLINK("https://klasma.github.io/Logging_2181/klagomål/A 25479-2023 FSC-klagomål.docx", "A 25479-2023")</f>
        <v/>
      </c>
      <c r="AB83">
        <f>HYPERLINK("https://klasma.github.io/Logging_2181/klagomålsmail/A 25479-2023 FSC-klagomål mail.docx", "A 25479-2023")</f>
        <v/>
      </c>
      <c r="AC83">
        <f>HYPERLINK("https://klasma.github.io/Logging_2181/tillsyn/A 25479-2023 tillsynsbegäran.docx", "A 25479-2023")</f>
        <v/>
      </c>
      <c r="AD83">
        <f>HYPERLINK("https://klasma.github.io/Logging_2181/tillsynsmail/A 25479-2023 tillsynsbegäran mail.docx", "A 25479-2023")</f>
        <v/>
      </c>
    </row>
    <row r="84" ht="15" customHeight="1">
      <c r="A84" t="inlineStr">
        <is>
          <t>A 42115-2023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46300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2.4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HYPERLINK("https://klasma.github.io/Logging_2181/artfynd/A 42115-2023 artfynd.xlsx", "A 42115-2023")</f>
        <v/>
      </c>
      <c r="X84">
        <f>HYPERLINK("https://klasma.github.io/Logging_2181/kartor/A 42115-2023 karta.png", "A 42115-2023")</f>
        <v/>
      </c>
      <c r="Y84">
        <f>HYPERLINK("https://klasma.github.io/Logging_2181/kartor_geotiff/A 42115-2023 georefererad karta.tif", "A 42115-2023")</f>
        <v/>
      </c>
      <c r="AA84">
        <f>HYPERLINK("https://klasma.github.io/Logging_2181/klagomål/A 42115-2023 FSC-klagomål.docx", "A 42115-2023")</f>
        <v/>
      </c>
      <c r="AB84">
        <f>HYPERLINK("https://klasma.github.io/Logging_2181/klagomålsmail/A 42115-2023 FSC-klagomål mail.docx", "A 42115-2023")</f>
        <v/>
      </c>
      <c r="AC84">
        <f>HYPERLINK("https://klasma.github.io/Logging_2181/tillsyn/A 42115-2023 tillsynsbegäran.docx", "A 42115-2023")</f>
        <v/>
      </c>
      <c r="AD84">
        <f>HYPERLINK("https://klasma.github.io/Logging_2181/tillsynsmail/A 42115-2023 tillsynsbegäran mail.docx", "A 42115-2023")</f>
        <v/>
      </c>
      <c r="AE84">
        <f>HYPERLINK("https://klasma.github.io/Logging_2181/fåglar/A 42115-2023 prioriterade fågelarter.docx", "A 42115-2023")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46300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6972-2026 artfynd.xlsx", "A 6972-2026")</f>
        <v/>
      </c>
      <c r="X85">
        <f>HYPERLINK("https://klasma.github.io/Logging_2181/kartor/A 6972-2026 karta.png", "A 6972-2026")</f>
        <v/>
      </c>
      <c r="Y85">
        <f>HYPERLINK("https://klasma.github.io/Logging_2181/kartor_geotiff/A 6972-2026 georefererad karta.tif", "A 6972-2026")</f>
        <v/>
      </c>
      <c r="AA85">
        <f>HYPERLINK("https://klasma.github.io/Logging_2181/klagomål/A 6972-2026 FSC-klagomål.docx", "A 6972-2026")</f>
        <v/>
      </c>
      <c r="AB85">
        <f>HYPERLINK("https://klasma.github.io/Logging_2181/klagomålsmail/A 6972-2026 FSC-klagomål mail.docx", "A 6972-2026")</f>
        <v/>
      </c>
      <c r="AC85">
        <f>HYPERLINK("https://klasma.github.io/Logging_2181/tillsyn/A 6972-2026 tillsynsbegäran.docx", "A 6972-2026")</f>
        <v/>
      </c>
      <c r="AD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46300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HYPERLINK("https://klasma.github.io/Logging_2181/artfynd/A 41349-2025 artfynd.xlsx", "A 41349-2025")</f>
        <v/>
      </c>
      <c r="X86">
        <f>HYPERLINK("https://klasma.github.io/Logging_2181/kartor/A 41349-2025 karta.png", "A 41349-2025")</f>
        <v/>
      </c>
      <c r="Y86">
        <f>HYPERLINK("https://klasma.github.io/Logging_2181/kartor_geotiff/A 41349-2025 georefererad karta.tif", "A 41349-2025")</f>
        <v/>
      </c>
      <c r="AA86">
        <f>HYPERLINK("https://klasma.github.io/Logging_2181/klagomål/A 41349-2025 FSC-klagomål.docx", "A 41349-2025")</f>
        <v/>
      </c>
      <c r="AB86">
        <f>HYPERLINK("https://klasma.github.io/Logging_2181/klagomålsmail/A 41349-2025 FSC-klagomål mail.docx", "A 41349-2025")</f>
        <v/>
      </c>
      <c r="AC86">
        <f>HYPERLINK("https://klasma.github.io/Logging_2181/tillsyn/A 41349-2025 tillsynsbegäran.docx", "A 41349-2025")</f>
        <v/>
      </c>
      <c r="AD86">
        <f>HYPERLINK("https://klasma.github.io/Logging_2181/tillsynsmail/A 41349-2025 tillsynsbegäran mail.docx", "A 41349-2025")</f>
        <v/>
      </c>
    </row>
    <row r="87" ht="15" customHeight="1">
      <c r="A87" t="inlineStr">
        <is>
          <t>A 36417-2025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46300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3.9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HYPERLINK("https://klasma.github.io/Logging_2181/artfynd/A 36417-2025 artfynd.xlsx", "A 36417-2025")</f>
        <v/>
      </c>
      <c r="X87">
        <f>HYPERLINK("https://klasma.github.io/Logging_2181/kartor/A 36417-2025 karta.png", "A 36417-2025")</f>
        <v/>
      </c>
      <c r="Y87">
        <f>HYPERLINK("https://klasma.github.io/Logging_2181/kartor_geotiff/A 36417-2025 georefererad karta.tif", "A 36417-2025")</f>
        <v/>
      </c>
      <c r="Z87">
        <f>HYPERLINK("https://klasma.github.io/Logging_2181/knärot/A 36417-2025 karta knärot.png", "A 36417-2025")</f>
        <v/>
      </c>
      <c r="AA87">
        <f>HYPERLINK("https://klasma.github.io/Logging_2181/klagomål/A 36417-2025 FSC-klagomål.docx", "A 36417-2025")</f>
        <v/>
      </c>
      <c r="AB87">
        <f>HYPERLINK("https://klasma.github.io/Logging_2181/klagomålsmail/A 36417-2025 FSC-klagomål mail.docx", "A 36417-2025")</f>
        <v/>
      </c>
      <c r="AC87">
        <f>HYPERLINK("https://klasma.github.io/Logging_2181/tillsyn/A 36417-2025 tillsynsbegäran.docx", "A 36417-2025")</f>
        <v/>
      </c>
      <c r="AD87">
        <f>HYPERLINK("https://klasma.github.io/Logging_2181/tillsynsmail/A 36417-2025 tillsynsbegäran mail.docx", "A 36417-2025")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46300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21532-2026 artfynd.xlsx", "A 21532-2026")</f>
        <v/>
      </c>
      <c r="X88">
        <f>HYPERLINK("https://klasma.github.io/Logging_2181/kartor/A 21532-2026 karta.png", "A 21532-2026")</f>
        <v/>
      </c>
      <c r="Y88">
        <f>HYPERLINK("https://klasma.github.io/Logging_2181/kartor_geotiff/A 21532-2026 georefererad karta.tif", "A 21532-2026")</f>
        <v/>
      </c>
      <c r="AA88">
        <f>HYPERLINK("https://klasma.github.io/Logging_2181/klagomål/A 21532-2026 FSC-klagomål.docx", "A 21532-2026")</f>
        <v/>
      </c>
      <c r="AB88">
        <f>HYPERLINK("https://klasma.github.io/Logging_2181/klagomålsmail/A 21532-2026 FSC-klagomål mail.docx", "A 21532-2026")</f>
        <v/>
      </c>
      <c r="AC88">
        <f>HYPERLINK("https://klasma.github.io/Logging_2181/tillsyn/A 21532-2026 tillsynsbegäran.docx", "A 21532-2026")</f>
        <v/>
      </c>
      <c r="AD88">
        <f>HYPERLINK("https://klasma.github.io/Logging_2181/tillsynsmail/A 21532-2026 tillsynsbegäran mail.docx", "A 21532-2026")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46300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46300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5015-2023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46300</v>
      </c>
      <c r="F91" t="inlineStr">
        <is>
          <t>GÄVLEBORGS LÄN</t>
        </is>
      </c>
      <c r="G91" t="inlineStr">
        <is>
          <t>SANDVIKEN</t>
        </is>
      </c>
      <c r="I91" t="n">
        <v>7.8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Slåtterfibbla</t>
        </is>
      </c>
      <c r="W91">
        <f>HYPERLINK("https://klasma.github.io/Logging_2181/artfynd/A 5015-2023 artfynd.xlsx", "A 5015-2023")</f>
        <v/>
      </c>
      <c r="X91">
        <f>HYPERLINK("https://klasma.github.io/Logging_2181/kartor/A 5015-2023 karta.png", "A 5015-2023")</f>
        <v/>
      </c>
      <c r="Y91">
        <f>HYPERLINK("https://klasma.github.io/Logging_2181/kartor_geotiff/A 5015-2023 georefererad karta.tif", "A 5015-2023")</f>
        <v/>
      </c>
      <c r="AA91">
        <f>HYPERLINK("https://klasma.github.io/Logging_2181/klagomål/A 5015-2023 FSC-klagomål.docx", "A 5015-2023")</f>
        <v/>
      </c>
      <c r="AB91">
        <f>HYPERLINK("https://klasma.github.io/Logging_2181/klagomålsmail/A 5015-2023 FSC-klagomål mail.docx", "A 5015-2023")</f>
        <v/>
      </c>
      <c r="AC91">
        <f>HYPERLINK("https://klasma.github.io/Logging_2181/tillsyn/A 5015-2023 tillsynsbegäran.docx", "A 5015-2023")</f>
        <v/>
      </c>
      <c r="AD91">
        <f>HYPERLINK("https://klasma.github.io/Logging_2181/tillsynsmail/A 5015-2023 tillsynsbegäran mail.docx", "A 5015-2023")</f>
        <v/>
      </c>
    </row>
    <row r="92" ht="15" customHeight="1">
      <c r="A92" t="inlineStr">
        <is>
          <t>A 24357-2026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46300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HYPERLINK("https://klasma.github.io/Logging_2181/artfynd/A 24357-2026 artfynd.xlsx", "A 24357-2026")</f>
        <v/>
      </c>
      <c r="X92">
        <f>HYPERLINK("https://klasma.github.io/Logging_2181/kartor/A 24357-2026 karta.png", "A 24357-2026")</f>
        <v/>
      </c>
      <c r="Y92">
        <f>HYPERLINK("https://klasma.github.io/Logging_2181/kartor_geotiff/A 24357-2026 georefererad karta.tif", "A 24357-2026")</f>
        <v/>
      </c>
      <c r="AA92">
        <f>HYPERLINK("https://klasma.github.io/Logging_2181/klagomål/A 24357-2026 FSC-klagomål.docx", "A 24357-2026")</f>
        <v/>
      </c>
      <c r="AB92">
        <f>HYPERLINK("https://klasma.github.io/Logging_2181/klagomålsmail/A 24357-2026 FSC-klagomål mail.docx", "A 24357-2026")</f>
        <v/>
      </c>
      <c r="AC92">
        <f>HYPERLINK("https://klasma.github.io/Logging_2181/tillsyn/A 24357-2026 tillsynsbegäran.docx", "A 24357-2026")</f>
        <v/>
      </c>
      <c r="AD92">
        <f>HYPERLINK("https://klasma.github.io/Logging_2181/tillsynsmail/A 24357-2026 tillsynsbegäran mail.docx", "A 24357-2026")</f>
        <v/>
      </c>
    </row>
    <row r="93" ht="15" customHeight="1">
      <c r="A93" t="inlineStr">
        <is>
          <t>A 38350-2025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46300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väst AB</t>
        </is>
      </c>
      <c r="I93" t="n">
        <v>25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Brandticka</t>
        </is>
      </c>
      <c r="W93">
        <f>HYPERLINK("https://klasma.github.io/Logging_2181/artfynd/A 38350-2025 artfynd.xlsx", "A 38350-2025")</f>
        <v/>
      </c>
      <c r="X93">
        <f>HYPERLINK("https://klasma.github.io/Logging_2181/kartor/A 38350-2025 karta.png", "A 38350-2025")</f>
        <v/>
      </c>
      <c r="Y93">
        <f>HYPERLINK("https://klasma.github.io/Logging_2181/kartor_geotiff/A 38350-2025 georefererad karta.tif", "A 38350-2025")</f>
        <v/>
      </c>
      <c r="AA93">
        <f>HYPERLINK("https://klasma.github.io/Logging_2181/klagomål/A 38350-2025 FSC-klagomål.docx", "A 38350-2025")</f>
        <v/>
      </c>
      <c r="AB93">
        <f>HYPERLINK("https://klasma.github.io/Logging_2181/klagomålsmail/A 38350-2025 FSC-klagomål mail.docx", "A 38350-2025")</f>
        <v/>
      </c>
      <c r="AC93">
        <f>HYPERLINK("https://klasma.github.io/Logging_2181/tillsyn/A 38350-2025 tillsynsbegäran.docx", "A 38350-2025")</f>
        <v/>
      </c>
      <c r="AD93">
        <f>HYPERLINK("https://klasma.github.io/Logging_2181/tillsynsmail/A 38350-2025 tillsynsbegäran mail.docx", "A 38350-2025")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46300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46300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46300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46300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46300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35419-2026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46300</v>
      </c>
      <c r="F99" t="inlineStr">
        <is>
          <t>GÄVLEBORGS LÄN</t>
        </is>
      </c>
      <c r="G99" t="inlineStr">
        <is>
          <t>SANDVIKEN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HYPERLINK("https://klasma.github.io/Logging_2181/artfynd/A 35419-2026 artfynd.xlsx", "A 35419-2026")</f>
        <v/>
      </c>
      <c r="X99">
        <f>HYPERLINK("https://klasma.github.io/Logging_2181/kartor/A 35419-2026 karta.png", "A 35419-2026")</f>
        <v/>
      </c>
      <c r="Y99">
        <f>HYPERLINK("https://klasma.github.io/Logging_2181/kartor_geotiff/A 35419-2026 georefererad karta.tif", "A 35419-2026")</f>
        <v/>
      </c>
      <c r="AA99">
        <f>HYPERLINK("https://klasma.github.io/Logging_2181/klagomål/A 35419-2026 FSC-klagomål.docx", "A 35419-2026")</f>
        <v/>
      </c>
      <c r="AB99">
        <f>HYPERLINK("https://klasma.github.io/Logging_2181/klagomålsmail/A 35419-2026 FSC-klagomål mail.docx", "A 35419-2026")</f>
        <v/>
      </c>
      <c r="AC99">
        <f>HYPERLINK("https://klasma.github.io/Logging_2181/tillsyn/A 35419-2026 tillsynsbegäran.docx", "A 35419-2026")</f>
        <v/>
      </c>
      <c r="AD99">
        <f>HYPERLINK("https://klasma.github.io/Logging_2181/tillsynsmail/A 35419-2026 tillsynsbegäran mail.docx", "A 35419-2026")</f>
        <v/>
      </c>
    </row>
    <row r="100" ht="15" customHeight="1">
      <c r="A100" t="inlineStr">
        <is>
          <t>A 31311-2026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46300</v>
      </c>
      <c r="F100" t="inlineStr">
        <is>
          <t>GÄVLEBORGS LÄN</t>
        </is>
      </c>
      <c r="G100" t="inlineStr">
        <is>
          <t>SANDVIKEN</t>
        </is>
      </c>
      <c r="I100" t="n">
        <v>1.7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31311-2026 artfynd.xlsx", "A 31311-2026")</f>
        <v/>
      </c>
      <c r="X100">
        <f>HYPERLINK("https://klasma.github.io/Logging_2181/kartor/A 31311-2026 karta.png", "A 31311-2026")</f>
        <v/>
      </c>
      <c r="Y100">
        <f>HYPERLINK("https://klasma.github.io/Logging_2181/kartor_geotiff/A 31311-2026 georefererad karta.tif", "A 31311-2026")</f>
        <v/>
      </c>
      <c r="AA100">
        <f>HYPERLINK("https://klasma.github.io/Logging_2181/klagomål/A 31311-2026 FSC-klagomål.docx", "A 31311-2026")</f>
        <v/>
      </c>
      <c r="AB100">
        <f>HYPERLINK("https://klasma.github.io/Logging_2181/klagomålsmail/A 31311-2026 FSC-klagomål mail.docx", "A 31311-2026")</f>
        <v/>
      </c>
      <c r="AC100">
        <f>HYPERLINK("https://klasma.github.io/Logging_2181/tillsyn/A 31311-2026 tillsynsbegäran.docx", "A 31311-2026")</f>
        <v/>
      </c>
      <c r="AD100">
        <f>HYPERLINK("https://klasma.github.io/Logging_2181/tillsynsmail/A 31311-2026 tillsynsbegäran mail.docx", "A 31311-2026")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46300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46300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36596-2026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46269</v>
      </c>
      <c r="E103" s="1" t="n">
        <v>46300</v>
      </c>
      <c r="F103" t="inlineStr">
        <is>
          <t>GÄVLEBORGS LÄN</t>
        </is>
      </c>
      <c r="G103" t="inlineStr">
        <is>
          <t>SANDVIKEN</t>
        </is>
      </c>
      <c r="I103" t="n">
        <v>10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36596-2026 artfynd.xlsx", "A 36596-2026")</f>
        <v/>
      </c>
      <c r="X103">
        <f>HYPERLINK("https://klasma.github.io/Logging_2181/kartor/A 36596-2026 karta.png", "A 36596-2026")</f>
        <v/>
      </c>
      <c r="Y103">
        <f>HYPERLINK("https://klasma.github.io/Logging_2181/kartor_geotiff/A 36596-2026 georefererad karta.tif", "A 36596-2026")</f>
        <v/>
      </c>
      <c r="AA103">
        <f>HYPERLINK("https://klasma.github.io/Logging_2181/klagomål/A 36596-2026 FSC-klagomål.docx", "A 36596-2026")</f>
        <v/>
      </c>
      <c r="AB103">
        <f>HYPERLINK("https://klasma.github.io/Logging_2181/klagomålsmail/A 36596-2026 FSC-klagomål mail.docx", "A 36596-2026")</f>
        <v/>
      </c>
      <c r="AC103">
        <f>HYPERLINK("https://klasma.github.io/Logging_2181/tillsyn/A 36596-2026 tillsynsbegäran.docx", "A 36596-2026")</f>
        <v/>
      </c>
      <c r="AD103">
        <f>HYPERLINK("https://klasma.github.io/Logging_2181/tillsynsmail/A 36596-2026 tillsynsbegäran mail.docx", "A 36596-2026")</f>
        <v/>
      </c>
    </row>
    <row r="104" ht="15" customHeight="1">
      <c r="A104" t="inlineStr">
        <is>
          <t>A 38109-2026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46300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11.9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Linmåra/småsnärjmåra</t>
        </is>
      </c>
      <c r="W104">
        <f>HYPERLINK("https://klasma.github.io/Logging_2181/artfynd/A 38109-2026 artfynd.xlsx", "A 38109-2026")</f>
        <v/>
      </c>
      <c r="X104">
        <f>HYPERLINK("https://klasma.github.io/Logging_2181/kartor/A 38109-2026 karta.png", "A 38109-2026")</f>
        <v/>
      </c>
      <c r="Y104">
        <f>HYPERLINK("https://klasma.github.io/Logging_2181/kartor_geotiff/A 38109-2026 georefererad karta.tif", "A 38109-2026")</f>
        <v/>
      </c>
      <c r="AA104">
        <f>HYPERLINK("https://klasma.github.io/Logging_2181/klagomål/A 38109-2026 FSC-klagomål.docx", "A 38109-2026")</f>
        <v/>
      </c>
      <c r="AB104">
        <f>HYPERLINK("https://klasma.github.io/Logging_2181/klagomålsmail/A 38109-2026 FSC-klagomål mail.docx", "A 38109-2026")</f>
        <v/>
      </c>
      <c r="AC104">
        <f>HYPERLINK("https://klasma.github.io/Logging_2181/tillsyn/A 38109-2026 tillsynsbegäran.docx", "A 38109-2026")</f>
        <v/>
      </c>
      <c r="AD104">
        <f>HYPERLINK("https://klasma.github.io/Logging_2181/tillsynsmail/A 38109-2026 tillsynsbegäran mail.docx", "A 38109-2026")</f>
        <v/>
      </c>
    </row>
    <row r="105" ht="15" customHeight="1">
      <c r="A105" t="inlineStr">
        <is>
          <t>A 32539-2026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46300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Grönsiska</t>
        </is>
      </c>
      <c r="W105">
        <f>HYPERLINK("https://klasma.github.io/Logging_2181/artfynd/A 32539-2026 artfynd.xlsx", "A 32539-2026")</f>
        <v/>
      </c>
      <c r="X105">
        <f>HYPERLINK("https://klasma.github.io/Logging_2181/kartor/A 32539-2026 karta.png", "A 32539-2026")</f>
        <v/>
      </c>
      <c r="Y105">
        <f>HYPERLINK("https://klasma.github.io/Logging_2181/kartor_geotiff/A 32539-2026 georefererad karta.tif", "A 32539-2026")</f>
        <v/>
      </c>
      <c r="AA105">
        <f>HYPERLINK("https://klasma.github.io/Logging_2181/klagomål/A 32539-2026 FSC-klagomål.docx", "A 32539-2026")</f>
        <v/>
      </c>
      <c r="AB105">
        <f>HYPERLINK("https://klasma.github.io/Logging_2181/klagomålsmail/A 32539-2026 FSC-klagomål mail.docx", "A 32539-2026")</f>
        <v/>
      </c>
      <c r="AC105">
        <f>HYPERLINK("https://klasma.github.io/Logging_2181/tillsyn/A 32539-2026 tillsynsbegäran.docx", "A 32539-2026")</f>
        <v/>
      </c>
      <c r="AD105">
        <f>HYPERLINK("https://klasma.github.io/Logging_2181/tillsynsmail/A 32539-2026 tillsynsbegäran mail.docx", "A 32539-2026")</f>
        <v/>
      </c>
    </row>
    <row r="106" ht="15" customHeight="1">
      <c r="A106" t="inlineStr">
        <is>
          <t>A 32544-2026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46300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HYPERLINK("https://klasma.github.io/Logging_2181/artfynd/A 32544-2026 artfynd.xlsx", "A 32544-2026")</f>
        <v/>
      </c>
      <c r="X106">
        <f>HYPERLINK("https://klasma.github.io/Logging_2181/kartor/A 32544-2026 karta.png", "A 32544-2026")</f>
        <v/>
      </c>
      <c r="Y106">
        <f>HYPERLINK("https://klasma.github.io/Logging_2181/kartor_geotiff/A 32544-2026 georefererad karta.tif", "A 32544-2026")</f>
        <v/>
      </c>
      <c r="AA106">
        <f>HYPERLINK("https://klasma.github.io/Logging_2181/klagomål/A 32544-2026 FSC-klagomål.docx", "A 32544-2026")</f>
        <v/>
      </c>
      <c r="AB106">
        <f>HYPERLINK("https://klasma.github.io/Logging_2181/klagomålsmail/A 32544-2026 FSC-klagomål mail.docx", "A 32544-2026")</f>
        <v/>
      </c>
      <c r="AC106">
        <f>HYPERLINK("https://klasma.github.io/Logging_2181/tillsyn/A 32544-2026 tillsynsbegäran.docx", "A 32544-2026")</f>
        <v/>
      </c>
      <c r="AD106">
        <f>HYPERLINK("https://klasma.github.io/Logging_2181/tillsynsmail/A 32544-2026 tillsynsbegäran mail.docx", "A 32544-2026")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46300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23225-2026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46300</v>
      </c>
      <c r="F108" t="inlineStr">
        <is>
          <t>GÄVLEBORGS LÄN</t>
        </is>
      </c>
      <c r="G108" t="inlineStr">
        <is>
          <t>SANDVIKEN</t>
        </is>
      </c>
      <c r="H108" t="inlineStr">
        <is>
          <t>Bergvik skog öst AB</t>
        </is>
      </c>
      <c r="I108" t="n">
        <v>1.3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Rödvingetrast</t>
        </is>
      </c>
      <c r="W108">
        <f>HYPERLINK("https://klasma.github.io/Logging_2181/artfynd/A 23225-2026 artfynd.xlsx", "A 23225-2026")</f>
        <v/>
      </c>
      <c r="X108">
        <f>HYPERLINK("https://klasma.github.io/Logging_2181/kartor/A 23225-2026 karta.png", "A 23225-2026")</f>
        <v/>
      </c>
      <c r="Y108">
        <f>HYPERLINK("https://klasma.github.io/Logging_2181/kartor_geotiff/A 23225-2026 georefererad karta.tif", "A 23225-2026")</f>
        <v/>
      </c>
      <c r="AA108">
        <f>HYPERLINK("https://klasma.github.io/Logging_2181/klagomål/A 23225-2026 FSC-klagomål.docx", "A 23225-2026")</f>
        <v/>
      </c>
      <c r="AB108">
        <f>HYPERLINK("https://klasma.github.io/Logging_2181/klagomålsmail/A 23225-2026 FSC-klagomål mail.docx", "A 23225-2026")</f>
        <v/>
      </c>
      <c r="AC108">
        <f>HYPERLINK("https://klasma.github.io/Logging_2181/tillsyn/A 23225-2026 tillsynsbegäran.docx", "A 23225-2026")</f>
        <v/>
      </c>
      <c r="AD108">
        <f>HYPERLINK("https://klasma.github.io/Logging_2181/tillsynsmail/A 23225-2026 tillsynsbegäran mail.docx", "A 23225-2026")</f>
        <v/>
      </c>
      <c r="AE108">
        <f>HYPERLINK("https://klasma.github.io/Logging_2181/fåglar/A 23225-2026 prioriterade fågelarter.docx", "A 23225-2026")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46300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4384-2023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44955</v>
      </c>
      <c r="E110" s="1" t="n">
        <v>46300</v>
      </c>
      <c r="F110" t="inlineStr">
        <is>
          <t>GÄVLEBORGS LÄN</t>
        </is>
      </c>
      <c r="G110" t="inlineStr">
        <is>
          <t>SANDVIKEN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Sångsvan</t>
        </is>
      </c>
      <c r="W110">
        <f>HYPERLINK("https://klasma.github.io/Logging_2181/artfynd/A 4384-2023 artfynd.xlsx", "A 4384-2023")</f>
        <v/>
      </c>
      <c r="X110">
        <f>HYPERLINK("https://klasma.github.io/Logging_2181/kartor/A 4384-2023 karta.png", "A 4384-2023")</f>
        <v/>
      </c>
      <c r="Y110">
        <f>HYPERLINK("https://klasma.github.io/Logging_2181/kartor_geotiff/A 4384-2023 georefererad karta.tif", "A 4384-2023")</f>
        <v/>
      </c>
      <c r="AA110">
        <f>HYPERLINK("https://klasma.github.io/Logging_2181/klagomål/A 4384-2023 FSC-klagomål.docx", "A 4384-2023")</f>
        <v/>
      </c>
      <c r="AB110">
        <f>HYPERLINK("https://klasma.github.io/Logging_2181/klagomålsmail/A 4384-2023 FSC-klagomål mail.docx", "A 4384-2023")</f>
        <v/>
      </c>
      <c r="AC110">
        <f>HYPERLINK("https://klasma.github.io/Logging_2181/tillsyn/A 4384-2023 tillsynsbegäran.docx", "A 4384-2023")</f>
        <v/>
      </c>
      <c r="AD110">
        <f>HYPERLINK("https://klasma.github.io/Logging_2181/tillsynsmail/A 4384-2023 tillsynsbegäran mail.docx", "A 4384-2023")</f>
        <v/>
      </c>
      <c r="AE110">
        <f>HYPERLINK("https://klasma.github.io/Logging_2181/fåglar/A 4384-2023 prioriterade fågelarter.docx", "A 4384-2023")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46300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46300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46300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46300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46300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46300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46300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46300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46300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46300</v>
      </c>
      <c r="F122" t="inlineStr">
        <is>
          <t>GÄVLEBORGS LÄN</t>
        </is>
      </c>
      <c r="G122" t="inlineStr">
        <is>
          <t>SANDVIKEN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46300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46300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46300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46300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46300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46300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46300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46300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46300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46300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46300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46300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46300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46300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46300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46300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46300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46300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46300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46300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46300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46300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46300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46300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46300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46300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46300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46300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46300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46300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46300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46300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46300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46300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46300</v>
      </c>
      <c r="F157" t="inlineStr">
        <is>
          <t>GÄVLEBORGS LÄN</t>
        </is>
      </c>
      <c r="G157" t="inlineStr">
        <is>
          <t>SANDVIKEN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46300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46300</v>
      </c>
      <c r="F159" t="inlineStr">
        <is>
          <t>GÄVLEBORGS LÄN</t>
        </is>
      </c>
      <c r="G159" t="inlineStr">
        <is>
          <t>SANDVIKEN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45525</v>
      </c>
      <c r="E160" s="1" t="n">
        <v>46300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öst AB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46300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46300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46300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46300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46300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46300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45540</v>
      </c>
      <c r="E167" s="1" t="n">
        <v>46300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46300</v>
      </c>
      <c r="F168" t="inlineStr">
        <is>
          <t>GÄVLEBORGS LÄN</t>
        </is>
      </c>
      <c r="G168" t="inlineStr">
        <is>
          <t>SANDVIKEN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46300</v>
      </c>
      <c r="F169" t="inlineStr">
        <is>
          <t>GÄVLEBORGS LÄN</t>
        </is>
      </c>
      <c r="G169" t="inlineStr">
        <is>
          <t>SANDVIKEN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46300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46300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46300</v>
      </c>
      <c r="F172" t="inlineStr">
        <is>
          <t>GÄVLEBORGS LÄN</t>
        </is>
      </c>
      <c r="G172" t="inlineStr">
        <is>
          <t>SANDVIKEN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46300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46300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46300</v>
      </c>
      <c r="F175" t="inlineStr">
        <is>
          <t>GÄVLEBORGS LÄN</t>
        </is>
      </c>
      <c r="G175" t="inlineStr">
        <is>
          <t>SANDVIKEN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46300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46300</v>
      </c>
      <c r="F177" t="inlineStr">
        <is>
          <t>GÄVLEBORGS LÄN</t>
        </is>
      </c>
      <c r="G177" t="inlineStr">
        <is>
          <t>SANDVIKEN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46300</v>
      </c>
      <c r="F178" t="inlineStr">
        <is>
          <t>GÄVLEBORGS LÄN</t>
        </is>
      </c>
      <c r="G178" t="inlineStr">
        <is>
          <t>SANDVIKEN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46300</v>
      </c>
      <c r="F179" t="inlineStr">
        <is>
          <t>GÄVLEBORGS LÄN</t>
        </is>
      </c>
      <c r="G179" t="inlineStr">
        <is>
          <t>SANDVIKEN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46300</v>
      </c>
      <c r="F180" t="inlineStr">
        <is>
          <t>GÄVLEBORGS LÄN</t>
        </is>
      </c>
      <c r="G180" t="inlineStr">
        <is>
          <t>SANDVIKEN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46300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46300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46300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46300</v>
      </c>
      <c r="F184" t="inlineStr">
        <is>
          <t>GÄVLEBORGS LÄN</t>
        </is>
      </c>
      <c r="G184" t="inlineStr">
        <is>
          <t>SANDVIKEN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46300</v>
      </c>
      <c r="F185" t="inlineStr">
        <is>
          <t>GÄVLEBORGS LÄN</t>
        </is>
      </c>
      <c r="G185" t="inlineStr">
        <is>
          <t>SANDVIKEN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46300</v>
      </c>
      <c r="F186" t="inlineStr">
        <is>
          <t>GÄVLEBORGS LÄN</t>
        </is>
      </c>
      <c r="G186" t="inlineStr">
        <is>
          <t>SANDVIKEN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46300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46300</v>
      </c>
      <c r="F188" t="inlineStr">
        <is>
          <t>GÄVLEBORGS LÄN</t>
        </is>
      </c>
      <c r="G188" t="inlineStr">
        <is>
          <t>SANDVIKEN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44477</v>
      </c>
      <c r="E189" s="1" t="n">
        <v>46300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väst AB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46300</v>
      </c>
      <c r="F190" t="inlineStr">
        <is>
          <t>GÄVLEBORGS LÄN</t>
        </is>
      </c>
      <c r="G190" t="inlineStr">
        <is>
          <t>SANDVIKEN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46300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46300</v>
      </c>
      <c r="F192" t="inlineStr">
        <is>
          <t>GÄVLEBORGS LÄN</t>
        </is>
      </c>
      <c r="G192" t="inlineStr">
        <is>
          <t>SANDVIKEN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46300</v>
      </c>
      <c r="F193" t="inlineStr">
        <is>
          <t>GÄVLEBORGS LÄN</t>
        </is>
      </c>
      <c r="G193" t="inlineStr">
        <is>
          <t>SANDVIKEN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46300</v>
      </c>
      <c r="F194" t="inlineStr">
        <is>
          <t>GÄVLEBORGS LÄN</t>
        </is>
      </c>
      <c r="G194" t="inlineStr">
        <is>
          <t>SANDVIKEN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46300</v>
      </c>
      <c r="F195" t="inlineStr">
        <is>
          <t>GÄVLEBORGS LÄN</t>
        </is>
      </c>
      <c r="G195" t="inlineStr">
        <is>
          <t>SANDVIKEN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46300</v>
      </c>
      <c r="F196" t="inlineStr">
        <is>
          <t>GÄVLEBORGS LÄN</t>
        </is>
      </c>
      <c r="G196" t="inlineStr">
        <is>
          <t>SANDVIKEN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46300</v>
      </c>
      <c r="F197" t="inlineStr">
        <is>
          <t>GÄVLEBORGS LÄN</t>
        </is>
      </c>
      <c r="G197" t="inlineStr">
        <is>
          <t>SANDVIKEN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46300</v>
      </c>
      <c r="F198" t="inlineStr">
        <is>
          <t>GÄVLEBORGS LÄN</t>
        </is>
      </c>
      <c r="G198" t="inlineStr">
        <is>
          <t>SANDVIKEN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46300</v>
      </c>
      <c r="F199" t="inlineStr">
        <is>
          <t>GÄVLEBORGS LÄN</t>
        </is>
      </c>
      <c r="G199" t="inlineStr">
        <is>
          <t>SANDVIKEN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46300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46300</v>
      </c>
      <c r="F201" t="inlineStr">
        <is>
          <t>GÄVLEBORGS LÄN</t>
        </is>
      </c>
      <c r="G201" t="inlineStr">
        <is>
          <t>SANDVIKEN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46300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46300</v>
      </c>
      <c r="F203" t="inlineStr">
        <is>
          <t>GÄVLEBORGS LÄN</t>
        </is>
      </c>
      <c r="G203" t="inlineStr">
        <is>
          <t>SANDVIKEN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46300</v>
      </c>
      <c r="F204" t="inlineStr">
        <is>
          <t>GÄVLEBORGS LÄN</t>
        </is>
      </c>
      <c r="G204" t="inlineStr">
        <is>
          <t>SANDVIKEN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46300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46300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46300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46300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46300</v>
      </c>
      <c r="F209" t="inlineStr">
        <is>
          <t>GÄVLEBORGS LÄN</t>
        </is>
      </c>
      <c r="G209" t="inlineStr">
        <is>
          <t>SANDVIKEN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46300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46300</v>
      </c>
      <c r="F211" t="inlineStr">
        <is>
          <t>GÄVLEBORGS LÄN</t>
        </is>
      </c>
      <c r="G211" t="inlineStr">
        <is>
          <t>SANDVIKEN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44744</v>
      </c>
      <c r="E212" s="1" t="n">
        <v>46300</v>
      </c>
      <c r="F212" t="inlineStr">
        <is>
          <t>GÄVLEBORGS LÄN</t>
        </is>
      </c>
      <c r="G212" t="inlineStr">
        <is>
          <t>SANDVIKEN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46300</v>
      </c>
      <c r="F213" t="inlineStr">
        <is>
          <t>GÄVLEBORGS LÄN</t>
        </is>
      </c>
      <c r="G213" t="inlineStr">
        <is>
          <t>SANDVIKEN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46300</v>
      </c>
      <c r="F214" t="inlineStr">
        <is>
          <t>GÄVLEBORGS LÄN</t>
        </is>
      </c>
      <c r="G214" t="inlineStr">
        <is>
          <t>SANDVIKEN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46300</v>
      </c>
      <c r="F215" t="inlineStr">
        <is>
          <t>GÄVLEBORGS LÄN</t>
        </is>
      </c>
      <c r="G215" t="inlineStr">
        <is>
          <t>SANDVIKEN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45278</v>
      </c>
      <c r="E216" s="1" t="n">
        <v>46300</v>
      </c>
      <c r="F216" t="inlineStr">
        <is>
          <t>GÄVLEBORGS LÄN</t>
        </is>
      </c>
      <c r="G216" t="inlineStr">
        <is>
          <t>SANDVIKEN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46300</v>
      </c>
      <c r="F217" t="inlineStr">
        <is>
          <t>GÄVLEBORGS LÄN</t>
        </is>
      </c>
      <c r="G217" t="inlineStr">
        <is>
          <t>SANDVIKEN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46300</v>
      </c>
      <c r="F218" t="inlineStr">
        <is>
          <t>GÄVLEBORGS LÄN</t>
        </is>
      </c>
      <c r="G218" t="inlineStr">
        <is>
          <t>SANDVIKEN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45418</v>
      </c>
      <c r="E219" s="1" t="n">
        <v>46300</v>
      </c>
      <c r="F219" t="inlineStr">
        <is>
          <t>GÄVLEBORGS LÄN</t>
        </is>
      </c>
      <c r="G219" t="inlineStr">
        <is>
          <t>SANDVIKEN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46300</v>
      </c>
      <c r="F220" t="inlineStr">
        <is>
          <t>GÄVLEBORGS LÄN</t>
        </is>
      </c>
      <c r="G220" t="inlineStr">
        <is>
          <t>SANDVIKEN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46300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46300</v>
      </c>
      <c r="F222" t="inlineStr">
        <is>
          <t>GÄVLEBORGS LÄN</t>
        </is>
      </c>
      <c r="G222" t="inlineStr">
        <is>
          <t>SANDVIKEN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46300</v>
      </c>
      <c r="F223" t="inlineStr">
        <is>
          <t>GÄVLEBORGS LÄN</t>
        </is>
      </c>
      <c r="G223" t="inlineStr">
        <is>
          <t>SANDVIKEN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46300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46300</v>
      </c>
      <c r="F225" t="inlineStr">
        <is>
          <t>GÄVLEBORGS LÄN</t>
        </is>
      </c>
      <c r="G225" t="inlineStr">
        <is>
          <t>SANDVIKEN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46300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46300</v>
      </c>
      <c r="F227" t="inlineStr">
        <is>
          <t>GÄVLEBORGS LÄN</t>
        </is>
      </c>
      <c r="G227" t="inlineStr">
        <is>
          <t>SANDVIKEN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46300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46300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46300</v>
      </c>
      <c r="F230" t="inlineStr">
        <is>
          <t>GÄVLEBORGS LÄN</t>
        </is>
      </c>
      <c r="G230" t="inlineStr">
        <is>
          <t>SANDVIKEN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46300</v>
      </c>
      <c r="F231" t="inlineStr">
        <is>
          <t>GÄVLEBORGS LÄN</t>
        </is>
      </c>
      <c r="G231" t="inlineStr">
        <is>
          <t>SANDVIKEN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46300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46300</v>
      </c>
      <c r="F233" t="inlineStr">
        <is>
          <t>GÄVLEBORGS LÄN</t>
        </is>
      </c>
      <c r="G233" t="inlineStr">
        <is>
          <t>SANDVIKEN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46300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45805</v>
      </c>
      <c r="E235" s="1" t="n">
        <v>46300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46300</v>
      </c>
      <c r="F236" t="inlineStr">
        <is>
          <t>GÄVLEBORGS LÄN</t>
        </is>
      </c>
      <c r="G236" t="inlineStr">
        <is>
          <t>SANDVIKEN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46300</v>
      </c>
      <c r="F237" t="inlineStr">
        <is>
          <t>GÄVLEBORGS LÄN</t>
        </is>
      </c>
      <c r="G237" t="inlineStr">
        <is>
          <t>SANDVIKEN</t>
        </is>
      </c>
      <c r="H237" t="inlineStr">
        <is>
          <t>Kyrkan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46300</v>
      </c>
      <c r="F238" t="inlineStr">
        <is>
          <t>GÄVLEBORGS LÄN</t>
        </is>
      </c>
      <c r="G238" t="inlineStr">
        <is>
          <t>SANDVIKEN</t>
        </is>
      </c>
      <c r="H238" t="inlineStr">
        <is>
          <t>Kommuner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46300</v>
      </c>
      <c r="F239" t="inlineStr">
        <is>
          <t>GÄVLEBORGS LÄN</t>
        </is>
      </c>
      <c r="G239" t="inlineStr">
        <is>
          <t>SANDVIKEN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46300</v>
      </c>
      <c r="F240" t="inlineStr">
        <is>
          <t>GÄVLEBORGS LÄN</t>
        </is>
      </c>
      <c r="G240" t="inlineStr">
        <is>
          <t>SANDVIKEN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46300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46300</v>
      </c>
      <c r="F242" t="inlineStr">
        <is>
          <t>GÄVLEBORGS LÄN</t>
        </is>
      </c>
      <c r="G242" t="inlineStr">
        <is>
          <t>SANDVIKEN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46300</v>
      </c>
      <c r="F243" t="inlineStr">
        <is>
          <t>GÄVLEBORGS LÄN</t>
        </is>
      </c>
      <c r="G243" t="inlineStr">
        <is>
          <t>SANDVIKEN</t>
        </is>
      </c>
      <c r="H243" t="inlineStr">
        <is>
          <t>Kommuner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45649</v>
      </c>
      <c r="E244" s="1" t="n">
        <v>46300</v>
      </c>
      <c r="F244" t="inlineStr">
        <is>
          <t>GÄVLEBORGS LÄN</t>
        </is>
      </c>
      <c r="G244" t="inlineStr">
        <is>
          <t>SANDVIKEN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46300</v>
      </c>
      <c r="F245" t="inlineStr">
        <is>
          <t>GÄVLEBORGS LÄN</t>
        </is>
      </c>
      <c r="G245" t="inlineStr">
        <is>
          <t>SANDVIKEN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46300</v>
      </c>
      <c r="F246" t="inlineStr">
        <is>
          <t>GÄVLEBORGS LÄN</t>
        </is>
      </c>
      <c r="G246" t="inlineStr">
        <is>
          <t>SANDVIKEN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46300</v>
      </c>
      <c r="F247" t="inlineStr">
        <is>
          <t>GÄVLEBORGS LÄN</t>
        </is>
      </c>
      <c r="G247" t="inlineStr">
        <is>
          <t>SANDVIKEN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46300</v>
      </c>
      <c r="F248" t="inlineStr">
        <is>
          <t>GÄVLEBORGS LÄN</t>
        </is>
      </c>
      <c r="G248" t="inlineStr">
        <is>
          <t>SANDVIKEN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46300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46300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46300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46300</v>
      </c>
      <c r="F252" t="inlineStr">
        <is>
          <t>GÄVLEBORGS LÄN</t>
        </is>
      </c>
      <c r="G252" t="inlineStr">
        <is>
          <t>SANDVIKEN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46300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46300</v>
      </c>
      <c r="F254" t="inlineStr">
        <is>
          <t>GÄVLEBORGS LÄN</t>
        </is>
      </c>
      <c r="G254" t="inlineStr">
        <is>
          <t>SANDVIKEN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46300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46300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46300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45730</v>
      </c>
      <c r="E258" s="1" t="n">
        <v>46300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46300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46300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46300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45649</v>
      </c>
      <c r="E262" s="1" t="n">
        <v>46300</v>
      </c>
      <c r="F262" t="inlineStr">
        <is>
          <t>GÄVLEBORGS LÄN</t>
        </is>
      </c>
      <c r="G262" t="inlineStr">
        <is>
          <t>SANDVIKEN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46300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46300</v>
      </c>
      <c r="F264" t="inlineStr">
        <is>
          <t>GÄVLEBORGS LÄN</t>
        </is>
      </c>
      <c r="G264" t="inlineStr">
        <is>
          <t>SANDVIKEN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46300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46300</v>
      </c>
      <c r="F266" t="inlineStr">
        <is>
          <t>GÄVLEBORGS LÄN</t>
        </is>
      </c>
      <c r="G266" t="inlineStr">
        <is>
          <t>SANDVIKEN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46300</v>
      </c>
      <c r="F267" t="inlineStr">
        <is>
          <t>GÄVLEBORGS LÄN</t>
        </is>
      </c>
      <c r="G267" t="inlineStr">
        <is>
          <t>SANDVIKEN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46300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46300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46300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46300</v>
      </c>
      <c r="F271" t="inlineStr">
        <is>
          <t>GÄVLEBORGS LÄN</t>
        </is>
      </c>
      <c r="G271" t="inlineStr">
        <is>
          <t>SANDVIKEN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46300</v>
      </c>
      <c r="F272" t="inlineStr">
        <is>
          <t>GÄVLEBORGS LÄN</t>
        </is>
      </c>
      <c r="G272" t="inlineStr">
        <is>
          <t>SANDVIKEN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46300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46300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46300</v>
      </c>
      <c r="F275" t="inlineStr">
        <is>
          <t>GÄVLEBORGS LÄN</t>
        </is>
      </c>
      <c r="G275" t="inlineStr">
        <is>
          <t>SANDVIKEN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46300</v>
      </c>
      <c r="F276" t="inlineStr">
        <is>
          <t>GÄVLEBORGS LÄN</t>
        </is>
      </c>
      <c r="G276" t="inlineStr">
        <is>
          <t>SANDVIKEN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46300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46300</v>
      </c>
      <c r="F278" t="inlineStr">
        <is>
          <t>GÄVLEBORGS LÄN</t>
        </is>
      </c>
      <c r="G278" t="inlineStr">
        <is>
          <t>SANDVIKEN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46300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46300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46300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46300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väst AB</t>
        </is>
      </c>
      <c r="I282" t="n">
        <v>10.1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46300</v>
      </c>
      <c r="F283" t="inlineStr">
        <is>
          <t>GÄVLEBORGS LÄN</t>
        </is>
      </c>
      <c r="G283" t="inlineStr">
        <is>
          <t>SANDVIKEN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46300</v>
      </c>
      <c r="F284" t="inlineStr">
        <is>
          <t>GÄVLEBORGS LÄN</t>
        </is>
      </c>
      <c r="G284" t="inlineStr">
        <is>
          <t>SANDVIKEN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46300</v>
      </c>
      <c r="F285" t="inlineStr">
        <is>
          <t>GÄVLEBORGS LÄN</t>
        </is>
      </c>
      <c r="G285" t="inlineStr">
        <is>
          <t>SANDVIKEN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46300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46300</v>
      </c>
      <c r="F287" t="inlineStr">
        <is>
          <t>GÄVLEBORGS LÄN</t>
        </is>
      </c>
      <c r="G287" t="inlineStr">
        <is>
          <t>SANDVIKEN</t>
        </is>
      </c>
      <c r="H287" t="inlineStr">
        <is>
          <t>Naturvårdsverket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46300</v>
      </c>
      <c r="F288" t="inlineStr">
        <is>
          <t>GÄVLEBORGS LÄN</t>
        </is>
      </c>
      <c r="G288" t="inlineStr">
        <is>
          <t>SANDVIKEN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46300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46300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46300</v>
      </c>
      <c r="F291" t="inlineStr">
        <is>
          <t>GÄVLEBORGS LÄN</t>
        </is>
      </c>
      <c r="G291" t="inlineStr">
        <is>
          <t>SANDVIKEN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46300</v>
      </c>
      <c r="F292" t="inlineStr">
        <is>
          <t>GÄVLEBORGS LÄN</t>
        </is>
      </c>
      <c r="G292" t="inlineStr">
        <is>
          <t>SANDVIKEN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46300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46300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46300</v>
      </c>
      <c r="F295" t="inlineStr">
        <is>
          <t>GÄVLEBORGS LÄN</t>
        </is>
      </c>
      <c r="G295" t="inlineStr">
        <is>
          <t>SANDVIKEN</t>
        </is>
      </c>
      <c r="H295" t="inlineStr">
        <is>
          <t>Kommuner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46300</v>
      </c>
      <c r="F296" t="inlineStr">
        <is>
          <t>GÄVLEBORGS LÄN</t>
        </is>
      </c>
      <c r="G296" t="inlineStr">
        <is>
          <t>SANDVIKEN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46300</v>
      </c>
      <c r="F297" t="inlineStr">
        <is>
          <t>GÄVLEBORGS LÄN</t>
        </is>
      </c>
      <c r="G297" t="inlineStr">
        <is>
          <t>SANDVIKEN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46300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46300</v>
      </c>
      <c r="F299" t="inlineStr">
        <is>
          <t>GÄVLEBORGS LÄN</t>
        </is>
      </c>
      <c r="G299" t="inlineStr">
        <is>
          <t>SANDVIKEN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46300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19.5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46300</v>
      </c>
      <c r="F301" t="inlineStr">
        <is>
          <t>GÄVLEBORGS LÄN</t>
        </is>
      </c>
      <c r="G301" t="inlineStr">
        <is>
          <t>SANDVIKEN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46300</v>
      </c>
      <c r="F302" t="inlineStr">
        <is>
          <t>GÄVLEBORGS LÄN</t>
        </is>
      </c>
      <c r="G302" t="inlineStr">
        <is>
          <t>SANDVIKEN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46076</v>
      </c>
      <c r="E303" s="1" t="n">
        <v>46300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46300</v>
      </c>
      <c r="F304" t="inlineStr">
        <is>
          <t>GÄVLEBORGS LÄN</t>
        </is>
      </c>
      <c r="G304" t="inlineStr">
        <is>
          <t>SANDVIKEN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46300</v>
      </c>
      <c r="F305" t="inlineStr">
        <is>
          <t>GÄVLEBORGS LÄN</t>
        </is>
      </c>
      <c r="G305" t="inlineStr">
        <is>
          <t>SANDVIKEN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46300</v>
      </c>
      <c r="F306" t="inlineStr">
        <is>
          <t>GÄVLEBORGS LÄN</t>
        </is>
      </c>
      <c r="G306" t="inlineStr">
        <is>
          <t>SANDVIKEN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46300</v>
      </c>
      <c r="F307" t="inlineStr">
        <is>
          <t>GÄVLEBORGS LÄN</t>
        </is>
      </c>
      <c r="G307" t="inlineStr">
        <is>
          <t>SANDVIKEN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46074</v>
      </c>
      <c r="E308" s="1" t="n">
        <v>46300</v>
      </c>
      <c r="F308" t="inlineStr">
        <is>
          <t>GÄVLEBORGS LÄN</t>
        </is>
      </c>
      <c r="G308" t="inlineStr">
        <is>
          <t>SANDVIKEN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46300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50851-2025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45946</v>
      </c>
      <c r="E310" s="1" t="n">
        <v>46300</v>
      </c>
      <c r="F310" t="inlineStr">
        <is>
          <t>GÄVLEBORGS LÄN</t>
        </is>
      </c>
      <c r="G310" t="inlineStr">
        <is>
          <t>SANDVIKEN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46300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46300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46300</v>
      </c>
      <c r="F313" t="inlineStr">
        <is>
          <t>GÄVLEBORGS LÄN</t>
        </is>
      </c>
      <c r="G313" t="inlineStr">
        <is>
          <t>SANDVIKEN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44813</v>
      </c>
      <c r="E314" s="1" t="n">
        <v>46300</v>
      </c>
      <c r="F314" t="inlineStr">
        <is>
          <t>GÄVLEBORGS LÄN</t>
        </is>
      </c>
      <c r="G314" t="inlineStr">
        <is>
          <t>SANDVIKEN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46078</v>
      </c>
      <c r="E315" s="1" t="n">
        <v>46300</v>
      </c>
      <c r="F315" t="inlineStr">
        <is>
          <t>GÄVLEBORGS LÄN</t>
        </is>
      </c>
      <c r="G315" t="inlineStr">
        <is>
          <t>SANDVIKEN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46300</v>
      </c>
      <c r="F316" t="inlineStr">
        <is>
          <t>GÄVLEBORGS LÄN</t>
        </is>
      </c>
      <c r="G316" t="inlineStr">
        <is>
          <t>SANDVIKEN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46300</v>
      </c>
      <c r="F317" t="inlineStr">
        <is>
          <t>GÄVLEBORGS LÄN</t>
        </is>
      </c>
      <c r="G317" t="inlineStr">
        <is>
          <t>SANDVIKEN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46300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46300</v>
      </c>
      <c r="F319" t="inlineStr">
        <is>
          <t>GÄVLEBORGS LÄN</t>
        </is>
      </c>
      <c r="G319" t="inlineStr">
        <is>
          <t>SANDVIKEN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46300</v>
      </c>
      <c r="F320" t="inlineStr">
        <is>
          <t>GÄVLEBORGS LÄN</t>
        </is>
      </c>
      <c r="G320" t="inlineStr">
        <is>
          <t>SANDVIKEN</t>
        </is>
      </c>
      <c r="I320" t="n">
        <v>14.5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46300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46300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46300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45480</v>
      </c>
      <c r="E324" s="1" t="n">
        <v>46300</v>
      </c>
      <c r="F324" t="inlineStr">
        <is>
          <t>GÄVLEBORGS LÄN</t>
        </is>
      </c>
      <c r="G324" t="inlineStr">
        <is>
          <t>SANDVIKEN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46300</v>
      </c>
      <c r="F325" t="inlineStr">
        <is>
          <t>GÄVLEBORGS LÄN</t>
        </is>
      </c>
      <c r="G325" t="inlineStr">
        <is>
          <t>SANDVIKEN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44797</v>
      </c>
      <c r="E326" s="1" t="n">
        <v>46300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46300</v>
      </c>
      <c r="F327" t="inlineStr">
        <is>
          <t>GÄVLEBORGS LÄN</t>
        </is>
      </c>
      <c r="G327" t="inlineStr">
        <is>
          <t>SANDVIKEN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46300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46300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46300</v>
      </c>
      <c r="F330" t="inlineStr">
        <is>
          <t>GÄVLEBORGS LÄN</t>
        </is>
      </c>
      <c r="G330" t="inlineStr">
        <is>
          <t>SANDVIKEN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46300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46300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46300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46300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46300</v>
      </c>
      <c r="F335" t="inlineStr">
        <is>
          <t>GÄVLEBORGS LÄN</t>
        </is>
      </c>
      <c r="G335" t="inlineStr">
        <is>
          <t>SANDVIKEN</t>
        </is>
      </c>
      <c r="H335" t="inlineStr">
        <is>
          <t>Naturvårdsverket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46300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46300</v>
      </c>
      <c r="F337" t="inlineStr">
        <is>
          <t>GÄVLEBORGS LÄN</t>
        </is>
      </c>
      <c r="G337" t="inlineStr">
        <is>
          <t>SANDVIKEN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46086</v>
      </c>
      <c r="E338" s="1" t="n">
        <v>46300</v>
      </c>
      <c r="F338" t="inlineStr">
        <is>
          <t>GÄVLEBORGS LÄN</t>
        </is>
      </c>
      <c r="G338" t="inlineStr">
        <is>
          <t>SANDVIKEN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46086</v>
      </c>
      <c r="E339" s="1" t="n">
        <v>46300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46086</v>
      </c>
      <c r="E340" s="1" t="n">
        <v>46300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46300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46086</v>
      </c>
      <c r="E342" s="1" t="n">
        <v>46300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46300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HYPERLINK("https://klasma.github.io/Logging_2181/knärot/A 52786-2025 karta knärot.png", "A 52786-2025")</f>
        <v/>
      </c>
      <c r="AA343">
        <f>HYPERLINK("https://klasma.github.io/Logging_2181/klagomål/A 52786-2025 FSC-klagomål.docx", "A 52786-2025")</f>
        <v/>
      </c>
      <c r="AB343">
        <f>HYPERLINK("https://klasma.github.io/Logging_2181/klagomålsmail/A 52786-2025 FSC-klagomål mail.docx", "A 52786-2025")</f>
        <v/>
      </c>
      <c r="AC343">
        <f>HYPERLINK("https://klasma.github.io/Logging_2181/tillsyn/A 52786-2025 tillsynsbegäran.docx", "A 52786-2025")</f>
        <v/>
      </c>
      <c r="AD343">
        <f>HYPERLINK("https://klasma.github.io/Logging_2181/tillsynsmail/A 52786-2025 tillsynsbegäran mail.docx", "A 52786-2025")</f>
        <v/>
      </c>
    </row>
    <row r="344" ht="15" customHeight="1">
      <c r="A344" t="inlineStr">
        <is>
          <t>A 12208-2026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46300</v>
      </c>
      <c r="F344" t="inlineStr">
        <is>
          <t>GÄVLEBORGS LÄN</t>
        </is>
      </c>
      <c r="G344" t="inlineStr">
        <is>
          <t>SANDVIKEN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46300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46300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46087</v>
      </c>
      <c r="E347" s="1" t="n">
        <v>46300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27.2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46300</v>
      </c>
      <c r="F348" t="inlineStr">
        <is>
          <t>GÄVLEBORGS LÄN</t>
        </is>
      </c>
      <c r="G348" t="inlineStr">
        <is>
          <t>SANDVIKEN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46300</v>
      </c>
      <c r="F349" t="inlineStr">
        <is>
          <t>GÄVLEBORGS LÄN</t>
        </is>
      </c>
      <c r="G349" t="inlineStr">
        <is>
          <t>SANDVIKEN</t>
        </is>
      </c>
      <c r="H349" t="inlineStr">
        <is>
          <t>Naturvårdsverket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46300</v>
      </c>
      <c r="F350" t="inlineStr">
        <is>
          <t>GÄVLEBORGS LÄN</t>
        </is>
      </c>
      <c r="G350" t="inlineStr">
        <is>
          <t>SANDVIKEN</t>
        </is>
      </c>
      <c r="H350" t="inlineStr">
        <is>
          <t>Naturvårdsverket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46300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46091</v>
      </c>
      <c r="E352" s="1" t="n">
        <v>46300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46300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46300</v>
      </c>
      <c r="F354" t="inlineStr">
        <is>
          <t>GÄVLEBORGS LÄN</t>
        </is>
      </c>
      <c r="G354" t="inlineStr">
        <is>
          <t>SANDVIKEN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46300</v>
      </c>
      <c r="F355" t="inlineStr">
        <is>
          <t>GÄVLEBORGS LÄN</t>
        </is>
      </c>
      <c r="G355" t="inlineStr">
        <is>
          <t>SANDVIKEN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46300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46300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46300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44582</v>
      </c>
      <c r="E359" s="1" t="n">
        <v>46300</v>
      </c>
      <c r="F359" t="inlineStr">
        <is>
          <t>GÄVLEBORGS LÄN</t>
        </is>
      </c>
      <c r="G359" t="inlineStr">
        <is>
          <t>SANDVIKEN</t>
        </is>
      </c>
      <c r="H359" t="inlineStr">
        <is>
          <t>Kyrkan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46300</v>
      </c>
      <c r="F360" t="inlineStr">
        <is>
          <t>GÄVLEBORGS LÄN</t>
        </is>
      </c>
      <c r="G360" t="inlineStr">
        <is>
          <t>SANDVIKEN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46300</v>
      </c>
      <c r="F361" t="inlineStr">
        <is>
          <t>GÄVLEBORGS LÄN</t>
        </is>
      </c>
      <c r="G361" t="inlineStr">
        <is>
          <t>SANDVIKEN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46300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46300</v>
      </c>
      <c r="F363" t="inlineStr">
        <is>
          <t>GÄVLEBORGS LÄN</t>
        </is>
      </c>
      <c r="G363" t="inlineStr">
        <is>
          <t>SANDVIKEN</t>
        </is>
      </c>
      <c r="I363" t="n">
        <v>22.5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46300</v>
      </c>
      <c r="F364" t="inlineStr">
        <is>
          <t>GÄVLEBORGS LÄN</t>
        </is>
      </c>
      <c r="G364" t="inlineStr">
        <is>
          <t>SANDVIKEN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46300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46300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46300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46300</v>
      </c>
      <c r="F368" t="inlineStr">
        <is>
          <t>GÄVLEBORGS LÄN</t>
        </is>
      </c>
      <c r="G368" t="inlineStr">
        <is>
          <t>SANDVIKEN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46300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46095</v>
      </c>
      <c r="E370" s="1" t="n">
        <v>46300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46300</v>
      </c>
      <c r="F371" t="inlineStr">
        <is>
          <t>GÄVLEBORGS LÄN</t>
        </is>
      </c>
      <c r="G371" t="inlineStr">
        <is>
          <t>SANDVIKEN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46095</v>
      </c>
      <c r="E372" s="1" t="n">
        <v>46300</v>
      </c>
      <c r="F372" t="inlineStr">
        <is>
          <t>GÄVLEBORGS LÄN</t>
        </is>
      </c>
      <c r="G372" t="inlineStr">
        <is>
          <t>SANDVIKEN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46095</v>
      </c>
      <c r="E373" s="1" t="n">
        <v>46300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46300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46095</v>
      </c>
      <c r="E375" s="1" t="n">
        <v>46300</v>
      </c>
      <c r="F375" t="inlineStr">
        <is>
          <t>GÄVLEBORGS LÄN</t>
        </is>
      </c>
      <c r="G375" t="inlineStr">
        <is>
          <t>SANDVIKEN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46300</v>
      </c>
      <c r="F376" t="inlineStr">
        <is>
          <t>GÄVLEBORGS LÄN</t>
        </is>
      </c>
      <c r="G376" t="inlineStr">
        <is>
          <t>SANDVIKEN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46300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46300</v>
      </c>
      <c r="F378" t="inlineStr">
        <is>
          <t>GÄVLEBORGS LÄN</t>
        </is>
      </c>
      <c r="G378" t="inlineStr">
        <is>
          <t>SANDVIKEN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46095</v>
      </c>
      <c r="E379" s="1" t="n">
        <v>46300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46300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46300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46300</v>
      </c>
      <c r="F382" t="inlineStr">
        <is>
          <t>GÄVLEBORGS LÄN</t>
        </is>
      </c>
      <c r="G382" t="inlineStr">
        <is>
          <t>SANDVIKEN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55607-2025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46300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46300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46300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46300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46300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46300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46300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46300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46300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46300</v>
      </c>
      <c r="F392" t="inlineStr">
        <is>
          <t>GÄVLEBORGS LÄN</t>
        </is>
      </c>
      <c r="G392" t="inlineStr">
        <is>
          <t>SANDVIKEN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46300</v>
      </c>
      <c r="F393" t="inlineStr">
        <is>
          <t>GÄVLEBORGS LÄN</t>
        </is>
      </c>
      <c r="G393" t="inlineStr">
        <is>
          <t>SANDVIKEN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46300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46300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46300</v>
      </c>
      <c r="F396" t="inlineStr">
        <is>
          <t>GÄVLEBORGS LÄN</t>
        </is>
      </c>
      <c r="G396" t="inlineStr">
        <is>
          <t>SANDVIKEN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46300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46300</v>
      </c>
      <c r="F398" t="inlineStr">
        <is>
          <t>GÄVLEBORGS LÄN</t>
        </is>
      </c>
      <c r="G398" t="inlineStr">
        <is>
          <t>SANDVIKEN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46300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46300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46300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46300</v>
      </c>
      <c r="F402" t="inlineStr">
        <is>
          <t>GÄVLEBORGS LÄN</t>
        </is>
      </c>
      <c r="G402" t="inlineStr">
        <is>
          <t>SANDVIKEN</t>
        </is>
      </c>
      <c r="H402" t="inlineStr">
        <is>
          <t>Kommuner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46300</v>
      </c>
      <c r="F403" t="inlineStr">
        <is>
          <t>GÄVLEBORGS LÄN</t>
        </is>
      </c>
      <c r="G403" t="inlineStr">
        <is>
          <t>SANDVIKEN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45540</v>
      </c>
      <c r="E404" s="1" t="n">
        <v>46300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46300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46300</v>
      </c>
      <c r="F406" t="inlineStr">
        <is>
          <t>GÄVLEBORGS LÄN</t>
        </is>
      </c>
      <c r="G406" t="inlineStr">
        <is>
          <t>SANDVIKEN</t>
        </is>
      </c>
      <c r="H406" t="inlineStr">
        <is>
          <t>Kommuner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46300</v>
      </c>
      <c r="F407" t="inlineStr">
        <is>
          <t>GÄVLEBORGS LÄN</t>
        </is>
      </c>
      <c r="G407" t="inlineStr">
        <is>
          <t>SANDVIKEN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58184-2025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46300</v>
      </c>
      <c r="F408" t="inlineStr">
        <is>
          <t>GÄVLEBORGS LÄN</t>
        </is>
      </c>
      <c r="G408" t="inlineStr">
        <is>
          <t>SANDVIKEN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45984</v>
      </c>
      <c r="E409" s="1" t="n">
        <v>46300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46300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58201-2025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45984</v>
      </c>
      <c r="E411" s="1" t="n">
        <v>46300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46300</v>
      </c>
      <c r="F412" t="inlineStr">
        <is>
          <t>GÄVLEBORGS LÄN</t>
        </is>
      </c>
      <c r="G412" t="inlineStr">
        <is>
          <t>SANDVIKEN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46300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46300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46300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46300</v>
      </c>
      <c r="F416" t="inlineStr">
        <is>
          <t>GÄVLEBORGS LÄN</t>
        </is>
      </c>
      <c r="G416" t="inlineStr">
        <is>
          <t>SANDVIKEN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46300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46300</v>
      </c>
      <c r="F418" t="inlineStr">
        <is>
          <t>GÄVLEBORGS LÄN</t>
        </is>
      </c>
      <c r="G418" t="inlineStr">
        <is>
          <t>SANDVIKEN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46300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46300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46114</v>
      </c>
      <c r="E421" s="1" t="n">
        <v>46300</v>
      </c>
      <c r="F421" t="inlineStr">
        <is>
          <t>GÄVLEBORGS LÄN</t>
        </is>
      </c>
      <c r="G421" t="inlineStr">
        <is>
          <t>SANDVIKEN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46115</v>
      </c>
      <c r="E422" s="1" t="n">
        <v>46300</v>
      </c>
      <c r="F422" t="inlineStr">
        <is>
          <t>GÄVLEBORGS LÄN</t>
        </is>
      </c>
      <c r="G422" t="inlineStr">
        <is>
          <t>SANDVIKEN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46116</v>
      </c>
      <c r="E423" s="1" t="n">
        <v>46300</v>
      </c>
      <c r="F423" t="inlineStr">
        <is>
          <t>GÄVLEBORGS LÄN</t>
        </is>
      </c>
      <c r="G423" t="inlineStr">
        <is>
          <t>SANDVIKEN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46115</v>
      </c>
      <c r="E424" s="1" t="n">
        <v>46300</v>
      </c>
      <c r="F424" t="inlineStr">
        <is>
          <t>GÄVLEBORGS LÄN</t>
        </is>
      </c>
      <c r="G424" t="inlineStr">
        <is>
          <t>SANDVIKEN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46115</v>
      </c>
      <c r="E425" s="1" t="n">
        <v>46300</v>
      </c>
      <c r="F425" t="inlineStr">
        <is>
          <t>GÄVLEBORGS LÄN</t>
        </is>
      </c>
      <c r="G425" t="inlineStr">
        <is>
          <t>SANDVIKEN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46116</v>
      </c>
      <c r="E426" s="1" t="n">
        <v>46300</v>
      </c>
      <c r="F426" t="inlineStr">
        <is>
          <t>GÄVLEBORGS LÄN</t>
        </is>
      </c>
      <c r="G426" t="inlineStr">
        <is>
          <t>SANDVIKEN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46115</v>
      </c>
      <c r="E427" s="1" t="n">
        <v>46300</v>
      </c>
      <c r="F427" t="inlineStr">
        <is>
          <t>GÄVLEBORGS LÄN</t>
        </is>
      </c>
      <c r="G427" t="inlineStr">
        <is>
          <t>SANDVIKEN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46116</v>
      </c>
      <c r="E428" s="1" t="n">
        <v>46300</v>
      </c>
      <c r="F428" t="inlineStr">
        <is>
          <t>GÄVLEBORGS LÄN</t>
        </is>
      </c>
      <c r="G428" t="inlineStr">
        <is>
          <t>SANDVIKEN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46115</v>
      </c>
      <c r="E429" s="1" t="n">
        <v>46300</v>
      </c>
      <c r="F429" t="inlineStr">
        <is>
          <t>GÄVLEBORGS LÄN</t>
        </is>
      </c>
      <c r="G429" t="inlineStr">
        <is>
          <t>SANDVIKEN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46115</v>
      </c>
      <c r="E430" s="1" t="n">
        <v>46300</v>
      </c>
      <c r="F430" t="inlineStr">
        <is>
          <t>GÄVLEBORGS LÄN</t>
        </is>
      </c>
      <c r="G430" t="inlineStr">
        <is>
          <t>SANDVIKEN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46119</v>
      </c>
      <c r="E431" s="1" t="n">
        <v>46300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46119</v>
      </c>
      <c r="E432" s="1" t="n">
        <v>46300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46300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45825</v>
      </c>
      <c r="E434" s="1" t="n">
        <v>46300</v>
      </c>
      <c r="F434" t="inlineStr">
        <is>
          <t>GÄVLEBORGS LÄN</t>
        </is>
      </c>
      <c r="G434" t="inlineStr">
        <is>
          <t>SANDVIKEN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46300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46300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46300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46300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46300</v>
      </c>
      <c r="F439" t="inlineStr">
        <is>
          <t>GÄVLEBORGS LÄN</t>
        </is>
      </c>
      <c r="G439" t="inlineStr">
        <is>
          <t>SANDVIKEN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46300</v>
      </c>
      <c r="F440" t="inlineStr">
        <is>
          <t>GÄVLEBORGS LÄN</t>
        </is>
      </c>
      <c r="G440" t="inlineStr">
        <is>
          <t>SANDVIKEN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46300</v>
      </c>
      <c r="F441" t="inlineStr">
        <is>
          <t>GÄVLEBORGS LÄN</t>
        </is>
      </c>
      <c r="G441" t="inlineStr">
        <is>
          <t>SANDVIKEN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46300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45992</v>
      </c>
      <c r="E443" s="1" t="n">
        <v>46300</v>
      </c>
      <c r="F443" t="inlineStr">
        <is>
          <t>GÄVLEBORGS LÄN</t>
        </is>
      </c>
      <c r="G443" t="inlineStr">
        <is>
          <t>SANDVIKEN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46300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23539-2026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46163</v>
      </c>
      <c r="E445" s="1" t="n">
        <v>46300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46300</v>
      </c>
      <c r="F446" t="inlineStr">
        <is>
          <t>GÄVLEBORGS LÄN</t>
        </is>
      </c>
      <c r="G446" t="inlineStr">
        <is>
          <t>SANDVIKEN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46300</v>
      </c>
      <c r="F447" t="inlineStr">
        <is>
          <t>GÄVLEBORGS LÄN</t>
        </is>
      </c>
      <c r="G447" t="inlineStr">
        <is>
          <t>SANDVIKEN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46300</v>
      </c>
      <c r="F448" t="inlineStr">
        <is>
          <t>GÄVLEBORGS LÄN</t>
        </is>
      </c>
      <c r="G448" t="inlineStr">
        <is>
          <t>SANDVIKEN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46300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46300</v>
      </c>
      <c r="F450" t="inlineStr">
        <is>
          <t>GÄVLEBORGS LÄN</t>
        </is>
      </c>
      <c r="G450" t="inlineStr">
        <is>
          <t>SANDVIKEN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45467</v>
      </c>
      <c r="E451" s="1" t="n">
        <v>46300</v>
      </c>
      <c r="F451" t="inlineStr">
        <is>
          <t>GÄVLEBORGS LÄN</t>
        </is>
      </c>
      <c r="G451" t="inlineStr">
        <is>
          <t>SANDVIKEN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46300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46300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46300</v>
      </c>
      <c r="F454" t="inlineStr">
        <is>
          <t>GÄVLEBORGS LÄN</t>
        </is>
      </c>
      <c r="G454" t="inlineStr">
        <is>
          <t>SANDVIKEN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46300</v>
      </c>
      <c r="F455" t="inlineStr">
        <is>
          <t>GÄVLEBORGS LÄN</t>
        </is>
      </c>
      <c r="G455" t="inlineStr">
        <is>
          <t>SANDVIKEN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46128</v>
      </c>
      <c r="E456" s="1" t="n">
        <v>46300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46300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46300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61694-2021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46300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46300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18987-2026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46129</v>
      </c>
      <c r="E461" s="1" t="n">
        <v>46300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46300</v>
      </c>
      <c r="F462" t="inlineStr">
        <is>
          <t>GÄVLEBORGS LÄN</t>
        </is>
      </c>
      <c r="G462" t="inlineStr">
        <is>
          <t>SANDVIKEN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46300</v>
      </c>
      <c r="F463" t="inlineStr">
        <is>
          <t>GÄVLEBORGS LÄN</t>
        </is>
      </c>
      <c r="G463" t="inlineStr">
        <is>
          <t>SANDVIKEN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46300</v>
      </c>
      <c r="F464" t="inlineStr">
        <is>
          <t>GÄVLEBORGS LÄN</t>
        </is>
      </c>
      <c r="G464" t="inlineStr">
        <is>
          <t>SANDVIKEN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46300</v>
      </c>
      <c r="F465" t="inlineStr">
        <is>
          <t>GÄVLEBORGS LÄN</t>
        </is>
      </c>
      <c r="G465" t="inlineStr">
        <is>
          <t>SANDVIKEN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72997-2021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44549</v>
      </c>
      <c r="E466" s="1" t="n">
        <v>46300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46300</v>
      </c>
      <c r="F467" t="inlineStr">
        <is>
          <t>GÄVLEBORGS LÄN</t>
        </is>
      </c>
      <c r="G467" t="inlineStr">
        <is>
          <t>SANDVIKEN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46300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46300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46300</v>
      </c>
      <c r="F470" t="inlineStr">
        <is>
          <t>GÄVLEBORGS LÄN</t>
        </is>
      </c>
      <c r="G470" t="inlineStr">
        <is>
          <t>SANDVIKEN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46300</v>
      </c>
      <c r="F471" t="inlineStr">
        <is>
          <t>GÄVLEBORGS LÄN</t>
        </is>
      </c>
      <c r="G471" t="inlineStr">
        <is>
          <t>SANDVIKEN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46300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46300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45769</v>
      </c>
      <c r="E474" s="1" t="n">
        <v>46300</v>
      </c>
      <c r="F474" t="inlineStr">
        <is>
          <t>GÄVLEBORGS LÄN</t>
        </is>
      </c>
      <c r="G474" t="inlineStr">
        <is>
          <t>SANDVIKEN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46300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46130</v>
      </c>
      <c r="E476" s="1" t="n">
        <v>46300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46300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46300</v>
      </c>
      <c r="F478" t="inlineStr">
        <is>
          <t>GÄVLEBORGS LÄN</t>
        </is>
      </c>
      <c r="G478" t="inlineStr">
        <is>
          <t>SANDVIKEN</t>
        </is>
      </c>
      <c r="H478" t="inlineStr">
        <is>
          <t>Naturvårdsverket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46300</v>
      </c>
      <c r="F479" t="inlineStr">
        <is>
          <t>GÄVLEBORGS LÄN</t>
        </is>
      </c>
      <c r="G479" t="inlineStr">
        <is>
          <t>SANDVIKEN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46300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46300</v>
      </c>
      <c r="F481" t="inlineStr">
        <is>
          <t>GÄVLEBORGS LÄN</t>
        </is>
      </c>
      <c r="G481" t="inlineStr">
        <is>
          <t>SANDVIKEN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46300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45390</v>
      </c>
      <c r="E483" s="1" t="n">
        <v>46300</v>
      </c>
      <c r="F483" t="inlineStr">
        <is>
          <t>GÄVLEBORGS LÄN</t>
        </is>
      </c>
      <c r="G483" t="inlineStr">
        <is>
          <t>SANDVIKEN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45833</v>
      </c>
      <c r="E484" s="1" t="n">
        <v>46300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46300</v>
      </c>
      <c r="F485" t="inlineStr">
        <is>
          <t>GÄVLEBORGS LÄN</t>
        </is>
      </c>
      <c r="G485" t="inlineStr">
        <is>
          <t>SANDVIKEN</t>
        </is>
      </c>
      <c r="H485" t="inlineStr">
        <is>
          <t>Sveaskog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46300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46300</v>
      </c>
      <c r="F487" t="inlineStr">
        <is>
          <t>GÄVLEBORGS LÄN</t>
        </is>
      </c>
      <c r="G487" t="inlineStr">
        <is>
          <t>SANDVIKEN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46300</v>
      </c>
      <c r="F488" t="inlineStr">
        <is>
          <t>GÄVLEBORGS LÄN</t>
        </is>
      </c>
      <c r="G488" t="inlineStr">
        <is>
          <t>SANDVIKEN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46300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45832</v>
      </c>
      <c r="E490" s="1" t="n">
        <v>46300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46300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45670</v>
      </c>
      <c r="E492" s="1" t="n">
        <v>46300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46300</v>
      </c>
      <c r="F493" t="inlineStr">
        <is>
          <t>GÄVLEBORGS LÄN</t>
        </is>
      </c>
      <c r="G493" t="inlineStr">
        <is>
          <t>SANDVIKEN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30843-2025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45831</v>
      </c>
      <c r="E494" s="1" t="n">
        <v>46300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46300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46300</v>
      </c>
      <c r="F496" t="inlineStr">
        <is>
          <t>GÄVLEBORGS LÄN</t>
        </is>
      </c>
      <c r="G496" t="inlineStr">
        <is>
          <t>SANDVIKEN</t>
        </is>
      </c>
      <c r="H496" t="inlineStr">
        <is>
          <t>Naturvårdsverket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46300</v>
      </c>
      <c r="F497" t="inlineStr">
        <is>
          <t>GÄVLEBORGS LÄN</t>
        </is>
      </c>
      <c r="G497" t="inlineStr">
        <is>
          <t>SANDVIKEN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45478</v>
      </c>
      <c r="E498" s="1" t="n">
        <v>46300</v>
      </c>
      <c r="F498" t="inlineStr">
        <is>
          <t>GÄVLEBORGS LÄN</t>
        </is>
      </c>
      <c r="G498" t="inlineStr">
        <is>
          <t>SANDVIKEN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46300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45476</v>
      </c>
      <c r="E500" s="1" t="n">
        <v>46300</v>
      </c>
      <c r="F500" t="inlineStr">
        <is>
          <t>GÄVLEBORGS LÄN</t>
        </is>
      </c>
      <c r="G500" t="inlineStr">
        <is>
          <t>SANDVIKEN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46300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46300</v>
      </c>
      <c r="F502" t="inlineStr">
        <is>
          <t>GÄVLEBORGS LÄN</t>
        </is>
      </c>
      <c r="G502" t="inlineStr">
        <is>
          <t>SANDVIKEN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46300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56734-2021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44481</v>
      </c>
      <c r="E504" s="1" t="n">
        <v>46300</v>
      </c>
      <c r="F504" t="inlineStr">
        <is>
          <t>GÄVLEBORGS LÄN</t>
        </is>
      </c>
      <c r="G504" t="inlineStr">
        <is>
          <t>SANDVIKEN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46300</v>
      </c>
      <c r="F505" t="inlineStr">
        <is>
          <t>GÄVLEBORGS LÄN</t>
        </is>
      </c>
      <c r="G505" t="inlineStr">
        <is>
          <t>SANDVIKEN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46300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45709</v>
      </c>
      <c r="E507" s="1" t="n">
        <v>46300</v>
      </c>
      <c r="F507" t="inlineStr">
        <is>
          <t>GÄVLEBORGS LÄN</t>
        </is>
      </c>
      <c r="G507" t="inlineStr">
        <is>
          <t>SANDVIKEN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45845</v>
      </c>
      <c r="E508" s="1" t="n">
        <v>46300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44586</v>
      </c>
      <c r="E509" s="1" t="n">
        <v>46300</v>
      </c>
      <c r="F509" t="inlineStr">
        <is>
          <t>GÄVLEBORGS LÄN</t>
        </is>
      </c>
      <c r="G509" t="inlineStr">
        <is>
          <t>SANDVIKEN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46300</v>
      </c>
      <c r="F510" t="inlineStr">
        <is>
          <t>GÄVLEBORGS LÄN</t>
        </is>
      </c>
      <c r="G510" t="inlineStr">
        <is>
          <t>SANDVIKEN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46300</v>
      </c>
      <c r="F511" t="inlineStr">
        <is>
          <t>GÄVLEBORGS LÄN</t>
        </is>
      </c>
      <c r="G511" t="inlineStr">
        <is>
          <t>SANDVIKEN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45842</v>
      </c>
      <c r="E512" s="1" t="n">
        <v>46300</v>
      </c>
      <c r="F512" t="inlineStr">
        <is>
          <t>GÄVLEBORGS LÄN</t>
        </is>
      </c>
      <c r="G512" t="inlineStr">
        <is>
          <t>SANDVIKEN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46300</v>
      </c>
      <c r="F513" t="inlineStr">
        <is>
          <t>GÄVLEBORGS LÄN</t>
        </is>
      </c>
      <c r="G513" t="inlineStr">
        <is>
          <t>SANDVIKEN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46300</v>
      </c>
      <c r="F514" t="inlineStr">
        <is>
          <t>GÄVLEBORGS LÄN</t>
        </is>
      </c>
      <c r="G514" t="inlineStr">
        <is>
          <t>SANDVIKEN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46300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46300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46300</v>
      </c>
      <c r="F517" t="inlineStr">
        <is>
          <t>GÄVLEBORGS LÄN</t>
        </is>
      </c>
      <c r="G517" t="inlineStr">
        <is>
          <t>SANDVIKEN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46061</v>
      </c>
      <c r="E518" s="1" t="n">
        <v>46300</v>
      </c>
      <c r="F518" t="inlineStr">
        <is>
          <t>GÄVLEBORGS LÄN</t>
        </is>
      </c>
      <c r="G518" t="inlineStr">
        <is>
          <t>SANDVIKEN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46300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45070</v>
      </c>
      <c r="E520" s="1" t="n">
        <v>46300</v>
      </c>
      <c r="F520" t="inlineStr">
        <is>
          <t>GÄVLEBORGS LÄN</t>
        </is>
      </c>
      <c r="G520" t="inlineStr">
        <is>
          <t>SANDVIKEN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45636</v>
      </c>
      <c r="E521" s="1" t="n">
        <v>46300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46300</v>
      </c>
      <c r="F522" t="inlineStr">
        <is>
          <t>GÄVLEBORGS LÄN</t>
        </is>
      </c>
      <c r="G522" t="inlineStr">
        <is>
          <t>SANDVIKEN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46300</v>
      </c>
      <c r="F523" t="inlineStr">
        <is>
          <t>GÄVLEBORGS LÄN</t>
        </is>
      </c>
      <c r="G523" t="inlineStr">
        <is>
          <t>SANDVIKEN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25357-2023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45087</v>
      </c>
      <c r="E524" s="1" t="n">
        <v>46300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42107-2024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45562</v>
      </c>
      <c r="E525" s="1" t="n">
        <v>46300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45530</v>
      </c>
      <c r="E526" s="1" t="n">
        <v>46300</v>
      </c>
      <c r="F526" t="inlineStr">
        <is>
          <t>GÄVLEBORGS LÄN</t>
        </is>
      </c>
      <c r="G526" t="inlineStr">
        <is>
          <t>SANDVIKEN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46300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46300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45512</v>
      </c>
      <c r="E529" s="1" t="n">
        <v>46300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46300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46300</v>
      </c>
      <c r="F531" t="inlineStr">
        <is>
          <t>GÄVLEBORGS LÄN</t>
        </is>
      </c>
      <c r="G531" t="inlineStr">
        <is>
          <t>SANDVIKEN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46300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45460</v>
      </c>
      <c r="E533" s="1" t="n">
        <v>46300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45558</v>
      </c>
      <c r="E534" s="1" t="n">
        <v>46300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45153</v>
      </c>
      <c r="E535" s="1" t="n">
        <v>46300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46300</v>
      </c>
      <c r="F536" t="inlineStr">
        <is>
          <t>GÄVLEBORGS LÄN</t>
        </is>
      </c>
      <c r="G536" t="inlineStr">
        <is>
          <t>SANDVIKEN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13194-2025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45735</v>
      </c>
      <c r="E537" s="1" t="n">
        <v>46300</v>
      </c>
      <c r="F537" t="inlineStr">
        <is>
          <t>GÄVLEBORGS LÄN</t>
        </is>
      </c>
      <c r="G537" t="inlineStr">
        <is>
          <t>SANDVIKEN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46300</v>
      </c>
      <c r="F538" t="inlineStr">
        <is>
          <t>GÄVLEBORGS LÄN</t>
        </is>
      </c>
      <c r="G538" t="inlineStr">
        <is>
          <t>SANDVIKEN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46300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46300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45917</v>
      </c>
      <c r="E541" s="1" t="n">
        <v>46300</v>
      </c>
      <c r="F541" t="inlineStr">
        <is>
          <t>GÄVLEBORGS LÄN</t>
        </is>
      </c>
      <c r="G541" t="inlineStr">
        <is>
          <t>SANDVIKEN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46300</v>
      </c>
      <c r="F542" t="inlineStr">
        <is>
          <t>GÄVLEBORGS LÄN</t>
        </is>
      </c>
      <c r="G542" t="inlineStr">
        <is>
          <t>SANDVIKEN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44918</v>
      </c>
      <c r="E543" s="1" t="n">
        <v>46300</v>
      </c>
      <c r="F543" t="inlineStr">
        <is>
          <t>GÄVLEBORGS LÄN</t>
        </is>
      </c>
      <c r="G543" t="inlineStr">
        <is>
          <t>SANDVIKEN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46300</v>
      </c>
      <c r="F544" t="inlineStr">
        <is>
          <t>GÄVLEBORGS LÄN</t>
        </is>
      </c>
      <c r="G544" t="inlineStr">
        <is>
          <t>SANDVIKEN</t>
        </is>
      </c>
      <c r="H544" t="inlineStr">
        <is>
          <t>Kommuner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46300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46300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46300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45331-2024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45576</v>
      </c>
      <c r="E548" s="1" t="n">
        <v>46300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46300</v>
      </c>
      <c r="F549" t="inlineStr">
        <is>
          <t>GÄVLEBORGS LÄN</t>
        </is>
      </c>
      <c r="G549" t="inlineStr">
        <is>
          <t>SANDVIKEN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46300</v>
      </c>
      <c r="F550" t="inlineStr">
        <is>
          <t>GÄVLEBORGS LÄN</t>
        </is>
      </c>
      <c r="G550" t="inlineStr">
        <is>
          <t>SANDVIKEN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46300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45271</v>
      </c>
      <c r="E552" s="1" t="n">
        <v>46300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46300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62056-2022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44918</v>
      </c>
      <c r="E554" s="1" t="n">
        <v>46300</v>
      </c>
      <c r="F554" t="inlineStr">
        <is>
          <t>GÄVLEBORGS LÄN</t>
        </is>
      </c>
      <c r="G554" t="inlineStr">
        <is>
          <t>SANDVIKEN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46300</v>
      </c>
      <c r="F555" t="inlineStr">
        <is>
          <t>GÄVLEBORGS LÄN</t>
        </is>
      </c>
      <c r="G555" t="inlineStr">
        <is>
          <t>SANDVIKEN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45404</v>
      </c>
      <c r="E556" s="1" t="n">
        <v>46300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46300</v>
      </c>
      <c r="F557" t="inlineStr">
        <is>
          <t>GÄVLEBORGS LÄN</t>
        </is>
      </c>
      <c r="G557" t="inlineStr">
        <is>
          <t>SANDVIKEN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46300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46300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46300</v>
      </c>
      <c r="F560" t="inlineStr">
        <is>
          <t>GÄVLEBORGS LÄN</t>
        </is>
      </c>
      <c r="G560" t="inlineStr">
        <is>
          <t>SANDVIKEN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46300</v>
      </c>
      <c r="F561" t="inlineStr">
        <is>
          <t>GÄVLEBORGS LÄN</t>
        </is>
      </c>
      <c r="G561" t="inlineStr">
        <is>
          <t>SANDVIKEN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46300</v>
      </c>
      <c r="F562" t="inlineStr">
        <is>
          <t>GÄVLEBORGS LÄN</t>
        </is>
      </c>
      <c r="G562" t="inlineStr">
        <is>
          <t>SANDVIKEN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46300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46300</v>
      </c>
      <c r="F564" t="inlineStr">
        <is>
          <t>GÄVLEBORGS LÄN</t>
        </is>
      </c>
      <c r="G564" t="inlineStr">
        <is>
          <t>SANDVIKEN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46300</v>
      </c>
      <c r="F565" t="inlineStr">
        <is>
          <t>GÄVLEBORGS LÄN</t>
        </is>
      </c>
      <c r="G565" t="inlineStr">
        <is>
          <t>SANDVIKEN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45069</v>
      </c>
      <c r="E566" s="1" t="n">
        <v>46300</v>
      </c>
      <c r="F566" t="inlineStr">
        <is>
          <t>GÄVLEBORGS LÄN</t>
        </is>
      </c>
      <c r="G566" t="inlineStr">
        <is>
          <t>SANDVIKEN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45666</v>
      </c>
      <c r="E567" s="1" t="n">
        <v>46300</v>
      </c>
      <c r="F567" t="inlineStr">
        <is>
          <t>GÄVLEBORGS LÄN</t>
        </is>
      </c>
      <c r="G567" t="inlineStr">
        <is>
          <t>SANDVIKEN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45863</v>
      </c>
      <c r="E568" s="1" t="n">
        <v>46300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46300</v>
      </c>
      <c r="F569" t="inlineStr">
        <is>
          <t>GÄVLEBORGS LÄN</t>
        </is>
      </c>
      <c r="G569" t="inlineStr">
        <is>
          <t>SANDVIKEN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45755</v>
      </c>
      <c r="E570" s="1" t="n">
        <v>46300</v>
      </c>
      <c r="F570" t="inlineStr">
        <is>
          <t>GÄVLEBORGS LÄN</t>
        </is>
      </c>
      <c r="G570" t="inlineStr">
        <is>
          <t>SANDVIKEN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46300</v>
      </c>
      <c r="F571" t="inlineStr">
        <is>
          <t>GÄVLEBORGS LÄN</t>
        </is>
      </c>
      <c r="G571" t="inlineStr">
        <is>
          <t>SANDVIKEN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45866</v>
      </c>
      <c r="E572" s="1" t="n">
        <v>46300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46300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17498-2024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45415</v>
      </c>
      <c r="E574" s="1" t="n">
        <v>46300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46300</v>
      </c>
      <c r="F575" t="inlineStr">
        <is>
          <t>GÄVLEBORGS LÄN</t>
        </is>
      </c>
      <c r="G575" t="inlineStr">
        <is>
          <t>SANDVIKEN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46300</v>
      </c>
      <c r="F576" t="inlineStr">
        <is>
          <t>GÄVLEBORGS LÄN</t>
        </is>
      </c>
      <c r="G576" t="inlineStr">
        <is>
          <t>SANDVIKEN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44994</v>
      </c>
      <c r="E577" s="1" t="n">
        <v>46300</v>
      </c>
      <c r="F577" t="inlineStr">
        <is>
          <t>GÄVLEBORGS LÄN</t>
        </is>
      </c>
      <c r="G577" t="inlineStr">
        <is>
          <t>SANDVIKEN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45414</v>
      </c>
      <c r="E578" s="1" t="n">
        <v>46300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45649</v>
      </c>
      <c r="E579" s="1" t="n">
        <v>46300</v>
      </c>
      <c r="F579" t="inlineStr">
        <is>
          <t>GÄVLEBORGS LÄN</t>
        </is>
      </c>
      <c r="G579" t="inlineStr">
        <is>
          <t>SANDVIKEN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46300</v>
      </c>
      <c r="F580" t="inlineStr">
        <is>
          <t>GÄVLEBORGS LÄN</t>
        </is>
      </c>
      <c r="G580" t="inlineStr">
        <is>
          <t>SANDVIKEN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46300</v>
      </c>
      <c r="F581" t="inlineStr">
        <is>
          <t>GÄVLEBORGS LÄN</t>
        </is>
      </c>
      <c r="G581" t="inlineStr">
        <is>
          <t>SANDVIKEN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46300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46300</v>
      </c>
      <c r="F583" t="inlineStr">
        <is>
          <t>GÄVLEBORGS LÄN</t>
        </is>
      </c>
      <c r="G583" t="inlineStr">
        <is>
          <t>SANDVIKEN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46300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46031</v>
      </c>
      <c r="E585" s="1" t="n">
        <v>46300</v>
      </c>
      <c r="F585" t="inlineStr">
        <is>
          <t>GÄVLEBORGS LÄN</t>
        </is>
      </c>
      <c r="G585" t="inlineStr">
        <is>
          <t>SANDVIKEN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44784</v>
      </c>
      <c r="E586" s="1" t="n">
        <v>46300</v>
      </c>
      <c r="F586" t="inlineStr">
        <is>
          <t>GÄVLEBORGS LÄN</t>
        </is>
      </c>
      <c r="G586" t="inlineStr">
        <is>
          <t>SANDVIKEN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12427-2026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46300</v>
      </c>
      <c r="F587" t="inlineStr">
        <is>
          <t>GÄVLEBORGS LÄN</t>
        </is>
      </c>
      <c r="G587" t="inlineStr">
        <is>
          <t>SANDVIKEN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46300</v>
      </c>
      <c r="F588" t="inlineStr">
        <is>
          <t>GÄVLEBORGS LÄN</t>
        </is>
      </c>
      <c r="G588" t="inlineStr">
        <is>
          <t>SANDVIKEN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46300</v>
      </c>
      <c r="F589" t="inlineStr">
        <is>
          <t>GÄVLEBORGS LÄN</t>
        </is>
      </c>
      <c r="G589" t="inlineStr">
        <is>
          <t>SANDVIKEN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45730</v>
      </c>
      <c r="E590" s="1" t="n">
        <v>46300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12418-2025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45730</v>
      </c>
      <c r="E591" s="1" t="n">
        <v>46300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45870</v>
      </c>
      <c r="E592" s="1" t="n">
        <v>46300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46300</v>
      </c>
      <c r="F593" t="inlineStr">
        <is>
          <t>GÄVLEBORGS LÄN</t>
        </is>
      </c>
      <c r="G593" t="inlineStr">
        <is>
          <t>SANDVIKEN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46300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46300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45873</v>
      </c>
      <c r="E596" s="1" t="n">
        <v>46300</v>
      </c>
      <c r="F596" t="inlineStr">
        <is>
          <t>GÄVLEBORGS LÄN</t>
        </is>
      </c>
      <c r="G596" t="inlineStr">
        <is>
          <t>SANDVIKEN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46300</v>
      </c>
      <c r="F597" t="inlineStr">
        <is>
          <t>GÄVLEBORGS LÄN</t>
        </is>
      </c>
      <c r="G597" t="inlineStr">
        <is>
          <t>SANDVIKEN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60891-2023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45261</v>
      </c>
      <c r="E598" s="1" t="n">
        <v>46300</v>
      </c>
      <c r="F598" t="inlineStr">
        <is>
          <t>GÄVLEBORGS LÄN</t>
        </is>
      </c>
      <c r="G598" t="inlineStr">
        <is>
          <t>SANDVIKEN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46300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45293</v>
      </c>
      <c r="E600" s="1" t="n">
        <v>46300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45293</v>
      </c>
      <c r="E601" s="1" t="n">
        <v>46300</v>
      </c>
      <c r="F601" t="inlineStr">
        <is>
          <t>GÄVLEBORGS LÄN</t>
        </is>
      </c>
      <c r="G601" t="inlineStr">
        <is>
          <t>SANDVIKEN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46300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46300</v>
      </c>
      <c r="F603" t="inlineStr">
        <is>
          <t>GÄVLEBORGS LÄN</t>
        </is>
      </c>
      <c r="G603" t="inlineStr">
        <is>
          <t>SANDVIKEN</t>
        </is>
      </c>
      <c r="H603" t="inlineStr">
        <is>
          <t>Kommuner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46300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46300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46300</v>
      </c>
      <c r="F606" t="inlineStr">
        <is>
          <t>GÄVLEBORGS LÄN</t>
        </is>
      </c>
      <c r="G606" t="inlineStr">
        <is>
          <t>SANDVIKEN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46300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46300</v>
      </c>
      <c r="F608" t="inlineStr">
        <is>
          <t>GÄVLEBORGS LÄN</t>
        </is>
      </c>
      <c r="G608" t="inlineStr">
        <is>
          <t>SANDVIKEN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46300</v>
      </c>
      <c r="F609" t="inlineStr">
        <is>
          <t>GÄVLEBORGS LÄN</t>
        </is>
      </c>
      <c r="G609" t="inlineStr">
        <is>
          <t>SANDVIKEN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46300</v>
      </c>
      <c r="F610" t="inlineStr">
        <is>
          <t>GÄVLEBORGS LÄN</t>
        </is>
      </c>
      <c r="G610" t="inlineStr">
        <is>
          <t>SANDVIKEN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46300</v>
      </c>
      <c r="F611" t="inlineStr">
        <is>
          <t>GÄVLEBORGS LÄN</t>
        </is>
      </c>
      <c r="G611" t="inlineStr">
        <is>
          <t>SANDVIKEN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46151</v>
      </c>
      <c r="E612" s="1" t="n">
        <v>46300</v>
      </c>
      <c r="F612" t="inlineStr">
        <is>
          <t>GÄVLEBORGS LÄN</t>
        </is>
      </c>
      <c r="G612" t="inlineStr">
        <is>
          <t>SANDVIKEN</t>
        </is>
      </c>
      <c r="I612" t="n">
        <v>11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46300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46300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46300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46300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46300</v>
      </c>
      <c r="F617" t="inlineStr">
        <is>
          <t>GÄVLEBORGS LÄN</t>
        </is>
      </c>
      <c r="G617" t="inlineStr">
        <is>
          <t>SANDVIKEN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45321</v>
      </c>
      <c r="E618" s="1" t="n">
        <v>46300</v>
      </c>
      <c r="F618" t="inlineStr">
        <is>
          <t>GÄVLEBORGS LÄN</t>
        </is>
      </c>
      <c r="G618" t="inlineStr">
        <is>
          <t>SANDVIKEN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46300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62459-2023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45268</v>
      </c>
      <c r="E620" s="1" t="n">
        <v>46300</v>
      </c>
      <c r="F620" t="inlineStr">
        <is>
          <t>GÄVLEBORGS LÄN</t>
        </is>
      </c>
      <c r="G620" t="inlineStr">
        <is>
          <t>SANDVIKEN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46300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46300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46300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46300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46300</v>
      </c>
      <c r="F625" t="inlineStr">
        <is>
          <t>GÄVLEBORGS LÄN</t>
        </is>
      </c>
      <c r="G625" t="inlineStr">
        <is>
          <t>SANDVIKEN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46300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45153</v>
      </c>
      <c r="E627" s="1" t="n">
        <v>46300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46300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46300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46300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46115</v>
      </c>
      <c r="E631" s="1" t="n">
        <v>46300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46300</v>
      </c>
      <c r="F632" t="inlineStr">
        <is>
          <t>GÄVLEBORGS LÄN</t>
        </is>
      </c>
      <c r="G632" t="inlineStr">
        <is>
          <t>SANDVIKEN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46300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23465-2026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46300</v>
      </c>
      <c r="F634" t="inlineStr">
        <is>
          <t>GÄVLEBORGS LÄN</t>
        </is>
      </c>
      <c r="G634" t="inlineStr">
        <is>
          <t>SANDVIKEN</t>
        </is>
      </c>
      <c r="H634" t="inlineStr">
        <is>
          <t>Övriga statliga verk och myndigheter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46300</v>
      </c>
      <c r="F635" t="inlineStr">
        <is>
          <t>GÄVLEBORGS LÄN</t>
        </is>
      </c>
      <c r="G635" t="inlineStr">
        <is>
          <t>SANDVIKEN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23493-2026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46300</v>
      </c>
      <c r="F636" t="inlineStr">
        <is>
          <t>GÄVLEBORGS LÄN</t>
        </is>
      </c>
      <c r="G636" t="inlineStr">
        <is>
          <t>SANDVIKEN</t>
        </is>
      </c>
      <c r="H636" t="inlineStr">
        <is>
          <t>Övriga statliga verk och myndigheter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46300</v>
      </c>
      <c r="F637" t="inlineStr">
        <is>
          <t>GÄVLEBORGS LÄN</t>
        </is>
      </c>
      <c r="G637" t="inlineStr">
        <is>
          <t>SANDVIKEN</t>
        </is>
      </c>
      <c r="I637" t="n">
        <v>14.2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46300</v>
      </c>
      <c r="F638" t="inlineStr">
        <is>
          <t>GÄVLEBORGS LÄN</t>
        </is>
      </c>
      <c r="G638" t="inlineStr">
        <is>
          <t>SANDVIKEN</t>
        </is>
      </c>
      <c r="H638" t="inlineStr">
        <is>
          <t>Övriga statliga verk och myndigheter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65098-2023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46300</v>
      </c>
      <c r="F639" t="inlineStr">
        <is>
          <t>GÄVLEBORGS LÄN</t>
        </is>
      </c>
      <c r="G639" t="inlineStr">
        <is>
          <t>SANDVIKEN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44797</v>
      </c>
      <c r="E640" s="1" t="n">
        <v>46300</v>
      </c>
      <c r="F640" t="inlineStr">
        <is>
          <t>GÄVLEBORGS LÄN</t>
        </is>
      </c>
      <c r="G640" t="inlineStr">
        <is>
          <t>SANDVIKEN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46300</v>
      </c>
      <c r="F641" t="inlineStr">
        <is>
          <t>GÄVLEBORGS LÄN</t>
        </is>
      </c>
      <c r="G641" t="inlineStr">
        <is>
          <t>SANDVIKEN</t>
        </is>
      </c>
      <c r="H641" t="inlineStr">
        <is>
          <t>Övriga statliga verk och myndigheter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61052-2024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46300</v>
      </c>
      <c r="F642" t="inlineStr">
        <is>
          <t>GÄVLEBORGS LÄN</t>
        </is>
      </c>
      <c r="G642" t="inlineStr">
        <is>
          <t>SANDVIKEN</t>
        </is>
      </c>
      <c r="H642" t="inlineStr">
        <is>
          <t>Naturvårdsverket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46300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46165</v>
      </c>
      <c r="E644" s="1" t="n">
        <v>46300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52785-2023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46300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7038-2025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45701</v>
      </c>
      <c r="E646" s="1" t="n">
        <v>46300</v>
      </c>
      <c r="F646" t="inlineStr">
        <is>
          <t>GÄVLEBORGS LÄN</t>
        </is>
      </c>
      <c r="G646" t="inlineStr">
        <is>
          <t>SANDVIKEN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46167</v>
      </c>
      <c r="E647" s="1" t="n">
        <v>46300</v>
      </c>
      <c r="F647" t="inlineStr">
        <is>
          <t>GÄVLEBORGS LÄN</t>
        </is>
      </c>
      <c r="G647" t="inlineStr">
        <is>
          <t>SANDVIKEN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46165</v>
      </c>
      <c r="E648" s="1" t="n">
        <v>46300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46165</v>
      </c>
      <c r="E649" s="1" t="n">
        <v>46300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46165</v>
      </c>
      <c r="E650" s="1" t="n">
        <v>46300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46165</v>
      </c>
      <c r="E651" s="1" t="n">
        <v>46300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71995-2021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44544</v>
      </c>
      <c r="E652" s="1" t="n">
        <v>46300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46300</v>
      </c>
      <c r="F653" t="inlineStr">
        <is>
          <t>GÄVLEBORGS LÄN</t>
        </is>
      </c>
      <c r="G653" t="inlineStr">
        <is>
          <t>SANDVIKEN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44988</v>
      </c>
      <c r="E654" s="1" t="n">
        <v>46300</v>
      </c>
      <c r="F654" t="inlineStr">
        <is>
          <t>GÄVLEBORGS LÄN</t>
        </is>
      </c>
      <c r="G654" t="inlineStr">
        <is>
          <t>SANDVIKEN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46300</v>
      </c>
      <c r="F655" t="inlineStr">
        <is>
          <t>GÄVLEBORGS LÄN</t>
        </is>
      </c>
      <c r="G655" t="inlineStr">
        <is>
          <t>SANDVIKEN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46300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45209</v>
      </c>
      <c r="E657" s="1" t="n">
        <v>46300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46300</v>
      </c>
      <c r="F658" t="inlineStr">
        <is>
          <t>GÄVLEBORGS LÄN</t>
        </is>
      </c>
      <c r="G658" t="inlineStr">
        <is>
          <t>SANDVIKEN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24177-2026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46300</v>
      </c>
      <c r="F659" t="inlineStr">
        <is>
          <t>GÄVLEBORGS LÄN</t>
        </is>
      </c>
      <c r="G659" t="inlineStr">
        <is>
          <t>SANDVIKEN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46300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46169</v>
      </c>
      <c r="E661" s="1" t="n">
        <v>46300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46300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24303-2026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46300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46300</v>
      </c>
      <c r="F664" t="inlineStr">
        <is>
          <t>GÄVLEBORGS LÄN</t>
        </is>
      </c>
      <c r="G664" t="inlineStr">
        <is>
          <t>SANDVIKEN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45159</v>
      </c>
      <c r="E665" s="1" t="n">
        <v>46300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46171</v>
      </c>
      <c r="E666" s="1" t="n">
        <v>46300</v>
      </c>
      <c r="F666" t="inlineStr">
        <is>
          <t>GÄVLEBORGS LÄN</t>
        </is>
      </c>
      <c r="G666" t="inlineStr">
        <is>
          <t>SANDVIKEN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46300</v>
      </c>
      <c r="F667" t="inlineStr">
        <is>
          <t>GÄVLEBORGS LÄN</t>
        </is>
      </c>
      <c r="G667" t="inlineStr">
        <is>
          <t>SANDVIKEN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46171</v>
      </c>
      <c r="E668" s="1" t="n">
        <v>46300</v>
      </c>
      <c r="F668" t="inlineStr">
        <is>
          <t>GÄVLEBORGS LÄN</t>
        </is>
      </c>
      <c r="G668" t="inlineStr">
        <is>
          <t>SANDVIKEN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46300</v>
      </c>
      <c r="F669" t="inlineStr">
        <is>
          <t>GÄVLEBORGS LÄN</t>
        </is>
      </c>
      <c r="G669" t="inlineStr">
        <is>
          <t>SANDVIKEN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46300</v>
      </c>
      <c r="F670" t="inlineStr">
        <is>
          <t>GÄVLEBORGS LÄN</t>
        </is>
      </c>
      <c r="G670" t="inlineStr">
        <is>
          <t>SANDVIKEN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38439-2025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46300</v>
      </c>
      <c r="F671" t="inlineStr">
        <is>
          <t>GÄVLEBORGS LÄN</t>
        </is>
      </c>
      <c r="G671" t="inlineStr">
        <is>
          <t>SANDVIKEN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46052</v>
      </c>
      <c r="E672" s="1" t="n">
        <v>46300</v>
      </c>
      <c r="F672" t="inlineStr">
        <is>
          <t>GÄVLEBORGS LÄN</t>
        </is>
      </c>
      <c r="G672" t="inlineStr">
        <is>
          <t>SANDVIKEN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45883</v>
      </c>
      <c r="E673" s="1" t="n">
        <v>46300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38423-2025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45883</v>
      </c>
      <c r="E674" s="1" t="n">
        <v>46300</v>
      </c>
      <c r="F674" t="inlineStr">
        <is>
          <t>GÄVLEBORGS LÄN</t>
        </is>
      </c>
      <c r="G674" t="inlineStr">
        <is>
          <t>SANDVIKEN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46300</v>
      </c>
      <c r="F675" t="inlineStr">
        <is>
          <t>GÄVLEBORGS LÄN</t>
        </is>
      </c>
      <c r="G675" t="inlineStr">
        <is>
          <t>SANDVIKEN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46300</v>
      </c>
      <c r="F676" t="inlineStr">
        <is>
          <t>GÄVLEBORGS LÄN</t>
        </is>
      </c>
      <c r="G676" t="inlineStr">
        <is>
          <t>SANDVIKEN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46175</v>
      </c>
      <c r="E677" s="1" t="n">
        <v>46300</v>
      </c>
      <c r="F677" t="inlineStr">
        <is>
          <t>GÄVLEBORGS LÄN</t>
        </is>
      </c>
      <c r="G677" t="inlineStr">
        <is>
          <t>SANDVIKEN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46300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46300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46175</v>
      </c>
      <c r="E680" s="1" t="n">
        <v>46300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46300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19186-2026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46300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7.3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46300</v>
      </c>
      <c r="F683" t="inlineStr">
        <is>
          <t>GÄVLEBORGS LÄN</t>
        </is>
      </c>
      <c r="G683" t="inlineStr">
        <is>
          <t>SANDVIKEN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46300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45330</v>
      </c>
      <c r="E685" s="1" t="n">
        <v>46300</v>
      </c>
      <c r="F685" t="inlineStr">
        <is>
          <t>GÄVLEBORGS LÄN</t>
        </is>
      </c>
      <c r="G685" t="inlineStr">
        <is>
          <t>SANDVIKEN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46300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46300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46300</v>
      </c>
      <c r="F688" t="inlineStr">
        <is>
          <t>GÄVLEBORGS LÄN</t>
        </is>
      </c>
      <c r="G688" t="inlineStr">
        <is>
          <t>SANDVIKEN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46300</v>
      </c>
      <c r="F689" t="inlineStr">
        <is>
          <t>GÄVLEBORGS LÄN</t>
        </is>
      </c>
      <c r="G689" t="inlineStr">
        <is>
          <t>SANDVIKEN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46300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46300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10895-2025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45722</v>
      </c>
      <c r="E692" s="1" t="n">
        <v>46300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46300</v>
      </c>
      <c r="F693" t="inlineStr">
        <is>
          <t>GÄVLEBORGS LÄN</t>
        </is>
      </c>
      <c r="G693" t="inlineStr">
        <is>
          <t>SANDVIKEN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46300</v>
      </c>
      <c r="F694" t="inlineStr">
        <is>
          <t>GÄVLEBORGS LÄN</t>
        </is>
      </c>
      <c r="G694" t="inlineStr">
        <is>
          <t>SANDVIKEN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45666</v>
      </c>
      <c r="E695" s="1" t="n">
        <v>46300</v>
      </c>
      <c r="F695" t="inlineStr">
        <is>
          <t>GÄVLEBORGS LÄN</t>
        </is>
      </c>
      <c r="G695" t="inlineStr">
        <is>
          <t>SANDVIKEN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46300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46300</v>
      </c>
      <c r="F697" t="inlineStr">
        <is>
          <t>GÄVLEBORGS LÄN</t>
        </is>
      </c>
      <c r="G697" t="inlineStr">
        <is>
          <t>SANDVIKEN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46300</v>
      </c>
      <c r="F698" t="inlineStr">
        <is>
          <t>GÄVLEBORGS LÄN</t>
        </is>
      </c>
      <c r="G698" t="inlineStr">
        <is>
          <t>SANDVIKEN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49706-2023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45212</v>
      </c>
      <c r="E699" s="1" t="n">
        <v>46300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46300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46300</v>
      </c>
      <c r="F701" t="inlineStr">
        <is>
          <t>GÄVLEBORGS LÄN</t>
        </is>
      </c>
      <c r="G701" t="inlineStr">
        <is>
          <t>SANDVIKEN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46300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46300</v>
      </c>
      <c r="F703" t="inlineStr">
        <is>
          <t>GÄVLEBORGS LÄN</t>
        </is>
      </c>
      <c r="G703" t="inlineStr">
        <is>
          <t>SANDVIKEN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10575-2025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45721</v>
      </c>
      <c r="E704" s="1" t="n">
        <v>46300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10577-2025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45721</v>
      </c>
      <c r="E705" s="1" t="n">
        <v>46300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10580-2025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46300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46300</v>
      </c>
      <c r="F707" t="inlineStr">
        <is>
          <t>GÄVLEBORGS LÄN</t>
        </is>
      </c>
      <c r="G707" t="inlineStr">
        <is>
          <t>SANDVIKEN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46300</v>
      </c>
      <c r="F708" t="inlineStr">
        <is>
          <t>GÄVLEBORGS LÄN</t>
        </is>
      </c>
      <c r="G708" t="inlineStr">
        <is>
          <t>SANDVIKEN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45075</v>
      </c>
      <c r="E709" s="1" t="n">
        <v>46300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46101</v>
      </c>
      <c r="E710" s="1" t="n">
        <v>46300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29296-2024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45483</v>
      </c>
      <c r="E711" s="1" t="n">
        <v>46300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46300</v>
      </c>
      <c r="F712" t="inlineStr">
        <is>
          <t>GÄVLEBORGS LÄN</t>
        </is>
      </c>
      <c r="G712" t="inlineStr">
        <is>
          <t>SANDVIKEN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27743-2026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46191</v>
      </c>
      <c r="E713" s="1" t="n">
        <v>46300</v>
      </c>
      <c r="F713" t="inlineStr">
        <is>
          <t>GÄVLEBORGS LÄN</t>
        </is>
      </c>
      <c r="G713" t="inlineStr">
        <is>
          <t>SANDVIKEN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28845-2026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46300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46300</v>
      </c>
      <c r="F715" t="inlineStr">
        <is>
          <t>GÄVLEBORGS LÄN</t>
        </is>
      </c>
      <c r="G715" t="inlineStr">
        <is>
          <t>SANDVIKEN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46300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28344-2026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46300</v>
      </c>
      <c r="F717" t="inlineStr">
        <is>
          <t>GÄVLEBORGS LÄN</t>
        </is>
      </c>
      <c r="G717" t="inlineStr">
        <is>
          <t>SANDVIKEN</t>
        </is>
      </c>
      <c r="H717" t="inlineStr">
        <is>
          <t>Sveaskog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46300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43090-2023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46300</v>
      </c>
      <c r="F719" t="inlineStr">
        <is>
          <t>GÄVLEBORGS LÄN</t>
        </is>
      </c>
      <c r="G719" t="inlineStr">
        <is>
          <t>SANDVIKEN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45102-2022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44843</v>
      </c>
      <c r="E720" s="1" t="n">
        <v>46300</v>
      </c>
      <c r="F720" t="inlineStr">
        <is>
          <t>GÄVLEBORGS LÄN</t>
        </is>
      </c>
      <c r="G720" t="inlineStr">
        <is>
          <t>SANDVIKEN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46300</v>
      </c>
      <c r="F721" t="inlineStr">
        <is>
          <t>GÄVLEBORGS LÄN</t>
        </is>
      </c>
      <c r="G721" t="inlineStr">
        <is>
          <t>SANDVIKEN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45327</v>
      </c>
      <c r="E722" s="1" t="n">
        <v>46300</v>
      </c>
      <c r="F722" t="inlineStr">
        <is>
          <t>GÄVLEBORGS LÄN</t>
        </is>
      </c>
      <c r="G722" t="inlineStr">
        <is>
          <t>SANDVIKEN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46201</v>
      </c>
      <c r="E723" s="1" t="n">
        <v>46300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46300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37697-2022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44810</v>
      </c>
      <c r="E725" s="1" t="n">
        <v>46300</v>
      </c>
      <c r="F725" t="inlineStr">
        <is>
          <t>GÄVLEBORGS LÄN</t>
        </is>
      </c>
      <c r="G725" t="inlineStr">
        <is>
          <t>SANDVIKEN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45698</v>
      </c>
      <c r="E726" s="1" t="n">
        <v>46300</v>
      </c>
      <c r="F726" t="inlineStr">
        <is>
          <t>GÄVLEBORGS LÄN</t>
        </is>
      </c>
      <c r="G726" t="inlineStr">
        <is>
          <t>SANDVIKEN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46300</v>
      </c>
      <c r="F727" t="inlineStr">
        <is>
          <t>GÄVLEBORGS LÄN</t>
        </is>
      </c>
      <c r="G727" t="inlineStr">
        <is>
          <t>SANDVIKEN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46300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46300</v>
      </c>
      <c r="F729" t="inlineStr">
        <is>
          <t>GÄVLEBORGS LÄN</t>
        </is>
      </c>
      <c r="G729" t="inlineStr">
        <is>
          <t>SANDVIKEN</t>
        </is>
      </c>
      <c r="H729" t="inlineStr">
        <is>
          <t>Naturvårdsverket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46300</v>
      </c>
      <c r="F730" t="inlineStr">
        <is>
          <t>GÄVLEBORGS LÄN</t>
        </is>
      </c>
      <c r="G730" t="inlineStr">
        <is>
          <t>SANDVIKEN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29572-2026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46300</v>
      </c>
      <c r="F731" t="inlineStr">
        <is>
          <t>GÄVLEBORGS LÄN</t>
        </is>
      </c>
      <c r="G731" t="inlineStr">
        <is>
          <t>SANDVIKEN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45265</v>
      </c>
      <c r="E732" s="1" t="n">
        <v>46300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46300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46300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46300</v>
      </c>
      <c r="F735" t="inlineStr">
        <is>
          <t>GÄVLEBORGS LÄN</t>
        </is>
      </c>
      <c r="G735" t="inlineStr">
        <is>
          <t>SANDVIKEN</t>
        </is>
      </c>
      <c r="H735" t="inlineStr">
        <is>
          <t>Naturvårdsverket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46300</v>
      </c>
      <c r="F736" t="inlineStr">
        <is>
          <t>GÄVLEBORGS LÄN</t>
        </is>
      </c>
      <c r="G736" t="inlineStr">
        <is>
          <t>SANDVIKEN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46300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58911-2023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46300</v>
      </c>
      <c r="F738" t="inlineStr">
        <is>
          <t>GÄVLEBORGS LÄN</t>
        </is>
      </c>
      <c r="G738" t="inlineStr">
        <is>
          <t>SANDVIKEN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29608-2026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46300</v>
      </c>
      <c r="F739" t="inlineStr">
        <is>
          <t>GÄVLEBORGS LÄN</t>
        </is>
      </c>
      <c r="G739" t="inlineStr">
        <is>
          <t>SANDVIKEN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46300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29833-2026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46205</v>
      </c>
      <c r="E741" s="1" t="n">
        <v>46300</v>
      </c>
      <c r="F741" t="inlineStr">
        <is>
          <t>GÄVLEBORGS LÄN</t>
        </is>
      </c>
      <c r="G741" t="inlineStr">
        <is>
          <t>SANDVIKEN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29842-2026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46300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30714-2023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45112</v>
      </c>
      <c r="E743" s="1" t="n">
        <v>46300</v>
      </c>
      <c r="F743" t="inlineStr">
        <is>
          <t>GÄVLEBORGS LÄN</t>
        </is>
      </c>
      <c r="G743" t="inlineStr">
        <is>
          <t>SANDVIKEN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46300</v>
      </c>
      <c r="F744" t="inlineStr">
        <is>
          <t>GÄVLEBORGS LÄN</t>
        </is>
      </c>
      <c r="G744" t="inlineStr">
        <is>
          <t>SANDVIKEN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45274</v>
      </c>
      <c r="E745" s="1" t="n">
        <v>46300</v>
      </c>
      <c r="F745" t="inlineStr">
        <is>
          <t>GÄVLEBORGS LÄN</t>
        </is>
      </c>
      <c r="G745" t="inlineStr">
        <is>
          <t>SANDVIKEN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17818-2025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45758</v>
      </c>
      <c r="E746" s="1" t="n">
        <v>46300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46258</v>
      </c>
      <c r="E747" s="1" t="n">
        <v>46300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45476</v>
      </c>
      <c r="E748" s="1" t="n">
        <v>46300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46300</v>
      </c>
      <c r="F749" t="inlineStr">
        <is>
          <t>GÄVLEBORGS LÄN</t>
        </is>
      </c>
      <c r="G749" t="inlineStr">
        <is>
          <t>SANDVIKEN</t>
        </is>
      </c>
      <c r="I749" t="n">
        <v>10.2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34997-2026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46259</v>
      </c>
      <c r="E750" s="1" t="n">
        <v>46300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35107-2026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46260</v>
      </c>
      <c r="E751" s="1" t="n">
        <v>46300</v>
      </c>
      <c r="F751" t="inlineStr">
        <is>
          <t>GÄVLEBORGS LÄN</t>
        </is>
      </c>
      <c r="G751" t="inlineStr">
        <is>
          <t>SANDVIKEN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35253-2026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46261</v>
      </c>
      <c r="E752" s="1" t="n">
        <v>46300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46300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35345-2026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46261</v>
      </c>
      <c r="E754" s="1" t="n">
        <v>46300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46300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35417-2026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46261</v>
      </c>
      <c r="E756" s="1" t="n">
        <v>46300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46300</v>
      </c>
      <c r="F757" t="inlineStr">
        <is>
          <t>GÄVLEBORGS LÄN</t>
        </is>
      </c>
      <c r="G757" t="inlineStr">
        <is>
          <t>SANDVIKEN</t>
        </is>
      </c>
      <c r="H757" t="inlineStr">
        <is>
          <t>Naturvårdsverket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46300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35320-2026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46300</v>
      </c>
      <c r="F759" t="inlineStr">
        <is>
          <t>GÄVLEBORGS LÄN</t>
        </is>
      </c>
      <c r="G759" t="inlineStr">
        <is>
          <t>SANDVIKEN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35370-2026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46261</v>
      </c>
      <c r="E760" s="1" t="n">
        <v>46300</v>
      </c>
      <c r="F760" t="inlineStr">
        <is>
          <t>GÄVLEBORGS LÄN</t>
        </is>
      </c>
      <c r="G760" t="inlineStr">
        <is>
          <t>SANDVIKEN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46300</v>
      </c>
      <c r="F761" t="inlineStr">
        <is>
          <t>GÄVLEBORGS LÄN</t>
        </is>
      </c>
      <c r="G761" t="inlineStr">
        <is>
          <t>SANDVIKEN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46300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46300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46300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46300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46300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35578-2026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46300</v>
      </c>
      <c r="F767" t="inlineStr">
        <is>
          <t>GÄVLEBORGS LÄN</t>
        </is>
      </c>
      <c r="G767" t="inlineStr">
        <is>
          <t>SANDVIKEN</t>
        </is>
      </c>
      <c r="H767" t="inlineStr">
        <is>
          <t>Naturvårdsverket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45279-2023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45191</v>
      </c>
      <c r="E768" s="1" t="n">
        <v>46300</v>
      </c>
      <c r="F768" t="inlineStr">
        <is>
          <t>GÄVLEBORGS LÄN</t>
        </is>
      </c>
      <c r="G768" t="inlineStr">
        <is>
          <t>SANDVIKEN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35432-2026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46300</v>
      </c>
      <c r="F769" t="inlineStr">
        <is>
          <t>GÄVLEBORGS LÄN</t>
        </is>
      </c>
      <c r="G769" t="inlineStr">
        <is>
          <t>SANDVIKEN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11897-2024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45376</v>
      </c>
      <c r="E770" s="1" t="n">
        <v>46300</v>
      </c>
      <c r="F770" t="inlineStr">
        <is>
          <t>GÄVLEBORGS LÄN</t>
        </is>
      </c>
      <c r="G770" t="inlineStr">
        <is>
          <t>SANDVIKEN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46262</v>
      </c>
      <c r="E771" s="1" t="n">
        <v>46300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46262</v>
      </c>
      <c r="E772" s="1" t="n">
        <v>46300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46300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46262</v>
      </c>
      <c r="E774" s="1" t="n">
        <v>46300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23217-2023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45075</v>
      </c>
      <c r="E775" s="1" t="n">
        <v>46300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46300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46300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35865-2026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46300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35863-2026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46266</v>
      </c>
      <c r="E779" s="1" t="n">
        <v>46300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45562</v>
      </c>
      <c r="E780" s="1" t="n">
        <v>46300</v>
      </c>
      <c r="F780" t="inlineStr">
        <is>
          <t>GÄVLEBORGS LÄN</t>
        </is>
      </c>
      <c r="G780" t="inlineStr">
        <is>
          <t>SANDVIKEN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22070-2023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45069</v>
      </c>
      <c r="E781" s="1" t="n">
        <v>46300</v>
      </c>
      <c r="F781" t="inlineStr">
        <is>
          <t>GÄVLEBORGS LÄN</t>
        </is>
      </c>
      <c r="G781" t="inlineStr">
        <is>
          <t>SANDVIKEN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23085-2023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45075</v>
      </c>
      <c r="E782" s="1" t="n">
        <v>46300</v>
      </c>
      <c r="F782" t="inlineStr">
        <is>
          <t>GÄVLEBORGS LÄN</t>
        </is>
      </c>
      <c r="G782" t="inlineStr">
        <is>
          <t>SANDVIKEN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36833-2022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44805</v>
      </c>
      <c r="E783" s="1" t="n">
        <v>46300</v>
      </c>
      <c r="F783" t="inlineStr">
        <is>
          <t>GÄVLEBORGS LÄN</t>
        </is>
      </c>
      <c r="G783" t="inlineStr">
        <is>
          <t>SANDVIKEN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61100-2025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46000</v>
      </c>
      <c r="E784" s="1" t="n">
        <v>46300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46230</v>
      </c>
      <c r="E785" s="1" t="n">
        <v>46300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28063-2023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45099</v>
      </c>
      <c r="E786" s="1" t="n">
        <v>46300</v>
      </c>
      <c r="F786" t="inlineStr">
        <is>
          <t>GÄVLEBORGS LÄN</t>
        </is>
      </c>
      <c r="G786" t="inlineStr">
        <is>
          <t>SANDVIKEN</t>
        </is>
      </c>
      <c r="I786" t="n">
        <v>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46230</v>
      </c>
      <c r="E787" s="1" t="n">
        <v>46300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59738-2022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44908</v>
      </c>
      <c r="E788" s="1" t="n">
        <v>46300</v>
      </c>
      <c r="F788" t="inlineStr">
        <is>
          <t>GÄVLEBORGS LÄN</t>
        </is>
      </c>
      <c r="G788" t="inlineStr">
        <is>
          <t>SANDVIKEN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37024-2026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46300</v>
      </c>
      <c r="F789" t="inlineStr">
        <is>
          <t>GÄVLEBORGS LÄN</t>
        </is>
      </c>
      <c r="G789" t="inlineStr">
        <is>
          <t>SANDVIKEN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59661-2024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46300</v>
      </c>
      <c r="F790" t="inlineStr">
        <is>
          <t>GÄVLEBORGS LÄN</t>
        </is>
      </c>
      <c r="G790" t="inlineStr">
        <is>
          <t>SANDVIKEN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31723-2026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46227</v>
      </c>
      <c r="E791" s="1" t="n">
        <v>46300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9.300000000000001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45320</v>
      </c>
      <c r="E792" s="1" t="n">
        <v>46300</v>
      </c>
      <c r="F792" t="inlineStr">
        <is>
          <t>GÄVLEBORGS LÄN</t>
        </is>
      </c>
      <c r="G792" t="inlineStr">
        <is>
          <t>SANDVIKEN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37455-2026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46275</v>
      </c>
      <c r="E793" s="1" t="n">
        <v>46300</v>
      </c>
      <c r="F793" t="inlineStr">
        <is>
          <t>GÄVLEBORGS LÄN</t>
        </is>
      </c>
      <c r="G793" t="inlineStr">
        <is>
          <t>SANDVIKEN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46300</v>
      </c>
      <c r="F794" t="inlineStr">
        <is>
          <t>GÄVLEBORGS LÄN</t>
        </is>
      </c>
      <c r="G794" t="inlineStr">
        <is>
          <t>SANDVIKEN</t>
        </is>
      </c>
      <c r="H794" t="inlineStr">
        <is>
          <t>Övriga statliga verk och myndigheter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38047-2026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46280</v>
      </c>
      <c r="E795" s="1" t="n">
        <v>46300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46300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11778-2024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45374</v>
      </c>
      <c r="E797" s="1" t="n">
        <v>46300</v>
      </c>
      <c r="F797" t="inlineStr">
        <is>
          <t>GÄVLEBORGS LÄN</t>
        </is>
      </c>
      <c r="G797" t="inlineStr">
        <is>
          <t>SANDVIKEN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47710-2022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44854</v>
      </c>
      <c r="E798" s="1" t="n">
        <v>46300</v>
      </c>
      <c r="F798" t="inlineStr">
        <is>
          <t>GÄVLEBORGS LÄN</t>
        </is>
      </c>
      <c r="G798" t="inlineStr">
        <is>
          <t>SANDVIKEN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48300-2023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46300</v>
      </c>
      <c r="F799" t="inlineStr">
        <is>
          <t>GÄVLEBORGS LÄN</t>
        </is>
      </c>
      <c r="G799" t="inlineStr">
        <is>
          <t>SANDVIKEN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45721</v>
      </c>
      <c r="E800" s="1" t="n">
        <v>46300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44101-2023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45188</v>
      </c>
      <c r="E801" s="1" t="n">
        <v>46300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45483</v>
      </c>
      <c r="E802" s="1" t="n">
        <v>46300</v>
      </c>
      <c r="F802" t="inlineStr">
        <is>
          <t>GÄVLEBORGS LÄN</t>
        </is>
      </c>
      <c r="G802" t="inlineStr">
        <is>
          <t>SANDVIKEN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45867</v>
      </c>
      <c r="E803" s="1" t="n">
        <v>46300</v>
      </c>
      <c r="F803" t="inlineStr">
        <is>
          <t>GÄVLEBORGS LÄN</t>
        </is>
      </c>
      <c r="G803" t="inlineStr">
        <is>
          <t>SANDVIKEN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46300</v>
      </c>
      <c r="F804" t="inlineStr">
        <is>
          <t>GÄVLEBORGS LÄN</t>
        </is>
      </c>
      <c r="G804" t="inlineStr">
        <is>
          <t>SANDVIKEN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44818</v>
      </c>
      <c r="E805" s="1" t="n">
        <v>46300</v>
      </c>
      <c r="F805" t="inlineStr">
        <is>
          <t>GÄVLEBORGS LÄN</t>
        </is>
      </c>
      <c r="G805" t="inlineStr">
        <is>
          <t>SANDVIKEN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46300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39157-2026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46300</v>
      </c>
      <c r="F807" t="inlineStr">
        <is>
          <t>GÄVLEBORGS LÄN</t>
        </is>
      </c>
      <c r="G807" t="inlineStr">
        <is>
          <t>SANDVIKEN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52932-2022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44875</v>
      </c>
      <c r="E808" s="1" t="n">
        <v>46300</v>
      </c>
      <c r="F808" t="inlineStr">
        <is>
          <t>GÄVLEBORGS LÄN</t>
        </is>
      </c>
      <c r="G808" t="inlineStr">
        <is>
          <t>SANDVIKEN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46300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46300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38995-2026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46300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7996-2026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46063</v>
      </c>
      <c r="E812" s="1" t="n">
        <v>46300</v>
      </c>
      <c r="F812" t="inlineStr">
        <is>
          <t>GÄVLEBORGS LÄN</t>
        </is>
      </c>
      <c r="G812" t="inlineStr">
        <is>
          <t>SANDVIKEN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46300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45112</v>
      </c>
      <c r="E814" s="1" t="n">
        <v>46300</v>
      </c>
      <c r="F814" t="inlineStr">
        <is>
          <t>GÄVLEBORGS LÄN</t>
        </is>
      </c>
      <c r="G814" t="inlineStr">
        <is>
          <t>SANDVIKEN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46300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34946-2022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44796</v>
      </c>
      <c r="E816" s="1" t="n">
        <v>46300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46288</v>
      </c>
      <c r="E817" s="1" t="n">
        <v>46300</v>
      </c>
      <c r="F817" t="inlineStr">
        <is>
          <t>GÄVLEBORGS LÄN</t>
        </is>
      </c>
      <c r="G817" t="inlineStr">
        <is>
          <t>SANDVIKEN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39393-2026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46288</v>
      </c>
      <c r="E818" s="1" t="n">
        <v>46300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38200-2024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45545</v>
      </c>
      <c r="E819" s="1" t="n">
        <v>46300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22238-2023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45070</v>
      </c>
      <c r="E820" s="1" t="n">
        <v>46300</v>
      </c>
      <c r="F820" t="inlineStr">
        <is>
          <t>GÄVLEBORGS LÄN</t>
        </is>
      </c>
      <c r="G820" t="inlineStr">
        <is>
          <t>SANDVIKEN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46300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4461-2023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44956</v>
      </c>
      <c r="E822" s="1" t="n">
        <v>46300</v>
      </c>
      <c r="F822" t="inlineStr">
        <is>
          <t>GÄVLEBORGS LÄN</t>
        </is>
      </c>
      <c r="G822" t="inlineStr">
        <is>
          <t>SANDVIKEN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716-2024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45300</v>
      </c>
      <c r="E823" s="1" t="n">
        <v>46300</v>
      </c>
      <c r="F823" t="inlineStr">
        <is>
          <t>GÄVLEBORGS LÄN</t>
        </is>
      </c>
      <c r="G823" t="inlineStr">
        <is>
          <t>SANDVIKEN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45282</v>
      </c>
      <c r="E824" s="1" t="n">
        <v>46300</v>
      </c>
      <c r="F824" t="inlineStr">
        <is>
          <t>GÄVLEBORGS LÄN</t>
        </is>
      </c>
      <c r="G824" t="inlineStr">
        <is>
          <t>SANDVIKEN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50765-2024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46300</v>
      </c>
      <c r="F825" t="inlineStr">
        <is>
          <t>GÄVLEBORGS LÄN</t>
        </is>
      </c>
      <c r="G825" t="inlineStr">
        <is>
          <t>SANDVIKEN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58363-2022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44901</v>
      </c>
      <c r="E826" s="1" t="n">
        <v>46300</v>
      </c>
      <c r="F826" t="inlineStr">
        <is>
          <t>GÄVLEBORGS LÄN</t>
        </is>
      </c>
      <c r="G826" t="inlineStr">
        <is>
          <t>SANDVIKEN</t>
        </is>
      </c>
      <c r="I826" t="n">
        <v>7.3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33383-2026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46247</v>
      </c>
      <c r="E827" s="1" t="n">
        <v>46300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58983-2023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45252</v>
      </c>
      <c r="E828" s="1" t="n">
        <v>46300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15340-2026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46105</v>
      </c>
      <c r="E829" s="1" t="n">
        <v>46300</v>
      </c>
      <c r="F829" t="inlineStr">
        <is>
          <t>GÄVLEBORGS LÄN</t>
        </is>
      </c>
      <c r="G829" t="inlineStr">
        <is>
          <t>SANDVIKEN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24465-2023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45082</v>
      </c>
      <c r="E830" s="1" t="n">
        <v>46300</v>
      </c>
      <c r="F830" t="inlineStr">
        <is>
          <t>GÄVLEBORGS LÄN</t>
        </is>
      </c>
      <c r="G830" t="inlineStr">
        <is>
          <t>SANDVIKEN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45673</v>
      </c>
      <c r="E831" s="1" t="n">
        <v>46300</v>
      </c>
      <c r="F831" t="inlineStr">
        <is>
          <t>GÄVLEBORGS LÄN</t>
        </is>
      </c>
      <c r="G831" t="inlineStr">
        <is>
          <t>SANDVIKEN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46300</v>
      </c>
      <c r="F832" t="inlineStr">
        <is>
          <t>GÄVLEBORGS LÄN</t>
        </is>
      </c>
      <c r="G832" t="inlineStr">
        <is>
          <t>SANDVIKEN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1418-2025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45668</v>
      </c>
      <c r="E833" s="1" t="n">
        <v>46300</v>
      </c>
      <c r="F833" t="inlineStr">
        <is>
          <t>GÄVLEBORGS LÄN</t>
        </is>
      </c>
      <c r="G833" t="inlineStr">
        <is>
          <t>SANDVIKEN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60908-2022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44914</v>
      </c>
      <c r="E834" s="1" t="n">
        <v>46300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46300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27533-2026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46190</v>
      </c>
      <c r="E836" s="1" t="n">
        <v>46300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46035</v>
      </c>
      <c r="E837" s="1" t="n">
        <v>46300</v>
      </c>
      <c r="F837" t="inlineStr">
        <is>
          <t>GÄVLEBORGS LÄN</t>
        </is>
      </c>
      <c r="G837" t="inlineStr">
        <is>
          <t>SANDVIKEN</t>
        </is>
      </c>
      <c r="I837" t="n">
        <v>6.9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59841-2023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45257</v>
      </c>
      <c r="E838" s="1" t="n">
        <v>46300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46300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45688</v>
      </c>
      <c r="E840" s="1" t="n">
        <v>46300</v>
      </c>
      <c r="F840" t="inlineStr">
        <is>
          <t>GÄVLEBORGS LÄN</t>
        </is>
      </c>
      <c r="G840" t="inlineStr">
        <is>
          <t>SANDVIKEN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23228-2026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46162</v>
      </c>
      <c r="E841" s="1" t="n">
        <v>46300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27006-2023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45094</v>
      </c>
      <c r="E842" s="1" t="n">
        <v>46300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46300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34253-2026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46253</v>
      </c>
      <c r="E844" s="1" t="n">
        <v>46300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46177-2022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44847</v>
      </c>
      <c r="E845" s="1" t="n">
        <v>46300</v>
      </c>
      <c r="F845" t="inlineStr">
        <is>
          <t>GÄVLEBORGS LÄN</t>
        </is>
      </c>
      <c r="G845" t="inlineStr">
        <is>
          <t>SANDVIKEN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46049</v>
      </c>
      <c r="E846" s="1" t="n">
        <v>46300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19346-2023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45049</v>
      </c>
      <c r="E847" s="1" t="n">
        <v>46300</v>
      </c>
      <c r="F847" t="inlineStr">
        <is>
          <t>GÄVLEBORGS LÄN</t>
        </is>
      </c>
      <c r="G847" t="inlineStr">
        <is>
          <t>SANDVIKEN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45264</v>
      </c>
      <c r="E848" s="1" t="n">
        <v>46300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61301-2025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46000</v>
      </c>
      <c r="E849" s="1" t="n">
        <v>46300</v>
      </c>
      <c r="F849" t="inlineStr">
        <is>
          <t>GÄVLEBORGS LÄN</t>
        </is>
      </c>
      <c r="G849" t="inlineStr">
        <is>
          <t>SANDVIKEN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46300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46300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46482-2023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45197</v>
      </c>
      <c r="E852" s="1" t="n">
        <v>46300</v>
      </c>
      <c r="F852" t="inlineStr">
        <is>
          <t>GÄVLEBORGS LÄN</t>
        </is>
      </c>
      <c r="G852" t="inlineStr">
        <is>
          <t>SANDVIKEN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58200-2025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45984</v>
      </c>
      <c r="E853" s="1" t="n">
        <v>46300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46300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46300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25837-2026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46300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46300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7350-2026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46300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46300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8611-2026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46065</v>
      </c>
      <c r="E860" s="1" t="n">
        <v>46300</v>
      </c>
      <c r="F860" t="inlineStr">
        <is>
          <t>GÄVLEBORGS LÄN</t>
        </is>
      </c>
      <c r="G860" t="inlineStr">
        <is>
          <t>SANDVIKEN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46300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34606-2026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46255</v>
      </c>
      <c r="E862" s="1" t="n">
        <v>46300</v>
      </c>
      <c r="F862" t="inlineStr">
        <is>
          <t>GÄVLEBORGS LÄN</t>
        </is>
      </c>
      <c r="G862" t="inlineStr">
        <is>
          <t>SANDVIKEN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32998-2026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46244</v>
      </c>
      <c r="E863" s="1" t="n">
        <v>46300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33873-2026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46251</v>
      </c>
      <c r="E864" s="1" t="n">
        <v>46300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58198-2025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45984</v>
      </c>
      <c r="E865" s="1" t="n">
        <v>46300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35492-2026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46262</v>
      </c>
      <c r="E866" s="1" t="n">
        <v>46300</v>
      </c>
      <c r="F866" t="inlineStr">
        <is>
          <t>GÄVLEBORGS LÄN</t>
        </is>
      </c>
      <c r="G866" t="inlineStr">
        <is>
          <t>SANDVIKEN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29616-2026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46300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50797-2023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45217</v>
      </c>
      <c r="E868" s="1" t="n">
        <v>46300</v>
      </c>
      <c r="F868" t="inlineStr">
        <is>
          <t>GÄVLEBORGS LÄN</t>
        </is>
      </c>
      <c r="G868" t="inlineStr">
        <is>
          <t>SANDVIKEN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44564</v>
      </c>
      <c r="E869" s="1" t="n">
        <v>46300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73331-2021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44551</v>
      </c>
      <c r="E870" s="1" t="n">
        <v>46300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41790-2024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45561</v>
      </c>
      <c r="E871" s="1" t="n">
        <v>46300</v>
      </c>
      <c r="F871" t="inlineStr">
        <is>
          <t>GÄVLEBORGS LÄN</t>
        </is>
      </c>
      <c r="G871" t="inlineStr">
        <is>
          <t>SANDVIKEN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45063</v>
      </c>
      <c r="E872" s="1" t="n">
        <v>46300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45748</v>
      </c>
      <c r="E873" s="1" t="n">
        <v>46300</v>
      </c>
      <c r="F873" t="inlineStr">
        <is>
          <t>GÄVLEBORGS LÄN</t>
        </is>
      </c>
      <c r="G873" t="inlineStr">
        <is>
          <t>SANDVIKEN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58797-2024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45636</v>
      </c>
      <c r="E874" s="1" t="n">
        <v>46300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24992-2023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45085</v>
      </c>
      <c r="E875" s="1" t="n">
        <v>46300</v>
      </c>
      <c r="F875" t="inlineStr">
        <is>
          <t>GÄVLEBORGS LÄN</t>
        </is>
      </c>
      <c r="G875" t="inlineStr">
        <is>
          <t>SANDVIKEN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7056-2025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45701</v>
      </c>
      <c r="E876" s="1" t="n">
        <v>46300</v>
      </c>
      <c r="F876" t="inlineStr">
        <is>
          <t>GÄVLEBORGS LÄN</t>
        </is>
      </c>
      <c r="G876" t="inlineStr">
        <is>
          <t>SANDVIKEN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6765-2025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45700</v>
      </c>
      <c r="E877" s="1" t="n">
        <v>46300</v>
      </c>
      <c r="F877" t="inlineStr">
        <is>
          <t>GÄVLEBORGS LÄN</t>
        </is>
      </c>
      <c r="G877" t="inlineStr">
        <is>
          <t>SANDVIKEN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47889-2022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44855</v>
      </c>
      <c r="E878" s="1" t="n">
        <v>46300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29972-2022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44756</v>
      </c>
      <c r="E879" s="1" t="n">
        <v>46300</v>
      </c>
      <c r="F879" t="inlineStr">
        <is>
          <t>GÄVLEBORGS LÄN</t>
        </is>
      </c>
      <c r="G879" t="inlineStr">
        <is>
          <t>SANDVIKEN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16385-2023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45022</v>
      </c>
      <c r="E880" s="1" t="n">
        <v>46300</v>
      </c>
      <c r="F880" t="inlineStr">
        <is>
          <t>GÄVLEBORGS LÄN</t>
        </is>
      </c>
      <c r="G880" t="inlineStr">
        <is>
          <t>SANDVIKEN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25544-2024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45463</v>
      </c>
      <c r="E881" s="1" t="n">
        <v>46300</v>
      </c>
      <c r="F881" t="inlineStr">
        <is>
          <t>GÄVLEBORGS LÄN</t>
        </is>
      </c>
      <c r="G881" t="inlineStr">
        <is>
          <t>SANDVIKEN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37641-2024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46300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37643-2024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45541</v>
      </c>
      <c r="E883" s="1" t="n">
        <v>46300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3899-2022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44587</v>
      </c>
      <c r="E884" s="1" t="n">
        <v>46300</v>
      </c>
      <c r="F884" t="inlineStr">
        <is>
          <t>GÄVLEBORGS LÄN</t>
        </is>
      </c>
      <c r="G884" t="inlineStr">
        <is>
          <t>SANDVIKEN</t>
        </is>
      </c>
      <c r="H884" t="inlineStr">
        <is>
          <t>Kyrkan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45327</v>
      </c>
      <c r="E885" s="1" t="n">
        <v>46300</v>
      </c>
      <c r="F885" t="inlineStr">
        <is>
          <t>GÄVLEBORGS LÄN</t>
        </is>
      </c>
      <c r="G885" t="inlineStr">
        <is>
          <t>SANDVIKEN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45769</v>
      </c>
      <c r="E886" s="1" t="n">
        <v>46300</v>
      </c>
      <c r="F886" t="inlineStr">
        <is>
          <t>GÄVLEBORGS LÄN</t>
        </is>
      </c>
      <c r="G886" t="inlineStr">
        <is>
          <t>SANDVIKEN</t>
        </is>
      </c>
      <c r="I886" t="n">
        <v>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48435-2024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45590</v>
      </c>
      <c r="E887" s="1" t="n">
        <v>46300</v>
      </c>
      <c r="F887" t="inlineStr">
        <is>
          <t>GÄVLEBORGS LÄN</t>
        </is>
      </c>
      <c r="G887" t="inlineStr">
        <is>
          <t>SANDVIKEN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45672</v>
      </c>
      <c r="E888" s="1" t="n">
        <v>46300</v>
      </c>
      <c r="F888" t="inlineStr">
        <is>
          <t>GÄVLEBORGS LÄN</t>
        </is>
      </c>
      <c r="G888" t="inlineStr">
        <is>
          <t>SANDVIKEN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49518-2023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45211</v>
      </c>
      <c r="E889" s="1" t="n">
        <v>46300</v>
      </c>
      <c r="F889" t="inlineStr">
        <is>
          <t>GÄVLEBORGS LÄN</t>
        </is>
      </c>
      <c r="G889" t="inlineStr">
        <is>
          <t>SANDVIKEN</t>
        </is>
      </c>
      <c r="I889" t="n">
        <v>7.4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44566</v>
      </c>
      <c r="E890" s="1" t="n">
        <v>46300</v>
      </c>
      <c r="F890" t="inlineStr">
        <is>
          <t>GÄVLEBORGS LÄN</t>
        </is>
      </c>
      <c r="G890" t="inlineStr">
        <is>
          <t>SANDVIKEN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36656-2023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45153</v>
      </c>
      <c r="E891" s="1" t="n">
        <v>46300</v>
      </c>
      <c r="F891" t="inlineStr">
        <is>
          <t>GÄVLEBORGS LÄN</t>
        </is>
      </c>
      <c r="G891" t="inlineStr">
        <is>
          <t>SANDVIKEN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16258-2023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45022</v>
      </c>
      <c r="E892" s="1" t="n">
        <v>46300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väst AB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45779</v>
      </c>
      <c r="E893" s="1" t="n">
        <v>46300</v>
      </c>
      <c r="F893" t="inlineStr">
        <is>
          <t>GÄVLEBORGS LÄN</t>
        </is>
      </c>
      <c r="G893" t="inlineStr">
        <is>
          <t>SANDVIKEN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37459-2024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45540</v>
      </c>
      <c r="E894" s="1" t="n">
        <v>46300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48319-2023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45205</v>
      </c>
      <c r="E895" s="1" t="n">
        <v>46300</v>
      </c>
      <c r="F895" t="inlineStr">
        <is>
          <t>GÄVLEBORGS LÄN</t>
        </is>
      </c>
      <c r="G895" t="inlineStr">
        <is>
          <t>SANDVIKEN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55446-2024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45622</v>
      </c>
      <c r="E896" s="1" t="n">
        <v>46300</v>
      </c>
      <c r="F896" t="inlineStr">
        <is>
          <t>GÄVLEBORGS LÄN</t>
        </is>
      </c>
      <c r="G896" t="inlineStr">
        <is>
          <t>SANDVIKEN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45679</v>
      </c>
      <c r="E897" s="1" t="n">
        <v>46300</v>
      </c>
      <c r="F897" t="inlineStr">
        <is>
          <t>GÄVLEBORGS LÄN</t>
        </is>
      </c>
      <c r="G897" t="inlineStr">
        <is>
          <t>SANDVIKEN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46300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41284-2023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45174</v>
      </c>
      <c r="E899" s="1" t="n">
        <v>46300</v>
      </c>
      <c r="F899" t="inlineStr">
        <is>
          <t>GÄVLEBORGS LÄN</t>
        </is>
      </c>
      <c r="G899" t="inlineStr">
        <is>
          <t>SANDVIKEN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69521-2021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44531</v>
      </c>
      <c r="E900" s="1" t="n">
        <v>46300</v>
      </c>
      <c r="F900" t="inlineStr">
        <is>
          <t>GÄVLEBORGS LÄN</t>
        </is>
      </c>
      <c r="G900" t="inlineStr">
        <is>
          <t>SANDVIKEN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56019-2023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45240</v>
      </c>
      <c r="E901" s="1" t="n">
        <v>46300</v>
      </c>
      <c r="F901" t="inlineStr">
        <is>
          <t>GÄVLEBORGS LÄN</t>
        </is>
      </c>
      <c r="G901" t="inlineStr">
        <is>
          <t>SANDVIKEN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45178</v>
      </c>
      <c r="E902" s="1" t="n">
        <v>46300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väst AB</t>
        </is>
      </c>
      <c r="I902" t="n">
        <v>16.5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2071-2020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44102</v>
      </c>
      <c r="E903" s="1" t="n">
        <v>46300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42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219-2024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45316</v>
      </c>
      <c r="E904" s="1" t="n">
        <v>46300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198-2024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45315</v>
      </c>
      <c r="E905" s="1" t="n">
        <v>46300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64.59999999999999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7975-2021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44484</v>
      </c>
      <c r="E906" s="1" t="n">
        <v>46300</v>
      </c>
      <c r="F906" t="inlineStr">
        <is>
          <t>GÄVLEBORGS LÄN</t>
        </is>
      </c>
      <c r="G906" t="inlineStr">
        <is>
          <t>SANDVIKEN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2574-2023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45142</v>
      </c>
      <c r="E907" s="1" t="n">
        <v>46300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31.8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10363-2021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44550</v>
      </c>
      <c r="E908" s="1" t="n">
        <v>46300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73.3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513-2025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45706</v>
      </c>
      <c r="E909" s="1" t="n">
        <v>46300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706-2025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45720</v>
      </c>
      <c r="E910" s="1" t="n">
        <v>46300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väst AB</t>
        </is>
      </c>
      <c r="I910" t="n">
        <v>24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531-2025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45707</v>
      </c>
      <c r="E911" s="1" t="n">
        <v>46300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530-2025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45707</v>
      </c>
      <c r="E912" s="1" t="n">
        <v>46300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46059</v>
      </c>
      <c r="E913" s="1" t="n">
        <v>46300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320-2026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46059</v>
      </c>
      <c r="E914" s="1" t="n">
        <v>46300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36.3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664-2026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46089</v>
      </c>
      <c r="E915" s="1" t="n">
        <v>46300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677-2026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46089</v>
      </c>
      <c r="E916" s="1" t="n">
        <v>46300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61.3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2026-10-05T01:53:02Z</dcterms:created>
  <dcterms:modified xmlns:dcterms="http://purl.org/dc/terms/" xmlns:xsi="http://www.w3.org/2001/XMLSchema-instance" xsi:type="dcterms:W3CDTF">2026-10-05T01:53:03Z</dcterms:modified>
</cp:coreProperties>
</file>