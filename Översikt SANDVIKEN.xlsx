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46307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46307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46307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46307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46307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46307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46307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46307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46307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46307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46307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46307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46307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2857-2025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46307</v>
      </c>
      <c r="F15" t="inlineStr">
        <is>
          <t>GÄVLEBORGS LÄN</t>
        </is>
      </c>
      <c r="G15" t="inlineStr">
        <is>
          <t>SANDVIKEN</t>
        </is>
      </c>
      <c r="I15" t="n">
        <v>1.3</v>
      </c>
      <c r="J15" t="n">
        <v>0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0</v>
      </c>
      <c r="V15" s="2" t="inlineStr">
        <is>
          <t>Större flatbagge
Tallticka
Bronshjon
Thomsons trägnagare</t>
        </is>
      </c>
      <c r="W15">
        <f>HYPERLINK("https://klasma.github.io/Logging_2181/artfynd/A 2857-2025 artfynd.xlsx", "A 2857-2025")</f>
        <v/>
      </c>
      <c r="X15">
        <f>HYPERLINK("https://klasma.github.io/Logging_2181/kartor/A 2857-2025 karta.png", "A 2857-2025")</f>
        <v/>
      </c>
      <c r="Y15">
        <f>HYPERLINK("https://klasma.github.io/Logging_2181/kartor_geotiff/A 2857-2025 georefererad karta.tif", "A 2857-2025")</f>
        <v/>
      </c>
      <c r="AA15">
        <f>HYPERLINK("https://klasma.github.io/Logging_2181/klagomål/A 2857-2025 FSC-klagomål.docx", "A 2857-2025")</f>
        <v/>
      </c>
      <c r="AB15">
        <f>HYPERLINK("https://klasma.github.io/Logging_2181/klagomålsmail/A 2857-2025 FSC-klagomål mail.docx", "A 2857-2025")</f>
        <v/>
      </c>
      <c r="AC15">
        <f>HYPERLINK("https://klasma.github.io/Logging_2181/tillsyn/A 2857-2025 tillsynsbegäran.docx", "A 2857-2025")</f>
        <v/>
      </c>
      <c r="AD15">
        <f>HYPERLINK("https://klasma.github.io/Logging_2181/tillsynsmail/A 2857-2025 tillsynsbegäran mail.docx", "A 2857-2025")</f>
        <v/>
      </c>
    </row>
    <row r="16" ht="15" customHeight="1">
      <c r="A16" t="inlineStr">
        <is>
          <t>A 14696-2026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46101</v>
      </c>
      <c r="E16" s="1" t="n">
        <v>46307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3.1</v>
      </c>
      <c r="J16" t="n">
        <v>1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12</v>
      </c>
      <c r="U16" t="n">
        <v>0</v>
      </c>
      <c r="V16" s="2" t="inlineStr">
        <is>
          <t>Garnlav
Knärot
Dropptaggsvamp
Motaggsvamp</t>
        </is>
      </c>
      <c r="W16">
        <f>HYPERLINK("https://klasma.github.io/Logging_2181/artfynd/A 14696-2026 artfynd.xlsx", "A 14696-2026")</f>
        <v/>
      </c>
      <c r="X16">
        <f>HYPERLINK("https://klasma.github.io/Logging_2181/kartor/A 14696-2026 karta.png", "A 14696-2026")</f>
        <v/>
      </c>
      <c r="Y16">
        <f>HYPERLINK("https://klasma.github.io/Logging_2181/kartor_geotiff/A 14696-2026 georefererad karta.tif", "A 14696-2026")</f>
        <v/>
      </c>
      <c r="Z16">
        <f>HYPERLINK("https://klasma.github.io/Logging_2181/knärot/A 14696-2026 karta knärot.png", "A 14696-2026")</f>
        <v/>
      </c>
      <c r="AA16">
        <f>HYPERLINK("https://klasma.github.io/Logging_2181/klagomål/A 14696-2026 FSC-klagomål.docx", "A 14696-2026")</f>
        <v/>
      </c>
      <c r="AB16">
        <f>HYPERLINK("https://klasma.github.io/Logging_2181/klagomålsmail/A 14696-2026 FSC-klagomål mail.docx", "A 14696-2026")</f>
        <v/>
      </c>
      <c r="AC16">
        <f>HYPERLINK("https://klasma.github.io/Logging_2181/tillsyn/A 14696-2026 tillsynsbegäran.docx", "A 14696-2026")</f>
        <v/>
      </c>
      <c r="AD16">
        <f>HYPERLINK("https://klasma.github.io/Logging_2181/tillsynsmail/A 14696-2026 tillsynsbegäran mail.docx", "A 14696-2026")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46307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46307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26047-2026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46181</v>
      </c>
      <c r="E19" s="1" t="n">
        <v>46307</v>
      </c>
      <c r="F19" t="inlineStr">
        <is>
          <t>GÄVLEBORGS LÄN</t>
        </is>
      </c>
      <c r="G19" t="inlineStr">
        <is>
          <t>SANDVIKEN</t>
        </is>
      </c>
      <c r="H19" t="inlineStr">
        <is>
          <t>Kommuner</t>
        </is>
      </c>
      <c r="I19" t="n">
        <v>8.199999999999999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Blå taggsvamp
Nordfladdermus
Talltita
Kungsfågel</t>
        </is>
      </c>
      <c r="W19">
        <f>HYPERLINK("https://klasma.github.io/Logging_2181/artfynd/A 26047-2026 artfynd.xlsx", "A 26047-2026")</f>
        <v/>
      </c>
      <c r="X19">
        <f>HYPERLINK("https://klasma.github.io/Logging_2181/kartor/A 26047-2026 karta.png", "A 26047-2026")</f>
        <v/>
      </c>
      <c r="Y19">
        <f>HYPERLINK("https://klasma.github.io/Logging_2181/kartor_geotiff/A 26047-2026 georefererad karta.tif", "A 26047-2026")</f>
        <v/>
      </c>
      <c r="AA19">
        <f>HYPERLINK("https://klasma.github.io/Logging_2181/klagomål/A 26047-2026 FSC-klagomål.docx", "A 26047-2026")</f>
        <v/>
      </c>
      <c r="AB19">
        <f>HYPERLINK("https://klasma.github.io/Logging_2181/klagomålsmail/A 26047-2026 FSC-klagomål mail.docx", "A 26047-2026")</f>
        <v/>
      </c>
      <c r="AC19">
        <f>HYPERLINK("https://klasma.github.io/Logging_2181/tillsyn/A 26047-2026 tillsynsbegäran.docx", "A 26047-2026")</f>
        <v/>
      </c>
      <c r="AD19">
        <f>HYPERLINK("https://klasma.github.io/Logging_2181/tillsynsmail/A 26047-2026 tillsynsbegäran mail.docx", "A 26047-2026")</f>
        <v/>
      </c>
      <c r="AE19">
        <f>HYPERLINK("https://klasma.github.io/Logging_2181/fåglar/A 26047-2026 prioriterade fågelarter.docx", "A 26047-2026")</f>
        <v/>
      </c>
    </row>
    <row r="20" ht="15" customHeight="1">
      <c r="A20" t="inlineStr">
        <is>
          <t>A 26271-2026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46307</v>
      </c>
      <c r="F20" t="inlineStr">
        <is>
          <t>GÄVLEBORGS LÄN</t>
        </is>
      </c>
      <c r="G20" t="inlineStr">
        <is>
          <t>SANDVIKEN</t>
        </is>
      </c>
      <c r="H20" t="inlineStr">
        <is>
          <t>Kommuner</t>
        </is>
      </c>
      <c r="I20" t="n">
        <v>3.8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5</v>
      </c>
      <c r="V20" s="2" t="inlineStr">
        <is>
          <t>Brunlångöra
Nordfladdermus
Vattenfladdermus
Fläcknycklar</t>
        </is>
      </c>
      <c r="W20">
        <f>HYPERLINK("https://klasma.github.io/Logging_2181/artfynd/A 26271-2026 artfynd.xlsx", "A 26271-2026")</f>
        <v/>
      </c>
      <c r="X20">
        <f>HYPERLINK("https://klasma.github.io/Logging_2181/kartor/A 26271-2026 karta.png", "A 26271-2026")</f>
        <v/>
      </c>
      <c r="Y20">
        <f>HYPERLINK("https://klasma.github.io/Logging_2181/kartor_geotiff/A 26271-2026 georefererad karta.tif", "A 26271-2026")</f>
        <v/>
      </c>
      <c r="AA20">
        <f>HYPERLINK("https://klasma.github.io/Logging_2181/klagomål/A 26271-2026 FSC-klagomål.docx", "A 26271-2026")</f>
        <v/>
      </c>
      <c r="AB20">
        <f>HYPERLINK("https://klasma.github.io/Logging_2181/klagomålsmail/A 26271-2026 FSC-klagomål mail.docx", "A 26271-2026")</f>
        <v/>
      </c>
      <c r="AC20">
        <f>HYPERLINK("https://klasma.github.io/Logging_2181/tillsyn/A 26271-2026 tillsynsbegäran.docx", "A 26271-2026")</f>
        <v/>
      </c>
      <c r="AD20">
        <f>HYPERLINK("https://klasma.github.io/Logging_2181/tillsynsmail/A 26271-2026 tillsynsbegäran mail.docx", "A 26271-2026")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46307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46307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46307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46307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46307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12192-2026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46086</v>
      </c>
      <c r="E26" s="1" t="n">
        <v>46307</v>
      </c>
      <c r="F26" t="inlineStr">
        <is>
          <t>GÄVLEBORGS LÄN</t>
        </is>
      </c>
      <c r="G26" t="inlineStr">
        <is>
          <t>SANDVIKEN</t>
        </is>
      </c>
      <c r="I26" t="n">
        <v>0.6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7</v>
      </c>
      <c r="U26" t="n">
        <v>7</v>
      </c>
      <c r="V26" s="2" t="inlineStr">
        <is>
          <t>Knärot
Tretåig hackspett
Spillkråka</t>
        </is>
      </c>
      <c r="W26">
        <f>HYPERLINK("https://klasma.github.io/Logging_2181/artfynd/A 12192-2026 artfynd.xlsx", "A 12192-2026")</f>
        <v/>
      </c>
      <c r="X26">
        <f>HYPERLINK("https://klasma.github.io/Logging_2181/kartor/A 12192-2026 karta.png", "A 12192-2026")</f>
        <v/>
      </c>
      <c r="Y26">
        <f>HYPERLINK("https://klasma.github.io/Logging_2181/kartor_geotiff/A 12192-2026 georefererad karta.tif", "A 12192-2026")</f>
        <v/>
      </c>
      <c r="Z26">
        <f>HYPERLINK("https://klasma.github.io/Logging_2181/knärot/A 12192-2026 karta knärot.png", "A 12192-2026")</f>
        <v/>
      </c>
      <c r="AA26">
        <f>HYPERLINK("https://klasma.github.io/Logging_2181/klagomål/A 12192-2026 FSC-klagomål.docx", "A 12192-2026")</f>
        <v/>
      </c>
      <c r="AB26">
        <f>HYPERLINK("https://klasma.github.io/Logging_2181/klagomålsmail/A 12192-2026 FSC-klagomål mail.docx", "A 12192-2026")</f>
        <v/>
      </c>
      <c r="AC26">
        <f>HYPERLINK("https://klasma.github.io/Logging_2181/tillsyn/A 12192-2026 tillsynsbegäran.docx", "A 12192-2026")</f>
        <v/>
      </c>
      <c r="AD26">
        <f>HYPERLINK("https://klasma.github.io/Logging_2181/tillsynsmail/A 12192-2026 tillsynsbegäran mail.docx", "A 12192-2026")</f>
        <v/>
      </c>
      <c r="AE26">
        <f>HYPERLINK("https://klasma.github.io/Logging_2181/fåglar/A 12192-2026 prioriterade fågelarter.docx", "A 12192-2026")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46307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46307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46307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46307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46307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46307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46307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46307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46307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43716-2023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46307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1.6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HYPERLINK("https://klasma.github.io/Logging_2181/artfynd/A 43716-2023 artfynd.xlsx", "A 43716-2023")</f>
        <v/>
      </c>
      <c r="X36">
        <f>HYPERLINK("https://klasma.github.io/Logging_2181/kartor/A 43716-2023 karta.png", "A 43716-2023")</f>
        <v/>
      </c>
      <c r="Y36">
        <f>HYPERLINK("https://klasma.github.io/Logging_2181/kartor_geotiff/A 43716-2023 georefererad karta.tif", "A 43716-2023")</f>
        <v/>
      </c>
      <c r="Z36">
        <f>HYPERLINK("https://klasma.github.io/Logging_2181/knärot/A 43716-2023 karta knärot.png", "A 43716-2023")</f>
        <v/>
      </c>
      <c r="AA36">
        <f>HYPERLINK("https://klasma.github.io/Logging_2181/klagomål/A 43716-2023 FSC-klagomål.docx", "A 43716-2023")</f>
        <v/>
      </c>
      <c r="AB36">
        <f>HYPERLINK("https://klasma.github.io/Logging_2181/klagomålsmail/A 43716-2023 FSC-klagomål mail.docx", "A 43716-2023")</f>
        <v/>
      </c>
      <c r="AC36">
        <f>HYPERLINK("https://klasma.github.io/Logging_2181/tillsyn/A 43716-2023 tillsynsbegäran.docx", "A 43716-2023")</f>
        <v/>
      </c>
      <c r="AD36">
        <f>HYPERLINK("https://klasma.github.io/Logging_2181/tillsynsmail/A 43716-2023 tillsynsbegäran mail.docx", "A 43716-2023")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46307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46307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21196-2024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45440</v>
      </c>
      <c r="E39" s="1" t="n">
        <v>46307</v>
      </c>
      <c r="F39" t="inlineStr">
        <is>
          <t>GÄVLEBORGS LÄN</t>
        </is>
      </c>
      <c r="G39" t="inlineStr">
        <is>
          <t>SANDVIKEN</t>
        </is>
      </c>
      <c r="H39" t="inlineStr">
        <is>
          <t>Kommuner</t>
        </is>
      </c>
      <c r="I39" t="n">
        <v>45.5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Lappuggla
Ullticka</t>
        </is>
      </c>
      <c r="W39">
        <f>HYPERLINK("https://klasma.github.io/Logging_2181/artfynd/A 21196-2024 artfynd.xlsx", "A 21196-2024")</f>
        <v/>
      </c>
      <c r="X39">
        <f>HYPERLINK("https://klasma.github.io/Logging_2181/kartor/A 21196-2024 karta.png", "A 21196-2024")</f>
        <v/>
      </c>
      <c r="Y39">
        <f>HYPERLINK("https://klasma.github.io/Logging_2181/kartor_geotiff/A 21196-2024 georefererad karta.tif", "A 21196-2024")</f>
        <v/>
      </c>
      <c r="AA39">
        <f>HYPERLINK("https://klasma.github.io/Logging_2181/klagomål/A 21196-2024 FSC-klagomål.docx", "A 21196-2024")</f>
        <v/>
      </c>
      <c r="AB39">
        <f>HYPERLINK("https://klasma.github.io/Logging_2181/klagomålsmail/A 21196-2024 FSC-klagomål mail.docx", "A 21196-2024")</f>
        <v/>
      </c>
      <c r="AC39">
        <f>HYPERLINK("https://klasma.github.io/Logging_2181/tillsyn/A 21196-2024 tillsynsbegäran.docx", "A 21196-2024")</f>
        <v/>
      </c>
      <c r="AD39">
        <f>HYPERLINK("https://klasma.github.io/Logging_2181/tillsynsmail/A 21196-2024 tillsynsbegäran mail.docx", "A 21196-2024")</f>
        <v/>
      </c>
      <c r="AE39">
        <f>HYPERLINK("https://klasma.github.io/Logging_2181/fåglar/A 21196-2024 prioriterade fågelarter.docx", "A 21196-2024")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46307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46307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27184-2026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46188</v>
      </c>
      <c r="E42" s="1" t="n">
        <v>46307</v>
      </c>
      <c r="F42" t="inlineStr">
        <is>
          <t>GÄVLEBORGS LÄN</t>
        </is>
      </c>
      <c r="G42" t="inlineStr">
        <is>
          <t>SANDVIKEN</t>
        </is>
      </c>
      <c r="I42" t="n">
        <v>1.5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Talltita</t>
        </is>
      </c>
      <c r="W42">
        <f>HYPERLINK("https://klasma.github.io/Logging_2181/artfynd/A 27184-2026 artfynd.xlsx", "A 27184-2026")</f>
        <v/>
      </c>
      <c r="X42">
        <f>HYPERLINK("https://klasma.github.io/Logging_2181/kartor/A 27184-2026 karta.png", "A 27184-2026")</f>
        <v/>
      </c>
      <c r="Y42">
        <f>HYPERLINK("https://klasma.github.io/Logging_2181/kartor_geotiff/A 27184-2026 georefererad karta.tif", "A 27184-2026")</f>
        <v/>
      </c>
      <c r="AA42">
        <f>HYPERLINK("https://klasma.github.io/Logging_2181/klagomål/A 27184-2026 FSC-klagomål.docx", "A 27184-2026")</f>
        <v/>
      </c>
      <c r="AB42">
        <f>HYPERLINK("https://klasma.github.io/Logging_2181/klagomålsmail/A 27184-2026 FSC-klagomål mail.docx", "A 27184-2026")</f>
        <v/>
      </c>
      <c r="AC42">
        <f>HYPERLINK("https://klasma.github.io/Logging_2181/tillsyn/A 27184-2026 tillsynsbegäran.docx", "A 27184-2026")</f>
        <v/>
      </c>
      <c r="AD42">
        <f>HYPERLINK("https://klasma.github.io/Logging_2181/tillsynsmail/A 27184-2026 tillsynsbegäran mail.docx", "A 27184-2026")</f>
        <v/>
      </c>
      <c r="AE42">
        <f>HYPERLINK("https://klasma.github.io/Logging_2181/fåglar/A 27184-2026 prioriterade fågelarter.docx", "A 27184-2026")</f>
        <v/>
      </c>
    </row>
    <row r="43" ht="15" customHeight="1">
      <c r="A43" t="inlineStr">
        <is>
          <t>A 29111-2026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46201</v>
      </c>
      <c r="E43" s="1" t="n">
        <v>46307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4.1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Tallticka</t>
        </is>
      </c>
      <c r="W43">
        <f>HYPERLINK("https://klasma.github.io/Logging_2181/artfynd/A 29111-2026 artfynd.xlsx", "A 29111-2026")</f>
        <v/>
      </c>
      <c r="X43">
        <f>HYPERLINK("https://klasma.github.io/Logging_2181/kartor/A 29111-2026 karta.png", "A 29111-2026")</f>
        <v/>
      </c>
      <c r="Y43">
        <f>HYPERLINK("https://klasma.github.io/Logging_2181/kartor_geotiff/A 29111-2026 georefererad karta.tif", "A 29111-2026")</f>
        <v/>
      </c>
      <c r="Z43">
        <f>HYPERLINK("https://klasma.github.io/Logging_2181/knärot/A 29111-2026 karta knärot.png", "A 29111-2026")</f>
        <v/>
      </c>
      <c r="AA43">
        <f>HYPERLINK("https://klasma.github.io/Logging_2181/klagomål/A 29111-2026 FSC-klagomål.docx", "A 29111-2026")</f>
        <v/>
      </c>
      <c r="AB43">
        <f>HYPERLINK("https://klasma.github.io/Logging_2181/klagomålsmail/A 29111-2026 FSC-klagomål mail.docx", "A 29111-2026")</f>
        <v/>
      </c>
      <c r="AC43">
        <f>HYPERLINK("https://klasma.github.io/Logging_2181/tillsyn/A 29111-2026 tillsynsbegäran.docx", "A 29111-2026")</f>
        <v/>
      </c>
      <c r="AD43">
        <f>HYPERLINK("https://klasma.github.io/Logging_2181/tillsynsmail/A 29111-2026 tillsynsbegäran mail.docx", "A 29111-2026")</f>
        <v/>
      </c>
    </row>
    <row r="44" ht="15" customHeight="1">
      <c r="A44" t="inlineStr">
        <is>
          <t>A 39510-2026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46307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8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Mörk vedstrit
Plattlummer</t>
        </is>
      </c>
      <c r="W44">
        <f>HYPERLINK("https://klasma.github.io/Logging_2181/artfynd/A 39510-2026 artfynd.xlsx", "A 39510-2026")</f>
        <v/>
      </c>
      <c r="X44">
        <f>HYPERLINK("https://klasma.github.io/Logging_2181/kartor/A 39510-2026 karta.png", "A 39510-2026")</f>
        <v/>
      </c>
      <c r="Y44">
        <f>HYPERLINK("https://klasma.github.io/Logging_2181/kartor_geotiff/A 39510-2026 georefererad karta.tif", "A 39510-2026")</f>
        <v/>
      </c>
      <c r="AA44">
        <f>HYPERLINK("https://klasma.github.io/Logging_2181/klagomål/A 39510-2026 FSC-klagomål.docx", "A 39510-2026")</f>
        <v/>
      </c>
      <c r="AB44">
        <f>HYPERLINK("https://klasma.github.io/Logging_2181/klagomålsmail/A 39510-2026 FSC-klagomål mail.docx", "A 39510-2026")</f>
        <v/>
      </c>
      <c r="AC44">
        <f>HYPERLINK("https://klasma.github.io/Logging_2181/tillsyn/A 39510-2026 tillsynsbegäran.docx", "A 39510-2026")</f>
        <v/>
      </c>
      <c r="AD44">
        <f>HYPERLINK("https://klasma.github.io/Logging_2181/tillsynsmail/A 39510-2026 tillsynsbegäran mail.docx", "A 39510-2026")</f>
        <v/>
      </c>
    </row>
    <row r="45" ht="15" customHeight="1">
      <c r="A45" t="inlineStr">
        <is>
          <t>A 33867-2026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46307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Garnlav
Kortskaftad ärgspik</t>
        </is>
      </c>
      <c r="W45">
        <f>HYPERLINK("https://klasma.github.io/Logging_2181/artfynd/A 33867-2026 artfynd.xlsx", "A 33867-2026")</f>
        <v/>
      </c>
      <c r="X45">
        <f>HYPERLINK("https://klasma.github.io/Logging_2181/kartor/A 33867-2026 karta.png", "A 33867-2026")</f>
        <v/>
      </c>
      <c r="Y45">
        <f>HYPERLINK("https://klasma.github.io/Logging_2181/kartor_geotiff/A 33867-2026 georefererad karta.tif", "A 33867-2026")</f>
        <v/>
      </c>
      <c r="AA45">
        <f>HYPERLINK("https://klasma.github.io/Logging_2181/klagomål/A 33867-2026 FSC-klagomål.docx", "A 33867-2026")</f>
        <v/>
      </c>
      <c r="AB45">
        <f>HYPERLINK("https://klasma.github.io/Logging_2181/klagomålsmail/A 33867-2026 FSC-klagomål mail.docx", "A 33867-2026")</f>
        <v/>
      </c>
      <c r="AC45">
        <f>HYPERLINK("https://klasma.github.io/Logging_2181/tillsyn/A 33867-2026 tillsynsbegäran.docx", "A 33867-2026")</f>
        <v/>
      </c>
      <c r="AD45">
        <f>HYPERLINK("https://klasma.github.io/Logging_2181/tillsynsmail/A 33867-2026 tillsynsbegäran mail.docx", "A 33867-2026")</f>
        <v/>
      </c>
    </row>
    <row r="46" ht="15" customHeight="1">
      <c r="A46" t="inlineStr">
        <is>
          <t>A 34124-2026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46307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2.1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Blåsippa
Revlummer</t>
        </is>
      </c>
      <c r="W46">
        <f>HYPERLINK("https://klasma.github.io/Logging_2181/artfynd/A 34124-2026 artfynd.xlsx", "A 34124-2026")</f>
        <v/>
      </c>
      <c r="X46">
        <f>HYPERLINK("https://klasma.github.io/Logging_2181/kartor/A 34124-2026 karta.png", "A 34124-2026")</f>
        <v/>
      </c>
      <c r="Y46">
        <f>HYPERLINK("https://klasma.github.io/Logging_2181/kartor_geotiff/A 34124-2026 georefererad karta.tif", "A 34124-2026")</f>
        <v/>
      </c>
      <c r="AA46">
        <f>HYPERLINK("https://klasma.github.io/Logging_2181/klagomål/A 34124-2026 FSC-klagomål.docx", "A 34124-2026")</f>
        <v/>
      </c>
      <c r="AB46">
        <f>HYPERLINK("https://klasma.github.io/Logging_2181/klagomålsmail/A 34124-2026 FSC-klagomål mail.docx", "A 34124-2026")</f>
        <v/>
      </c>
      <c r="AC46">
        <f>HYPERLINK("https://klasma.github.io/Logging_2181/tillsyn/A 34124-2026 tillsynsbegäran.docx", "A 34124-2026")</f>
        <v/>
      </c>
      <c r="AD46">
        <f>HYPERLINK("https://klasma.github.io/Logging_2181/tillsynsmail/A 34124-2026 tillsynsbegäran mail.docx", "A 34124-2026")</f>
        <v/>
      </c>
    </row>
    <row r="47" ht="15" customHeight="1">
      <c r="A47" t="inlineStr">
        <is>
          <t>A 15895-2026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46107</v>
      </c>
      <c r="E47" s="1" t="n">
        <v>46307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Mattlummer
Revlummer</t>
        </is>
      </c>
      <c r="W47">
        <f>HYPERLINK("https://klasma.github.io/Logging_2181/artfynd/A 15895-2026 artfynd.xlsx", "A 15895-2026")</f>
        <v/>
      </c>
      <c r="X47">
        <f>HYPERLINK("https://klasma.github.io/Logging_2181/kartor/A 15895-2026 karta.png", "A 15895-2026")</f>
        <v/>
      </c>
      <c r="Y47">
        <f>HYPERLINK("https://klasma.github.io/Logging_2181/kartor_geotiff/A 15895-2026 georefererad karta.tif", "A 15895-2026")</f>
        <v/>
      </c>
      <c r="AA47">
        <f>HYPERLINK("https://klasma.github.io/Logging_2181/klagomål/A 15895-2026 FSC-klagomål.docx", "A 15895-2026")</f>
        <v/>
      </c>
      <c r="AB47">
        <f>HYPERLINK("https://klasma.github.io/Logging_2181/klagomålsmail/A 15895-2026 FSC-klagomål mail.docx", "A 15895-2026")</f>
        <v/>
      </c>
      <c r="AC47">
        <f>HYPERLINK("https://klasma.github.io/Logging_2181/tillsyn/A 15895-2026 tillsynsbegäran.docx", "A 15895-2026")</f>
        <v/>
      </c>
      <c r="AD47">
        <f>HYPERLINK("https://klasma.github.io/Logging_2181/tillsynsmail/A 15895-2026 tillsynsbegäran mail.docx", "A 15895-2026")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46307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7733-2026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46062</v>
      </c>
      <c r="E49" s="1" t="n">
        <v>46307</v>
      </c>
      <c r="F49" t="inlineStr">
        <is>
          <t>GÄVLEBORGS LÄN</t>
        </is>
      </c>
      <c r="G49" t="inlineStr">
        <is>
          <t>SANDVIKEN</t>
        </is>
      </c>
      <c r="I49" t="n">
        <v>6.9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Knärot
Vedticka</t>
        </is>
      </c>
      <c r="W49">
        <f>HYPERLINK("https://klasma.github.io/Logging_2181/artfynd/A 7733-2026 artfynd.xlsx", "A 7733-2026")</f>
        <v/>
      </c>
      <c r="X49">
        <f>HYPERLINK("https://klasma.github.io/Logging_2181/kartor/A 7733-2026 karta.png", "A 7733-2026")</f>
        <v/>
      </c>
      <c r="Y49">
        <f>HYPERLINK("https://klasma.github.io/Logging_2181/kartor_geotiff/A 7733-2026 georefererad karta.tif", "A 7733-2026")</f>
        <v/>
      </c>
      <c r="Z49">
        <f>HYPERLINK("https://klasma.github.io/Logging_2181/knärot/A 7733-2026 karta knärot.png", "A 7733-2026")</f>
        <v/>
      </c>
      <c r="AA49">
        <f>HYPERLINK("https://klasma.github.io/Logging_2181/klagomål/A 7733-2026 FSC-klagomål.docx", "A 7733-2026")</f>
        <v/>
      </c>
      <c r="AB49">
        <f>HYPERLINK("https://klasma.github.io/Logging_2181/klagomålsmail/A 7733-2026 FSC-klagomål mail.docx", "A 7733-2026")</f>
        <v/>
      </c>
      <c r="AC49">
        <f>HYPERLINK("https://klasma.github.io/Logging_2181/tillsyn/A 7733-2026 tillsynsbegäran.docx", "A 7733-2026")</f>
        <v/>
      </c>
      <c r="AD49">
        <f>HYPERLINK("https://klasma.github.io/Logging_2181/tillsynsmail/A 7733-2026 tillsynsbegäran mail.docx", "A 7733-2026")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46307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46307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46307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46307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46307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46307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46307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5015-2023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46307</v>
      </c>
      <c r="F57" t="inlineStr">
        <is>
          <t>GÄVLEBORGS LÄN</t>
        </is>
      </c>
      <c r="G57" t="inlineStr">
        <is>
          <t>SANDVIKEN</t>
        </is>
      </c>
      <c r="I57" t="n">
        <v>7.8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Slåtterfibbla</t>
        </is>
      </c>
      <c r="W57">
        <f>HYPERLINK("https://klasma.github.io/Logging_2181/artfynd/A 5015-2023 artfynd.xlsx", "A 5015-2023")</f>
        <v/>
      </c>
      <c r="X57">
        <f>HYPERLINK("https://klasma.github.io/Logging_2181/kartor/A 5015-2023 karta.png", "A 5015-2023")</f>
        <v/>
      </c>
      <c r="Y57">
        <f>HYPERLINK("https://klasma.github.io/Logging_2181/kartor_geotiff/A 5015-2023 georefererad karta.tif", "A 5015-2023")</f>
        <v/>
      </c>
      <c r="AA57">
        <f>HYPERLINK("https://klasma.github.io/Logging_2181/klagomål/A 5015-2023 FSC-klagomål.docx", "A 5015-2023")</f>
        <v/>
      </c>
      <c r="AB57">
        <f>HYPERLINK("https://klasma.github.io/Logging_2181/klagomålsmail/A 5015-2023 FSC-klagomål mail.docx", "A 5015-2023")</f>
        <v/>
      </c>
      <c r="AC57">
        <f>HYPERLINK("https://klasma.github.io/Logging_2181/tillsyn/A 5015-2023 tillsynsbegäran.docx", "A 5015-2023")</f>
        <v/>
      </c>
      <c r="AD57">
        <f>HYPERLINK("https://klasma.github.io/Logging_2181/tillsynsmail/A 5015-2023 tillsynsbegäran mail.docx", "A 5015-2023")</f>
        <v/>
      </c>
    </row>
    <row r="58" ht="15" customHeight="1">
      <c r="A58" t="inlineStr">
        <is>
          <t>A 25479-2023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46307</v>
      </c>
      <c r="F58" t="inlineStr">
        <is>
          <t>GÄVLEBORGS LÄN</t>
        </is>
      </c>
      <c r="G58" t="inlineStr">
        <is>
          <t>SANDVIKEN</t>
        </is>
      </c>
      <c r="I58" t="n">
        <v>4.1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Grönpyrola</t>
        </is>
      </c>
      <c r="W58">
        <f>HYPERLINK("https://klasma.github.io/Logging_2181/artfynd/A 25479-2023 artfynd.xlsx", "A 25479-2023")</f>
        <v/>
      </c>
      <c r="X58">
        <f>HYPERLINK("https://klasma.github.io/Logging_2181/kartor/A 25479-2023 karta.png", "A 25479-2023")</f>
        <v/>
      </c>
      <c r="Y58">
        <f>HYPERLINK("https://klasma.github.io/Logging_2181/kartor_geotiff/A 25479-2023 georefererad karta.tif", "A 25479-2023")</f>
        <v/>
      </c>
      <c r="AA58">
        <f>HYPERLINK("https://klasma.github.io/Logging_2181/klagomål/A 25479-2023 FSC-klagomål.docx", "A 25479-2023")</f>
        <v/>
      </c>
      <c r="AB58">
        <f>HYPERLINK("https://klasma.github.io/Logging_2181/klagomålsmail/A 25479-2023 FSC-klagomål mail.docx", "A 25479-2023")</f>
        <v/>
      </c>
      <c r="AC58">
        <f>HYPERLINK("https://klasma.github.io/Logging_2181/tillsyn/A 25479-2023 tillsynsbegäran.docx", "A 25479-2023")</f>
        <v/>
      </c>
      <c r="AD58">
        <f>HYPERLINK("https://klasma.github.io/Logging_2181/tillsynsmail/A 25479-2023 tillsynsbegäran mail.docx", "A 25479-2023")</f>
        <v/>
      </c>
    </row>
    <row r="59" ht="15" customHeight="1">
      <c r="A59" t="inlineStr">
        <is>
          <t>A 38350-2025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46307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väst AB</t>
        </is>
      </c>
      <c r="I59" t="n">
        <v>25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Brandticka</t>
        </is>
      </c>
      <c r="W59">
        <f>HYPERLINK("https://klasma.github.io/Logging_2181/artfynd/A 38350-2025 artfynd.xlsx", "A 38350-2025")</f>
        <v/>
      </c>
      <c r="X59">
        <f>HYPERLINK("https://klasma.github.io/Logging_2181/kartor/A 38350-2025 karta.png", "A 38350-2025")</f>
        <v/>
      </c>
      <c r="Y59">
        <f>HYPERLINK("https://klasma.github.io/Logging_2181/kartor_geotiff/A 38350-2025 georefererad karta.tif", "A 38350-2025")</f>
        <v/>
      </c>
      <c r="AA59">
        <f>HYPERLINK("https://klasma.github.io/Logging_2181/klagomål/A 38350-2025 FSC-klagomål.docx", "A 38350-2025")</f>
        <v/>
      </c>
      <c r="AB59">
        <f>HYPERLINK("https://klasma.github.io/Logging_2181/klagomålsmail/A 38350-2025 FSC-klagomål mail.docx", "A 38350-2025")</f>
        <v/>
      </c>
      <c r="AC59">
        <f>HYPERLINK("https://klasma.github.io/Logging_2181/tillsyn/A 38350-2025 tillsynsbegäran.docx", "A 38350-2025")</f>
        <v/>
      </c>
      <c r="AD59">
        <f>HYPERLINK("https://klasma.github.io/Logging_2181/tillsynsmail/A 38350-2025 tillsynsbegäran mail.docx", "A 38350-2025")</f>
        <v/>
      </c>
    </row>
    <row r="60" ht="15" customHeight="1">
      <c r="A60" t="inlineStr">
        <is>
          <t>A 4384-2023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44955</v>
      </c>
      <c r="E60" s="1" t="n">
        <v>46307</v>
      </c>
      <c r="F60" t="inlineStr">
        <is>
          <t>GÄVLEBORGS LÄN</t>
        </is>
      </c>
      <c r="G60" t="inlineStr">
        <is>
          <t>SANDVIKEN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HYPERLINK("https://klasma.github.io/Logging_2181/artfynd/A 4384-2023 artfynd.xlsx", "A 4384-2023")</f>
        <v/>
      </c>
      <c r="X60">
        <f>HYPERLINK("https://klasma.github.io/Logging_2181/kartor/A 4384-2023 karta.png", "A 4384-2023")</f>
        <v/>
      </c>
      <c r="Y60">
        <f>HYPERLINK("https://klasma.github.io/Logging_2181/kartor_geotiff/A 4384-2023 georefererad karta.tif", "A 4384-2023")</f>
        <v/>
      </c>
      <c r="AA60">
        <f>HYPERLINK("https://klasma.github.io/Logging_2181/klagomål/A 4384-2023 FSC-klagomål.docx", "A 4384-2023")</f>
        <v/>
      </c>
      <c r="AB60">
        <f>HYPERLINK("https://klasma.github.io/Logging_2181/klagomålsmail/A 4384-2023 FSC-klagomål mail.docx", "A 4384-2023")</f>
        <v/>
      </c>
      <c r="AC60">
        <f>HYPERLINK("https://klasma.github.io/Logging_2181/tillsyn/A 4384-2023 tillsynsbegäran.docx", "A 4384-2023")</f>
        <v/>
      </c>
      <c r="AD60">
        <f>HYPERLINK("https://klasma.github.io/Logging_2181/tillsynsmail/A 4384-2023 tillsynsbegäran mail.docx", "A 4384-2023")</f>
        <v/>
      </c>
      <c r="AE60">
        <f>HYPERLINK("https://klasma.github.io/Logging_2181/fåglar/A 4384-2023 prioriterade fågelarter.docx", "A 4384-2023")</f>
        <v/>
      </c>
    </row>
    <row r="61" ht="15" customHeight="1">
      <c r="A61" t="inlineStr">
        <is>
          <t>A 3316-2023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44949</v>
      </c>
      <c r="E61" s="1" t="n">
        <v>46307</v>
      </c>
      <c r="F61" t="inlineStr">
        <is>
          <t>GÄVLEBORGS LÄN</t>
        </is>
      </c>
      <c r="G61" t="inlineStr">
        <is>
          <t>SANDVIKEN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HYPERLINK("https://klasma.github.io/Logging_2181/artfynd/A 3316-2023 artfynd.xlsx", "A 3316-2023")</f>
        <v/>
      </c>
      <c r="X61">
        <f>HYPERLINK("https://klasma.github.io/Logging_2181/kartor/A 3316-2023 karta.png", "A 3316-2023")</f>
        <v/>
      </c>
      <c r="Y61">
        <f>HYPERLINK("https://klasma.github.io/Logging_2181/kartor_geotiff/A 3316-2023 georefererad karta.tif", "A 3316-2023")</f>
        <v/>
      </c>
      <c r="AA61">
        <f>HYPERLINK("https://klasma.github.io/Logging_2181/klagomål/A 3316-2023 FSC-klagomål.docx", "A 3316-2023")</f>
        <v/>
      </c>
      <c r="AB61">
        <f>HYPERLINK("https://klasma.github.io/Logging_2181/klagomålsmail/A 3316-2023 FSC-klagomål mail.docx", "A 3316-2023")</f>
        <v/>
      </c>
      <c r="AC61">
        <f>HYPERLINK("https://klasma.github.io/Logging_2181/tillsyn/A 3316-2023 tillsynsbegäran.docx", "A 3316-2023")</f>
        <v/>
      </c>
      <c r="AD61">
        <f>HYPERLINK("https://klasma.github.io/Logging_2181/tillsynsmail/A 3316-2023 tillsynsbegäran mail.docx", "A 3316-2023")</f>
        <v/>
      </c>
      <c r="AE61">
        <f>HYPERLINK("https://klasma.github.io/Logging_2181/fåglar/A 3316-2023 prioriterade fågelarter.docx", "A 3316-2023")</f>
        <v/>
      </c>
    </row>
    <row r="62" ht="15" customHeight="1">
      <c r="A62" t="inlineStr">
        <is>
          <t>A 22275-2024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46307</v>
      </c>
      <c r="F62" t="inlineStr">
        <is>
          <t>GÄVLEBORGS LÄN</t>
        </is>
      </c>
      <c r="G62" t="inlineStr">
        <is>
          <t>SANDVIKEN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Ekorrbär</t>
        </is>
      </c>
      <c r="W62">
        <f>HYPERLINK("https://klasma.github.io/Logging_2181/artfynd/A 22275-2024 artfynd.xlsx", "A 22275-2024")</f>
        <v/>
      </c>
      <c r="X62">
        <f>HYPERLINK("https://klasma.github.io/Logging_2181/kartor/A 22275-2024 karta.png", "A 22275-2024")</f>
        <v/>
      </c>
      <c r="Y62">
        <f>HYPERLINK("https://klasma.github.io/Logging_2181/kartor_geotiff/A 22275-2024 georefererad karta.tif", "A 22275-2024")</f>
        <v/>
      </c>
      <c r="AA62">
        <f>HYPERLINK("https://klasma.github.io/Logging_2181/klagomål/A 22275-2024 FSC-klagomål.docx", "A 22275-2024")</f>
        <v/>
      </c>
      <c r="AB62">
        <f>HYPERLINK("https://klasma.github.io/Logging_2181/klagomålsmail/A 22275-2024 FSC-klagomål mail.docx", "A 22275-2024")</f>
        <v/>
      </c>
      <c r="AC62">
        <f>HYPERLINK("https://klasma.github.io/Logging_2181/tillsyn/A 22275-2024 tillsynsbegäran.docx", "A 22275-2024")</f>
        <v/>
      </c>
      <c r="AD62">
        <f>HYPERLINK("https://klasma.github.io/Logging_2181/tillsynsmail/A 22275-2024 tillsynsbegäran mail.docx", "A 22275-2024")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46307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46307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58845-2023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45252</v>
      </c>
      <c r="E65" s="1" t="n">
        <v>46307</v>
      </c>
      <c r="F65" t="inlineStr">
        <is>
          <t>GÄVLEBORGS LÄN</t>
        </is>
      </c>
      <c r="G65" t="inlineStr">
        <is>
          <t>SANDVIKEN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0</v>
      </c>
      <c r="V65" s="2" t="inlineStr">
        <is>
          <t>Vanlig padda</t>
        </is>
      </c>
      <c r="W65">
        <f>HYPERLINK("https://klasma.github.io/Logging_2181/artfynd/A 58845-2023 artfynd.xlsx", "A 58845-2023")</f>
        <v/>
      </c>
      <c r="X65">
        <f>HYPERLINK("https://klasma.github.io/Logging_2181/kartor/A 58845-2023 karta.png", "A 58845-2023")</f>
        <v/>
      </c>
      <c r="Y65">
        <f>HYPERLINK("https://klasma.github.io/Logging_2181/kartor_geotiff/A 58845-2023 georefererad karta.tif", "A 58845-2023")</f>
        <v/>
      </c>
      <c r="AA65">
        <f>HYPERLINK("https://klasma.github.io/Logging_2181/klagomål/A 58845-2023 FSC-klagomål.docx", "A 58845-2023")</f>
        <v/>
      </c>
      <c r="AB65">
        <f>HYPERLINK("https://klasma.github.io/Logging_2181/klagomålsmail/A 58845-2023 FSC-klagomål mail.docx", "A 58845-2023")</f>
        <v/>
      </c>
      <c r="AC65">
        <f>HYPERLINK("https://klasma.github.io/Logging_2181/tillsyn/A 58845-2023 tillsynsbegäran.docx", "A 58845-2023")</f>
        <v/>
      </c>
      <c r="AD65">
        <f>HYPERLINK("https://klasma.github.io/Logging_2181/tillsynsmail/A 58845-2023 tillsynsbegäran mail.docx", "A 58845-2023")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46307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25323-2025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46307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3.8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3</v>
      </c>
      <c r="U67" t="n">
        <v>3</v>
      </c>
      <c r="V67" s="2" t="inlineStr">
        <is>
          <t>Plattlummer</t>
        </is>
      </c>
      <c r="W67">
        <f>HYPERLINK("https://klasma.github.io/Logging_2181/artfynd/A 25323-2025 artfynd.xlsx", "A 25323-2025")</f>
        <v/>
      </c>
      <c r="X67">
        <f>HYPERLINK("https://klasma.github.io/Logging_2181/kartor/A 25323-2025 karta.png", "A 25323-2025")</f>
        <v/>
      </c>
      <c r="Y67">
        <f>HYPERLINK("https://klasma.github.io/Logging_2181/kartor_geotiff/A 25323-2025 georefererad karta.tif", "A 25323-2025")</f>
        <v/>
      </c>
      <c r="AA67">
        <f>HYPERLINK("https://klasma.github.io/Logging_2181/klagomål/A 25323-2025 FSC-klagomål.docx", "A 25323-2025")</f>
        <v/>
      </c>
      <c r="AB67">
        <f>HYPERLINK("https://klasma.github.io/Logging_2181/klagomålsmail/A 25323-2025 FSC-klagomål mail.docx", "A 25323-2025")</f>
        <v/>
      </c>
      <c r="AC67">
        <f>HYPERLINK("https://klasma.github.io/Logging_2181/tillsyn/A 25323-2025 tillsynsbegäran.docx", "A 25323-2025")</f>
        <v/>
      </c>
      <c r="AD67">
        <f>HYPERLINK("https://klasma.github.io/Logging_2181/tillsynsmail/A 25323-2025 tillsynsbegäran mail.docx", "A 25323-2025")</f>
        <v/>
      </c>
    </row>
    <row r="68" ht="15" customHeight="1">
      <c r="A68" t="inlineStr">
        <is>
          <t>A 25314-2025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46307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Garnlav</t>
        </is>
      </c>
      <c r="W68">
        <f>HYPERLINK("https://klasma.github.io/Logging_2181/artfynd/A 25314-2025 artfynd.xlsx", "A 25314-2025")</f>
        <v/>
      </c>
      <c r="X68">
        <f>HYPERLINK("https://klasma.github.io/Logging_2181/kartor/A 25314-2025 karta.png", "A 25314-2025")</f>
        <v/>
      </c>
      <c r="Y68">
        <f>HYPERLINK("https://klasma.github.io/Logging_2181/kartor_geotiff/A 25314-2025 georefererad karta.tif", "A 25314-2025")</f>
        <v/>
      </c>
      <c r="AA68">
        <f>HYPERLINK("https://klasma.github.io/Logging_2181/klagomål/A 25314-2025 FSC-klagomål.docx", "A 25314-2025")</f>
        <v/>
      </c>
      <c r="AB68">
        <f>HYPERLINK("https://klasma.github.io/Logging_2181/klagomålsmail/A 25314-2025 FSC-klagomål mail.docx", "A 25314-2025")</f>
        <v/>
      </c>
      <c r="AC68">
        <f>HYPERLINK("https://klasma.github.io/Logging_2181/tillsyn/A 25314-2025 tillsynsbegäran.docx", "A 25314-2025")</f>
        <v/>
      </c>
      <c r="AD68">
        <f>HYPERLINK("https://klasma.github.io/Logging_2181/tillsynsmail/A 25314-2025 tillsynsbegäran mail.docx", "A 25314-2025")</f>
        <v/>
      </c>
    </row>
    <row r="69" ht="15" customHeight="1">
      <c r="A69" t="inlineStr">
        <is>
          <t>A 45427-2023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46307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HYPERLINK("https://klasma.github.io/Logging_2181/artfynd/A 45427-2023 artfynd.xlsx", "A 45427-2023")</f>
        <v/>
      </c>
      <c r="X69">
        <f>HYPERLINK("https://klasma.github.io/Logging_2181/kartor/A 45427-2023 karta.png", "A 45427-2023")</f>
        <v/>
      </c>
      <c r="Y69">
        <f>HYPERLINK("https://klasma.github.io/Logging_2181/kartor_geotiff/A 45427-2023 georefererad karta.tif", "A 45427-2023")</f>
        <v/>
      </c>
      <c r="AA69">
        <f>HYPERLINK("https://klasma.github.io/Logging_2181/klagomål/A 45427-2023 FSC-klagomål.docx", "A 45427-2023")</f>
        <v/>
      </c>
      <c r="AB69">
        <f>HYPERLINK("https://klasma.github.io/Logging_2181/klagomålsmail/A 45427-2023 FSC-klagomål mail.docx", "A 45427-2023")</f>
        <v/>
      </c>
      <c r="AC69">
        <f>HYPERLINK("https://klasma.github.io/Logging_2181/tillsyn/A 45427-2023 tillsynsbegäran.docx", "A 45427-2023")</f>
        <v/>
      </c>
      <c r="AD69">
        <f>HYPERLINK("https://klasma.github.io/Logging_2181/tillsynsmail/A 45427-2023 tillsynsbegäran mail.docx", "A 45427-2023")</f>
        <v/>
      </c>
    </row>
    <row r="70" ht="15" customHeight="1">
      <c r="A70" t="inlineStr">
        <is>
          <t>A 15729-2022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44663</v>
      </c>
      <c r="E70" s="1" t="n">
        <v>46307</v>
      </c>
      <c r="F70" t="inlineStr">
        <is>
          <t>GÄVLEBORGS LÄN</t>
        </is>
      </c>
      <c r="G70" t="inlineStr">
        <is>
          <t>SANDVIKEN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HYPERLINK("https://klasma.github.io/Logging_2181/artfynd/A 15729-2022 artfynd.xlsx", "A 15729-2022")</f>
        <v/>
      </c>
      <c r="X70">
        <f>HYPERLINK("https://klasma.github.io/Logging_2181/kartor/A 15729-2022 karta.png", "A 15729-2022")</f>
        <v/>
      </c>
      <c r="Y70">
        <f>HYPERLINK("https://klasma.github.io/Logging_2181/kartor_geotiff/A 15729-2022 georefererad karta.tif", "A 15729-2022")</f>
        <v/>
      </c>
      <c r="Z70">
        <f>HYPERLINK("https://klasma.github.io/Logging_2181/knärot/A 15729-2022 karta knärot.png", "A 15729-2022")</f>
        <v/>
      </c>
      <c r="AA70">
        <f>HYPERLINK("https://klasma.github.io/Logging_2181/klagomål/A 15729-2022 FSC-klagomål.docx", "A 15729-2022")</f>
        <v/>
      </c>
      <c r="AB70">
        <f>HYPERLINK("https://klasma.github.io/Logging_2181/klagomålsmail/A 15729-2022 FSC-klagomål mail.docx", "A 15729-2022")</f>
        <v/>
      </c>
      <c r="AC70">
        <f>HYPERLINK("https://klasma.github.io/Logging_2181/tillsyn/A 15729-2022 tillsynsbegäran.docx", "A 15729-2022")</f>
        <v/>
      </c>
      <c r="AD70">
        <f>HYPERLINK("https://klasma.github.io/Logging_2181/tillsynsmail/A 15729-2022 tillsynsbegäran mail.docx", "A 15729-2022")</f>
        <v/>
      </c>
    </row>
    <row r="71" ht="15" customHeight="1">
      <c r="A71" t="inlineStr">
        <is>
          <t>A 36417-2025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45868</v>
      </c>
      <c r="E71" s="1" t="n">
        <v>46307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3.9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HYPERLINK("https://klasma.github.io/Logging_2181/artfynd/A 36417-2025 artfynd.xlsx", "A 36417-2025")</f>
        <v/>
      </c>
      <c r="X71">
        <f>HYPERLINK("https://klasma.github.io/Logging_2181/kartor/A 36417-2025 karta.png", "A 36417-2025")</f>
        <v/>
      </c>
      <c r="Y71">
        <f>HYPERLINK("https://klasma.github.io/Logging_2181/kartor_geotiff/A 36417-2025 georefererad karta.tif", "A 36417-2025")</f>
        <v/>
      </c>
      <c r="Z71">
        <f>HYPERLINK("https://klasma.github.io/Logging_2181/knärot/A 36417-2025 karta knärot.png", "A 36417-2025")</f>
        <v/>
      </c>
      <c r="AA71">
        <f>HYPERLINK("https://klasma.github.io/Logging_2181/klagomål/A 36417-2025 FSC-klagomål.docx", "A 36417-2025")</f>
        <v/>
      </c>
      <c r="AB71">
        <f>HYPERLINK("https://klasma.github.io/Logging_2181/klagomålsmail/A 36417-2025 FSC-klagomål mail.docx", "A 36417-2025")</f>
        <v/>
      </c>
      <c r="AC71">
        <f>HYPERLINK("https://klasma.github.io/Logging_2181/tillsyn/A 36417-2025 tillsynsbegäran.docx", "A 36417-2025")</f>
        <v/>
      </c>
      <c r="AD71">
        <f>HYPERLINK("https://klasma.github.io/Logging_2181/tillsynsmail/A 36417-2025 tillsynsbegäran mail.docx", "A 36417-2025")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46307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Grönsiska</t>
        </is>
      </c>
      <c r="W72">
        <f>HYPERLINK("https://klasma.github.io/Logging_2181/artfynd/A 57934-2025 artfynd.xlsx", "A 57934-2025")</f>
        <v/>
      </c>
      <c r="X72">
        <f>HYPERLINK("https://klasma.github.io/Logging_2181/kartor/A 57934-2025 karta.png", "A 57934-2025")</f>
        <v/>
      </c>
      <c r="Y72">
        <f>HYPERLINK("https://klasma.github.io/Logging_2181/kartor_geotiff/A 57934-2025 georefererad karta.tif", "A 57934-2025")</f>
        <v/>
      </c>
      <c r="AA72">
        <f>HYPERLINK("https://klasma.github.io/Logging_2181/klagomål/A 57934-2025 FSC-klagomål.docx", "A 57934-2025")</f>
        <v/>
      </c>
      <c r="AB72">
        <f>HYPERLINK("https://klasma.github.io/Logging_2181/klagomålsmail/A 57934-2025 FSC-klagomål mail.docx", "A 57934-2025")</f>
        <v/>
      </c>
      <c r="AC72">
        <f>HYPERLINK("https://klasma.github.io/Logging_2181/tillsyn/A 57934-2025 tillsynsbegäran.docx", "A 57934-2025")</f>
        <v/>
      </c>
      <c r="AD72">
        <f>HYPERLINK("https://klasma.github.io/Logging_2181/tillsynsmail/A 57934-2025 tillsynsbegäran mail.docx", "A 57934-2025")</f>
        <v/>
      </c>
    </row>
    <row r="73" ht="15" customHeight="1">
      <c r="A73" t="inlineStr">
        <is>
          <t>A 12419-2025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45730</v>
      </c>
      <c r="E73" s="1" t="n">
        <v>46307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Månlåsbräken</t>
        </is>
      </c>
      <c r="W73">
        <f>HYPERLINK("https://klasma.github.io/Logging_2181/artfynd/A 12419-2025 artfynd.xlsx", "A 12419-2025")</f>
        <v/>
      </c>
      <c r="X73">
        <f>HYPERLINK("https://klasma.github.io/Logging_2181/kartor/A 12419-2025 karta.png", "A 12419-2025")</f>
        <v/>
      </c>
      <c r="Y73">
        <f>HYPERLINK("https://klasma.github.io/Logging_2181/kartor_geotiff/A 12419-2025 georefererad karta.tif", "A 12419-2025")</f>
        <v/>
      </c>
      <c r="AA73">
        <f>HYPERLINK("https://klasma.github.io/Logging_2181/klagomål/A 12419-2025 FSC-klagomål.docx", "A 12419-2025")</f>
        <v/>
      </c>
      <c r="AB73">
        <f>HYPERLINK("https://klasma.github.io/Logging_2181/klagomålsmail/A 12419-2025 FSC-klagomål mail.docx", "A 12419-2025")</f>
        <v/>
      </c>
      <c r="AC73">
        <f>HYPERLINK("https://klasma.github.io/Logging_2181/tillsyn/A 12419-2025 tillsynsbegäran.docx", "A 12419-2025")</f>
        <v/>
      </c>
      <c r="AD73">
        <f>HYPERLINK("https://klasma.github.io/Logging_2181/tillsynsmail/A 12419-2025 tillsynsbegäran mail.docx", "A 12419-2025")</f>
        <v/>
      </c>
    </row>
    <row r="74" ht="15" customHeight="1">
      <c r="A74" t="inlineStr">
        <is>
          <t>A 15121-2026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46307</v>
      </c>
      <c r="F74" t="inlineStr">
        <is>
          <t>GÄVLEBORGS LÄN</t>
        </is>
      </c>
      <c r="G74" t="inlineStr">
        <is>
          <t>SANDVIKEN</t>
        </is>
      </c>
      <c r="I74" t="n">
        <v>2.7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Brandticka</t>
        </is>
      </c>
      <c r="W74">
        <f>HYPERLINK("https://klasma.github.io/Logging_2181/artfynd/A 15121-2026 artfynd.xlsx", "A 15121-2026")</f>
        <v/>
      </c>
      <c r="X74">
        <f>HYPERLINK("https://klasma.github.io/Logging_2181/kartor/A 15121-2026 karta.png", "A 15121-2026")</f>
        <v/>
      </c>
      <c r="Y74">
        <f>HYPERLINK("https://klasma.github.io/Logging_2181/kartor_geotiff/A 15121-2026 georefererad karta.tif", "A 15121-2026")</f>
        <v/>
      </c>
      <c r="AA74">
        <f>HYPERLINK("https://klasma.github.io/Logging_2181/klagomål/A 15121-2026 FSC-klagomål.docx", "A 15121-2026")</f>
        <v/>
      </c>
      <c r="AB74">
        <f>HYPERLINK("https://klasma.github.io/Logging_2181/klagomålsmail/A 15121-2026 FSC-klagomål mail.docx", "A 15121-2026")</f>
        <v/>
      </c>
      <c r="AC74">
        <f>HYPERLINK("https://klasma.github.io/Logging_2181/tillsyn/A 15121-2026 tillsynsbegäran.docx", "A 15121-2026")</f>
        <v/>
      </c>
      <c r="AD74">
        <f>HYPERLINK("https://klasma.github.io/Logging_2181/tillsynsmail/A 15121-2026 tillsynsbegäran mail.docx", "A 15121-2026")</f>
        <v/>
      </c>
    </row>
    <row r="75" ht="15" customHeight="1">
      <c r="A75" t="inlineStr">
        <is>
          <t>A 14835-2026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46104</v>
      </c>
      <c r="E75" s="1" t="n">
        <v>46307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14835-2026 artfynd.xlsx", "A 14835-2026")</f>
        <v/>
      </c>
      <c r="X75">
        <f>HYPERLINK("https://klasma.github.io/Logging_2181/kartor/A 14835-2026 karta.png", "A 14835-2026")</f>
        <v/>
      </c>
      <c r="Y75">
        <f>HYPERLINK("https://klasma.github.io/Logging_2181/kartor_geotiff/A 14835-2026 georefererad karta.tif", "A 14835-2026")</f>
        <v/>
      </c>
      <c r="AA75">
        <f>HYPERLINK("https://klasma.github.io/Logging_2181/klagomål/A 14835-2026 FSC-klagomål.docx", "A 14835-2026")</f>
        <v/>
      </c>
      <c r="AB75">
        <f>HYPERLINK("https://klasma.github.io/Logging_2181/klagomålsmail/A 14835-2026 FSC-klagomål mail.docx", "A 14835-2026")</f>
        <v/>
      </c>
      <c r="AC75">
        <f>HYPERLINK("https://klasma.github.io/Logging_2181/tillsyn/A 14835-2026 tillsynsbegäran.docx", "A 14835-2026")</f>
        <v/>
      </c>
      <c r="AD75">
        <f>HYPERLINK("https://klasma.github.io/Logging_2181/tillsynsmail/A 14835-2026 tillsynsbegäran mail.docx", "A 14835-2026")</f>
        <v/>
      </c>
    </row>
    <row r="76" ht="15" customHeight="1">
      <c r="A76" t="inlineStr">
        <is>
          <t>A 17062-2026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46307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Vårärt</t>
        </is>
      </c>
      <c r="W76">
        <f>HYPERLINK("https://klasma.github.io/Logging_2181/artfynd/A 17062-2026 artfynd.xlsx", "A 17062-2026")</f>
        <v/>
      </c>
      <c r="X76">
        <f>HYPERLINK("https://klasma.github.io/Logging_2181/kartor/A 17062-2026 karta.png", "A 17062-2026")</f>
        <v/>
      </c>
      <c r="Y76">
        <f>HYPERLINK("https://klasma.github.io/Logging_2181/kartor_geotiff/A 17062-2026 georefererad karta.tif", "A 17062-2026")</f>
        <v/>
      </c>
      <c r="AA76">
        <f>HYPERLINK("https://klasma.github.io/Logging_2181/klagomål/A 17062-2026 FSC-klagomål.docx", "A 17062-2026")</f>
        <v/>
      </c>
      <c r="AB76">
        <f>HYPERLINK("https://klasma.github.io/Logging_2181/klagomålsmail/A 17062-2026 FSC-klagomål mail.docx", "A 17062-2026")</f>
        <v/>
      </c>
      <c r="AC76">
        <f>HYPERLINK("https://klasma.github.io/Logging_2181/tillsyn/A 17062-2026 tillsynsbegäran.docx", "A 17062-2026")</f>
        <v/>
      </c>
      <c r="AD76">
        <f>HYPERLINK("https://klasma.github.io/Logging_2181/tillsynsmail/A 17062-2026 tillsynsbegäran mail.docx", "A 17062-2026")</f>
        <v/>
      </c>
    </row>
    <row r="77" ht="15" customHeight="1">
      <c r="A77" t="inlineStr">
        <is>
          <t>A 17364-2026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46307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3.2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Höstlåsbräken</t>
        </is>
      </c>
      <c r="W77">
        <f>HYPERLINK("https://klasma.github.io/Logging_2181/artfynd/A 17364-2026 artfynd.xlsx", "A 17364-2026")</f>
        <v/>
      </c>
      <c r="X77">
        <f>HYPERLINK("https://klasma.github.io/Logging_2181/kartor/A 17364-2026 karta.png", "A 17364-2026")</f>
        <v/>
      </c>
      <c r="Y77">
        <f>HYPERLINK("https://klasma.github.io/Logging_2181/kartor_geotiff/A 17364-2026 georefererad karta.tif", "A 17364-2026")</f>
        <v/>
      </c>
      <c r="AA77">
        <f>HYPERLINK("https://klasma.github.io/Logging_2181/klagomål/A 17364-2026 FSC-klagomål.docx", "A 17364-2026")</f>
        <v/>
      </c>
      <c r="AB77">
        <f>HYPERLINK("https://klasma.github.io/Logging_2181/klagomålsmail/A 17364-2026 FSC-klagomål mail.docx", "A 17364-2026")</f>
        <v/>
      </c>
      <c r="AC77">
        <f>HYPERLINK("https://klasma.github.io/Logging_2181/tillsyn/A 17364-2026 tillsynsbegäran.docx", "A 17364-2026")</f>
        <v/>
      </c>
      <c r="AD77">
        <f>HYPERLINK("https://klasma.github.io/Logging_2181/tillsynsmail/A 17364-2026 tillsynsbegäran mail.docx", "A 17364-2026")</f>
        <v/>
      </c>
    </row>
    <row r="78" ht="15" customHeight="1">
      <c r="A78" t="inlineStr">
        <is>
          <t>A 19272-2026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46307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9.4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HYPERLINK("https://klasma.github.io/Logging_2181/artfynd/A 19272-2026 artfynd.xlsx", "A 19272-2026")</f>
        <v/>
      </c>
      <c r="X78">
        <f>HYPERLINK("https://klasma.github.io/Logging_2181/kartor/A 19272-2026 karta.png", "A 19272-2026")</f>
        <v/>
      </c>
      <c r="Y78">
        <f>HYPERLINK("https://klasma.github.io/Logging_2181/kartor_geotiff/A 19272-2026 georefererad karta.tif", "A 19272-2026")</f>
        <v/>
      </c>
      <c r="AA78">
        <f>HYPERLINK("https://klasma.github.io/Logging_2181/klagomål/A 19272-2026 FSC-klagomål.docx", "A 19272-2026")</f>
        <v/>
      </c>
      <c r="AB78">
        <f>HYPERLINK("https://klasma.github.io/Logging_2181/klagomålsmail/A 19272-2026 FSC-klagomål mail.docx", "A 19272-2026")</f>
        <v/>
      </c>
      <c r="AC78">
        <f>HYPERLINK("https://klasma.github.io/Logging_2181/tillsyn/A 19272-2026 tillsynsbegäran.docx", "A 19272-2026")</f>
        <v/>
      </c>
      <c r="AD78">
        <f>HYPERLINK("https://klasma.github.io/Logging_2181/tillsynsmail/A 19272-2026 tillsynsbegäran mail.docx", "A 19272-2026")</f>
        <v/>
      </c>
    </row>
    <row r="79" ht="15" customHeight="1">
      <c r="A79" t="inlineStr">
        <is>
          <t>A 448-2026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46021</v>
      </c>
      <c r="E79" s="1" t="n">
        <v>46307</v>
      </c>
      <c r="F79" t="inlineStr">
        <is>
          <t>GÄVLEBORGS LÄN</t>
        </is>
      </c>
      <c r="G79" t="inlineStr">
        <is>
          <t>SANDVIKEN</t>
        </is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Dvärghäxört</t>
        </is>
      </c>
      <c r="W79">
        <f>HYPERLINK("https://klasma.github.io/Logging_2181/artfynd/A 448-2026 artfynd.xlsx", "A 448-2026")</f>
        <v/>
      </c>
      <c r="X79">
        <f>HYPERLINK("https://klasma.github.io/Logging_2181/kartor/A 448-2026 karta.png", "A 448-2026")</f>
        <v/>
      </c>
      <c r="Y79">
        <f>HYPERLINK("https://klasma.github.io/Logging_2181/kartor_geotiff/A 448-2026 georefererad karta.tif", "A 448-2026")</f>
        <v/>
      </c>
      <c r="AA79">
        <f>HYPERLINK("https://klasma.github.io/Logging_2181/klagomål/A 448-2026 FSC-klagomål.docx", "A 448-2026")</f>
        <v/>
      </c>
      <c r="AB79">
        <f>HYPERLINK("https://klasma.github.io/Logging_2181/klagomålsmail/A 448-2026 FSC-klagomål mail.docx", "A 448-2026")</f>
        <v/>
      </c>
      <c r="AC79">
        <f>HYPERLINK("https://klasma.github.io/Logging_2181/tillsyn/A 448-2026 tillsynsbegäran.docx", "A 448-2026")</f>
        <v/>
      </c>
      <c r="AD79">
        <f>HYPERLINK("https://klasma.github.io/Logging_2181/tillsynsmail/A 448-2026 tillsynsbegäran mail.docx", "A 448-2026")</f>
        <v/>
      </c>
    </row>
    <row r="80" ht="15" customHeight="1">
      <c r="A80" t="inlineStr">
        <is>
          <t>A 1083-2026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46030</v>
      </c>
      <c r="E80" s="1" t="n">
        <v>46307</v>
      </c>
      <c r="F80" t="inlineStr">
        <is>
          <t>GÄVLEBORGS LÄN</t>
        </is>
      </c>
      <c r="G80" t="inlineStr">
        <is>
          <t>SANDVIKEN</t>
        </is>
      </c>
      <c r="I80" t="n">
        <v>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HYPERLINK("https://klasma.github.io/Logging_2181/artfynd/A 1083-2026 artfynd.xlsx", "A 1083-2026")</f>
        <v/>
      </c>
      <c r="X80">
        <f>HYPERLINK("https://klasma.github.io/Logging_2181/kartor/A 1083-2026 karta.png", "A 1083-2026")</f>
        <v/>
      </c>
      <c r="Y80">
        <f>HYPERLINK("https://klasma.github.io/Logging_2181/kartor_geotiff/A 1083-2026 georefererad karta.tif", "A 1083-2026")</f>
        <v/>
      </c>
      <c r="AA80">
        <f>HYPERLINK("https://klasma.github.io/Logging_2181/klagomål/A 1083-2026 FSC-klagomål.docx", "A 1083-2026")</f>
        <v/>
      </c>
      <c r="AB80">
        <f>HYPERLINK("https://klasma.github.io/Logging_2181/klagomålsmail/A 1083-2026 FSC-klagomål mail.docx", "A 1083-2026")</f>
        <v/>
      </c>
      <c r="AC80">
        <f>HYPERLINK("https://klasma.github.io/Logging_2181/tillsyn/A 1083-2026 tillsynsbegäran.docx", "A 1083-2026")</f>
        <v/>
      </c>
      <c r="AD80">
        <f>HYPERLINK("https://klasma.github.io/Logging_2181/tillsynsmail/A 1083-2026 tillsynsbegäran mail.docx", "A 1083-2026")</f>
        <v/>
      </c>
    </row>
    <row r="81" ht="15" customHeight="1">
      <c r="A81" t="inlineStr">
        <is>
          <t>A 4324-2026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46307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11.2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Järpe</t>
        </is>
      </c>
      <c r="W81">
        <f>HYPERLINK("https://klasma.github.io/Logging_2181/artfynd/A 4324-2026 artfynd.xlsx", "A 4324-2026")</f>
        <v/>
      </c>
      <c r="X81">
        <f>HYPERLINK("https://klasma.github.io/Logging_2181/kartor/A 4324-2026 karta.png", "A 4324-2026")</f>
        <v/>
      </c>
      <c r="Y81">
        <f>HYPERLINK("https://klasma.github.io/Logging_2181/kartor_geotiff/A 4324-2026 georefererad karta.tif", "A 4324-2026")</f>
        <v/>
      </c>
      <c r="AA81">
        <f>HYPERLINK("https://klasma.github.io/Logging_2181/klagomål/A 4324-2026 FSC-klagomål.docx", "A 4324-2026")</f>
        <v/>
      </c>
      <c r="AB81">
        <f>HYPERLINK("https://klasma.github.io/Logging_2181/klagomålsmail/A 4324-2026 FSC-klagomål mail.docx", "A 4324-2026")</f>
        <v/>
      </c>
      <c r="AC81">
        <f>HYPERLINK("https://klasma.github.io/Logging_2181/tillsyn/A 4324-2026 tillsynsbegäran.docx", "A 4324-2026")</f>
        <v/>
      </c>
      <c r="AD81">
        <f>HYPERLINK("https://klasma.github.io/Logging_2181/tillsynsmail/A 4324-2026 tillsynsbegäran mail.docx", "A 4324-2026")</f>
        <v/>
      </c>
      <c r="AE81">
        <f>HYPERLINK("https://klasma.github.io/Logging_2181/fåglar/A 4324-2026 prioriterade fågelarter.docx", "A 4324-2026")</f>
        <v/>
      </c>
    </row>
    <row r="82" ht="15" customHeight="1">
      <c r="A82" t="inlineStr">
        <is>
          <t>A 6972-2026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46307</v>
      </c>
      <c r="F82" t="inlineStr">
        <is>
          <t>GÄVLEBORGS LÄN</t>
        </is>
      </c>
      <c r="G82" t="inlineStr">
        <is>
          <t>SANDVIKEN</t>
        </is>
      </c>
      <c r="H82" t="inlineStr">
        <is>
          <t>Naturvårdsverket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6972-2026 artfynd.xlsx", "A 6972-2026")</f>
        <v/>
      </c>
      <c r="X82">
        <f>HYPERLINK("https://klasma.github.io/Logging_2181/kartor/A 6972-2026 karta.png", "A 6972-2026")</f>
        <v/>
      </c>
      <c r="Y82">
        <f>HYPERLINK("https://klasma.github.io/Logging_2181/kartor_geotiff/A 6972-2026 georefererad karta.tif", "A 6972-2026")</f>
        <v/>
      </c>
      <c r="AA82">
        <f>HYPERLINK("https://klasma.github.io/Logging_2181/klagomål/A 6972-2026 FSC-klagomål.docx", "A 6972-2026")</f>
        <v/>
      </c>
      <c r="AB82">
        <f>HYPERLINK("https://klasma.github.io/Logging_2181/klagomålsmail/A 6972-2026 FSC-klagomål mail.docx", "A 6972-2026")</f>
        <v/>
      </c>
      <c r="AC82">
        <f>HYPERLINK("https://klasma.github.io/Logging_2181/tillsyn/A 6972-2026 tillsynsbegäran.docx", "A 6972-2026")</f>
        <v/>
      </c>
      <c r="AD82">
        <f>HYPERLINK("https://klasma.github.io/Logging_2181/tillsynsmail/A 6972-2026 tillsynsbegäran mail.docx", "A 6972-2026")</f>
        <v/>
      </c>
    </row>
    <row r="83" ht="15" customHeight="1">
      <c r="A83" t="inlineStr">
        <is>
          <t>A 41349-2025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46307</v>
      </c>
      <c r="F83" t="inlineStr">
        <is>
          <t>GÄVLEBORGS LÄN</t>
        </is>
      </c>
      <c r="G83" t="inlineStr">
        <is>
          <t>SANDVIKEN</t>
        </is>
      </c>
      <c r="I83" t="n">
        <v>3.7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HYPERLINK("https://klasma.github.io/Logging_2181/artfynd/A 41349-2025 artfynd.xlsx", "A 41349-2025")</f>
        <v/>
      </c>
      <c r="X83">
        <f>HYPERLINK("https://klasma.github.io/Logging_2181/kartor/A 41349-2025 karta.png", "A 41349-2025")</f>
        <v/>
      </c>
      <c r="Y83">
        <f>HYPERLINK("https://klasma.github.io/Logging_2181/kartor_geotiff/A 41349-2025 georefererad karta.tif", "A 41349-2025")</f>
        <v/>
      </c>
      <c r="AA83">
        <f>HYPERLINK("https://klasma.github.io/Logging_2181/klagomål/A 41349-2025 FSC-klagomål.docx", "A 41349-2025")</f>
        <v/>
      </c>
      <c r="AB83">
        <f>HYPERLINK("https://klasma.github.io/Logging_2181/klagomålsmail/A 41349-2025 FSC-klagomål mail.docx", "A 41349-2025")</f>
        <v/>
      </c>
      <c r="AC83">
        <f>HYPERLINK("https://klasma.github.io/Logging_2181/tillsyn/A 41349-2025 tillsynsbegäran.docx", "A 41349-2025")</f>
        <v/>
      </c>
      <c r="AD83">
        <f>HYPERLINK("https://klasma.github.io/Logging_2181/tillsynsmail/A 41349-2025 tillsynsbegäran mail.docx", "A 41349-2025")</f>
        <v/>
      </c>
    </row>
    <row r="84" ht="15" customHeight="1">
      <c r="A84" t="inlineStr">
        <is>
          <t>A 7393-2026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46307</v>
      </c>
      <c r="F84" t="inlineStr">
        <is>
          <t>GÄVLEBORGS LÄN</t>
        </is>
      </c>
      <c r="G84" t="inlineStr">
        <is>
          <t>SANDVIKEN</t>
        </is>
      </c>
      <c r="I84" t="n">
        <v>6.7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Brunklöver</t>
        </is>
      </c>
      <c r="W84">
        <f>HYPERLINK("https://klasma.github.io/Logging_2181/artfynd/A 7393-2026 artfynd.xlsx", "A 7393-2026")</f>
        <v/>
      </c>
      <c r="X84">
        <f>HYPERLINK("https://klasma.github.io/Logging_2181/kartor/A 7393-2026 karta.png", "A 7393-2026")</f>
        <v/>
      </c>
      <c r="Y84">
        <f>HYPERLINK("https://klasma.github.io/Logging_2181/kartor_geotiff/A 7393-2026 georefererad karta.tif", "A 7393-2026")</f>
        <v/>
      </c>
      <c r="AA84">
        <f>HYPERLINK("https://klasma.github.io/Logging_2181/klagomål/A 7393-2026 FSC-klagomål.docx", "A 7393-2026")</f>
        <v/>
      </c>
      <c r="AB84">
        <f>HYPERLINK("https://klasma.github.io/Logging_2181/klagomålsmail/A 7393-2026 FSC-klagomål mail.docx", "A 7393-2026")</f>
        <v/>
      </c>
      <c r="AC84">
        <f>HYPERLINK("https://klasma.github.io/Logging_2181/tillsyn/A 7393-2026 tillsynsbegäran.docx", "A 7393-2026")</f>
        <v/>
      </c>
      <c r="AD84">
        <f>HYPERLINK("https://klasma.github.io/Logging_2181/tillsynsmail/A 7393-2026 tillsynsbegäran mail.docx", "A 7393-2026")</f>
        <v/>
      </c>
    </row>
    <row r="85" ht="15" customHeight="1">
      <c r="A85" t="inlineStr">
        <is>
          <t>A 21532-2026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46307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21532-2026 artfynd.xlsx", "A 21532-2026")</f>
        <v/>
      </c>
      <c r="X85">
        <f>HYPERLINK("https://klasma.github.io/Logging_2181/kartor/A 21532-2026 karta.png", "A 21532-2026")</f>
        <v/>
      </c>
      <c r="Y85">
        <f>HYPERLINK("https://klasma.github.io/Logging_2181/kartor_geotiff/A 21532-2026 georefererad karta.tif", "A 21532-2026")</f>
        <v/>
      </c>
      <c r="AA85">
        <f>HYPERLINK("https://klasma.github.io/Logging_2181/klagomål/A 21532-2026 FSC-klagomål.docx", "A 21532-2026")</f>
        <v/>
      </c>
      <c r="AB85">
        <f>HYPERLINK("https://klasma.github.io/Logging_2181/klagomålsmail/A 21532-2026 FSC-klagomål mail.docx", "A 21532-2026")</f>
        <v/>
      </c>
      <c r="AC85">
        <f>HYPERLINK("https://klasma.github.io/Logging_2181/tillsyn/A 21532-2026 tillsynsbegäran.docx", "A 21532-2026")</f>
        <v/>
      </c>
      <c r="AD85">
        <f>HYPERLINK("https://klasma.github.io/Logging_2181/tillsynsmail/A 21532-2026 tillsynsbegäran mail.docx", "A 21532-2026")</f>
        <v/>
      </c>
    </row>
    <row r="86" ht="15" customHeight="1">
      <c r="A86" t="inlineStr">
        <is>
          <t>A 9267-2026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46307</v>
      </c>
      <c r="F86" t="inlineStr">
        <is>
          <t>GÄVLEBORGS LÄN</t>
        </is>
      </c>
      <c r="G86" t="inlineStr">
        <is>
          <t>SANDVIKEN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Gullpudra</t>
        </is>
      </c>
      <c r="W86">
        <f>HYPERLINK("https://klasma.github.io/Logging_2181/artfynd/A 9267-2026 artfynd.xlsx", "A 9267-2026")</f>
        <v/>
      </c>
      <c r="X86">
        <f>HYPERLINK("https://klasma.github.io/Logging_2181/kartor/A 9267-2026 karta.png", "A 9267-2026")</f>
        <v/>
      </c>
      <c r="Y86">
        <f>HYPERLINK("https://klasma.github.io/Logging_2181/kartor_geotiff/A 9267-2026 georefererad karta.tif", "A 9267-2026")</f>
        <v/>
      </c>
      <c r="AA86">
        <f>HYPERLINK("https://klasma.github.io/Logging_2181/klagomål/A 9267-2026 FSC-klagomål.docx", "A 9267-2026")</f>
        <v/>
      </c>
      <c r="AB86">
        <f>HYPERLINK("https://klasma.github.io/Logging_2181/klagomålsmail/A 9267-2026 FSC-klagomål mail.docx", "A 9267-2026")</f>
        <v/>
      </c>
      <c r="AC86">
        <f>HYPERLINK("https://klasma.github.io/Logging_2181/tillsyn/A 9267-2026 tillsynsbegäran.docx", "A 9267-2026")</f>
        <v/>
      </c>
      <c r="AD86">
        <f>HYPERLINK("https://klasma.github.io/Logging_2181/tillsynsmail/A 9267-2026 tillsynsbegäran mail.docx", "A 9267-2026")</f>
        <v/>
      </c>
    </row>
    <row r="87" ht="15" customHeight="1">
      <c r="A87" t="inlineStr">
        <is>
          <t>A 11784-2026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46084</v>
      </c>
      <c r="E87" s="1" t="n">
        <v>46307</v>
      </c>
      <c r="F87" t="inlineStr">
        <is>
          <t>GÄVLEBORGS LÄN</t>
        </is>
      </c>
      <c r="G87" t="inlineStr">
        <is>
          <t>SANDVIKEN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HYPERLINK("https://klasma.github.io/Logging_2181/artfynd/A 11784-2026 artfynd.xlsx", "A 11784-2026")</f>
        <v/>
      </c>
      <c r="X87">
        <f>HYPERLINK("https://klasma.github.io/Logging_2181/kartor/A 11784-2026 karta.png", "A 11784-2026")</f>
        <v/>
      </c>
      <c r="Y87">
        <f>HYPERLINK("https://klasma.github.io/Logging_2181/kartor_geotiff/A 11784-2026 georefererad karta.tif", "A 11784-2026")</f>
        <v/>
      </c>
      <c r="AA87">
        <f>HYPERLINK("https://klasma.github.io/Logging_2181/klagomål/A 11784-2026 FSC-klagomål.docx", "A 11784-2026")</f>
        <v/>
      </c>
      <c r="AB87">
        <f>HYPERLINK("https://klasma.github.io/Logging_2181/klagomålsmail/A 11784-2026 FSC-klagomål mail.docx", "A 11784-2026")</f>
        <v/>
      </c>
      <c r="AC87">
        <f>HYPERLINK("https://klasma.github.io/Logging_2181/tillsyn/A 11784-2026 tillsynsbegäran.docx", "A 11784-2026")</f>
        <v/>
      </c>
      <c r="AD87">
        <f>HYPERLINK("https://klasma.github.io/Logging_2181/tillsynsmail/A 11784-2026 tillsynsbegäran mail.docx", "A 11784-2026")</f>
        <v/>
      </c>
    </row>
    <row r="88" ht="15" customHeight="1">
      <c r="A88" t="inlineStr">
        <is>
          <t>A 13135-2026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46307</v>
      </c>
      <c r="F88" t="inlineStr">
        <is>
          <t>GÄVLEBORGS LÄN</t>
        </is>
      </c>
      <c r="G88" t="inlineStr">
        <is>
          <t>SANDVIKEN</t>
        </is>
      </c>
      <c r="I88" t="n">
        <v>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HYPERLINK("https://klasma.github.io/Logging_2181/artfynd/A 13135-2026 artfynd.xlsx", "A 13135-2026")</f>
        <v/>
      </c>
      <c r="X88">
        <f>HYPERLINK("https://klasma.github.io/Logging_2181/kartor/A 13135-2026 karta.png", "A 13135-2026")</f>
        <v/>
      </c>
      <c r="Y88">
        <f>HYPERLINK("https://klasma.github.io/Logging_2181/kartor_geotiff/A 13135-2026 georefererad karta.tif", "A 13135-2026")</f>
        <v/>
      </c>
      <c r="AA88">
        <f>HYPERLINK("https://klasma.github.io/Logging_2181/klagomål/A 13135-2026 FSC-klagomål.docx", "A 13135-2026")</f>
        <v/>
      </c>
      <c r="AB88">
        <f>HYPERLINK("https://klasma.github.io/Logging_2181/klagomålsmail/A 13135-2026 FSC-klagomål mail.docx", "A 13135-2026")</f>
        <v/>
      </c>
      <c r="AC88">
        <f>HYPERLINK("https://klasma.github.io/Logging_2181/tillsyn/A 13135-2026 tillsynsbegäran.docx", "A 13135-2026")</f>
        <v/>
      </c>
      <c r="AD88">
        <f>HYPERLINK("https://klasma.github.io/Logging_2181/tillsynsmail/A 13135-2026 tillsynsbegäran mail.docx", "A 13135-2026")</f>
        <v/>
      </c>
    </row>
    <row r="89" ht="15" customHeight="1">
      <c r="A89" t="inlineStr">
        <is>
          <t>A 13645-2026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46307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HYPERLINK("https://klasma.github.io/Logging_2181/artfynd/A 13645-2026 artfynd.xlsx", "A 13645-2026")</f>
        <v/>
      </c>
      <c r="X89">
        <f>HYPERLINK("https://klasma.github.io/Logging_2181/kartor/A 13645-2026 karta.png", "A 13645-2026")</f>
        <v/>
      </c>
      <c r="Y89">
        <f>HYPERLINK("https://klasma.github.io/Logging_2181/kartor_geotiff/A 13645-2026 georefererad karta.tif", "A 13645-2026")</f>
        <v/>
      </c>
      <c r="AA89">
        <f>HYPERLINK("https://klasma.github.io/Logging_2181/klagomål/A 13645-2026 FSC-klagomål.docx", "A 13645-2026")</f>
        <v/>
      </c>
      <c r="AB89">
        <f>HYPERLINK("https://klasma.github.io/Logging_2181/klagomålsmail/A 13645-2026 FSC-klagomål mail.docx", "A 13645-2026")</f>
        <v/>
      </c>
      <c r="AC89">
        <f>HYPERLINK("https://klasma.github.io/Logging_2181/tillsyn/A 13645-2026 tillsynsbegäran.docx", "A 13645-2026")</f>
        <v/>
      </c>
      <c r="AD89">
        <f>HYPERLINK("https://klasma.github.io/Logging_2181/tillsynsmail/A 13645-2026 tillsynsbegäran mail.docx", "A 13645-2026")</f>
        <v/>
      </c>
      <c r="AE89">
        <f>HYPERLINK("https://klasma.github.io/Logging_2181/fåglar/A 13645-2026 prioriterade fågelarter.docx", "A 13645-2026")</f>
        <v/>
      </c>
    </row>
    <row r="90" ht="15" customHeight="1">
      <c r="A90" t="inlineStr">
        <is>
          <t>A 24171-2026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46307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Svedjenäva</t>
        </is>
      </c>
      <c r="W90">
        <f>HYPERLINK("https://klasma.github.io/Logging_2181/artfynd/A 24171-2026 artfynd.xlsx", "A 24171-2026")</f>
        <v/>
      </c>
      <c r="X90">
        <f>HYPERLINK("https://klasma.github.io/Logging_2181/kartor/A 24171-2026 karta.png", "A 24171-2026")</f>
        <v/>
      </c>
      <c r="Y90">
        <f>HYPERLINK("https://klasma.github.io/Logging_2181/kartor_geotiff/A 24171-2026 georefererad karta.tif", "A 24171-2026")</f>
        <v/>
      </c>
      <c r="AA90">
        <f>HYPERLINK("https://klasma.github.io/Logging_2181/klagomål/A 24171-2026 FSC-klagomål.docx", "A 24171-2026")</f>
        <v/>
      </c>
      <c r="AB90">
        <f>HYPERLINK("https://klasma.github.io/Logging_2181/klagomålsmail/A 24171-2026 FSC-klagomål mail.docx", "A 24171-2026")</f>
        <v/>
      </c>
      <c r="AC90">
        <f>HYPERLINK("https://klasma.github.io/Logging_2181/tillsyn/A 24171-2026 tillsynsbegäran.docx", "A 24171-2026")</f>
        <v/>
      </c>
      <c r="AD90">
        <f>HYPERLINK("https://klasma.github.io/Logging_2181/tillsynsmail/A 24171-2026 tillsynsbegäran mail.docx", "A 24171-2026")</f>
        <v/>
      </c>
    </row>
    <row r="91" ht="15" customHeight="1">
      <c r="A91" t="inlineStr">
        <is>
          <t>A 24357-2026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46307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Plattlummer</t>
        </is>
      </c>
      <c r="W91">
        <f>HYPERLINK("https://klasma.github.io/Logging_2181/artfynd/A 24357-2026 artfynd.xlsx", "A 24357-2026")</f>
        <v/>
      </c>
      <c r="X91">
        <f>HYPERLINK("https://klasma.github.io/Logging_2181/kartor/A 24357-2026 karta.png", "A 24357-2026")</f>
        <v/>
      </c>
      <c r="Y91">
        <f>HYPERLINK("https://klasma.github.io/Logging_2181/kartor_geotiff/A 24357-2026 georefererad karta.tif", "A 24357-2026")</f>
        <v/>
      </c>
      <c r="AA91">
        <f>HYPERLINK("https://klasma.github.io/Logging_2181/klagomål/A 24357-2026 FSC-klagomål.docx", "A 24357-2026")</f>
        <v/>
      </c>
      <c r="AB91">
        <f>HYPERLINK("https://klasma.github.io/Logging_2181/klagomålsmail/A 24357-2026 FSC-klagomål mail.docx", "A 24357-2026")</f>
        <v/>
      </c>
      <c r="AC91">
        <f>HYPERLINK("https://klasma.github.io/Logging_2181/tillsyn/A 24357-2026 tillsynsbegäran.docx", "A 24357-2026")</f>
        <v/>
      </c>
      <c r="AD91">
        <f>HYPERLINK("https://klasma.github.io/Logging_2181/tillsynsmail/A 24357-2026 tillsynsbegäran mail.docx", "A 24357-2026")</f>
        <v/>
      </c>
    </row>
    <row r="92" ht="15" customHeight="1">
      <c r="A92" t="inlineStr">
        <is>
          <t>A 25247-2026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46175</v>
      </c>
      <c r="E92" s="1" t="n">
        <v>46307</v>
      </c>
      <c r="F92" t="inlineStr">
        <is>
          <t>GÄVLEBORGS LÄN</t>
        </is>
      </c>
      <c r="G92" t="inlineStr">
        <is>
          <t>SANDVIKEN</t>
        </is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HYPERLINK("https://klasma.github.io/Logging_2181/artfynd/A 25247-2026 artfynd.xlsx", "A 25247-2026")</f>
        <v/>
      </c>
      <c r="X92">
        <f>HYPERLINK("https://klasma.github.io/Logging_2181/kartor/A 25247-2026 karta.png", "A 25247-2026")</f>
        <v/>
      </c>
      <c r="Y92">
        <f>HYPERLINK("https://klasma.github.io/Logging_2181/kartor_geotiff/A 25247-2026 georefererad karta.tif", "A 25247-2026")</f>
        <v/>
      </c>
      <c r="AA92">
        <f>HYPERLINK("https://klasma.github.io/Logging_2181/klagomål/A 25247-2026 FSC-klagomål.docx", "A 25247-2026")</f>
        <v/>
      </c>
      <c r="AB92">
        <f>HYPERLINK("https://klasma.github.io/Logging_2181/klagomålsmail/A 25247-2026 FSC-klagomål mail.docx", "A 25247-2026")</f>
        <v/>
      </c>
      <c r="AC92">
        <f>HYPERLINK("https://klasma.github.io/Logging_2181/tillsyn/A 25247-2026 tillsynsbegäran.docx", "A 25247-2026")</f>
        <v/>
      </c>
      <c r="AD92">
        <f>HYPERLINK("https://klasma.github.io/Logging_2181/tillsynsmail/A 25247-2026 tillsynsbegäran mail.docx", "A 25247-2026")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46307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46307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46307</v>
      </c>
      <c r="F95" t="inlineStr">
        <is>
          <t>GÄVLEBORGS LÄN</t>
        </is>
      </c>
      <c r="G95" t="inlineStr">
        <is>
          <t>SANDVIKEN</t>
        </is>
      </c>
      <c r="H95" t="inlineStr">
        <is>
          <t>Kyrkan</t>
        </is>
      </c>
      <c r="I95" t="n">
        <v>3.8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Skogsödla</t>
        </is>
      </c>
      <c r="W95">
        <f>HYPERLINK("https://klasma.github.io/Logging_2181/artfynd/A 23289-2024 artfynd.xlsx", "A 23289-2024")</f>
        <v/>
      </c>
      <c r="X95">
        <f>HYPERLINK("https://klasma.github.io/Logging_2181/kartor/A 23289-2024 karta.png", "A 23289-2024")</f>
        <v/>
      </c>
      <c r="Y95">
        <f>HYPERLINK("https://klasma.github.io/Logging_2181/kartor_geotiff/A 23289-2024 georefererad karta.tif", "A 23289-2024")</f>
        <v/>
      </c>
      <c r="AA95">
        <f>HYPERLINK("https://klasma.github.io/Logging_2181/klagomål/A 23289-2024 FSC-klagomål.docx", "A 23289-2024")</f>
        <v/>
      </c>
      <c r="AB95">
        <f>HYPERLINK("https://klasma.github.io/Logging_2181/klagomålsmail/A 23289-2024 FSC-klagomål mail.docx", "A 23289-2024")</f>
        <v/>
      </c>
      <c r="AC95">
        <f>HYPERLINK("https://klasma.github.io/Logging_2181/tillsyn/A 23289-2024 tillsynsbegäran.docx", "A 23289-2024")</f>
        <v/>
      </c>
      <c r="AD95">
        <f>HYPERLINK("https://klasma.github.io/Logging_2181/tillsynsmail/A 23289-2024 tillsynsbegäran mail.docx", "A 23289-2024")</f>
        <v/>
      </c>
    </row>
    <row r="96" ht="15" customHeight="1">
      <c r="A96" t="inlineStr">
        <is>
          <t>A 31311-2026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46219</v>
      </c>
      <c r="E96" s="1" t="n">
        <v>46307</v>
      </c>
      <c r="F96" t="inlineStr">
        <is>
          <t>GÄVLEBORGS LÄN</t>
        </is>
      </c>
      <c r="G96" t="inlineStr">
        <is>
          <t>SANDVIKEN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padda</t>
        </is>
      </c>
      <c r="W96">
        <f>HYPERLINK("https://klasma.github.io/Logging_2181/artfynd/A 31311-2026 artfynd.xlsx", "A 31311-2026")</f>
        <v/>
      </c>
      <c r="X96">
        <f>HYPERLINK("https://klasma.github.io/Logging_2181/kartor/A 31311-2026 karta.png", "A 31311-2026")</f>
        <v/>
      </c>
      <c r="Y96">
        <f>HYPERLINK("https://klasma.github.io/Logging_2181/kartor_geotiff/A 31311-2026 georefererad karta.tif", "A 31311-2026")</f>
        <v/>
      </c>
      <c r="AA96">
        <f>HYPERLINK("https://klasma.github.io/Logging_2181/klagomål/A 31311-2026 FSC-klagomål.docx", "A 31311-2026")</f>
        <v/>
      </c>
      <c r="AB96">
        <f>HYPERLINK("https://klasma.github.io/Logging_2181/klagomålsmail/A 31311-2026 FSC-klagomål mail.docx", "A 31311-2026")</f>
        <v/>
      </c>
      <c r="AC96">
        <f>HYPERLINK("https://klasma.github.io/Logging_2181/tillsyn/A 31311-2026 tillsynsbegäran.docx", "A 31311-2026")</f>
        <v/>
      </c>
      <c r="AD96">
        <f>HYPERLINK("https://klasma.github.io/Logging_2181/tillsynsmail/A 31311-2026 tillsynsbegäran mail.docx", "A 31311-2026")</f>
        <v/>
      </c>
    </row>
    <row r="97" ht="15" customHeight="1">
      <c r="A97" t="inlineStr">
        <is>
          <t>A 36596-2026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46269</v>
      </c>
      <c r="E97" s="1" t="n">
        <v>46307</v>
      </c>
      <c r="F97" t="inlineStr">
        <is>
          <t>GÄVLEBORGS LÄN</t>
        </is>
      </c>
      <c r="G97" t="inlineStr">
        <is>
          <t>SANDVIKEN</t>
        </is>
      </c>
      <c r="I97" t="n">
        <v>10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padda</t>
        </is>
      </c>
      <c r="W97">
        <f>HYPERLINK("https://klasma.github.io/Logging_2181/artfynd/A 36596-2026 artfynd.xlsx", "A 36596-2026")</f>
        <v/>
      </c>
      <c r="X97">
        <f>HYPERLINK("https://klasma.github.io/Logging_2181/kartor/A 36596-2026 karta.png", "A 36596-2026")</f>
        <v/>
      </c>
      <c r="Y97">
        <f>HYPERLINK("https://klasma.github.io/Logging_2181/kartor_geotiff/A 36596-2026 georefererad karta.tif", "A 36596-2026")</f>
        <v/>
      </c>
      <c r="AA97">
        <f>HYPERLINK("https://klasma.github.io/Logging_2181/klagomål/A 36596-2026 FSC-klagomål.docx", "A 36596-2026")</f>
        <v/>
      </c>
      <c r="AB97">
        <f>HYPERLINK("https://klasma.github.io/Logging_2181/klagomålsmail/A 36596-2026 FSC-klagomål mail.docx", "A 36596-2026")</f>
        <v/>
      </c>
      <c r="AC97">
        <f>HYPERLINK("https://klasma.github.io/Logging_2181/tillsyn/A 36596-2026 tillsynsbegäran.docx", "A 36596-2026")</f>
        <v/>
      </c>
      <c r="AD97">
        <f>HYPERLINK("https://klasma.github.io/Logging_2181/tillsynsmail/A 36596-2026 tillsynsbegäran mail.docx", "A 36596-2026")</f>
        <v/>
      </c>
    </row>
    <row r="98" ht="15" customHeight="1">
      <c r="A98" t="inlineStr">
        <is>
          <t>A 38109-2026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46281</v>
      </c>
      <c r="E98" s="1" t="n">
        <v>46307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11.9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Linmåra/småsnärjmåra</t>
        </is>
      </c>
      <c r="W98">
        <f>HYPERLINK("https://klasma.github.io/Logging_2181/artfynd/A 38109-2026 artfynd.xlsx", "A 38109-2026")</f>
        <v/>
      </c>
      <c r="X98">
        <f>HYPERLINK("https://klasma.github.io/Logging_2181/kartor/A 38109-2026 karta.png", "A 38109-2026")</f>
        <v/>
      </c>
      <c r="Y98">
        <f>HYPERLINK("https://klasma.github.io/Logging_2181/kartor_geotiff/A 38109-2026 georefererad karta.tif", "A 38109-2026")</f>
        <v/>
      </c>
      <c r="AA98">
        <f>HYPERLINK("https://klasma.github.io/Logging_2181/klagomål/A 38109-2026 FSC-klagomål.docx", "A 38109-2026")</f>
        <v/>
      </c>
      <c r="AB98">
        <f>HYPERLINK("https://klasma.github.io/Logging_2181/klagomålsmail/A 38109-2026 FSC-klagomål mail.docx", "A 38109-2026")</f>
        <v/>
      </c>
      <c r="AC98">
        <f>HYPERLINK("https://klasma.github.io/Logging_2181/tillsyn/A 38109-2026 tillsynsbegäran.docx", "A 38109-2026")</f>
        <v/>
      </c>
      <c r="AD98">
        <f>HYPERLINK("https://klasma.github.io/Logging_2181/tillsynsmail/A 38109-2026 tillsynsbegäran mail.docx", "A 38109-2026")</f>
        <v/>
      </c>
    </row>
    <row r="99" ht="15" customHeight="1">
      <c r="A99" t="inlineStr">
        <is>
          <t>A 32533-2026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46307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3.1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Järnsparv</t>
        </is>
      </c>
      <c r="W99">
        <f>HYPERLINK("https://klasma.github.io/Logging_2181/artfynd/A 32533-2026 artfynd.xlsx", "A 32533-2026")</f>
        <v/>
      </c>
      <c r="X99">
        <f>HYPERLINK("https://klasma.github.io/Logging_2181/kartor/A 32533-2026 karta.png", "A 32533-2026")</f>
        <v/>
      </c>
      <c r="Y99">
        <f>HYPERLINK("https://klasma.github.io/Logging_2181/kartor_geotiff/A 32533-2026 georefererad karta.tif", "A 32533-2026")</f>
        <v/>
      </c>
      <c r="AA99">
        <f>HYPERLINK("https://klasma.github.io/Logging_2181/klagomål/A 32533-2026 FSC-klagomål.docx", "A 32533-2026")</f>
        <v/>
      </c>
      <c r="AB99">
        <f>HYPERLINK("https://klasma.github.io/Logging_2181/klagomålsmail/A 32533-2026 FSC-klagomål mail.docx", "A 32533-2026")</f>
        <v/>
      </c>
      <c r="AC99">
        <f>HYPERLINK("https://klasma.github.io/Logging_2181/tillsyn/A 32533-2026 tillsynsbegäran.docx", "A 32533-2026")</f>
        <v/>
      </c>
      <c r="AD99">
        <f>HYPERLINK("https://klasma.github.io/Logging_2181/tillsynsmail/A 32533-2026 tillsynsbegäran mail.docx", "A 32533-2026")</f>
        <v/>
      </c>
      <c r="AE99">
        <f>HYPERLINK("https://klasma.github.io/Logging_2181/fåglar/A 32533-2026 prioriterade fågelarter.docx", "A 32533-2026")</f>
        <v/>
      </c>
    </row>
    <row r="100" ht="15" customHeight="1">
      <c r="A100" t="inlineStr">
        <is>
          <t>A 32539-2026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46307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Grönsiska</t>
        </is>
      </c>
      <c r="W100">
        <f>HYPERLINK("https://klasma.github.io/Logging_2181/artfynd/A 32539-2026 artfynd.xlsx", "A 32539-2026")</f>
        <v/>
      </c>
      <c r="X100">
        <f>HYPERLINK("https://klasma.github.io/Logging_2181/kartor/A 32539-2026 karta.png", "A 32539-2026")</f>
        <v/>
      </c>
      <c r="Y100">
        <f>HYPERLINK("https://klasma.github.io/Logging_2181/kartor_geotiff/A 32539-2026 georefererad karta.tif", "A 32539-2026")</f>
        <v/>
      </c>
      <c r="AA100">
        <f>HYPERLINK("https://klasma.github.io/Logging_2181/klagomål/A 32539-2026 FSC-klagomål.docx", "A 32539-2026")</f>
        <v/>
      </c>
      <c r="AB100">
        <f>HYPERLINK("https://klasma.github.io/Logging_2181/klagomålsmail/A 32539-2026 FSC-klagomål mail.docx", "A 32539-2026")</f>
        <v/>
      </c>
      <c r="AC100">
        <f>HYPERLINK("https://klasma.github.io/Logging_2181/tillsyn/A 32539-2026 tillsynsbegäran.docx", "A 32539-2026")</f>
        <v/>
      </c>
      <c r="AD100">
        <f>HYPERLINK("https://klasma.github.io/Logging_2181/tillsynsmail/A 32539-2026 tillsynsbegäran mail.docx", "A 32539-2026")</f>
        <v/>
      </c>
    </row>
    <row r="101" ht="15" customHeight="1">
      <c r="A101" t="inlineStr">
        <is>
          <t>A 32544-2026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46307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HYPERLINK("https://klasma.github.io/Logging_2181/artfynd/A 32544-2026 artfynd.xlsx", "A 32544-2026")</f>
        <v/>
      </c>
      <c r="X101">
        <f>HYPERLINK("https://klasma.github.io/Logging_2181/kartor/A 32544-2026 karta.png", "A 32544-2026")</f>
        <v/>
      </c>
      <c r="Y101">
        <f>HYPERLINK("https://klasma.github.io/Logging_2181/kartor_geotiff/A 32544-2026 georefererad karta.tif", "A 32544-2026")</f>
        <v/>
      </c>
      <c r="AA101">
        <f>HYPERLINK("https://klasma.github.io/Logging_2181/klagomål/A 32544-2026 FSC-klagomål.docx", "A 32544-2026")</f>
        <v/>
      </c>
      <c r="AB101">
        <f>HYPERLINK("https://klasma.github.io/Logging_2181/klagomålsmail/A 32544-2026 FSC-klagomål mail.docx", "A 32544-2026")</f>
        <v/>
      </c>
      <c r="AC101">
        <f>HYPERLINK("https://klasma.github.io/Logging_2181/tillsyn/A 32544-2026 tillsynsbegäran.docx", "A 32544-2026")</f>
        <v/>
      </c>
      <c r="AD101">
        <f>HYPERLINK("https://klasma.github.io/Logging_2181/tillsynsmail/A 32544-2026 tillsynsbegäran mail.docx", "A 32544-2026")</f>
        <v/>
      </c>
    </row>
    <row r="102" ht="15" customHeight="1">
      <c r="A102" t="inlineStr">
        <is>
          <t>A 23225-2026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46162</v>
      </c>
      <c r="E102" s="1" t="n">
        <v>46307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Rödvingetrast</t>
        </is>
      </c>
      <c r="W102">
        <f>HYPERLINK("https://klasma.github.io/Logging_2181/artfynd/A 23225-2026 artfynd.xlsx", "A 23225-2026")</f>
        <v/>
      </c>
      <c r="X102">
        <f>HYPERLINK("https://klasma.github.io/Logging_2181/kartor/A 23225-2026 karta.png", "A 23225-2026")</f>
        <v/>
      </c>
      <c r="Y102">
        <f>HYPERLINK("https://klasma.github.io/Logging_2181/kartor_geotiff/A 23225-2026 georefererad karta.tif", "A 23225-2026")</f>
        <v/>
      </c>
      <c r="AA102">
        <f>HYPERLINK("https://klasma.github.io/Logging_2181/klagomål/A 23225-2026 FSC-klagomål.docx", "A 23225-2026")</f>
        <v/>
      </c>
      <c r="AB102">
        <f>HYPERLINK("https://klasma.github.io/Logging_2181/klagomålsmail/A 23225-2026 FSC-klagomål mail.docx", "A 23225-2026")</f>
        <v/>
      </c>
      <c r="AC102">
        <f>HYPERLINK("https://klasma.github.io/Logging_2181/tillsyn/A 23225-2026 tillsynsbegäran.docx", "A 23225-2026")</f>
        <v/>
      </c>
      <c r="AD102">
        <f>HYPERLINK("https://klasma.github.io/Logging_2181/tillsynsmail/A 23225-2026 tillsynsbegäran mail.docx", "A 23225-2026")</f>
        <v/>
      </c>
      <c r="AE102">
        <f>HYPERLINK("https://klasma.github.io/Logging_2181/fåglar/A 23225-2026 prioriterade fågelarter.docx", "A 23225-2026")</f>
        <v/>
      </c>
    </row>
    <row r="103" ht="15" customHeight="1">
      <c r="A103" t="inlineStr">
        <is>
          <t>A 34406-2026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46307</v>
      </c>
      <c r="F103" t="inlineStr">
        <is>
          <t>GÄVLEBORGS LÄN</t>
        </is>
      </c>
      <c r="G103" t="inlineStr">
        <is>
          <t>SANDVIKEN</t>
        </is>
      </c>
      <c r="I103" t="n">
        <v>15.1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Loppstarr</t>
        </is>
      </c>
      <c r="W103">
        <f>HYPERLINK("https://klasma.github.io/Logging_2181/artfynd/A 34406-2026 artfynd.xlsx", "A 34406-2026")</f>
        <v/>
      </c>
      <c r="X103">
        <f>HYPERLINK("https://klasma.github.io/Logging_2181/kartor/A 34406-2026 karta.png", "A 34406-2026")</f>
        <v/>
      </c>
      <c r="Y103">
        <f>HYPERLINK("https://klasma.github.io/Logging_2181/kartor_geotiff/A 34406-2026 georefererad karta.tif", "A 34406-2026")</f>
        <v/>
      </c>
      <c r="AA103">
        <f>HYPERLINK("https://klasma.github.io/Logging_2181/klagomål/A 34406-2026 FSC-klagomål.docx", "A 34406-2026")</f>
        <v/>
      </c>
      <c r="AB103">
        <f>HYPERLINK("https://klasma.github.io/Logging_2181/klagomålsmail/A 34406-2026 FSC-klagomål mail.docx", "A 34406-2026")</f>
        <v/>
      </c>
      <c r="AC103">
        <f>HYPERLINK("https://klasma.github.io/Logging_2181/tillsyn/A 34406-2026 tillsynsbegäran.docx", "A 34406-2026")</f>
        <v/>
      </c>
      <c r="AD103">
        <f>HYPERLINK("https://klasma.github.io/Logging_2181/tillsynsmail/A 34406-2026 tillsynsbegäran mail.docx", "A 34406-2026")</f>
        <v/>
      </c>
    </row>
    <row r="104" ht="15" customHeight="1">
      <c r="A104" t="inlineStr">
        <is>
          <t>A 42115-2023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45177</v>
      </c>
      <c r="E104" s="1" t="n">
        <v>46307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HYPERLINK("https://klasma.github.io/Logging_2181/artfynd/A 42115-2023 artfynd.xlsx", "A 42115-2023")</f>
        <v/>
      </c>
      <c r="X104">
        <f>HYPERLINK("https://klasma.github.io/Logging_2181/kartor/A 42115-2023 karta.png", "A 42115-2023")</f>
        <v/>
      </c>
      <c r="Y104">
        <f>HYPERLINK("https://klasma.github.io/Logging_2181/kartor_geotiff/A 42115-2023 georefererad karta.tif", "A 42115-2023")</f>
        <v/>
      </c>
      <c r="AA104">
        <f>HYPERLINK("https://klasma.github.io/Logging_2181/klagomål/A 42115-2023 FSC-klagomål.docx", "A 42115-2023")</f>
        <v/>
      </c>
      <c r="AB104">
        <f>HYPERLINK("https://klasma.github.io/Logging_2181/klagomålsmail/A 42115-2023 FSC-klagomål mail.docx", "A 42115-2023")</f>
        <v/>
      </c>
      <c r="AC104">
        <f>HYPERLINK("https://klasma.github.io/Logging_2181/tillsyn/A 42115-2023 tillsynsbegäran.docx", "A 42115-2023")</f>
        <v/>
      </c>
      <c r="AD104">
        <f>HYPERLINK("https://klasma.github.io/Logging_2181/tillsynsmail/A 42115-2023 tillsynsbegäran mail.docx", "A 42115-2023")</f>
        <v/>
      </c>
      <c r="AE104">
        <f>HYPERLINK("https://klasma.github.io/Logging_2181/fåglar/A 42115-2023 prioriterade fågelarter.docx", "A 42115-2023")</f>
        <v/>
      </c>
    </row>
    <row r="105" ht="15" customHeight="1">
      <c r="A105" t="inlineStr">
        <is>
          <t>A 41678-2026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46301</v>
      </c>
      <c r="E105" s="1" t="n">
        <v>46307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väst AB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Fjällig taggsvamp s.str.</t>
        </is>
      </c>
      <c r="W105">
        <f>HYPERLINK("https://klasma.github.io/Logging_2181/artfynd/A 41678-2026 artfynd.xlsx", "A 41678-2026")</f>
        <v/>
      </c>
      <c r="X105">
        <f>HYPERLINK("https://klasma.github.io/Logging_2181/kartor/A 41678-2026 karta.png", "A 41678-2026")</f>
        <v/>
      </c>
      <c r="Y105">
        <f>HYPERLINK("https://klasma.github.io/Logging_2181/kartor_geotiff/A 41678-2026 georefererad karta.tif", "A 41678-2026")</f>
        <v/>
      </c>
      <c r="AA105">
        <f>HYPERLINK("https://klasma.github.io/Logging_2181/klagomål/A 41678-2026 FSC-klagomål.docx", "A 41678-2026")</f>
        <v/>
      </c>
      <c r="AB105">
        <f>HYPERLINK("https://klasma.github.io/Logging_2181/klagomålsmail/A 41678-2026 FSC-klagomål mail.docx", "A 41678-2026")</f>
        <v/>
      </c>
      <c r="AC105">
        <f>HYPERLINK("https://klasma.github.io/Logging_2181/tillsyn/A 41678-2026 tillsynsbegäran.docx", "A 41678-2026")</f>
        <v/>
      </c>
      <c r="AD105">
        <f>HYPERLINK("https://klasma.github.io/Logging_2181/tillsynsmail/A 41678-2026 tillsynsbegäran mail.docx", "A 41678-2026")</f>
        <v/>
      </c>
    </row>
    <row r="106" ht="15" customHeight="1">
      <c r="A106" t="inlineStr">
        <is>
          <t>A 35419-2026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46307</v>
      </c>
      <c r="F106" t="inlineStr">
        <is>
          <t>GÄVLEBORGS LÄN</t>
        </is>
      </c>
      <c r="G106" t="inlineStr">
        <is>
          <t>SANDVIKEN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HYPERLINK("https://klasma.github.io/Logging_2181/artfynd/A 35419-2026 artfynd.xlsx", "A 35419-2026")</f>
        <v/>
      </c>
      <c r="X106">
        <f>HYPERLINK("https://klasma.github.io/Logging_2181/kartor/A 35419-2026 karta.png", "A 35419-2026")</f>
        <v/>
      </c>
      <c r="Y106">
        <f>HYPERLINK("https://klasma.github.io/Logging_2181/kartor_geotiff/A 35419-2026 georefererad karta.tif", "A 35419-2026")</f>
        <v/>
      </c>
      <c r="AA106">
        <f>HYPERLINK("https://klasma.github.io/Logging_2181/klagomål/A 35419-2026 FSC-klagomål.docx", "A 35419-2026")</f>
        <v/>
      </c>
      <c r="AB106">
        <f>HYPERLINK("https://klasma.github.io/Logging_2181/klagomålsmail/A 35419-2026 FSC-klagomål mail.docx", "A 35419-2026")</f>
        <v/>
      </c>
      <c r="AC106">
        <f>HYPERLINK("https://klasma.github.io/Logging_2181/tillsyn/A 35419-2026 tillsynsbegäran.docx", "A 35419-2026")</f>
        <v/>
      </c>
      <c r="AD106">
        <f>HYPERLINK("https://klasma.github.io/Logging_2181/tillsynsmail/A 35419-2026 tillsynsbegäran mail.docx", "A 35419-2026")</f>
        <v/>
      </c>
    </row>
    <row r="107" ht="15" customHeight="1">
      <c r="A107" t="inlineStr">
        <is>
          <t>A 35479-2026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46307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HYPERLINK("https://klasma.github.io/Logging_2181/artfynd/A 35479-2026 artfynd.xlsx", "A 35479-2026")</f>
        <v/>
      </c>
      <c r="X107">
        <f>HYPERLINK("https://klasma.github.io/Logging_2181/kartor/A 35479-2026 karta.png", "A 35479-2026")</f>
        <v/>
      </c>
      <c r="Y107">
        <f>HYPERLINK("https://klasma.github.io/Logging_2181/kartor_geotiff/A 35479-2026 georefererad karta.tif", "A 35479-2026")</f>
        <v/>
      </c>
      <c r="AA107">
        <f>HYPERLINK("https://klasma.github.io/Logging_2181/klagomål/A 35479-2026 FSC-klagomål.docx", "A 35479-2026")</f>
        <v/>
      </c>
      <c r="AB107">
        <f>HYPERLINK("https://klasma.github.io/Logging_2181/klagomålsmail/A 35479-2026 FSC-klagomål mail.docx", "A 35479-2026")</f>
        <v/>
      </c>
      <c r="AC107">
        <f>HYPERLINK("https://klasma.github.io/Logging_2181/tillsyn/A 35479-2026 tillsynsbegäran.docx", "A 35479-2026")</f>
        <v/>
      </c>
      <c r="AD107">
        <f>HYPERLINK("https://klasma.github.io/Logging_2181/tillsynsmail/A 35479-2026 tillsynsbegäran mail.docx", "A 35479-2026")</f>
        <v/>
      </c>
    </row>
    <row r="108" ht="15" customHeight="1">
      <c r="A108" t="inlineStr">
        <is>
          <t>A 41792-2026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46303</v>
      </c>
      <c r="E108" s="1" t="n">
        <v>46307</v>
      </c>
      <c r="F108" t="inlineStr">
        <is>
          <t>GÄVLEBORGS LÄN</t>
        </is>
      </c>
      <c r="G108" t="inlineStr">
        <is>
          <t>SANDVIKEN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HYPERLINK("https://klasma.github.io/Logging_2181/artfynd/A 41792-2026 artfynd.xlsx", "A 41792-2026")</f>
        <v/>
      </c>
      <c r="X108">
        <f>HYPERLINK("https://klasma.github.io/Logging_2181/kartor/A 41792-2026 karta.png", "A 41792-2026")</f>
        <v/>
      </c>
      <c r="Y108">
        <f>HYPERLINK("https://klasma.github.io/Logging_2181/kartor_geotiff/A 41792-2026 georefererad karta.tif", "A 41792-2026")</f>
        <v/>
      </c>
      <c r="AA108">
        <f>HYPERLINK("https://klasma.github.io/Logging_2181/klagomål/A 41792-2026 FSC-klagomål.docx", "A 41792-2026")</f>
        <v/>
      </c>
      <c r="AB108">
        <f>HYPERLINK("https://klasma.github.io/Logging_2181/klagomålsmail/A 41792-2026 FSC-klagomål mail.docx", "A 41792-2026")</f>
        <v/>
      </c>
      <c r="AC108">
        <f>HYPERLINK("https://klasma.github.io/Logging_2181/tillsyn/A 41792-2026 tillsynsbegäran.docx", "A 41792-2026")</f>
        <v/>
      </c>
      <c r="AD108">
        <f>HYPERLINK("https://klasma.github.io/Logging_2181/tillsynsmail/A 41792-2026 tillsynsbegäran mail.docx", "A 41792-2026")</f>
        <v/>
      </c>
    </row>
    <row r="109" ht="15" customHeight="1">
      <c r="A109" t="inlineStr">
        <is>
          <t>A 35540-2026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46262</v>
      </c>
      <c r="E109" s="1" t="n">
        <v>46307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2.4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Lopplummer (aggregat)</t>
        </is>
      </c>
      <c r="W109">
        <f>HYPERLINK("https://klasma.github.io/Logging_2181/artfynd/A 35540-2026 artfynd.xlsx", "A 35540-2026")</f>
        <v/>
      </c>
      <c r="X109">
        <f>HYPERLINK("https://klasma.github.io/Logging_2181/kartor/A 35540-2026 karta.png", "A 35540-2026")</f>
        <v/>
      </c>
      <c r="Y109">
        <f>HYPERLINK("https://klasma.github.io/Logging_2181/kartor_geotiff/A 35540-2026 georefererad karta.tif", "A 35540-2026")</f>
        <v/>
      </c>
      <c r="AA109">
        <f>HYPERLINK("https://klasma.github.io/Logging_2181/klagomål/A 35540-2026 FSC-klagomål.docx", "A 35540-2026")</f>
        <v/>
      </c>
      <c r="AB109">
        <f>HYPERLINK("https://klasma.github.io/Logging_2181/klagomålsmail/A 35540-2026 FSC-klagomål mail.docx", "A 35540-2026")</f>
        <v/>
      </c>
      <c r="AC109">
        <f>HYPERLINK("https://klasma.github.io/Logging_2181/tillsyn/A 35540-2026 tillsynsbegäran.docx", "A 35540-2026")</f>
        <v/>
      </c>
      <c r="AD109">
        <f>HYPERLINK("https://klasma.github.io/Logging_2181/tillsynsmail/A 35540-2026 tillsynsbegäran mail.docx", "A 35540-2026")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46307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46307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46307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46307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46307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46307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46307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46307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46307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46307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46307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46307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46307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46307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46307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46307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46307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46307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46307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46307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46307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46307</v>
      </c>
      <c r="F131" t="inlineStr">
        <is>
          <t>GÄVLEBORGS LÄN</t>
        </is>
      </c>
      <c r="G131" t="inlineStr">
        <is>
          <t>SANDVIKEN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44635</v>
      </c>
      <c r="E132" s="1" t="n">
        <v>46307</v>
      </c>
      <c r="F132" t="inlineStr">
        <is>
          <t>GÄVLEBORGS LÄN</t>
        </is>
      </c>
      <c r="G132" t="inlineStr">
        <is>
          <t>SANDVIKEN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46307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46307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46307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44603</v>
      </c>
      <c r="E136" s="1" t="n">
        <v>46307</v>
      </c>
      <c r="F136" t="inlineStr">
        <is>
          <t>GÄVLEBORGS LÄN</t>
        </is>
      </c>
      <c r="G136" t="inlineStr">
        <is>
          <t>SANDVIKEN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66590-2021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44519</v>
      </c>
      <c r="E137" s="1" t="n">
        <v>46307</v>
      </c>
      <c r="F137" t="inlineStr">
        <is>
          <t>GÄVLEBORGS LÄN</t>
        </is>
      </c>
      <c r="G137" t="inlineStr">
        <is>
          <t>SANDVIKEN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46307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46307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44595</v>
      </c>
      <c r="E140" s="1" t="n">
        <v>46307</v>
      </c>
      <c r="F140" t="inlineStr">
        <is>
          <t>GÄVLEBORGS LÄN</t>
        </is>
      </c>
      <c r="G140" t="inlineStr">
        <is>
          <t>SANDVIKEN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46307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44847</v>
      </c>
      <c r="E142" s="1" t="n">
        <v>46307</v>
      </c>
      <c r="F142" t="inlineStr">
        <is>
          <t>GÄVLEBORGS LÄN</t>
        </is>
      </c>
      <c r="G142" t="inlineStr">
        <is>
          <t>SANDVIKEN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46307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46307</v>
      </c>
      <c r="F144" t="inlineStr">
        <is>
          <t>GÄVLEBORGS LÄN</t>
        </is>
      </c>
      <c r="G144" t="inlineStr">
        <is>
          <t>SANDVIKEN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46307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28897-2024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45480</v>
      </c>
      <c r="E146" s="1" t="n">
        <v>46307</v>
      </c>
      <c r="F146" t="inlineStr">
        <is>
          <t>GÄVLEBORGS LÄN</t>
        </is>
      </c>
      <c r="G146" t="inlineStr">
        <is>
          <t>SANDVIKEN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45415</v>
      </c>
      <c r="E147" s="1" t="n">
        <v>46307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46307</v>
      </c>
      <c r="F148" t="inlineStr">
        <is>
          <t>GÄVLEBORGS LÄN</t>
        </is>
      </c>
      <c r="G148" t="inlineStr">
        <is>
          <t>SANDVIKEN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45162</v>
      </c>
      <c r="E149" s="1" t="n">
        <v>46307</v>
      </c>
      <c r="F149" t="inlineStr">
        <is>
          <t>GÄVLEBORGS LÄN</t>
        </is>
      </c>
      <c r="G149" t="inlineStr">
        <is>
          <t>SANDVIKEN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46307</v>
      </c>
      <c r="F150" t="inlineStr">
        <is>
          <t>GÄVLEBORGS LÄN</t>
        </is>
      </c>
      <c r="G150" t="inlineStr">
        <is>
          <t>SANDVIKEN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45576</v>
      </c>
      <c r="E151" s="1" t="n">
        <v>46307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45087</v>
      </c>
      <c r="E152" s="1" t="n">
        <v>46307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61774-2024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45649</v>
      </c>
      <c r="E153" s="1" t="n">
        <v>46307</v>
      </c>
      <c r="F153" t="inlineStr">
        <is>
          <t>GÄVLEBORGS LÄN</t>
        </is>
      </c>
      <c r="G153" t="inlineStr">
        <is>
          <t>SANDVIKEN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46307</v>
      </c>
      <c r="F154" t="inlineStr">
        <is>
          <t>GÄVLEBORGS LÄN</t>
        </is>
      </c>
      <c r="G154" t="inlineStr">
        <is>
          <t>SANDVIKEN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44901</v>
      </c>
      <c r="E155" s="1" t="n">
        <v>46307</v>
      </c>
      <c r="F155" t="inlineStr">
        <is>
          <t>GÄVLEBORGS LÄN</t>
        </is>
      </c>
      <c r="G155" t="inlineStr">
        <is>
          <t>SANDVIKEN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46307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45212</v>
      </c>
      <c r="E157" s="1" t="n">
        <v>46307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65098-2023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45288</v>
      </c>
      <c r="E158" s="1" t="n">
        <v>46307</v>
      </c>
      <c r="F158" t="inlineStr">
        <is>
          <t>GÄVLEBORGS LÄN</t>
        </is>
      </c>
      <c r="G158" t="inlineStr">
        <is>
          <t>SANDVIKEN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46307</v>
      </c>
      <c r="F159" t="inlineStr">
        <is>
          <t>GÄVLEBORGS LÄN</t>
        </is>
      </c>
      <c r="G159" t="inlineStr">
        <is>
          <t>SANDVIKEN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45460</v>
      </c>
      <c r="E160" s="1" t="n">
        <v>46307</v>
      </c>
      <c r="F160" t="inlineStr">
        <is>
          <t>GÄVLEBORGS LÄN</t>
        </is>
      </c>
      <c r="G160" t="inlineStr">
        <is>
          <t>SANDVIKEN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46307</v>
      </c>
      <c r="F161" t="inlineStr">
        <is>
          <t>GÄVLEBORGS LÄN</t>
        </is>
      </c>
      <c r="G161" t="inlineStr">
        <is>
          <t>SANDVIKEN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46307</v>
      </c>
      <c r="F162" t="inlineStr">
        <is>
          <t>GÄVLEBORGS LÄN</t>
        </is>
      </c>
      <c r="G162" t="inlineStr">
        <is>
          <t>SANDVIKEN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46307</v>
      </c>
      <c r="F163" t="inlineStr">
        <is>
          <t>GÄVLEBORGS LÄN</t>
        </is>
      </c>
      <c r="G163" t="inlineStr">
        <is>
          <t>SANDVIKEN</t>
        </is>
      </c>
      <c r="H163" t="inlineStr">
        <is>
          <t>Sveaskog</t>
        </is>
      </c>
      <c r="I163" t="n">
        <v>10.9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46307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46307</v>
      </c>
      <c r="F165" t="inlineStr">
        <is>
          <t>GÄVLEBORGS LÄN</t>
        </is>
      </c>
      <c r="G165" t="inlineStr">
        <is>
          <t>SANDVIKEN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45121</v>
      </c>
      <c r="E166" s="1" t="n">
        <v>46307</v>
      </c>
      <c r="F166" t="inlineStr">
        <is>
          <t>GÄVLEBORGS LÄN</t>
        </is>
      </c>
      <c r="G166" t="inlineStr">
        <is>
          <t>SANDVIKEN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46307</v>
      </c>
      <c r="F167" t="inlineStr">
        <is>
          <t>GÄVLEBORGS LÄN</t>
        </is>
      </c>
      <c r="G167" t="inlineStr">
        <is>
          <t>SANDVIKEN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44918</v>
      </c>
      <c r="E168" s="1" t="n">
        <v>46307</v>
      </c>
      <c r="F168" t="inlineStr">
        <is>
          <t>GÄVLEBORGS LÄN</t>
        </is>
      </c>
      <c r="G168" t="inlineStr">
        <is>
          <t>SANDVIKEN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46307</v>
      </c>
      <c r="F169" t="inlineStr">
        <is>
          <t>GÄVLEBORGS LÄN</t>
        </is>
      </c>
      <c r="G169" t="inlineStr">
        <is>
          <t>SANDVIKEN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45672</v>
      </c>
      <c r="E170" s="1" t="n">
        <v>46307</v>
      </c>
      <c r="F170" t="inlineStr">
        <is>
          <t>GÄVLEBORGS LÄN</t>
        </is>
      </c>
      <c r="G170" t="inlineStr">
        <is>
          <t>SANDVIKEN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46307</v>
      </c>
      <c r="F171" t="inlineStr">
        <is>
          <t>GÄVLEBORGS LÄN</t>
        </is>
      </c>
      <c r="G171" t="inlineStr">
        <is>
          <t>SANDVIKEN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45701</v>
      </c>
      <c r="E172" s="1" t="n">
        <v>46307</v>
      </c>
      <c r="F172" t="inlineStr">
        <is>
          <t>GÄVLEBORGS LÄN</t>
        </is>
      </c>
      <c r="G172" t="inlineStr">
        <is>
          <t>SANDVIKEN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45467</v>
      </c>
      <c r="E173" s="1" t="n">
        <v>46307</v>
      </c>
      <c r="F173" t="inlineStr">
        <is>
          <t>GÄVLEBORGS LÄN</t>
        </is>
      </c>
      <c r="G173" t="inlineStr">
        <is>
          <t>SANDVIKEN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45265</v>
      </c>
      <c r="E174" s="1" t="n">
        <v>46307</v>
      </c>
      <c r="F174" t="inlineStr">
        <is>
          <t>GÄVLEBORGS LÄN</t>
        </is>
      </c>
      <c r="G174" t="inlineStr">
        <is>
          <t>SANDVIKEN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46307</v>
      </c>
      <c r="F175" t="inlineStr">
        <is>
          <t>GÄVLEBORGS LÄN</t>
        </is>
      </c>
      <c r="G175" t="inlineStr">
        <is>
          <t>SANDVIKEN</t>
        </is>
      </c>
      <c r="H175" t="inlineStr">
        <is>
          <t>Bergvik skog öst AB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45414</v>
      </c>
      <c r="E176" s="1" t="n">
        <v>46307</v>
      </c>
      <c r="F176" t="inlineStr">
        <is>
          <t>GÄVLEBORGS LÄN</t>
        </is>
      </c>
      <c r="G176" t="inlineStr">
        <is>
          <t>SANDVIKEN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73331-2021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46307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öst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46307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46307</v>
      </c>
      <c r="F179" t="inlineStr">
        <is>
          <t>GÄVLEBORGS LÄN</t>
        </is>
      </c>
      <c r="G179" t="inlineStr">
        <is>
          <t>SANDVIKEN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46307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64225-2021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46307</v>
      </c>
      <c r="F181" t="inlineStr">
        <is>
          <t>GÄVLEBORGS LÄN</t>
        </is>
      </c>
      <c r="G181" t="inlineStr">
        <is>
          <t>SANDVIKEN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46307</v>
      </c>
      <c r="F182" t="inlineStr">
        <is>
          <t>GÄVLEBORGS LÄN</t>
        </is>
      </c>
      <c r="G182" t="inlineStr">
        <is>
          <t>SANDVIKEN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46307</v>
      </c>
      <c r="F183" t="inlineStr">
        <is>
          <t>GÄVLEBORGS LÄN</t>
        </is>
      </c>
      <c r="G183" t="inlineStr">
        <is>
          <t>SANDVIKEN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45159</v>
      </c>
      <c r="E184" s="1" t="n">
        <v>46307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60908-2022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44914</v>
      </c>
      <c r="E185" s="1" t="n">
        <v>46307</v>
      </c>
      <c r="F185" t="inlineStr">
        <is>
          <t>GÄVLEBORGS LÄN</t>
        </is>
      </c>
      <c r="G185" t="inlineStr">
        <is>
          <t>SANDVIKEN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45567</v>
      </c>
      <c r="E186" s="1" t="n">
        <v>46307</v>
      </c>
      <c r="F186" t="inlineStr">
        <is>
          <t>GÄVLEBORGS LÄN</t>
        </is>
      </c>
      <c r="G186" t="inlineStr">
        <is>
          <t>SANDVIKEN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45069</v>
      </c>
      <c r="E187" s="1" t="n">
        <v>46307</v>
      </c>
      <c r="F187" t="inlineStr">
        <is>
          <t>GÄVLEBORGS LÄN</t>
        </is>
      </c>
      <c r="G187" t="inlineStr">
        <is>
          <t>SANDVIKEN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45883</v>
      </c>
      <c r="E188" s="1" t="n">
        <v>46307</v>
      </c>
      <c r="F188" t="inlineStr">
        <is>
          <t>GÄVLEBORGS LÄN</t>
        </is>
      </c>
      <c r="G188" t="inlineStr">
        <is>
          <t>SANDVIKEN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45883</v>
      </c>
      <c r="E189" s="1" t="n">
        <v>46307</v>
      </c>
      <c r="F189" t="inlineStr">
        <is>
          <t>GÄVLEBORGS LÄN</t>
        </is>
      </c>
      <c r="G189" t="inlineStr">
        <is>
          <t>SANDVIKEN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46307</v>
      </c>
      <c r="F190" t="inlineStr">
        <is>
          <t>GÄVLEBORGS LÄN</t>
        </is>
      </c>
      <c r="G190" t="inlineStr">
        <is>
          <t>SANDVIKEN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46307</v>
      </c>
      <c r="F191" t="inlineStr">
        <is>
          <t>GÄVLEBORGS LÄN</t>
        </is>
      </c>
      <c r="G191" t="inlineStr">
        <is>
          <t>SANDVIKEN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44854</v>
      </c>
      <c r="E192" s="1" t="n">
        <v>46307</v>
      </c>
      <c r="F192" t="inlineStr">
        <is>
          <t>GÄVLEBORGS LÄN</t>
        </is>
      </c>
      <c r="G192" t="inlineStr">
        <is>
          <t>SANDVIKEN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46307</v>
      </c>
      <c r="F193" t="inlineStr">
        <is>
          <t>GÄVLEBORGS LÄN</t>
        </is>
      </c>
      <c r="G193" t="inlineStr">
        <is>
          <t>SANDVIKEN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46307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46307</v>
      </c>
      <c r="F195" t="inlineStr">
        <is>
          <t>GÄVLEBORGS LÄN</t>
        </is>
      </c>
      <c r="G195" t="inlineStr">
        <is>
          <t>SANDVIKEN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46307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46307</v>
      </c>
      <c r="F197" t="inlineStr">
        <is>
          <t>GÄVLEBORGS LÄN</t>
        </is>
      </c>
      <c r="G197" t="inlineStr">
        <is>
          <t>SANDVIKEN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46307</v>
      </c>
      <c r="F198" t="inlineStr">
        <is>
          <t>GÄVLEBORGS LÄN</t>
        </is>
      </c>
      <c r="G198" t="inlineStr">
        <is>
          <t>SANDVIKEN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45545</v>
      </c>
      <c r="E199" s="1" t="n">
        <v>46307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45552</v>
      </c>
      <c r="E200" s="1" t="n">
        <v>46307</v>
      </c>
      <c r="F200" t="inlineStr">
        <is>
          <t>GÄVLEBORGS LÄN</t>
        </is>
      </c>
      <c r="G200" t="inlineStr">
        <is>
          <t>SANDVIKEN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46307</v>
      </c>
      <c r="F201" t="inlineStr">
        <is>
          <t>GÄVLEBORGS LÄN</t>
        </is>
      </c>
      <c r="G201" t="inlineStr">
        <is>
          <t>SANDVIKEN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45330</v>
      </c>
      <c r="E202" s="1" t="n">
        <v>46307</v>
      </c>
      <c r="F202" t="inlineStr">
        <is>
          <t>GÄVLEBORGS LÄN</t>
        </is>
      </c>
      <c r="G202" t="inlineStr">
        <is>
          <t>SANDVIKEN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46307</v>
      </c>
      <c r="F203" t="inlineStr">
        <is>
          <t>GÄVLEBORGS LÄN</t>
        </is>
      </c>
      <c r="G203" t="inlineStr">
        <is>
          <t>SANDVIKEN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46307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45483</v>
      </c>
      <c r="E205" s="1" t="n">
        <v>46307</v>
      </c>
      <c r="F205" t="inlineStr">
        <is>
          <t>GÄVLEBORGS LÄN</t>
        </is>
      </c>
      <c r="G205" t="inlineStr">
        <is>
          <t>SANDVIKEN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45300</v>
      </c>
      <c r="E206" s="1" t="n">
        <v>46307</v>
      </c>
      <c r="F206" t="inlineStr">
        <is>
          <t>GÄVLEBORGS LÄN</t>
        </is>
      </c>
      <c r="G206" t="inlineStr">
        <is>
          <t>SANDVIKEN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29972-2022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46307</v>
      </c>
      <c r="F207" t="inlineStr">
        <is>
          <t>GÄVLEBORGS LÄN</t>
        </is>
      </c>
      <c r="G207" t="inlineStr">
        <is>
          <t>SANDVIKEN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45191</v>
      </c>
      <c r="E208" s="1" t="n">
        <v>46307</v>
      </c>
      <c r="F208" t="inlineStr">
        <is>
          <t>GÄVLEBORGS LÄN</t>
        </is>
      </c>
      <c r="G208" t="inlineStr">
        <is>
          <t>SANDVIKEN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62056-2022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44918</v>
      </c>
      <c r="E209" s="1" t="n">
        <v>46307</v>
      </c>
      <c r="F209" t="inlineStr">
        <is>
          <t>GÄVLEBORGS LÄN</t>
        </is>
      </c>
      <c r="G209" t="inlineStr">
        <is>
          <t>SANDVIKEN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45769</v>
      </c>
      <c r="E210" s="1" t="n">
        <v>46307</v>
      </c>
      <c r="F210" t="inlineStr">
        <is>
          <t>GÄVLEBORGS LÄN</t>
        </is>
      </c>
      <c r="G210" t="inlineStr">
        <is>
          <t>SANDVIKEN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46307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46307</v>
      </c>
      <c r="F212" t="inlineStr">
        <is>
          <t>GÄVLEBORGS LÄN</t>
        </is>
      </c>
      <c r="G212" t="inlineStr">
        <is>
          <t>SANDVIKEN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46307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väst AB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45667</v>
      </c>
      <c r="E214" s="1" t="n">
        <v>46307</v>
      </c>
      <c r="F214" t="inlineStr">
        <is>
          <t>GÄVLEBORGS LÄN</t>
        </is>
      </c>
      <c r="G214" t="inlineStr">
        <is>
          <t>SANDVIKEN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45899</v>
      </c>
      <c r="E215" s="1" t="n">
        <v>46307</v>
      </c>
      <c r="F215" t="inlineStr">
        <is>
          <t>GÄVLEBORGS LÄN</t>
        </is>
      </c>
      <c r="G215" t="inlineStr">
        <is>
          <t>SANDVIKEN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45722</v>
      </c>
      <c r="E216" s="1" t="n">
        <v>46307</v>
      </c>
      <c r="F216" t="inlineStr">
        <is>
          <t>GÄVLEBORGS LÄN</t>
        </is>
      </c>
      <c r="G216" t="inlineStr">
        <is>
          <t>SANDVIKEN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45540</v>
      </c>
      <c r="E217" s="1" t="n">
        <v>46307</v>
      </c>
      <c r="F217" t="inlineStr">
        <is>
          <t>GÄVLEBORGS LÄN</t>
        </is>
      </c>
      <c r="G217" t="inlineStr">
        <is>
          <t>SANDVIKEN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44845</v>
      </c>
      <c r="E218" s="1" t="n">
        <v>46307</v>
      </c>
      <c r="F218" t="inlineStr">
        <is>
          <t>GÄVLEBORGS LÄN</t>
        </is>
      </c>
      <c r="G218" t="inlineStr">
        <is>
          <t>SANDVIKEN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44564</v>
      </c>
      <c r="E219" s="1" t="n">
        <v>46307</v>
      </c>
      <c r="F219" t="inlineStr">
        <is>
          <t>GÄVLEBORGS LÄN</t>
        </is>
      </c>
      <c r="G219" t="inlineStr">
        <is>
          <t>SANDVIKEN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45476</v>
      </c>
      <c r="E220" s="1" t="n">
        <v>46307</v>
      </c>
      <c r="F220" t="inlineStr">
        <is>
          <t>GÄVLEBORGS LÄN</t>
        </is>
      </c>
      <c r="G220" t="inlineStr">
        <is>
          <t>SANDVIKEN</t>
        </is>
      </c>
      <c r="H220" t="inlineStr">
        <is>
          <t>Kommuner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45022</v>
      </c>
      <c r="E221" s="1" t="n">
        <v>46307</v>
      </c>
      <c r="F221" t="inlineStr">
        <is>
          <t>GÄVLEBORGS LÄN</t>
        </is>
      </c>
      <c r="G221" t="inlineStr">
        <is>
          <t>SANDVIKEN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45483</v>
      </c>
      <c r="E222" s="1" t="n">
        <v>46307</v>
      </c>
      <c r="F222" t="inlineStr">
        <is>
          <t>GÄVLEBORGS LÄN</t>
        </is>
      </c>
      <c r="G222" t="inlineStr">
        <is>
          <t>SANDVIKEN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45544</v>
      </c>
      <c r="E223" s="1" t="n">
        <v>46307</v>
      </c>
      <c r="F223" t="inlineStr">
        <is>
          <t>GÄVLEBORGS LÄN</t>
        </is>
      </c>
      <c r="G223" t="inlineStr">
        <is>
          <t>SANDVIKEN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45070</v>
      </c>
      <c r="E224" s="1" t="n">
        <v>46307</v>
      </c>
      <c r="F224" t="inlineStr">
        <is>
          <t>GÄVLEBORGS LÄN</t>
        </is>
      </c>
      <c r="G224" t="inlineStr">
        <is>
          <t>SANDVIKEN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46307</v>
      </c>
      <c r="F225" t="inlineStr">
        <is>
          <t>GÄVLEBORGS LÄN</t>
        </is>
      </c>
      <c r="G225" t="inlineStr">
        <is>
          <t>SANDVIKEN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46307</v>
      </c>
      <c r="F226" t="inlineStr">
        <is>
          <t>GÄVLEBORGS LÄN</t>
        </is>
      </c>
      <c r="G226" t="inlineStr">
        <is>
          <t>SANDVIKEN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46307</v>
      </c>
      <c r="F227" t="inlineStr">
        <is>
          <t>GÄVLEBORGS LÄN</t>
        </is>
      </c>
      <c r="G227" t="inlineStr">
        <is>
          <t>SANDVIKEN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45649</v>
      </c>
      <c r="E228" s="1" t="n">
        <v>46307</v>
      </c>
      <c r="F228" t="inlineStr">
        <is>
          <t>GÄVLEBORGS LÄN</t>
        </is>
      </c>
      <c r="G228" t="inlineStr">
        <is>
          <t>SANDVIKEN</t>
        </is>
      </c>
      <c r="I228" t="n">
        <v>11.1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46307</v>
      </c>
      <c r="F229" t="inlineStr">
        <is>
          <t>GÄVLEBORGS LÄN</t>
        </is>
      </c>
      <c r="G229" t="inlineStr">
        <is>
          <t>SANDVIKEN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44988</v>
      </c>
      <c r="E230" s="1" t="n">
        <v>46307</v>
      </c>
      <c r="F230" t="inlineStr">
        <is>
          <t>GÄVLEBORGS LÄN</t>
        </is>
      </c>
      <c r="G230" t="inlineStr">
        <is>
          <t>SANDVIKEN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46307</v>
      </c>
      <c r="F231" t="inlineStr">
        <is>
          <t>GÄVLEBORGS LÄN</t>
        </is>
      </c>
      <c r="G231" t="inlineStr">
        <is>
          <t>SANDVIKEN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46307</v>
      </c>
      <c r="F232" t="inlineStr">
        <is>
          <t>GÄVLEBORGS LÄN</t>
        </is>
      </c>
      <c r="G232" t="inlineStr">
        <is>
          <t>SANDVIKEN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46307</v>
      </c>
      <c r="F233" t="inlineStr">
        <is>
          <t>GÄVLEBORGS LÄN</t>
        </is>
      </c>
      <c r="G233" t="inlineStr">
        <is>
          <t>SANDVIKEN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46307</v>
      </c>
      <c r="F234" t="inlineStr">
        <is>
          <t>GÄVLEBORGS LÄN</t>
        </is>
      </c>
      <c r="G234" t="inlineStr">
        <is>
          <t>SANDVIKEN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46307</v>
      </c>
      <c r="F235" t="inlineStr">
        <is>
          <t>GÄVLEBORGS LÄN</t>
        </is>
      </c>
      <c r="G235" t="inlineStr">
        <is>
          <t>SANDVIKEN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45721</v>
      </c>
      <c r="E236" s="1" t="n">
        <v>46307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46307</v>
      </c>
      <c r="F237" t="inlineStr">
        <is>
          <t>GÄVLEBORGS LÄN</t>
        </is>
      </c>
      <c r="G237" t="inlineStr">
        <is>
          <t>SANDVIKEN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46307</v>
      </c>
      <c r="F238" t="inlineStr">
        <is>
          <t>GÄVLEBORGS LÄN</t>
        </is>
      </c>
      <c r="G238" t="inlineStr">
        <is>
          <t>SANDVIKEN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46307</v>
      </c>
      <c r="F239" t="inlineStr">
        <is>
          <t>GÄVLEBORGS LÄN</t>
        </is>
      </c>
      <c r="G239" t="inlineStr">
        <is>
          <t>SANDVIKEN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45779</v>
      </c>
      <c r="E240" s="1" t="n">
        <v>46307</v>
      </c>
      <c r="F240" t="inlineStr">
        <is>
          <t>GÄVLEBORGS LÄN</t>
        </is>
      </c>
      <c r="G240" t="inlineStr">
        <is>
          <t>SANDVIKEN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44875</v>
      </c>
      <c r="E241" s="1" t="n">
        <v>46307</v>
      </c>
      <c r="F241" t="inlineStr">
        <is>
          <t>GÄVLEBORGS LÄN</t>
        </is>
      </c>
      <c r="G241" t="inlineStr">
        <is>
          <t>SANDVIKEN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46307</v>
      </c>
      <c r="F242" t="inlineStr">
        <is>
          <t>GÄVLEBORGS LÄN</t>
        </is>
      </c>
      <c r="G242" t="inlineStr">
        <is>
          <t>SANDVIKEN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45916</v>
      </c>
      <c r="E243" s="1" t="n">
        <v>46307</v>
      </c>
      <c r="F243" t="inlineStr">
        <is>
          <t>GÄVLEBORGS LÄN</t>
        </is>
      </c>
      <c r="G243" t="inlineStr">
        <is>
          <t>SANDVIKEN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41284-2023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45174</v>
      </c>
      <c r="E244" s="1" t="n">
        <v>46307</v>
      </c>
      <c r="F244" t="inlineStr">
        <is>
          <t>GÄVLEBORGS LÄN</t>
        </is>
      </c>
      <c r="G244" t="inlineStr">
        <is>
          <t>SANDVIKEN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45748</v>
      </c>
      <c r="E245" s="1" t="n">
        <v>46307</v>
      </c>
      <c r="F245" t="inlineStr">
        <is>
          <t>GÄVLEBORGS LÄN</t>
        </is>
      </c>
      <c r="G245" t="inlineStr">
        <is>
          <t>SANDVIKEN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46307</v>
      </c>
      <c r="F246" t="inlineStr">
        <is>
          <t>GÄVLEBORGS LÄN</t>
        </is>
      </c>
      <c r="G246" t="inlineStr">
        <is>
          <t>SANDVIKEN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44587</v>
      </c>
      <c r="E247" s="1" t="n">
        <v>46307</v>
      </c>
      <c r="F247" t="inlineStr">
        <is>
          <t>GÄVLEBORGS LÄN</t>
        </is>
      </c>
      <c r="G247" t="inlineStr">
        <is>
          <t>SANDVIKEN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46307</v>
      </c>
      <c r="F248" t="inlineStr">
        <is>
          <t>GÄVLEBORGS LÄN</t>
        </is>
      </c>
      <c r="G248" t="inlineStr">
        <is>
          <t>SANDVIKEN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46307</v>
      </c>
      <c r="F249" t="inlineStr">
        <is>
          <t>GÄVLEBORGS LÄN</t>
        </is>
      </c>
      <c r="G249" t="inlineStr">
        <is>
          <t>SANDVIKEN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44855</v>
      </c>
      <c r="E250" s="1" t="n">
        <v>46307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48319-2023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45205</v>
      </c>
      <c r="E251" s="1" t="n">
        <v>46307</v>
      </c>
      <c r="F251" t="inlineStr">
        <is>
          <t>GÄVLEBORGS LÄN</t>
        </is>
      </c>
      <c r="G251" t="inlineStr">
        <is>
          <t>SANDVIKEN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45178</v>
      </c>
      <c r="E252" s="1" t="n">
        <v>46307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väst AB</t>
        </is>
      </c>
      <c r="I252" t="n">
        <v>16.5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69521-2021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44531</v>
      </c>
      <c r="E253" s="1" t="n">
        <v>46307</v>
      </c>
      <c r="F253" t="inlineStr">
        <is>
          <t>GÄVLEBORGS LÄN</t>
        </is>
      </c>
      <c r="G253" t="inlineStr">
        <is>
          <t>SANDVIKEN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45679</v>
      </c>
      <c r="E254" s="1" t="n">
        <v>46307</v>
      </c>
      <c r="F254" t="inlineStr">
        <is>
          <t>GÄVLEBORGS LÄN</t>
        </is>
      </c>
      <c r="G254" t="inlineStr">
        <is>
          <t>SANDVIKEN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46307</v>
      </c>
      <c r="F255" t="inlineStr">
        <is>
          <t>GÄVLEBORGS LÄN</t>
        </is>
      </c>
      <c r="G255" t="inlineStr">
        <is>
          <t>SANDVIKEN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46307</v>
      </c>
      <c r="F256" t="inlineStr">
        <is>
          <t>GÄVLEBORGS LÄN</t>
        </is>
      </c>
      <c r="G256" t="inlineStr">
        <is>
          <t>SANDVIKEN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46307</v>
      </c>
      <c r="F257" t="inlineStr">
        <is>
          <t>GÄVLEBORGS LÄN</t>
        </is>
      </c>
      <c r="G257" t="inlineStr">
        <is>
          <t>SANDVIKEN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30721-2023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46307</v>
      </c>
      <c r="F258" t="inlineStr">
        <is>
          <t>GÄVLEBORGS LÄN</t>
        </is>
      </c>
      <c r="G258" t="inlineStr">
        <is>
          <t>SANDVIKEN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46307</v>
      </c>
      <c r="F259" t="inlineStr">
        <is>
          <t>GÄVLEBORGS LÄN</t>
        </is>
      </c>
      <c r="G259" t="inlineStr">
        <is>
          <t>SANDVIKEN</t>
        </is>
      </c>
      <c r="H259" t="inlineStr">
        <is>
          <t>Kyrkan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44586</v>
      </c>
      <c r="E260" s="1" t="n">
        <v>46307</v>
      </c>
      <c r="F260" t="inlineStr">
        <is>
          <t>GÄVLEBORGS LÄN</t>
        </is>
      </c>
      <c r="G260" t="inlineStr">
        <is>
          <t>SANDVIKEN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32260-2023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45120</v>
      </c>
      <c r="E261" s="1" t="n">
        <v>46307</v>
      </c>
      <c r="F261" t="inlineStr">
        <is>
          <t>GÄVLEBORGS LÄN</t>
        </is>
      </c>
      <c r="G261" t="inlineStr">
        <is>
          <t>SANDVIKEN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45525</v>
      </c>
      <c r="E262" s="1" t="n">
        <v>46307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46307</v>
      </c>
      <c r="F263" t="inlineStr">
        <is>
          <t>GÄVLEBORGS LÄN</t>
        </is>
      </c>
      <c r="G263" t="inlineStr">
        <is>
          <t>SANDVIKEN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46307</v>
      </c>
      <c r="F264" t="inlineStr">
        <is>
          <t>GÄVLEBORGS LÄN</t>
        </is>
      </c>
      <c r="G264" t="inlineStr">
        <is>
          <t>SANDVIKEN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46307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46307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46307</v>
      </c>
      <c r="F267" t="inlineStr">
        <is>
          <t>GÄVLEBORGS LÄN</t>
        </is>
      </c>
      <c r="G267" t="inlineStr">
        <is>
          <t>SANDVIKEN</t>
        </is>
      </c>
      <c r="I267" t="n">
        <v>10.3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45299-2023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45191</v>
      </c>
      <c r="E268" s="1" t="n">
        <v>46307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öst AB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59661-2024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46307</v>
      </c>
      <c r="F269" t="inlineStr">
        <is>
          <t>GÄVLEBORGS LÄN</t>
        </is>
      </c>
      <c r="G269" t="inlineStr">
        <is>
          <t>SANDVIKEN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45930</v>
      </c>
      <c r="E270" s="1" t="n">
        <v>46307</v>
      </c>
      <c r="F270" t="inlineStr">
        <is>
          <t>GÄVLEBORGS LÄN</t>
        </is>
      </c>
      <c r="G270" t="inlineStr">
        <is>
          <t>SANDVIKEN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72997-2021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44549</v>
      </c>
      <c r="E271" s="1" t="n">
        <v>46307</v>
      </c>
      <c r="F271" t="inlineStr">
        <is>
          <t>GÄVLEBORGS LÄN</t>
        </is>
      </c>
      <c r="G271" t="inlineStr">
        <is>
          <t>SANDVIKEN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45475</v>
      </c>
      <c r="E272" s="1" t="n">
        <v>46307</v>
      </c>
      <c r="F272" t="inlineStr">
        <is>
          <t>GÄVLEBORGS LÄN</t>
        </is>
      </c>
      <c r="G272" t="inlineStr">
        <is>
          <t>SANDVIKEN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38609-2022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44813</v>
      </c>
      <c r="E273" s="1" t="n">
        <v>46307</v>
      </c>
      <c r="F273" t="inlineStr">
        <is>
          <t>GÄVLEBORGS LÄN</t>
        </is>
      </c>
      <c r="G273" t="inlineStr">
        <is>
          <t>SANDVIKEN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46307</v>
      </c>
      <c r="F274" t="inlineStr">
        <is>
          <t>GÄVLEBORGS LÄN</t>
        </is>
      </c>
      <c r="G274" t="inlineStr">
        <is>
          <t>SANDVIKEN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46307</v>
      </c>
      <c r="F275" t="inlineStr">
        <is>
          <t>GÄVLEBORGS LÄN</t>
        </is>
      </c>
      <c r="G275" t="inlineStr">
        <is>
          <t>SANDVIKEN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46307</v>
      </c>
      <c r="F276" t="inlineStr">
        <is>
          <t>GÄVLEBORGS LÄN</t>
        </is>
      </c>
      <c r="G276" t="inlineStr">
        <is>
          <t>SANDVIKEN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45541</v>
      </c>
      <c r="E277" s="1" t="n">
        <v>46307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46307</v>
      </c>
      <c r="F278" t="inlineStr">
        <is>
          <t>GÄVLEBORGS LÄN</t>
        </is>
      </c>
      <c r="G278" t="inlineStr">
        <is>
          <t>SANDVIKEN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45418</v>
      </c>
      <c r="E279" s="1" t="n">
        <v>46307</v>
      </c>
      <c r="F279" t="inlineStr">
        <is>
          <t>GÄVLEBORGS LÄN</t>
        </is>
      </c>
      <c r="G279" t="inlineStr">
        <is>
          <t>SANDVIKEN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45252</v>
      </c>
      <c r="E280" s="1" t="n">
        <v>46307</v>
      </c>
      <c r="F280" t="inlineStr">
        <is>
          <t>GÄVLEBORGS LÄN</t>
        </is>
      </c>
      <c r="G280" t="inlineStr">
        <is>
          <t>SANDVIKEN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46307</v>
      </c>
      <c r="F281" t="inlineStr">
        <is>
          <t>GÄVLEBORGS LÄN</t>
        </is>
      </c>
      <c r="G281" t="inlineStr">
        <is>
          <t>SANDVIKEN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44566</v>
      </c>
      <c r="E282" s="1" t="n">
        <v>46307</v>
      </c>
      <c r="F282" t="inlineStr">
        <is>
          <t>GÄVLEBORGS LÄN</t>
        </is>
      </c>
      <c r="G282" t="inlineStr">
        <is>
          <t>SANDVIKEN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23162-2023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45075</v>
      </c>
      <c r="E283" s="1" t="n">
        <v>46307</v>
      </c>
      <c r="F283" t="inlineStr">
        <is>
          <t>GÄVLEBORGS LÄN</t>
        </is>
      </c>
      <c r="G283" t="inlineStr">
        <is>
          <t>SANDVIKEN</t>
        </is>
      </c>
      <c r="H283" t="inlineStr">
        <is>
          <t>Bergvik skog öst AB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44994</v>
      </c>
      <c r="E284" s="1" t="n">
        <v>46307</v>
      </c>
      <c r="F284" t="inlineStr">
        <is>
          <t>GÄVLEBORGS LÄN</t>
        </is>
      </c>
      <c r="G284" t="inlineStr">
        <is>
          <t>SANDVIKEN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45153</v>
      </c>
      <c r="E285" s="1" t="n">
        <v>46307</v>
      </c>
      <c r="F285" t="inlineStr">
        <is>
          <t>GÄVLEBORGS LÄN</t>
        </is>
      </c>
      <c r="G285" t="inlineStr">
        <is>
          <t>SANDVIKEN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45153</v>
      </c>
      <c r="E286" s="1" t="n">
        <v>46307</v>
      </c>
      <c r="F286" t="inlineStr">
        <is>
          <t>GÄVLEBORGS LÄN</t>
        </is>
      </c>
      <c r="G286" t="inlineStr">
        <is>
          <t>SANDVIKEN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53322-2024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46307</v>
      </c>
      <c r="F287" t="inlineStr">
        <is>
          <t>GÄVLEBORGS LÄN</t>
        </is>
      </c>
      <c r="G287" t="inlineStr">
        <is>
          <t>SANDVIKEN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45673</v>
      </c>
      <c r="E288" s="1" t="n">
        <v>46307</v>
      </c>
      <c r="F288" t="inlineStr">
        <is>
          <t>GÄVLEBORGS LÄN</t>
        </is>
      </c>
      <c r="G288" t="inlineStr">
        <is>
          <t>SANDVIKEN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46307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11.9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46307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45800</v>
      </c>
      <c r="E291" s="1" t="n">
        <v>46307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45800</v>
      </c>
      <c r="E292" s="1" t="n">
        <v>46307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45800</v>
      </c>
      <c r="E293" s="1" t="n">
        <v>46307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46307</v>
      </c>
      <c r="F294" t="inlineStr">
        <is>
          <t>GÄVLEBORGS LÄN</t>
        </is>
      </c>
      <c r="G294" t="inlineStr">
        <is>
          <t>SANDVIKEN</t>
        </is>
      </c>
      <c r="I294" t="n">
        <v>10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46307</v>
      </c>
      <c r="F295" t="inlineStr">
        <is>
          <t>GÄVLEBORGS LÄN</t>
        </is>
      </c>
      <c r="G295" t="inlineStr">
        <is>
          <t>SANDVIKEN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46307</v>
      </c>
      <c r="F296" t="inlineStr">
        <is>
          <t>GÄVLEBORGS LÄN</t>
        </is>
      </c>
      <c r="G296" t="inlineStr">
        <is>
          <t>SANDVIKEN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45800</v>
      </c>
      <c r="E297" s="1" t="n">
        <v>46307</v>
      </c>
      <c r="F297" t="inlineStr">
        <is>
          <t>GÄVLEBORGS LÄN</t>
        </is>
      </c>
      <c r="G297" t="inlineStr">
        <is>
          <t>SANDVIKEN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45590</v>
      </c>
      <c r="E298" s="1" t="n">
        <v>46307</v>
      </c>
      <c r="F298" t="inlineStr">
        <is>
          <t>GÄVLEBORGS LÄN</t>
        </is>
      </c>
      <c r="G298" t="inlineStr">
        <is>
          <t>SANDVIKEN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46307</v>
      </c>
      <c r="F299" t="inlineStr">
        <is>
          <t>GÄVLEBORGS LÄN</t>
        </is>
      </c>
      <c r="G299" t="inlineStr">
        <is>
          <t>SANDVIKEN</t>
        </is>
      </c>
      <c r="H299" t="inlineStr">
        <is>
          <t>Sveaskog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48268-2025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46307</v>
      </c>
      <c r="F300" t="inlineStr">
        <is>
          <t>GÄVLEBORGS LÄN</t>
        </is>
      </c>
      <c r="G300" t="inlineStr">
        <is>
          <t>SANDVIKEN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46307</v>
      </c>
      <c r="F301" t="inlineStr">
        <is>
          <t>GÄVLEBORGS LÄN</t>
        </is>
      </c>
      <c r="G301" t="inlineStr">
        <is>
          <t>SANDVIKEN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45799</v>
      </c>
      <c r="E302" s="1" t="n">
        <v>46307</v>
      </c>
      <c r="F302" t="inlineStr">
        <is>
          <t>GÄVLEBORGS LÄN</t>
        </is>
      </c>
      <c r="G302" t="inlineStr">
        <is>
          <t>SANDVIKEN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45936</v>
      </c>
      <c r="E303" s="1" t="n">
        <v>46307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väst AB</t>
        </is>
      </c>
      <c r="I303" t="n">
        <v>10.1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45769</v>
      </c>
      <c r="E304" s="1" t="n">
        <v>46307</v>
      </c>
      <c r="F304" t="inlineStr">
        <is>
          <t>GÄVLEBORGS LÄN</t>
        </is>
      </c>
      <c r="G304" t="inlineStr">
        <is>
          <t>SANDVIKEN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45390</v>
      </c>
      <c r="E305" s="1" t="n">
        <v>46307</v>
      </c>
      <c r="F305" t="inlineStr">
        <is>
          <t>GÄVLEBORGS LÄN</t>
        </is>
      </c>
      <c r="G305" t="inlineStr">
        <is>
          <t>SANDVIKEN</t>
        </is>
      </c>
      <c r="H305" t="inlineStr">
        <is>
          <t>Kyrkan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45126</v>
      </c>
      <c r="E306" s="1" t="n">
        <v>46307</v>
      </c>
      <c r="F306" t="inlineStr">
        <is>
          <t>GÄVLEBORGS LÄN</t>
        </is>
      </c>
      <c r="G306" t="inlineStr">
        <is>
          <t>SANDVIKEN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46307</v>
      </c>
      <c r="F307" t="inlineStr">
        <is>
          <t>GÄVLEBORGS LÄN</t>
        </is>
      </c>
      <c r="G307" t="inlineStr">
        <is>
          <t>SANDVIKEN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46307</v>
      </c>
      <c r="F308" t="inlineStr">
        <is>
          <t>GÄVLEBORGS LÄN</t>
        </is>
      </c>
      <c r="G308" t="inlineStr">
        <is>
          <t>SANDVIKEN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45673</v>
      </c>
      <c r="E309" s="1" t="n">
        <v>46307</v>
      </c>
      <c r="F309" t="inlineStr">
        <is>
          <t>GÄVLEBORGS LÄN</t>
        </is>
      </c>
      <c r="G309" t="inlineStr">
        <is>
          <t>SANDVIKEN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45805</v>
      </c>
      <c r="E310" s="1" t="n">
        <v>46307</v>
      </c>
      <c r="F310" t="inlineStr">
        <is>
          <t>GÄVLEBORGS LÄN</t>
        </is>
      </c>
      <c r="G310" t="inlineStr">
        <is>
          <t>SANDVIKEN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44956</v>
      </c>
      <c r="E311" s="1" t="n">
        <v>46307</v>
      </c>
      <c r="F311" t="inlineStr">
        <is>
          <t>GÄVLEBORGS LÄN</t>
        </is>
      </c>
      <c r="G311" t="inlineStr">
        <is>
          <t>SANDVIKEN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45217</v>
      </c>
      <c r="E312" s="1" t="n">
        <v>46307</v>
      </c>
      <c r="F312" t="inlineStr">
        <is>
          <t>GÄVLEBORGS LÄN</t>
        </is>
      </c>
      <c r="G312" t="inlineStr">
        <is>
          <t>SANDVIKEN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24465-2023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45082</v>
      </c>
      <c r="E313" s="1" t="n">
        <v>46307</v>
      </c>
      <c r="F313" t="inlineStr">
        <is>
          <t>GÄVLEBORGS LÄN</t>
        </is>
      </c>
      <c r="G313" t="inlineStr">
        <is>
          <t>SANDVIKEN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37697-2022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44810</v>
      </c>
      <c r="E314" s="1" t="n">
        <v>46307</v>
      </c>
      <c r="F314" t="inlineStr">
        <is>
          <t>GÄVLEBORGS LÄN</t>
        </is>
      </c>
      <c r="G314" t="inlineStr">
        <is>
          <t>SANDVIKEN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49217-2025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45938</v>
      </c>
      <c r="E315" s="1" t="n">
        <v>46307</v>
      </c>
      <c r="F315" t="inlineStr">
        <is>
          <t>GÄVLEBORGS LÄN</t>
        </is>
      </c>
      <c r="G315" t="inlineStr">
        <is>
          <t>SANDVIKEN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49706-2023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45212</v>
      </c>
      <c r="E316" s="1" t="n">
        <v>46307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46307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46307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45094</v>
      </c>
      <c r="E319" s="1" t="n">
        <v>46307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45182</v>
      </c>
      <c r="E320" s="1" t="n">
        <v>46307</v>
      </c>
      <c r="F320" t="inlineStr">
        <is>
          <t>GÄVLEBORGS LÄN</t>
        </is>
      </c>
      <c r="G320" t="inlineStr">
        <is>
          <t>SANDVIKEN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46307</v>
      </c>
      <c r="F321" t="inlineStr">
        <is>
          <t>GÄVLEBORGS LÄN</t>
        </is>
      </c>
      <c r="G321" t="inlineStr">
        <is>
          <t>SANDVIKEN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46307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46307</v>
      </c>
      <c r="F323" t="inlineStr">
        <is>
          <t>GÄVLEBORGS LÄN</t>
        </is>
      </c>
      <c r="G323" t="inlineStr">
        <is>
          <t>SANDVIKEN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46307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16.6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45208</v>
      </c>
      <c r="E325" s="1" t="n">
        <v>46307</v>
      </c>
      <c r="F325" t="inlineStr">
        <is>
          <t>GÄVLEBORGS LÄN</t>
        </is>
      </c>
      <c r="G325" t="inlineStr">
        <is>
          <t>SANDVIKEN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47395-2025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46307</v>
      </c>
      <c r="F326" t="inlineStr">
        <is>
          <t>GÄVLEBORGS LÄN</t>
        </is>
      </c>
      <c r="G326" t="inlineStr">
        <is>
          <t>SANDVIKEN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46307</v>
      </c>
      <c r="F327" t="inlineStr">
        <is>
          <t>GÄVLEBORGS LÄN</t>
        </is>
      </c>
      <c r="G327" t="inlineStr">
        <is>
          <t>SANDVIKEN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46307</v>
      </c>
      <c r="F328" t="inlineStr">
        <is>
          <t>GÄVLEBORGS LÄN</t>
        </is>
      </c>
      <c r="G328" t="inlineStr">
        <is>
          <t>SANDVIKEN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46307</v>
      </c>
      <c r="F329" t="inlineStr">
        <is>
          <t>GÄVLEBORGS LÄN</t>
        </is>
      </c>
      <c r="G329" t="inlineStr">
        <is>
          <t>SANDVIKEN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45211</v>
      </c>
      <c r="E330" s="1" t="n">
        <v>46307</v>
      </c>
      <c r="F330" t="inlineStr">
        <is>
          <t>GÄVLEBORGS LÄN</t>
        </is>
      </c>
      <c r="G330" t="inlineStr">
        <is>
          <t>SANDVIKEN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44988</v>
      </c>
      <c r="E331" s="1" t="n">
        <v>46307</v>
      </c>
      <c r="F331" t="inlineStr">
        <is>
          <t>GÄVLEBORGS LÄN</t>
        </is>
      </c>
      <c r="G331" t="inlineStr">
        <is>
          <t>SANDVIKEN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46307</v>
      </c>
      <c r="F332" t="inlineStr">
        <is>
          <t>GÄVLEBORGS LÄN</t>
        </is>
      </c>
      <c r="G332" t="inlineStr">
        <is>
          <t>SANDVIKEN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50851-2025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45946</v>
      </c>
      <c r="E333" s="1" t="n">
        <v>46307</v>
      </c>
      <c r="F333" t="inlineStr">
        <is>
          <t>GÄVLEBORGS LÄN</t>
        </is>
      </c>
      <c r="G333" t="inlineStr">
        <is>
          <t>SANDVIKEN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45945</v>
      </c>
      <c r="E334" s="1" t="n">
        <v>46307</v>
      </c>
      <c r="F334" t="inlineStr">
        <is>
          <t>GÄVLEBORGS LÄN</t>
        </is>
      </c>
      <c r="G334" t="inlineStr">
        <is>
          <t>SANDVIKEN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46307</v>
      </c>
      <c r="F335" t="inlineStr">
        <is>
          <t>GÄVLEBORGS LÄN</t>
        </is>
      </c>
      <c r="G335" t="inlineStr">
        <is>
          <t>SANDVIKEN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48799-2023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46307</v>
      </c>
      <c r="F336" t="inlineStr">
        <is>
          <t>GÄVLEBORGS LÄN</t>
        </is>
      </c>
      <c r="G336" t="inlineStr">
        <is>
          <t>SANDVIKEN</t>
        </is>
      </c>
      <c r="H336" t="inlineStr">
        <is>
          <t>Bergvik skog öst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46307</v>
      </c>
      <c r="F337" t="inlineStr">
        <is>
          <t>GÄVLEBORGS LÄN</t>
        </is>
      </c>
      <c r="G337" t="inlineStr">
        <is>
          <t>SANDVIKEN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46307</v>
      </c>
      <c r="F338" t="inlineStr">
        <is>
          <t>GÄVLEBORGS LÄN</t>
        </is>
      </c>
      <c r="G338" t="inlineStr">
        <is>
          <t>SANDVIKEN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45261</v>
      </c>
      <c r="E339" s="1" t="n">
        <v>46307</v>
      </c>
      <c r="F339" t="inlineStr">
        <is>
          <t>GÄVLEBORGS LÄN</t>
        </is>
      </c>
      <c r="G339" t="inlineStr">
        <is>
          <t>SANDVIKEN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46307</v>
      </c>
      <c r="F340" t="inlineStr">
        <is>
          <t>GÄVLEBORGS LÄN</t>
        </is>
      </c>
      <c r="G340" t="inlineStr">
        <is>
          <t>SANDVIKEN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45478</v>
      </c>
      <c r="E341" s="1" t="n">
        <v>46307</v>
      </c>
      <c r="F341" t="inlineStr">
        <is>
          <t>GÄVLEBORGS LÄN</t>
        </is>
      </c>
      <c r="G341" t="inlineStr">
        <is>
          <t>SANDVIKEN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46307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46307</v>
      </c>
      <c r="F343" t="inlineStr">
        <is>
          <t>GÄVLEBORGS LÄN</t>
        </is>
      </c>
      <c r="G343" t="inlineStr">
        <is>
          <t>SANDVIKEN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45819</v>
      </c>
      <c r="E344" s="1" t="n">
        <v>46307</v>
      </c>
      <c r="F344" t="inlineStr">
        <is>
          <t>GÄVLEBORGS LÄN</t>
        </is>
      </c>
      <c r="G344" t="inlineStr">
        <is>
          <t>SANDVIKEN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44797</v>
      </c>
      <c r="E345" s="1" t="n">
        <v>46307</v>
      </c>
      <c r="F345" t="inlineStr">
        <is>
          <t>GÄVLEBORGS LÄN</t>
        </is>
      </c>
      <c r="G345" t="inlineStr">
        <is>
          <t>SANDVIKEN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46307</v>
      </c>
      <c r="F346" t="inlineStr">
        <is>
          <t>GÄVLEBORGS LÄN</t>
        </is>
      </c>
      <c r="G346" t="inlineStr">
        <is>
          <t>SANDVIKEN</t>
        </is>
      </c>
      <c r="H346" t="inlineStr">
        <is>
          <t>Naturvårdsverket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46307</v>
      </c>
      <c r="F347" t="inlineStr">
        <is>
          <t>GÄVLEBORGS LÄN</t>
        </is>
      </c>
      <c r="G347" t="inlineStr">
        <is>
          <t>SANDVIKEN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45701</v>
      </c>
      <c r="E348" s="1" t="n">
        <v>46307</v>
      </c>
      <c r="F348" t="inlineStr">
        <is>
          <t>GÄVLEBORGS LÄN</t>
        </is>
      </c>
      <c r="G348" t="inlineStr">
        <is>
          <t>SANDVIKEN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45701</v>
      </c>
      <c r="E349" s="1" t="n">
        <v>46307</v>
      </c>
      <c r="F349" t="inlineStr">
        <is>
          <t>GÄVLEBORGS LÄN</t>
        </is>
      </c>
      <c r="G349" t="inlineStr">
        <is>
          <t>SANDVIKEN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46307</v>
      </c>
      <c r="F350" t="inlineStr">
        <is>
          <t>GÄVLEBORGS LÄN</t>
        </is>
      </c>
      <c r="G350" t="inlineStr">
        <is>
          <t>SANDVIKEN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30203-2025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46307</v>
      </c>
      <c r="F351" t="inlineStr">
        <is>
          <t>GÄVLEBORGS LÄN</t>
        </is>
      </c>
      <c r="G351" t="inlineStr">
        <is>
          <t>SANDVIKEN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15907-2023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46307</v>
      </c>
      <c r="F352" t="inlineStr">
        <is>
          <t>GÄVLEBORGS LÄN</t>
        </is>
      </c>
      <c r="G352" t="inlineStr">
        <is>
          <t>SANDVIKEN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46307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46307</v>
      </c>
      <c r="F354" t="inlineStr">
        <is>
          <t>GÄVLEBORGS LÄN</t>
        </is>
      </c>
      <c r="G354" t="inlineStr">
        <is>
          <t>SANDVIKEN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46307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30843-2025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45831</v>
      </c>
      <c r="E356" s="1" t="n">
        <v>46307</v>
      </c>
      <c r="F356" t="inlineStr">
        <is>
          <t>GÄVLEBORGS LÄN</t>
        </is>
      </c>
      <c r="G356" t="inlineStr">
        <is>
          <t>SANDVIKEN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45769</v>
      </c>
      <c r="E357" s="1" t="n">
        <v>46307</v>
      </c>
      <c r="F357" t="inlineStr">
        <is>
          <t>GÄVLEBORGS LÄN</t>
        </is>
      </c>
      <c r="G357" t="inlineStr">
        <is>
          <t>SANDVIKEN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45957</v>
      </c>
      <c r="E358" s="1" t="n">
        <v>46307</v>
      </c>
      <c r="F358" t="inlineStr">
        <is>
          <t>GÄVLEBORGS LÄN</t>
        </is>
      </c>
      <c r="G358" t="inlineStr">
        <is>
          <t>SANDVIKEN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  <c r="Z358">
        <f>HYPERLINK("https://klasma.github.io/Logging_2181/knärot/A 52786-2025 karta knärot.png", "A 52786-2025")</f>
        <v/>
      </c>
      <c r="AA358">
        <f>HYPERLINK("https://klasma.github.io/Logging_2181/klagomål/A 52786-2025 FSC-klagomål.docx", "A 52786-2025")</f>
        <v/>
      </c>
      <c r="AB358">
        <f>HYPERLINK("https://klasma.github.io/Logging_2181/klagomålsmail/A 52786-2025 FSC-klagomål mail.docx", "A 52786-2025")</f>
        <v/>
      </c>
      <c r="AC358">
        <f>HYPERLINK("https://klasma.github.io/Logging_2181/tillsyn/A 52786-2025 tillsynsbegäran.docx", "A 52786-2025")</f>
        <v/>
      </c>
      <c r="AD358">
        <f>HYPERLINK("https://klasma.github.io/Logging_2181/tillsynsmail/A 52786-2025 tillsynsbegäran mail.docx", "A 52786-2025")</f>
        <v/>
      </c>
    </row>
    <row r="359" ht="15" customHeight="1">
      <c r="A359" t="inlineStr">
        <is>
          <t>A 31460-2025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45833</v>
      </c>
      <c r="E359" s="1" t="n">
        <v>46307</v>
      </c>
      <c r="F359" t="inlineStr">
        <is>
          <t>GÄVLEBORGS LÄN</t>
        </is>
      </c>
      <c r="G359" t="inlineStr">
        <is>
          <t>SANDVIKEN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58911-2023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46307</v>
      </c>
      <c r="F360" t="inlineStr">
        <is>
          <t>GÄVLEBORGS LÄN</t>
        </is>
      </c>
      <c r="G360" t="inlineStr">
        <is>
          <t>SANDVIKEN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58562-2023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46307</v>
      </c>
      <c r="F361" t="inlineStr">
        <is>
          <t>GÄVLEBORGS LÄN</t>
        </is>
      </c>
      <c r="G361" t="inlineStr">
        <is>
          <t>SANDVIKEN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45589</v>
      </c>
      <c r="E362" s="1" t="n">
        <v>46307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25544-2024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45463</v>
      </c>
      <c r="E363" s="1" t="n">
        <v>46307</v>
      </c>
      <c r="F363" t="inlineStr">
        <is>
          <t>GÄVLEBORGS LÄN</t>
        </is>
      </c>
      <c r="G363" t="inlineStr">
        <is>
          <t>SANDVIKEN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46307</v>
      </c>
      <c r="F364" t="inlineStr">
        <is>
          <t>GÄVLEBORGS LÄN</t>
        </is>
      </c>
      <c r="G364" t="inlineStr">
        <is>
          <t>SANDVIKEN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45602</v>
      </c>
      <c r="E365" s="1" t="n">
        <v>46307</v>
      </c>
      <c r="F365" t="inlineStr">
        <is>
          <t>GÄVLEBORGS LÄN</t>
        </is>
      </c>
      <c r="G365" t="inlineStr">
        <is>
          <t>SANDVIKEN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33015-2025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46307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27.3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46307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46307</v>
      </c>
      <c r="F368" t="inlineStr">
        <is>
          <t>GÄVLEBORGS LÄN</t>
        </is>
      </c>
      <c r="G368" t="inlineStr">
        <is>
          <t>SANDVIKEN</t>
        </is>
      </c>
      <c r="I368" t="n">
        <v>9.199999999999999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46307</v>
      </c>
      <c r="F369" t="inlineStr">
        <is>
          <t>GÄVLEBORGS LÄN</t>
        </is>
      </c>
      <c r="G369" t="inlineStr">
        <is>
          <t>SANDVIKEN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45408</v>
      </c>
      <c r="E370" s="1" t="n">
        <v>46307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väst AB</t>
        </is>
      </c>
      <c r="I370" t="n">
        <v>14.2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53719-2024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45615</v>
      </c>
      <c r="E371" s="1" t="n">
        <v>46307</v>
      </c>
      <c r="F371" t="inlineStr">
        <is>
          <t>GÄVLEBORGS LÄN</t>
        </is>
      </c>
      <c r="G371" t="inlineStr">
        <is>
          <t>SANDVIKEN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46307</v>
      </c>
      <c r="F372" t="inlineStr">
        <is>
          <t>GÄVLEBORGS LÄN</t>
        </is>
      </c>
      <c r="G372" t="inlineStr">
        <is>
          <t>SANDVIKEN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45845</v>
      </c>
      <c r="E373" s="1" t="n">
        <v>46307</v>
      </c>
      <c r="F373" t="inlineStr">
        <is>
          <t>GÄVLEBORGS LÄN</t>
        </is>
      </c>
      <c r="G373" t="inlineStr">
        <is>
          <t>SANDVIKEN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46307</v>
      </c>
      <c r="F374" t="inlineStr">
        <is>
          <t>GÄVLEBORGS LÄN</t>
        </is>
      </c>
      <c r="G374" t="inlineStr">
        <is>
          <t>SANDVIKEN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55355-2025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46307</v>
      </c>
      <c r="F375" t="inlineStr">
        <is>
          <t>GÄVLEBORGS LÄN</t>
        </is>
      </c>
      <c r="G375" t="inlineStr">
        <is>
          <t>SANDVIKEN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45762</v>
      </c>
      <c r="E376" s="1" t="n">
        <v>46307</v>
      </c>
      <c r="F376" t="inlineStr">
        <is>
          <t>GÄVLEBORGS LÄN</t>
        </is>
      </c>
      <c r="G376" t="inlineStr">
        <is>
          <t>SANDVIKEN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44582</v>
      </c>
      <c r="E377" s="1" t="n">
        <v>46307</v>
      </c>
      <c r="F377" t="inlineStr">
        <is>
          <t>GÄVLEBORGS LÄN</t>
        </is>
      </c>
      <c r="G377" t="inlineStr">
        <is>
          <t>SANDVIKEN</t>
        </is>
      </c>
      <c r="H377" t="inlineStr">
        <is>
          <t>Kyrkan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45693</v>
      </c>
      <c r="E378" s="1" t="n">
        <v>46307</v>
      </c>
      <c r="F378" t="inlineStr">
        <is>
          <t>GÄVLEBORGS LÄN</t>
        </is>
      </c>
      <c r="G378" t="inlineStr">
        <is>
          <t>SANDVIKEN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27967-2022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44744</v>
      </c>
      <c r="E379" s="1" t="n">
        <v>46307</v>
      </c>
      <c r="F379" t="inlineStr">
        <is>
          <t>GÄVLEBORGS LÄN</t>
        </is>
      </c>
      <c r="G379" t="inlineStr">
        <is>
          <t>SANDVIKEN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46307</v>
      </c>
      <c r="F380" t="inlineStr">
        <is>
          <t>GÄVLEBORGS LÄN</t>
        </is>
      </c>
      <c r="G380" t="inlineStr">
        <is>
          <t>SANDVIKEN</t>
        </is>
      </c>
      <c r="I380" t="n">
        <v>10.4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45730</v>
      </c>
      <c r="E381" s="1" t="n">
        <v>46307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45246</v>
      </c>
      <c r="E382" s="1" t="n">
        <v>46307</v>
      </c>
      <c r="F382" t="inlineStr">
        <is>
          <t>GÄVLEBORGS LÄN</t>
        </is>
      </c>
      <c r="G382" t="inlineStr">
        <is>
          <t>SANDVIKEN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45649</v>
      </c>
      <c r="E383" s="1" t="n">
        <v>46307</v>
      </c>
      <c r="F383" t="inlineStr">
        <is>
          <t>GÄVLEBORGS LÄN</t>
        </is>
      </c>
      <c r="G383" t="inlineStr">
        <is>
          <t>SANDVIKEN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61859-2024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45649</v>
      </c>
      <c r="E384" s="1" t="n">
        <v>46307</v>
      </c>
      <c r="F384" t="inlineStr">
        <is>
          <t>GÄVLEBORGS LÄN</t>
        </is>
      </c>
      <c r="G384" t="inlineStr">
        <is>
          <t>SANDVIKEN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45321</v>
      </c>
      <c r="E385" s="1" t="n">
        <v>46307</v>
      </c>
      <c r="F385" t="inlineStr">
        <is>
          <t>GÄVLEBORGS LÄN</t>
        </is>
      </c>
      <c r="G385" t="inlineStr">
        <is>
          <t>SANDVIKEN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35252-2024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45530</v>
      </c>
      <c r="E386" s="1" t="n">
        <v>46307</v>
      </c>
      <c r="F386" t="inlineStr">
        <is>
          <t>GÄVLEBORGS LÄN</t>
        </is>
      </c>
      <c r="G386" t="inlineStr">
        <is>
          <t>SANDVIKEN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45866</v>
      </c>
      <c r="E387" s="1" t="n">
        <v>46307</v>
      </c>
      <c r="F387" t="inlineStr">
        <is>
          <t>GÄVLEBORGS LÄN</t>
        </is>
      </c>
      <c r="G387" t="inlineStr">
        <is>
          <t>SANDVIKEN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46307</v>
      </c>
      <c r="F388" t="inlineStr">
        <is>
          <t>GÄVLEBORGS LÄN</t>
        </is>
      </c>
      <c r="G388" t="inlineStr">
        <is>
          <t>SANDVIKEN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45866</v>
      </c>
      <c r="E389" s="1" t="n">
        <v>46307</v>
      </c>
      <c r="F389" t="inlineStr">
        <is>
          <t>GÄVLEBORGS LÄN</t>
        </is>
      </c>
      <c r="G389" t="inlineStr">
        <is>
          <t>SANDVIKEN</t>
        </is>
      </c>
      <c r="H389" t="inlineStr">
        <is>
          <t>Sveaskog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46307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45867</v>
      </c>
      <c r="E391" s="1" t="n">
        <v>46307</v>
      </c>
      <c r="F391" t="inlineStr">
        <is>
          <t>GÄVLEBORGS LÄN</t>
        </is>
      </c>
      <c r="G391" t="inlineStr">
        <is>
          <t>SANDVIKEN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52772-2023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45226</v>
      </c>
      <c r="E392" s="1" t="n">
        <v>46307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46307</v>
      </c>
      <c r="F393" t="inlineStr">
        <is>
          <t>GÄVLEBORGS LÄN</t>
        </is>
      </c>
      <c r="G393" t="inlineStr">
        <is>
          <t>SANDVIKEN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45977</v>
      </c>
      <c r="E394" s="1" t="n">
        <v>46307</v>
      </c>
      <c r="F394" t="inlineStr">
        <is>
          <t>GÄVLEBORGS LÄN</t>
        </is>
      </c>
      <c r="G394" t="inlineStr">
        <is>
          <t>SANDVIKEN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57261-2025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45979</v>
      </c>
      <c r="E395" s="1" t="n">
        <v>46307</v>
      </c>
      <c r="F395" t="inlineStr">
        <is>
          <t>GÄVLEBORGS LÄN</t>
        </is>
      </c>
      <c r="G395" t="inlineStr">
        <is>
          <t>SANDVIKEN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45989-2023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45196</v>
      </c>
      <c r="E396" s="1" t="n">
        <v>46307</v>
      </c>
      <c r="F396" t="inlineStr">
        <is>
          <t>GÄVLEBORGS LÄN</t>
        </is>
      </c>
      <c r="G396" t="inlineStr">
        <is>
          <t>SANDVIKEN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44101-2023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45188</v>
      </c>
      <c r="E397" s="1" t="n">
        <v>46307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44796</v>
      </c>
      <c r="E398" s="1" t="n">
        <v>46307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32849-2022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44784</v>
      </c>
      <c r="E399" s="1" t="n">
        <v>46307</v>
      </c>
      <c r="F399" t="inlineStr">
        <is>
          <t>GÄVLEBORGS LÄN</t>
        </is>
      </c>
      <c r="G399" t="inlineStr">
        <is>
          <t>SANDVIKEN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46307</v>
      </c>
      <c r="F400" t="inlineStr">
        <is>
          <t>GÄVLEBORGS LÄN</t>
        </is>
      </c>
      <c r="G400" t="inlineStr">
        <is>
          <t>SANDVIKEN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45873</v>
      </c>
      <c r="E401" s="1" t="n">
        <v>46307</v>
      </c>
      <c r="F401" t="inlineStr">
        <is>
          <t>GÄVLEBORGS LÄN</t>
        </is>
      </c>
      <c r="G401" t="inlineStr">
        <is>
          <t>SANDVIKEN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44846</v>
      </c>
      <c r="E402" s="1" t="n">
        <v>46307</v>
      </c>
      <c r="F402" t="inlineStr">
        <is>
          <t>GÄVLEBORGS LÄN</t>
        </is>
      </c>
      <c r="G402" t="inlineStr">
        <is>
          <t>SANDVIKEN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45873</v>
      </c>
      <c r="E403" s="1" t="n">
        <v>46307</v>
      </c>
      <c r="F403" t="inlineStr">
        <is>
          <t>GÄVLEBORGS LÄN</t>
        </is>
      </c>
      <c r="G403" t="inlineStr">
        <is>
          <t>SANDVIKEN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45873</v>
      </c>
      <c r="E404" s="1" t="n">
        <v>46307</v>
      </c>
      <c r="F404" t="inlineStr">
        <is>
          <t>GÄVLEBORGS LÄN</t>
        </is>
      </c>
      <c r="G404" t="inlineStr">
        <is>
          <t>SANDVIKEN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36671-2023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45153</v>
      </c>
      <c r="E405" s="1" t="n">
        <v>46307</v>
      </c>
      <c r="F405" t="inlineStr">
        <is>
          <t>GÄVLEBORGS LÄN</t>
        </is>
      </c>
      <c r="G405" t="inlineStr">
        <is>
          <t>SANDVIKEN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45488</v>
      </c>
      <c r="E406" s="1" t="n">
        <v>46307</v>
      </c>
      <c r="F406" t="inlineStr">
        <is>
          <t>GÄVLEBORGS LÄN</t>
        </is>
      </c>
      <c r="G406" t="inlineStr">
        <is>
          <t>SANDVIKEN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45670</v>
      </c>
      <c r="E407" s="1" t="n">
        <v>46307</v>
      </c>
      <c r="F407" t="inlineStr">
        <is>
          <t>GÄVLEBORGS LÄN</t>
        </is>
      </c>
      <c r="G407" t="inlineStr">
        <is>
          <t>SANDVIKEN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45102-2022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44843</v>
      </c>
      <c r="E408" s="1" t="n">
        <v>46307</v>
      </c>
      <c r="F408" t="inlineStr">
        <is>
          <t>GÄVLEBORGS LÄN</t>
        </is>
      </c>
      <c r="G408" t="inlineStr">
        <is>
          <t>SANDVIKEN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46307</v>
      </c>
      <c r="F409" t="inlineStr">
        <is>
          <t>GÄVLEBORGS LÄN</t>
        </is>
      </c>
      <c r="G409" t="inlineStr">
        <is>
          <t>SANDVIKEN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44586</v>
      </c>
      <c r="E410" s="1" t="n">
        <v>46307</v>
      </c>
      <c r="F410" t="inlineStr">
        <is>
          <t>GÄVLEBORGS LÄN</t>
        </is>
      </c>
      <c r="G410" t="inlineStr">
        <is>
          <t>SANDVIKEN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46307</v>
      </c>
      <c r="F411" t="inlineStr">
        <is>
          <t>GÄVLEBORGS LÄN</t>
        </is>
      </c>
      <c r="G411" t="inlineStr">
        <is>
          <t>SANDVIKEN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64801-2023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45282</v>
      </c>
      <c r="E412" s="1" t="n">
        <v>46307</v>
      </c>
      <c r="F412" t="inlineStr">
        <is>
          <t>GÄVLEBORGS LÄN</t>
        </is>
      </c>
      <c r="G412" t="inlineStr">
        <is>
          <t>SANDVIKEN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45264</v>
      </c>
      <c r="E413" s="1" t="n">
        <v>46307</v>
      </c>
      <c r="F413" t="inlineStr">
        <is>
          <t>GÄVLEBORGS LÄN</t>
        </is>
      </c>
      <c r="G413" t="inlineStr">
        <is>
          <t>SANDVIKEN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46307</v>
      </c>
      <c r="F414" t="inlineStr">
        <is>
          <t>GÄVLEBORGS LÄN</t>
        </is>
      </c>
      <c r="G414" t="inlineStr">
        <is>
          <t>SANDVIKEN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46095</v>
      </c>
      <c r="E415" s="1" t="n">
        <v>46307</v>
      </c>
      <c r="F415" t="inlineStr">
        <is>
          <t>GÄVLEBORGS LÄN</t>
        </is>
      </c>
      <c r="G415" t="inlineStr">
        <is>
          <t>SANDVIKEN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61537-2023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45265</v>
      </c>
      <c r="E416" s="1" t="n">
        <v>46307</v>
      </c>
      <c r="F416" t="inlineStr">
        <is>
          <t>GÄVLEBORGS LÄN</t>
        </is>
      </c>
      <c r="G416" t="inlineStr">
        <is>
          <t>SANDVIKEN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46307</v>
      </c>
      <c r="F417" t="inlineStr">
        <is>
          <t>GÄVLEBORGS LÄN</t>
        </is>
      </c>
      <c r="G417" t="inlineStr">
        <is>
          <t>SANDVIKEN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49518-2023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46307</v>
      </c>
      <c r="F418" t="inlineStr">
        <is>
          <t>GÄVLEBORGS LÄN</t>
        </is>
      </c>
      <c r="G418" t="inlineStr">
        <is>
          <t>SANDVIKEN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46307</v>
      </c>
      <c r="F419" t="inlineStr">
        <is>
          <t>GÄVLEBORGS LÄN</t>
        </is>
      </c>
      <c r="G419" t="inlineStr">
        <is>
          <t>SANDVIKEN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46307</v>
      </c>
      <c r="F420" t="inlineStr">
        <is>
          <t>GÄVLEBORGS LÄN</t>
        </is>
      </c>
      <c r="G420" t="inlineStr">
        <is>
          <t>SANDVIKEN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14094-2026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46307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46307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46307</v>
      </c>
      <c r="F423" t="inlineStr">
        <is>
          <t>GÄVLEBORGS LÄN</t>
        </is>
      </c>
      <c r="G423" t="inlineStr">
        <is>
          <t>SANDVIKEN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14192-2026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46307</v>
      </c>
      <c r="F424" t="inlineStr">
        <is>
          <t>GÄVLEBORGS LÄN</t>
        </is>
      </c>
      <c r="G424" t="inlineStr">
        <is>
          <t>SANDVIKEN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46307</v>
      </c>
      <c r="F425" t="inlineStr">
        <is>
          <t>GÄVLEBORGS LÄN</t>
        </is>
      </c>
      <c r="G425" t="inlineStr">
        <is>
          <t>SANDVIKEN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58592-2025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46307</v>
      </c>
      <c r="F426" t="inlineStr">
        <is>
          <t>GÄVLEBORGS LÄN</t>
        </is>
      </c>
      <c r="G426" t="inlineStr">
        <is>
          <t>SANDVIKEN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14330-2026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46100</v>
      </c>
      <c r="E427" s="1" t="n">
        <v>46307</v>
      </c>
      <c r="F427" t="inlineStr">
        <is>
          <t>GÄVLEBORGS LÄN</t>
        </is>
      </c>
      <c r="G427" t="inlineStr">
        <is>
          <t>SANDVIKEN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46307</v>
      </c>
      <c r="F428" t="inlineStr">
        <is>
          <t>GÄVLEBORGS LÄN</t>
        </is>
      </c>
      <c r="G428" t="inlineStr">
        <is>
          <t>SANDVIKEN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58207-2025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46307</v>
      </c>
      <c r="F429" t="inlineStr">
        <is>
          <t>GÄVLEBORGS LÄN</t>
        </is>
      </c>
      <c r="G429" t="inlineStr">
        <is>
          <t>SANDVIKEN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45293</v>
      </c>
      <c r="E430" s="1" t="n">
        <v>46307</v>
      </c>
      <c r="F430" t="inlineStr">
        <is>
          <t>GÄVLEBORGS LÄN</t>
        </is>
      </c>
      <c r="G430" t="inlineStr">
        <is>
          <t>SANDVIKEN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45293</v>
      </c>
      <c r="E431" s="1" t="n">
        <v>46307</v>
      </c>
      <c r="F431" t="inlineStr">
        <is>
          <t>GÄVLEBORGS LÄN</t>
        </is>
      </c>
      <c r="G431" t="inlineStr">
        <is>
          <t>SANDVIKEN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46101</v>
      </c>
      <c r="E432" s="1" t="n">
        <v>46307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45983</v>
      </c>
      <c r="E433" s="1" t="n">
        <v>46307</v>
      </c>
      <c r="F433" t="inlineStr">
        <is>
          <t>GÄVLEBORGS LÄN</t>
        </is>
      </c>
      <c r="G433" t="inlineStr">
        <is>
          <t>SANDVIKEN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45700</v>
      </c>
      <c r="E434" s="1" t="n">
        <v>46307</v>
      </c>
      <c r="F434" t="inlineStr">
        <is>
          <t>GÄVLEBORGS LÄN</t>
        </is>
      </c>
      <c r="G434" t="inlineStr">
        <is>
          <t>SANDVIKEN</t>
        </is>
      </c>
      <c r="I434" t="n">
        <v>7.1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46307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45660</v>
      </c>
      <c r="E436" s="1" t="n">
        <v>46307</v>
      </c>
      <c r="F436" t="inlineStr">
        <is>
          <t>GÄVLEBORGS LÄN</t>
        </is>
      </c>
      <c r="G436" t="inlineStr">
        <is>
          <t>SANDVIKEN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46307</v>
      </c>
      <c r="F437" t="inlineStr">
        <is>
          <t>GÄVLEBORGS LÄN</t>
        </is>
      </c>
      <c r="G437" t="inlineStr">
        <is>
          <t>SANDVIKEN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58197-2025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45984</v>
      </c>
      <c r="E438" s="1" t="n">
        <v>46307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15778-2026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46107</v>
      </c>
      <c r="E439" s="1" t="n">
        <v>46307</v>
      </c>
      <c r="F439" t="inlineStr">
        <is>
          <t>GÄVLEBORGS LÄN</t>
        </is>
      </c>
      <c r="G439" t="inlineStr">
        <is>
          <t>SANDVIKEN</t>
        </is>
      </c>
      <c r="H439" t="inlineStr">
        <is>
          <t>Kommuner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45257</v>
      </c>
      <c r="E440" s="1" t="n">
        <v>46307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45984</v>
      </c>
      <c r="E441" s="1" t="n">
        <v>46307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45984</v>
      </c>
      <c r="E442" s="1" t="n">
        <v>46307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46107</v>
      </c>
      <c r="E443" s="1" t="n">
        <v>46307</v>
      </c>
      <c r="F443" t="inlineStr">
        <is>
          <t>GÄVLEBORGS LÄN</t>
        </is>
      </c>
      <c r="G443" t="inlineStr">
        <is>
          <t>SANDVIKEN</t>
        </is>
      </c>
      <c r="H443" t="inlineStr">
        <is>
          <t>Kommuner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46307</v>
      </c>
      <c r="F444" t="inlineStr">
        <is>
          <t>GÄVLEBORGS LÄN</t>
        </is>
      </c>
      <c r="G444" t="inlineStr">
        <is>
          <t>SANDVIKEN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45540</v>
      </c>
      <c r="E445" s="1" t="n">
        <v>46307</v>
      </c>
      <c r="F445" t="inlineStr">
        <is>
          <t>GÄVLEBORGS LÄN</t>
        </is>
      </c>
      <c r="G445" t="inlineStr">
        <is>
          <t>SANDVIKEN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46307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34013-2024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45523</v>
      </c>
      <c r="E447" s="1" t="n">
        <v>46307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16328-2026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46307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16019-2026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46108</v>
      </c>
      <c r="E449" s="1" t="n">
        <v>46307</v>
      </c>
      <c r="F449" t="inlineStr">
        <is>
          <t>GÄVLEBORGS LÄN</t>
        </is>
      </c>
      <c r="G449" t="inlineStr">
        <is>
          <t>SANDVIKEN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46307</v>
      </c>
      <c r="F450" t="inlineStr">
        <is>
          <t>GÄVLEBORGS LÄN</t>
        </is>
      </c>
      <c r="G450" t="inlineStr">
        <is>
          <t>SANDVIKEN</t>
        </is>
      </c>
      <c r="H450" t="inlineStr">
        <is>
          <t>Kommuner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46111</v>
      </c>
      <c r="E451" s="1" t="n">
        <v>46307</v>
      </c>
      <c r="F451" t="inlineStr">
        <is>
          <t>GÄVLEBORGS LÄN</t>
        </is>
      </c>
      <c r="G451" t="inlineStr">
        <is>
          <t>SANDVIKEN</t>
        </is>
      </c>
      <c r="H451" t="inlineStr">
        <is>
          <t>Kommuner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46108</v>
      </c>
      <c r="E452" s="1" t="n">
        <v>46307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46307</v>
      </c>
      <c r="F453" t="inlineStr">
        <is>
          <t>GÄVLEBORGS LÄN</t>
        </is>
      </c>
      <c r="G453" t="inlineStr">
        <is>
          <t>SANDVIKEN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59755-2025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46307</v>
      </c>
      <c r="F454" t="inlineStr">
        <is>
          <t>GÄVLEBORGS LÄN</t>
        </is>
      </c>
      <c r="G454" t="inlineStr">
        <is>
          <t>SANDVIKEN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16980-2025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45755</v>
      </c>
      <c r="E455" s="1" t="n">
        <v>46307</v>
      </c>
      <c r="F455" t="inlineStr">
        <is>
          <t>GÄVLEBORGS LÄN</t>
        </is>
      </c>
      <c r="G455" t="inlineStr">
        <is>
          <t>SANDVIKEN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59750-2025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46307</v>
      </c>
      <c r="F456" t="inlineStr">
        <is>
          <t>GÄVLEBORGS LÄN</t>
        </is>
      </c>
      <c r="G456" t="inlineStr">
        <is>
          <t>SANDVIKEN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16569-2026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46307</v>
      </c>
      <c r="F457" t="inlineStr">
        <is>
          <t>GÄVLEBORGS LÄN</t>
        </is>
      </c>
      <c r="G457" t="inlineStr">
        <is>
          <t>SANDVIKEN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59718-2025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45992</v>
      </c>
      <c r="E458" s="1" t="n">
        <v>46307</v>
      </c>
      <c r="F458" t="inlineStr">
        <is>
          <t>GÄVLEBORGS LÄN</t>
        </is>
      </c>
      <c r="G458" t="inlineStr">
        <is>
          <t>SANDVIKEN</t>
        </is>
      </c>
      <c r="I458" t="n">
        <v>10.2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49211-2023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45210</v>
      </c>
      <c r="E459" s="1" t="n">
        <v>46307</v>
      </c>
      <c r="F459" t="inlineStr">
        <is>
          <t>GÄVLEBORGS LÄN</t>
        </is>
      </c>
      <c r="G459" t="inlineStr">
        <is>
          <t>SANDVIKEN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59738-2022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44908</v>
      </c>
      <c r="E460" s="1" t="n">
        <v>46307</v>
      </c>
      <c r="F460" t="inlineStr">
        <is>
          <t>GÄVLEBORGS LÄN</t>
        </is>
      </c>
      <c r="G460" t="inlineStr">
        <is>
          <t>SANDVIKEN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46307</v>
      </c>
      <c r="F461" t="inlineStr">
        <is>
          <t>GÄVLEBORGS LÄN</t>
        </is>
      </c>
      <c r="G461" t="inlineStr">
        <is>
          <t>SANDVIKEN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71995-2021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44544</v>
      </c>
      <c r="E462" s="1" t="n">
        <v>46307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58796-2024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46307</v>
      </c>
      <c r="F463" t="inlineStr">
        <is>
          <t>GÄVLEBORGS LÄN</t>
        </is>
      </c>
      <c r="G463" t="inlineStr">
        <is>
          <t>SANDVIKEN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46115</v>
      </c>
      <c r="E464" s="1" t="n">
        <v>46307</v>
      </c>
      <c r="F464" t="inlineStr">
        <is>
          <t>GÄVLEBORGS LÄN</t>
        </is>
      </c>
      <c r="G464" t="inlineStr">
        <is>
          <t>SANDVIKEN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46115</v>
      </c>
      <c r="E465" s="1" t="n">
        <v>46307</v>
      </c>
      <c r="F465" t="inlineStr">
        <is>
          <t>GÄVLEBORGS LÄN</t>
        </is>
      </c>
      <c r="G465" t="inlineStr">
        <is>
          <t>SANDVIKEN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46115</v>
      </c>
      <c r="E466" s="1" t="n">
        <v>46307</v>
      </c>
      <c r="F466" t="inlineStr">
        <is>
          <t>GÄVLEBORGS LÄN</t>
        </is>
      </c>
      <c r="G466" t="inlineStr">
        <is>
          <t>SANDVIKEN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45721</v>
      </c>
      <c r="E467" s="1" t="n">
        <v>46307</v>
      </c>
      <c r="F467" t="inlineStr">
        <is>
          <t>GÄVLEBORGS LÄN</t>
        </is>
      </c>
      <c r="G467" t="inlineStr">
        <is>
          <t>SANDVIKEN</t>
        </is>
      </c>
      <c r="H467" t="inlineStr">
        <is>
          <t>Sveaskog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10580-2025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45721</v>
      </c>
      <c r="E468" s="1" t="n">
        <v>46307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46115</v>
      </c>
      <c r="E469" s="1" t="n">
        <v>46307</v>
      </c>
      <c r="F469" t="inlineStr">
        <is>
          <t>GÄVLEBORGS LÄN</t>
        </is>
      </c>
      <c r="G469" t="inlineStr">
        <is>
          <t>SANDVIKEN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46114</v>
      </c>
      <c r="E470" s="1" t="n">
        <v>46307</v>
      </c>
      <c r="F470" t="inlineStr">
        <is>
          <t>GÄVLEBORGS LÄN</t>
        </is>
      </c>
      <c r="G470" t="inlineStr">
        <is>
          <t>SANDVIKEN</t>
        </is>
      </c>
      <c r="I470" t="n">
        <v>10.3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46115</v>
      </c>
      <c r="E471" s="1" t="n">
        <v>46307</v>
      </c>
      <c r="F471" t="inlineStr">
        <is>
          <t>GÄVLEBORGS LÄN</t>
        </is>
      </c>
      <c r="G471" t="inlineStr">
        <is>
          <t>SANDVIKEN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46307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17361-2026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46119</v>
      </c>
      <c r="E473" s="1" t="n">
        <v>46307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46116</v>
      </c>
      <c r="E474" s="1" t="n">
        <v>46307</v>
      </c>
      <c r="F474" t="inlineStr">
        <is>
          <t>GÄVLEBORGS LÄN</t>
        </is>
      </c>
      <c r="G474" t="inlineStr">
        <is>
          <t>SANDVIKEN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46116</v>
      </c>
      <c r="E475" s="1" t="n">
        <v>46307</v>
      </c>
      <c r="F475" t="inlineStr">
        <is>
          <t>GÄVLEBORGS LÄN</t>
        </is>
      </c>
      <c r="G475" t="inlineStr">
        <is>
          <t>SANDVIKEN</t>
        </is>
      </c>
      <c r="I475" t="n">
        <v>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17360-2026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46119</v>
      </c>
      <c r="E476" s="1" t="n">
        <v>46307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46115</v>
      </c>
      <c r="E477" s="1" t="n">
        <v>46307</v>
      </c>
      <c r="F477" t="inlineStr">
        <is>
          <t>GÄVLEBORGS LÄN</t>
        </is>
      </c>
      <c r="G477" t="inlineStr">
        <is>
          <t>SANDVIKEN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46116</v>
      </c>
      <c r="E478" s="1" t="n">
        <v>46307</v>
      </c>
      <c r="F478" t="inlineStr">
        <is>
          <t>GÄVLEBORGS LÄN</t>
        </is>
      </c>
      <c r="G478" t="inlineStr">
        <is>
          <t>SANDVIKEN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46307</v>
      </c>
      <c r="F479" t="inlineStr">
        <is>
          <t>GÄVLEBORGS LÄN</t>
        </is>
      </c>
      <c r="G479" t="inlineStr">
        <is>
          <t>SANDVIKEN</t>
        </is>
      </c>
      <c r="H479" t="inlineStr">
        <is>
          <t>Bergvik skog öst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46307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46307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46307</v>
      </c>
      <c r="F482" t="inlineStr">
        <is>
          <t>GÄVLEBORGS LÄN</t>
        </is>
      </c>
      <c r="G482" t="inlineStr">
        <is>
          <t>SANDVIKEN</t>
        </is>
      </c>
      <c r="H482" t="inlineStr">
        <is>
          <t>Sveaskog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17626-2026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46307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44988</v>
      </c>
      <c r="E484" s="1" t="n">
        <v>46307</v>
      </c>
      <c r="F484" t="inlineStr">
        <is>
          <t>GÄVLEBORGS LÄN</t>
        </is>
      </c>
      <c r="G484" t="inlineStr">
        <is>
          <t>SANDVIKEN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11447-2023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44988</v>
      </c>
      <c r="E485" s="1" t="n">
        <v>46307</v>
      </c>
      <c r="F485" t="inlineStr">
        <is>
          <t>GÄVLEBORGS LÄN</t>
        </is>
      </c>
      <c r="G485" t="inlineStr">
        <is>
          <t>SANDVIKEN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17596-2026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46121</v>
      </c>
      <c r="E486" s="1" t="n">
        <v>46307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46126</v>
      </c>
      <c r="E487" s="1" t="n">
        <v>46307</v>
      </c>
      <c r="F487" t="inlineStr">
        <is>
          <t>GÄVLEBORGS LÄN</t>
        </is>
      </c>
      <c r="G487" t="inlineStr">
        <is>
          <t>SANDVIKEN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46307</v>
      </c>
      <c r="F488" t="inlineStr">
        <is>
          <t>GÄVLEBORGS LÄN</t>
        </is>
      </c>
      <c r="G488" t="inlineStr">
        <is>
          <t>SANDVIKEN</t>
        </is>
      </c>
      <c r="I488" t="n">
        <v>9.6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46307</v>
      </c>
      <c r="F489" t="inlineStr">
        <is>
          <t>GÄVLEBORGS LÄN</t>
        </is>
      </c>
      <c r="G489" t="inlineStr">
        <is>
          <t>SANDVIKEN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46126</v>
      </c>
      <c r="E490" s="1" t="n">
        <v>46307</v>
      </c>
      <c r="F490" t="inlineStr">
        <is>
          <t>GÄVLEBORGS LÄN</t>
        </is>
      </c>
      <c r="G490" t="inlineStr">
        <is>
          <t>SANDVIKEN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46307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46307</v>
      </c>
      <c r="F492" t="inlineStr">
        <is>
          <t>GÄVLEBORGS LÄN</t>
        </is>
      </c>
      <c r="G492" t="inlineStr">
        <is>
          <t>SANDVIKEN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45022</v>
      </c>
      <c r="E493" s="1" t="n">
        <v>46307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väst AB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46130</v>
      </c>
      <c r="E494" s="1" t="n">
        <v>46307</v>
      </c>
      <c r="F494" t="inlineStr">
        <is>
          <t>GÄVLEBORGS LÄN</t>
        </is>
      </c>
      <c r="G494" t="inlineStr">
        <is>
          <t>SANDVIKEN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46132</v>
      </c>
      <c r="E495" s="1" t="n">
        <v>46307</v>
      </c>
      <c r="F495" t="inlineStr">
        <is>
          <t>GÄVLEBORGS LÄN</t>
        </is>
      </c>
      <c r="G495" t="inlineStr">
        <is>
          <t>SANDVIKEN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46307</v>
      </c>
      <c r="F496" t="inlineStr">
        <is>
          <t>GÄVLEBORGS LÄN</t>
        </is>
      </c>
      <c r="G496" t="inlineStr">
        <is>
          <t>SANDVIKEN</t>
        </is>
      </c>
      <c r="H496" t="inlineStr">
        <is>
          <t>Sveaskog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46307</v>
      </c>
      <c r="F497" t="inlineStr">
        <is>
          <t>GÄVLEBORGS LÄN</t>
        </is>
      </c>
      <c r="G497" t="inlineStr">
        <is>
          <t>SANDVIKEN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46129</v>
      </c>
      <c r="E498" s="1" t="n">
        <v>46307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46128</v>
      </c>
      <c r="E499" s="1" t="n">
        <v>46307</v>
      </c>
      <c r="F499" t="inlineStr">
        <is>
          <t>GÄVLEBORGS LÄN</t>
        </is>
      </c>
      <c r="G499" t="inlineStr">
        <is>
          <t>SANDVIKEN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19467-2026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46132</v>
      </c>
      <c r="E500" s="1" t="n">
        <v>46307</v>
      </c>
      <c r="F500" t="inlineStr">
        <is>
          <t>GÄVLEBORGS LÄN</t>
        </is>
      </c>
      <c r="G500" t="inlineStr">
        <is>
          <t>SANDVIKEN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45374</v>
      </c>
      <c r="E501" s="1" t="n">
        <v>46307</v>
      </c>
      <c r="F501" t="inlineStr">
        <is>
          <t>GÄVLEBORGS LÄN</t>
        </is>
      </c>
      <c r="G501" t="inlineStr">
        <is>
          <t>SANDVIKEN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11897-2024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45376</v>
      </c>
      <c r="E502" s="1" t="n">
        <v>46307</v>
      </c>
      <c r="F502" t="inlineStr">
        <is>
          <t>GÄVLEBORGS LÄN</t>
        </is>
      </c>
      <c r="G502" t="inlineStr">
        <is>
          <t>SANDVIKEN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18749-2026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46128</v>
      </c>
      <c r="E503" s="1" t="n">
        <v>46307</v>
      </c>
      <c r="F503" t="inlineStr">
        <is>
          <t>GÄVLEBORGS LÄN</t>
        </is>
      </c>
      <c r="G503" t="inlineStr">
        <is>
          <t>SANDVIKEN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61020-2025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46307</v>
      </c>
      <c r="F504" t="inlineStr">
        <is>
          <t>GÄVLEBORGS LÄN</t>
        </is>
      </c>
      <c r="G504" t="inlineStr">
        <is>
          <t>SANDVIKEN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45999</v>
      </c>
      <c r="E505" s="1" t="n">
        <v>46307</v>
      </c>
      <c r="F505" t="inlineStr">
        <is>
          <t>GÄVLEBORGS LÄN</t>
        </is>
      </c>
      <c r="G505" t="inlineStr">
        <is>
          <t>SANDVIKEN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46128</v>
      </c>
      <c r="E506" s="1" t="n">
        <v>46307</v>
      </c>
      <c r="F506" t="inlineStr">
        <is>
          <t>GÄVLEBORGS LÄN</t>
        </is>
      </c>
      <c r="G506" t="inlineStr">
        <is>
          <t>SANDVIKEN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46091</v>
      </c>
      <c r="E507" s="1" t="n">
        <v>46307</v>
      </c>
      <c r="F507" t="inlineStr">
        <is>
          <t>GÄVLEBORGS LÄN</t>
        </is>
      </c>
      <c r="G507" t="inlineStr">
        <is>
          <t>SANDVIKEN</t>
        </is>
      </c>
      <c r="H507" t="inlineStr">
        <is>
          <t>Naturvårdsverket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42069-2024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46307</v>
      </c>
      <c r="F508" t="inlineStr">
        <is>
          <t>GÄVLEBORGS LÄN</t>
        </is>
      </c>
      <c r="G508" t="inlineStr">
        <is>
          <t>SANDVIKEN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19080-2026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46307</v>
      </c>
      <c r="F509" t="inlineStr">
        <is>
          <t>GÄVLEBORGS LÄN</t>
        </is>
      </c>
      <c r="G509" t="inlineStr">
        <is>
          <t>SANDVIKEN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62642-2023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45271</v>
      </c>
      <c r="E510" s="1" t="n">
        <v>46307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12732-2026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46091</v>
      </c>
      <c r="E511" s="1" t="n">
        <v>46307</v>
      </c>
      <c r="F511" t="inlineStr">
        <is>
          <t>GÄVLEBORGS LÄN</t>
        </is>
      </c>
      <c r="G511" t="inlineStr">
        <is>
          <t>SANDVIKEN</t>
        </is>
      </c>
      <c r="H511" t="inlineStr">
        <is>
          <t>Naturvårdsverket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46129</v>
      </c>
      <c r="E512" s="1" t="n">
        <v>46307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46307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46307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46129</v>
      </c>
      <c r="E515" s="1" t="n">
        <v>46307</v>
      </c>
      <c r="F515" t="inlineStr">
        <is>
          <t>GÄVLEBORGS LÄN</t>
        </is>
      </c>
      <c r="G515" t="inlineStr">
        <is>
          <t>SANDVIKEN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46307</v>
      </c>
      <c r="F516" t="inlineStr">
        <is>
          <t>GÄVLEBORGS LÄN</t>
        </is>
      </c>
      <c r="G516" t="inlineStr">
        <is>
          <t>SANDVIKEN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46129</v>
      </c>
      <c r="E517" s="1" t="n">
        <v>46307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19273-2026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46133</v>
      </c>
      <c r="E518" s="1" t="n">
        <v>46307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45070</v>
      </c>
      <c r="E519" s="1" t="n">
        <v>46307</v>
      </c>
      <c r="F519" t="inlineStr">
        <is>
          <t>GÄVLEBORGS LÄN</t>
        </is>
      </c>
      <c r="G519" t="inlineStr">
        <is>
          <t>SANDVIKEN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23085-2023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45075</v>
      </c>
      <c r="E520" s="1" t="n">
        <v>46307</v>
      </c>
      <c r="F520" t="inlineStr">
        <is>
          <t>GÄVLEBORGS LÄN</t>
        </is>
      </c>
      <c r="G520" t="inlineStr">
        <is>
          <t>SANDVIKEN</t>
        </is>
      </c>
      <c r="I520" t="n">
        <v>8.300000000000001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19904-2026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46136</v>
      </c>
      <c r="E521" s="1" t="n">
        <v>46307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10.9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12776-2026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46091</v>
      </c>
      <c r="E522" s="1" t="n">
        <v>46307</v>
      </c>
      <c r="F522" t="inlineStr">
        <is>
          <t>GÄVLEBORGS LÄN</t>
        </is>
      </c>
      <c r="G522" t="inlineStr">
        <is>
          <t>SANDVIKEN</t>
        </is>
      </c>
      <c r="H522" t="inlineStr">
        <is>
          <t>Naturvårdsverket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46135</v>
      </c>
      <c r="E523" s="1" t="n">
        <v>46307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16.4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46307</v>
      </c>
      <c r="F524" t="inlineStr">
        <is>
          <t>GÄVLEBORGS LÄN</t>
        </is>
      </c>
      <c r="G524" t="inlineStr">
        <is>
          <t>SANDVIKEN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46307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36833-2022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44805</v>
      </c>
      <c r="E526" s="1" t="n">
        <v>46307</v>
      </c>
      <c r="F526" t="inlineStr">
        <is>
          <t>GÄVLEBORGS LÄN</t>
        </is>
      </c>
      <c r="G526" t="inlineStr">
        <is>
          <t>SANDVIKEN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46135</v>
      </c>
      <c r="E527" s="1" t="n">
        <v>46307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46086</v>
      </c>
      <c r="E528" s="1" t="n">
        <v>46307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13258-2026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46093</v>
      </c>
      <c r="E529" s="1" t="n">
        <v>46307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46307</v>
      </c>
      <c r="F530" t="inlineStr">
        <is>
          <t>GÄVLEBORGS LÄN</t>
        </is>
      </c>
      <c r="G530" t="inlineStr">
        <is>
          <t>SANDVIKEN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14840-2022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44656</v>
      </c>
      <c r="E531" s="1" t="n">
        <v>46307</v>
      </c>
      <c r="F531" t="inlineStr">
        <is>
          <t>GÄVLEBORGS LÄN</t>
        </is>
      </c>
      <c r="G531" t="inlineStr">
        <is>
          <t>SANDVIKEN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46307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40745-2024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46307</v>
      </c>
      <c r="F533" t="inlineStr">
        <is>
          <t>GÄVLEBORGS LÄN</t>
        </is>
      </c>
      <c r="G533" t="inlineStr">
        <is>
          <t>SANDVIKEN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45709</v>
      </c>
      <c r="E534" s="1" t="n">
        <v>46307</v>
      </c>
      <c r="F534" t="inlineStr">
        <is>
          <t>GÄVLEBORGS LÄN</t>
        </is>
      </c>
      <c r="G534" t="inlineStr">
        <is>
          <t>SANDVIKEN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46307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63486-2025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46307</v>
      </c>
      <c r="F536" t="inlineStr">
        <is>
          <t>GÄVLEBORGS LÄN</t>
        </is>
      </c>
      <c r="G536" t="inlineStr">
        <is>
          <t>SANDVIKEN</t>
        </is>
      </c>
      <c r="H536" t="inlineStr">
        <is>
          <t>Sveaskog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8698-2024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46307</v>
      </c>
      <c r="F537" t="inlineStr">
        <is>
          <t>GÄVLEBORGS LÄN</t>
        </is>
      </c>
      <c r="G537" t="inlineStr">
        <is>
          <t>SANDVIKEN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15674-2024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45404</v>
      </c>
      <c r="E538" s="1" t="n">
        <v>46307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56734-2021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44481</v>
      </c>
      <c r="E539" s="1" t="n">
        <v>46307</v>
      </c>
      <c r="F539" t="inlineStr">
        <is>
          <t>GÄVLEBORGS LÄN</t>
        </is>
      </c>
      <c r="G539" t="inlineStr">
        <is>
          <t>SANDVIKEN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23217-2023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45075</v>
      </c>
      <c r="E540" s="1" t="n">
        <v>46307</v>
      </c>
      <c r="F540" t="inlineStr">
        <is>
          <t>GÄVLEBORGS LÄN</t>
        </is>
      </c>
      <c r="G540" t="inlineStr">
        <is>
          <t>SANDVIKEN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56150-2023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45240</v>
      </c>
      <c r="E541" s="1" t="n">
        <v>46307</v>
      </c>
      <c r="F541" t="inlineStr">
        <is>
          <t>GÄVLEBORGS LÄN</t>
        </is>
      </c>
      <c r="G541" t="inlineStr">
        <is>
          <t>SANDVIKEN</t>
        </is>
      </c>
      <c r="H541" t="inlineStr">
        <is>
          <t>Sveaskog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46021</v>
      </c>
      <c r="E542" s="1" t="n">
        <v>46307</v>
      </c>
      <c r="F542" t="inlineStr">
        <is>
          <t>GÄVLEBORGS LÄN</t>
        </is>
      </c>
      <c r="G542" t="inlineStr">
        <is>
          <t>SANDVIKEN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45303</v>
      </c>
      <c r="E543" s="1" t="n">
        <v>46307</v>
      </c>
      <c r="F543" t="inlineStr">
        <is>
          <t>GÄVLEBORGS LÄN</t>
        </is>
      </c>
      <c r="G543" t="inlineStr">
        <is>
          <t>SANDVIKEN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46307</v>
      </c>
      <c r="F544" t="inlineStr">
        <is>
          <t>GÄVLEBORGS LÄN</t>
        </is>
      </c>
      <c r="G544" t="inlineStr">
        <is>
          <t>SANDVIKEN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44818</v>
      </c>
      <c r="E545" s="1" t="n">
        <v>46307</v>
      </c>
      <c r="F545" t="inlineStr">
        <is>
          <t>GÄVLEBORGS LÄN</t>
        </is>
      </c>
      <c r="G545" t="inlineStr">
        <is>
          <t>SANDVIKEN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46057</v>
      </c>
      <c r="E546" s="1" t="n">
        <v>46307</v>
      </c>
      <c r="F546" t="inlineStr">
        <is>
          <t>GÄVLEBORGS LÄN</t>
        </is>
      </c>
      <c r="G546" t="inlineStr">
        <is>
          <t>SANDVIKEN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27969-2024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45476</v>
      </c>
      <c r="E547" s="1" t="n">
        <v>46307</v>
      </c>
      <c r="F547" t="inlineStr">
        <is>
          <t>GÄVLEBORGS LÄN</t>
        </is>
      </c>
      <c r="G547" t="inlineStr">
        <is>
          <t>SANDVIKEN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46307</v>
      </c>
      <c r="F548" t="inlineStr">
        <is>
          <t>GÄVLEBORGS LÄN</t>
        </is>
      </c>
      <c r="G548" t="inlineStr">
        <is>
          <t>SANDVIKEN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45905</v>
      </c>
      <c r="E549" s="1" t="n">
        <v>46307</v>
      </c>
      <c r="F549" t="inlineStr">
        <is>
          <t>GÄVLEBORGS LÄN</t>
        </is>
      </c>
      <c r="G549" t="inlineStr">
        <is>
          <t>SANDVIKEN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46055</v>
      </c>
      <c r="E550" s="1" t="n">
        <v>46307</v>
      </c>
      <c r="F550" t="inlineStr">
        <is>
          <t>GÄVLEBORGS LÄN</t>
        </is>
      </c>
      <c r="G550" t="inlineStr">
        <is>
          <t>SANDVIKEN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46031</v>
      </c>
      <c r="E551" s="1" t="n">
        <v>46307</v>
      </c>
      <c r="F551" t="inlineStr">
        <is>
          <t>GÄVLEBORGS LÄN</t>
        </is>
      </c>
      <c r="G551" t="inlineStr">
        <is>
          <t>SANDVIKEN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45735</v>
      </c>
      <c r="E552" s="1" t="n">
        <v>46307</v>
      </c>
      <c r="F552" t="inlineStr">
        <is>
          <t>GÄVLEBORGS LÄN</t>
        </is>
      </c>
      <c r="G552" t="inlineStr">
        <is>
          <t>SANDVIKEN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45779</v>
      </c>
      <c r="E553" s="1" t="n">
        <v>46307</v>
      </c>
      <c r="F553" t="inlineStr">
        <is>
          <t>GÄVLEBORGS LÄN</t>
        </is>
      </c>
      <c r="G553" t="inlineStr">
        <is>
          <t>SANDVIKEN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46307</v>
      </c>
      <c r="F554" t="inlineStr">
        <is>
          <t>GÄVLEBORGS LÄN</t>
        </is>
      </c>
      <c r="G554" t="inlineStr">
        <is>
          <t>SANDVIKEN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46034</v>
      </c>
      <c r="E555" s="1" t="n">
        <v>46307</v>
      </c>
      <c r="F555" t="inlineStr">
        <is>
          <t>GÄVLEBORGS LÄN</t>
        </is>
      </c>
      <c r="G555" t="inlineStr">
        <is>
          <t>SANDVIKEN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46035</v>
      </c>
      <c r="E556" s="1" t="n">
        <v>46307</v>
      </c>
      <c r="F556" t="inlineStr">
        <is>
          <t>GÄVLEBORGS LÄN</t>
        </is>
      </c>
      <c r="G556" t="inlineStr">
        <is>
          <t>SANDVIKEN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46307</v>
      </c>
      <c r="F557" t="inlineStr">
        <is>
          <t>GÄVLEBORGS LÄN</t>
        </is>
      </c>
      <c r="G557" t="inlineStr">
        <is>
          <t>SANDVIKEN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46307</v>
      </c>
      <c r="F558" t="inlineStr">
        <is>
          <t>GÄVLEBORGS LÄN</t>
        </is>
      </c>
      <c r="G558" t="inlineStr">
        <is>
          <t>SANDVIKEN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46307</v>
      </c>
      <c r="F559" t="inlineStr">
        <is>
          <t>GÄVLEBORGS LÄN</t>
        </is>
      </c>
      <c r="G559" t="inlineStr">
        <is>
          <t>SANDVIKEN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8570-2026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46065</v>
      </c>
      <c r="E560" s="1" t="n">
        <v>46307</v>
      </c>
      <c r="F560" t="inlineStr">
        <is>
          <t>GÄVLEBORGS LÄN</t>
        </is>
      </c>
      <c r="G560" t="inlineStr">
        <is>
          <t>SANDVIKEN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46036</v>
      </c>
      <c r="E561" s="1" t="n">
        <v>46307</v>
      </c>
      <c r="F561" t="inlineStr">
        <is>
          <t>GÄVLEBORGS LÄN</t>
        </is>
      </c>
      <c r="G561" t="inlineStr">
        <is>
          <t>SANDVIKEN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46307</v>
      </c>
      <c r="F562" t="inlineStr">
        <is>
          <t>GÄVLEBORGS LÄN</t>
        </is>
      </c>
      <c r="G562" t="inlineStr">
        <is>
          <t>SANDVIKEN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31317-2023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45103</v>
      </c>
      <c r="E563" s="1" t="n">
        <v>46307</v>
      </c>
      <c r="F563" t="inlineStr">
        <is>
          <t>GÄVLEBORGS LÄN</t>
        </is>
      </c>
      <c r="G563" t="inlineStr">
        <is>
          <t>SANDVIKEN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46307</v>
      </c>
      <c r="F564" t="inlineStr">
        <is>
          <t>GÄVLEBORGS LÄN</t>
        </is>
      </c>
      <c r="G564" t="inlineStr">
        <is>
          <t>SANDVIKEN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46307</v>
      </c>
      <c r="F565" t="inlineStr">
        <is>
          <t>GÄVLEBORGS LÄN</t>
        </is>
      </c>
      <c r="G565" t="inlineStr">
        <is>
          <t>SANDVIKEN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46307</v>
      </c>
      <c r="F566" t="inlineStr">
        <is>
          <t>GÄVLEBORGS LÄN</t>
        </is>
      </c>
      <c r="G566" t="inlineStr">
        <is>
          <t>SANDVIKEN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12417-2025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45730</v>
      </c>
      <c r="E567" s="1" t="n">
        <v>46307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12418-2025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45730</v>
      </c>
      <c r="E568" s="1" t="n">
        <v>46307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46307</v>
      </c>
      <c r="F569" t="inlineStr">
        <is>
          <t>GÄVLEBORGS LÄN</t>
        </is>
      </c>
      <c r="G569" t="inlineStr">
        <is>
          <t>SANDVIKEN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46035</v>
      </c>
      <c r="E570" s="1" t="n">
        <v>46307</v>
      </c>
      <c r="F570" t="inlineStr">
        <is>
          <t>GÄVLEBORGS LÄN</t>
        </is>
      </c>
      <c r="G570" t="inlineStr">
        <is>
          <t>SANDVIKEN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45320</v>
      </c>
      <c r="E571" s="1" t="n">
        <v>46307</v>
      </c>
      <c r="F571" t="inlineStr">
        <is>
          <t>GÄVLEBORGS LÄN</t>
        </is>
      </c>
      <c r="G571" t="inlineStr">
        <is>
          <t>SANDVIKEN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46307</v>
      </c>
      <c r="F572" t="inlineStr">
        <is>
          <t>GÄVLEBORGS LÄN</t>
        </is>
      </c>
      <c r="G572" t="inlineStr">
        <is>
          <t>SANDVIKEN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46307</v>
      </c>
      <c r="F573" t="inlineStr">
        <is>
          <t>GÄVLEBORGS LÄN</t>
        </is>
      </c>
      <c r="G573" t="inlineStr">
        <is>
          <t>SANDVIKEN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46038</v>
      </c>
      <c r="E574" s="1" t="n">
        <v>46307</v>
      </c>
      <c r="F574" t="inlineStr">
        <is>
          <t>GÄVLEBORGS LÄN</t>
        </is>
      </c>
      <c r="G574" t="inlineStr">
        <is>
          <t>SANDVIKEN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46307</v>
      </c>
      <c r="F575" t="inlineStr">
        <is>
          <t>GÄVLEBORGS LÄN</t>
        </is>
      </c>
      <c r="G575" t="inlineStr">
        <is>
          <t>SANDVIKEN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46307</v>
      </c>
      <c r="F576" t="inlineStr">
        <is>
          <t>GÄVLEBORGS LÄN</t>
        </is>
      </c>
      <c r="G576" t="inlineStr">
        <is>
          <t>SANDVIKEN</t>
        </is>
      </c>
      <c r="I576" t="n">
        <v>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55539-2023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46307</v>
      </c>
      <c r="F577" t="inlineStr">
        <is>
          <t>GÄVLEBORGS LÄN</t>
        </is>
      </c>
      <c r="G577" t="inlineStr">
        <is>
          <t>SANDVIKEN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42107-2024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46307</v>
      </c>
      <c r="F578" t="inlineStr">
        <is>
          <t>GÄVLEBORGS LÄN</t>
        </is>
      </c>
      <c r="G578" t="inlineStr">
        <is>
          <t>SANDVIKEN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45668</v>
      </c>
      <c r="E579" s="1" t="n">
        <v>46307</v>
      </c>
      <c r="F579" t="inlineStr">
        <is>
          <t>GÄVLEBORGS LÄN</t>
        </is>
      </c>
      <c r="G579" t="inlineStr">
        <is>
          <t>SANDVIKEN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46030</v>
      </c>
      <c r="E580" s="1" t="n">
        <v>46307</v>
      </c>
      <c r="F580" t="inlineStr">
        <is>
          <t>GÄVLEBORGS LÄN</t>
        </is>
      </c>
      <c r="G580" t="inlineStr">
        <is>
          <t>SANDVIKEN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45537</v>
      </c>
      <c r="E581" s="1" t="n">
        <v>46307</v>
      </c>
      <c r="F581" t="inlineStr">
        <is>
          <t>GÄVLEBORGS LÄN</t>
        </is>
      </c>
      <c r="G581" t="inlineStr">
        <is>
          <t>SANDVIKEN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45268</v>
      </c>
      <c r="E582" s="1" t="n">
        <v>46307</v>
      </c>
      <c r="F582" t="inlineStr">
        <is>
          <t>GÄVLEBORGS LÄN</t>
        </is>
      </c>
      <c r="G582" t="inlineStr">
        <is>
          <t>SANDVIKEN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14910-2026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46307</v>
      </c>
      <c r="F583" t="inlineStr">
        <is>
          <t>GÄVLEBORGS LÄN</t>
        </is>
      </c>
      <c r="G583" t="inlineStr">
        <is>
          <t>SANDVIKEN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45063</v>
      </c>
      <c r="E584" s="1" t="n">
        <v>46307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46038</v>
      </c>
      <c r="E585" s="1" t="n">
        <v>46307</v>
      </c>
      <c r="F585" t="inlineStr">
        <is>
          <t>GÄVLEBORGS LÄN</t>
        </is>
      </c>
      <c r="G585" t="inlineStr">
        <is>
          <t>SANDVIKEN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46307</v>
      </c>
      <c r="F586" t="inlineStr">
        <is>
          <t>GÄVLEBORGS LÄN</t>
        </is>
      </c>
      <c r="G586" t="inlineStr">
        <is>
          <t>SANDVIKEN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3803-2026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46307</v>
      </c>
      <c r="F587" t="inlineStr">
        <is>
          <t>GÄVLEBORGS LÄN</t>
        </is>
      </c>
      <c r="G587" t="inlineStr">
        <is>
          <t>SANDVIKEN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46307</v>
      </c>
      <c r="F588" t="inlineStr">
        <is>
          <t>GÄVLEBORGS LÄN</t>
        </is>
      </c>
      <c r="G588" t="inlineStr">
        <is>
          <t>SANDVIKEN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46307</v>
      </c>
      <c r="F589" t="inlineStr">
        <is>
          <t>GÄVLEBORGS LÄN</t>
        </is>
      </c>
      <c r="G589" t="inlineStr">
        <is>
          <t>SANDVIKEN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7599-2026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46061</v>
      </c>
      <c r="E590" s="1" t="n">
        <v>46307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3909-2026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46307</v>
      </c>
      <c r="F591" t="inlineStr">
        <is>
          <t>GÄVLEBORGS LÄN</t>
        </is>
      </c>
      <c r="G591" t="inlineStr">
        <is>
          <t>SANDVIKEN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44717-2025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45917</v>
      </c>
      <c r="E592" s="1" t="n">
        <v>46307</v>
      </c>
      <c r="F592" t="inlineStr">
        <is>
          <t>GÄVLEBORGS LÄN</t>
        </is>
      </c>
      <c r="G592" t="inlineStr">
        <is>
          <t>SANDVIKEN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46046</v>
      </c>
      <c r="E593" s="1" t="n">
        <v>46307</v>
      </c>
      <c r="F593" t="inlineStr">
        <is>
          <t>GÄVLEBORGS LÄN</t>
        </is>
      </c>
      <c r="G593" t="inlineStr">
        <is>
          <t>SANDVIKEN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11967-2025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46307</v>
      </c>
      <c r="F594" t="inlineStr">
        <is>
          <t>GÄVLEBORGS LÄN</t>
        </is>
      </c>
      <c r="G594" t="inlineStr">
        <is>
          <t>SANDVIKEN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20618-2026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46307</v>
      </c>
      <c r="F595" t="inlineStr">
        <is>
          <t>GÄVLEBORGS LÄN</t>
        </is>
      </c>
      <c r="G595" t="inlineStr">
        <is>
          <t>SANDVIKEN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7073-2026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46307</v>
      </c>
      <c r="F596" t="inlineStr">
        <is>
          <t>GÄVLEBORGS LÄN</t>
        </is>
      </c>
      <c r="G596" t="inlineStr">
        <is>
          <t>SANDVIKEN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4512-2026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46307</v>
      </c>
      <c r="F597" t="inlineStr">
        <is>
          <t>GÄVLEBORGS LÄN</t>
        </is>
      </c>
      <c r="G597" t="inlineStr">
        <is>
          <t>SANDVIKEN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11894-2026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46307</v>
      </c>
      <c r="F598" t="inlineStr">
        <is>
          <t>GÄVLEBORGS LÄN</t>
        </is>
      </c>
      <c r="G598" t="inlineStr">
        <is>
          <t>SANDVIKEN</t>
        </is>
      </c>
      <c r="I598" t="n">
        <v>8.199999999999999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11205-2026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46080</v>
      </c>
      <c r="E599" s="1" t="n">
        <v>46307</v>
      </c>
      <c r="F599" t="inlineStr">
        <is>
          <t>GÄVLEBORGS LÄN</t>
        </is>
      </c>
      <c r="G599" t="inlineStr">
        <is>
          <t>SANDVIKEN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46307</v>
      </c>
      <c r="F600" t="inlineStr">
        <is>
          <t>GÄVLEBORGS LÄN</t>
        </is>
      </c>
      <c r="G600" t="inlineStr">
        <is>
          <t>SANDVIKEN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50900-2024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45602</v>
      </c>
      <c r="E601" s="1" t="n">
        <v>46307</v>
      </c>
      <c r="F601" t="inlineStr">
        <is>
          <t>GÄVLEBORGS LÄN</t>
        </is>
      </c>
      <c r="G601" t="inlineStr">
        <is>
          <t>SANDVIKEN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9139-2026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46069</v>
      </c>
      <c r="E602" s="1" t="n">
        <v>46307</v>
      </c>
      <c r="F602" t="inlineStr">
        <is>
          <t>GÄVLEBORGS LÄN</t>
        </is>
      </c>
      <c r="G602" t="inlineStr">
        <is>
          <t>SANDVIKEN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38319-2025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45883</v>
      </c>
      <c r="E603" s="1" t="n">
        <v>46307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46307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46037</v>
      </c>
      <c r="E605" s="1" t="n">
        <v>46307</v>
      </c>
      <c r="F605" t="inlineStr">
        <is>
          <t>GÄVLEBORGS LÄN</t>
        </is>
      </c>
      <c r="G605" t="inlineStr">
        <is>
          <t>SANDVIKEN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46029</v>
      </c>
      <c r="E606" s="1" t="n">
        <v>46307</v>
      </c>
      <c r="F606" t="inlineStr">
        <is>
          <t>GÄVLEBORGS LÄN</t>
        </is>
      </c>
      <c r="G606" t="inlineStr">
        <is>
          <t>SANDVIKEN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46307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45327</v>
      </c>
      <c r="E608" s="1" t="n">
        <v>46307</v>
      </c>
      <c r="F608" t="inlineStr">
        <is>
          <t>GÄVLEBORGS LÄN</t>
        </is>
      </c>
      <c r="G608" t="inlineStr">
        <is>
          <t>SANDVIKEN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19499-2026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46307</v>
      </c>
      <c r="F609" t="inlineStr">
        <is>
          <t>GÄVLEBORGS LÄN</t>
        </is>
      </c>
      <c r="G609" t="inlineStr">
        <is>
          <t>SANDVIKEN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15237-2026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46307</v>
      </c>
      <c r="F610" t="inlineStr">
        <is>
          <t>GÄVLEBORGS LÄN</t>
        </is>
      </c>
      <c r="G610" t="inlineStr">
        <is>
          <t>SANDVIKEN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46030</v>
      </c>
      <c r="E611" s="1" t="n">
        <v>46307</v>
      </c>
      <c r="F611" t="inlineStr">
        <is>
          <t>GÄVLEBORGS LÄN</t>
        </is>
      </c>
      <c r="G611" t="inlineStr">
        <is>
          <t>SANDVIKEN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9603-2026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46071</v>
      </c>
      <c r="E612" s="1" t="n">
        <v>46307</v>
      </c>
      <c r="F612" t="inlineStr">
        <is>
          <t>GÄVLEBORGS LÄN</t>
        </is>
      </c>
      <c r="G612" t="inlineStr">
        <is>
          <t>SANDVIKEN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46307</v>
      </c>
      <c r="F613" t="inlineStr">
        <is>
          <t>GÄVLEBORGS LÄN</t>
        </is>
      </c>
      <c r="G613" t="inlineStr">
        <is>
          <t>SANDVIKEN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3442-2023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44949</v>
      </c>
      <c r="E614" s="1" t="n">
        <v>46307</v>
      </c>
      <c r="F614" t="inlineStr">
        <is>
          <t>GÄVLEBORGS LÄN</t>
        </is>
      </c>
      <c r="G614" t="inlineStr">
        <is>
          <t>SANDVIKEN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46307</v>
      </c>
      <c r="F615" t="inlineStr">
        <is>
          <t>GÄVLEBORGS LÄN</t>
        </is>
      </c>
      <c r="G615" t="inlineStr">
        <is>
          <t>SANDVIKEN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7349-2026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46058</v>
      </c>
      <c r="E616" s="1" t="n">
        <v>46307</v>
      </c>
      <c r="F616" t="inlineStr">
        <is>
          <t>GÄVLEBORGS LÄN</t>
        </is>
      </c>
      <c r="G616" t="inlineStr">
        <is>
          <t>SANDVIKEN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46307</v>
      </c>
      <c r="F617" t="inlineStr">
        <is>
          <t>GÄVLEBORGS LÄN</t>
        </is>
      </c>
      <c r="G617" t="inlineStr">
        <is>
          <t>SANDVIKEN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46307</v>
      </c>
      <c r="F618" t="inlineStr">
        <is>
          <t>GÄVLEBORGS LÄN</t>
        </is>
      </c>
      <c r="G618" t="inlineStr">
        <is>
          <t>SANDVIKEN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12477-2026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46307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46051</v>
      </c>
      <c r="E620" s="1" t="n">
        <v>46307</v>
      </c>
      <c r="F620" t="inlineStr">
        <is>
          <t>GÄVLEBORGS LÄN</t>
        </is>
      </c>
      <c r="G620" t="inlineStr">
        <is>
          <t>SANDVIKEN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46307</v>
      </c>
      <c r="F621" t="inlineStr">
        <is>
          <t>GÄVLEBORGS LÄN</t>
        </is>
      </c>
      <c r="G621" t="inlineStr">
        <is>
          <t>SANDVIKEN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6793-2026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46307</v>
      </c>
      <c r="F622" t="inlineStr">
        <is>
          <t>GÄVLEBORGS LÄN</t>
        </is>
      </c>
      <c r="G622" t="inlineStr">
        <is>
          <t>SANDVIKEN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6274-2026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46307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46307</v>
      </c>
      <c r="F624" t="inlineStr">
        <is>
          <t>GÄVLEBORGS LÄN</t>
        </is>
      </c>
      <c r="G624" t="inlineStr">
        <is>
          <t>SANDVIKEN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46307</v>
      </c>
      <c r="F625" t="inlineStr">
        <is>
          <t>GÄVLEBORGS LÄN</t>
        </is>
      </c>
      <c r="G625" t="inlineStr">
        <is>
          <t>SANDVIKEN</t>
        </is>
      </c>
      <c r="H625" t="inlineStr">
        <is>
          <t>Kommuner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46307</v>
      </c>
      <c r="F626" t="inlineStr">
        <is>
          <t>GÄVLEBORGS LÄN</t>
        </is>
      </c>
      <c r="G626" t="inlineStr">
        <is>
          <t>SANDVIKEN</t>
        </is>
      </c>
      <c r="H626" t="inlineStr">
        <is>
          <t>Kommuner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20636-2026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46307</v>
      </c>
      <c r="F627" t="inlineStr">
        <is>
          <t>GÄVLEBORGS LÄN</t>
        </is>
      </c>
      <c r="G627" t="inlineStr">
        <is>
          <t>SANDVIKEN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46056</v>
      </c>
      <c r="E628" s="1" t="n">
        <v>46307</v>
      </c>
      <c r="F628" t="inlineStr">
        <is>
          <t>GÄVLEBORGS LÄN</t>
        </is>
      </c>
      <c r="G628" t="inlineStr">
        <is>
          <t>SANDVIKEN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46307</v>
      </c>
      <c r="F629" t="inlineStr">
        <is>
          <t>GÄVLEBORGS LÄN</t>
        </is>
      </c>
      <c r="G629" t="inlineStr">
        <is>
          <t>SANDVIKEN</t>
        </is>
      </c>
      <c r="I629" t="n">
        <v>8.800000000000001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7725-2026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46062</v>
      </c>
      <c r="E630" s="1" t="n">
        <v>46307</v>
      </c>
      <c r="F630" t="inlineStr">
        <is>
          <t>GÄVLEBORGS LÄN</t>
        </is>
      </c>
      <c r="G630" t="inlineStr">
        <is>
          <t>SANDVIKEN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46058</v>
      </c>
      <c r="E631" s="1" t="n">
        <v>46307</v>
      </c>
      <c r="F631" t="inlineStr">
        <is>
          <t>GÄVLEBORGS LÄN</t>
        </is>
      </c>
      <c r="G631" t="inlineStr">
        <is>
          <t>SANDVIKEN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9694-2026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46307</v>
      </c>
      <c r="F632" t="inlineStr">
        <is>
          <t>GÄVLEBORGS LÄN</t>
        </is>
      </c>
      <c r="G632" t="inlineStr">
        <is>
          <t>SANDVIKEN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7343-2026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46058</v>
      </c>
      <c r="E633" s="1" t="n">
        <v>46307</v>
      </c>
      <c r="F633" t="inlineStr">
        <is>
          <t>GÄVLEBORGS LÄN</t>
        </is>
      </c>
      <c r="G633" t="inlineStr">
        <is>
          <t>SANDVIKEN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46031</v>
      </c>
      <c r="E634" s="1" t="n">
        <v>46307</v>
      </c>
      <c r="F634" t="inlineStr">
        <is>
          <t>GÄVLEBORGS LÄN</t>
        </is>
      </c>
      <c r="G634" t="inlineStr">
        <is>
          <t>SANDVIKEN</t>
        </is>
      </c>
      <c r="I634" t="n">
        <v>11.2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7348-2026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46058</v>
      </c>
      <c r="E635" s="1" t="n">
        <v>46307</v>
      </c>
      <c r="F635" t="inlineStr">
        <is>
          <t>GÄVLEBORGS LÄN</t>
        </is>
      </c>
      <c r="G635" t="inlineStr">
        <is>
          <t>SANDVIKEN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7694-2026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46307</v>
      </c>
      <c r="F636" t="inlineStr">
        <is>
          <t>GÄVLEBORGS LÄN</t>
        </is>
      </c>
      <c r="G636" t="inlineStr">
        <is>
          <t>SANDVIKEN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46038</v>
      </c>
      <c r="E637" s="1" t="n">
        <v>46307</v>
      </c>
      <c r="F637" t="inlineStr">
        <is>
          <t>GÄVLEBORGS LÄN</t>
        </is>
      </c>
      <c r="G637" t="inlineStr">
        <is>
          <t>SANDVIKEN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8295-2026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46307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väst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7890-2026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46307</v>
      </c>
      <c r="F639" t="inlineStr">
        <is>
          <t>GÄVLEBORGS LÄN</t>
        </is>
      </c>
      <c r="G639" t="inlineStr">
        <is>
          <t>SANDVIKEN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7910-2026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46063</v>
      </c>
      <c r="E640" s="1" t="n">
        <v>46307</v>
      </c>
      <c r="F640" t="inlineStr">
        <is>
          <t>GÄVLEBORGS LÄN</t>
        </is>
      </c>
      <c r="G640" t="inlineStr">
        <is>
          <t>SANDVIKEN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7914-2026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46063</v>
      </c>
      <c r="E641" s="1" t="n">
        <v>46307</v>
      </c>
      <c r="F641" t="inlineStr">
        <is>
          <t>GÄVLEBORGS LÄN</t>
        </is>
      </c>
      <c r="G641" t="inlineStr">
        <is>
          <t>SANDVIKEN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7877-2026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46307</v>
      </c>
      <c r="F642" t="inlineStr">
        <is>
          <t>GÄVLEBORGS LÄN</t>
        </is>
      </c>
      <c r="G642" t="inlineStr">
        <is>
          <t>SANDVIKEN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8363-2026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46064</v>
      </c>
      <c r="E643" s="1" t="n">
        <v>46307</v>
      </c>
      <c r="F643" t="inlineStr">
        <is>
          <t>GÄVLEBORGS LÄN</t>
        </is>
      </c>
      <c r="G643" t="inlineStr">
        <is>
          <t>SANDVIKEN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8600-2026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46065</v>
      </c>
      <c r="E644" s="1" t="n">
        <v>46307</v>
      </c>
      <c r="F644" t="inlineStr">
        <is>
          <t>GÄVLEBORGS LÄN</t>
        </is>
      </c>
      <c r="G644" t="inlineStr">
        <is>
          <t>SANDVIKEN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7885-2026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46307</v>
      </c>
      <c r="F645" t="inlineStr">
        <is>
          <t>GÄVLEBORGS LÄN</t>
        </is>
      </c>
      <c r="G645" t="inlineStr">
        <is>
          <t>SANDVIKEN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46065</v>
      </c>
      <c r="E646" s="1" t="n">
        <v>46307</v>
      </c>
      <c r="F646" t="inlineStr">
        <is>
          <t>GÄVLEBORGS LÄN</t>
        </is>
      </c>
      <c r="G646" t="inlineStr">
        <is>
          <t>SANDVIKEN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20917-2026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46142</v>
      </c>
      <c r="E647" s="1" t="n">
        <v>46307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8706-2026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46066</v>
      </c>
      <c r="E648" s="1" t="n">
        <v>46307</v>
      </c>
      <c r="F648" t="inlineStr">
        <is>
          <t>GÄVLEBORGS LÄN</t>
        </is>
      </c>
      <c r="G648" t="inlineStr">
        <is>
          <t>SANDVIKEN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46066</v>
      </c>
      <c r="E649" s="1" t="n">
        <v>46307</v>
      </c>
      <c r="F649" t="inlineStr">
        <is>
          <t>GÄVLEBORGS LÄN</t>
        </is>
      </c>
      <c r="G649" t="inlineStr">
        <is>
          <t>SANDVIKEN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8719-2026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46066</v>
      </c>
      <c r="E650" s="1" t="n">
        <v>46307</v>
      </c>
      <c r="F650" t="inlineStr">
        <is>
          <t>GÄVLEBORGS LÄN</t>
        </is>
      </c>
      <c r="G650" t="inlineStr">
        <is>
          <t>SANDVIKEN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8574-2026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46065</v>
      </c>
      <c r="E651" s="1" t="n">
        <v>46307</v>
      </c>
      <c r="F651" t="inlineStr">
        <is>
          <t>GÄVLEBORGS LÄN</t>
        </is>
      </c>
      <c r="G651" t="inlineStr">
        <is>
          <t>SANDVIKEN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21576-2026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46148</v>
      </c>
      <c r="E652" s="1" t="n">
        <v>46307</v>
      </c>
      <c r="F652" t="inlineStr">
        <is>
          <t>GÄVLEBORGS LÄN</t>
        </is>
      </c>
      <c r="G652" t="inlineStr">
        <is>
          <t>SANDVIKEN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8608-2026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46065</v>
      </c>
      <c r="E653" s="1" t="n">
        <v>46307</v>
      </c>
      <c r="F653" t="inlineStr">
        <is>
          <t>GÄVLEBORGS LÄN</t>
        </is>
      </c>
      <c r="G653" t="inlineStr">
        <is>
          <t>SANDVIKEN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21334-2026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46147</v>
      </c>
      <c r="E654" s="1" t="n">
        <v>46307</v>
      </c>
      <c r="F654" t="inlineStr">
        <is>
          <t>GÄVLEBORGS LÄN</t>
        </is>
      </c>
      <c r="G654" t="inlineStr">
        <is>
          <t>SANDVIKEN</t>
        </is>
      </c>
      <c r="H654" t="inlineStr">
        <is>
          <t>Kommuner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46147</v>
      </c>
      <c r="E655" s="1" t="n">
        <v>46307</v>
      </c>
      <c r="F655" t="inlineStr">
        <is>
          <t>GÄVLEBORGS LÄN</t>
        </is>
      </c>
      <c r="G655" t="inlineStr">
        <is>
          <t>SANDVIKEN</t>
        </is>
      </c>
      <c r="H655" t="inlineStr">
        <is>
          <t>Kommuner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21377-2026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46307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9093-2026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46307</v>
      </c>
      <c r="F657" t="inlineStr">
        <is>
          <t>GÄVLEBORGS LÄN</t>
        </is>
      </c>
      <c r="G657" t="inlineStr">
        <is>
          <t>SANDVIKEN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46147</v>
      </c>
      <c r="E658" s="1" t="n">
        <v>46307</v>
      </c>
      <c r="F658" t="inlineStr">
        <is>
          <t>GÄVLEBORGS LÄN</t>
        </is>
      </c>
      <c r="G658" t="inlineStr">
        <is>
          <t>SANDVIKEN</t>
        </is>
      </c>
      <c r="H658" t="inlineStr">
        <is>
          <t>Kommuner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21288-2026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46307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21773-2026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46307</v>
      </c>
      <c r="F660" t="inlineStr">
        <is>
          <t>GÄVLEBORGS LÄN</t>
        </is>
      </c>
      <c r="G660" t="inlineStr">
        <is>
          <t>SANDVIKEN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9142-2026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46069</v>
      </c>
      <c r="E661" s="1" t="n">
        <v>46307</v>
      </c>
      <c r="F661" t="inlineStr">
        <is>
          <t>GÄVLEBORGS LÄN</t>
        </is>
      </c>
      <c r="G661" t="inlineStr">
        <is>
          <t>SANDVIKEN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46072</v>
      </c>
      <c r="E662" s="1" t="n">
        <v>46307</v>
      </c>
      <c r="F662" t="inlineStr">
        <is>
          <t>GÄVLEBORGS LÄN</t>
        </is>
      </c>
      <c r="G662" t="inlineStr">
        <is>
          <t>SANDVIKEN</t>
        </is>
      </c>
      <c r="H662" t="inlineStr">
        <is>
          <t>Naturvårdsverket</t>
        </is>
      </c>
      <c r="I662" t="n">
        <v>19.5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9480-2026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46071</v>
      </c>
      <c r="E663" s="1" t="n">
        <v>46307</v>
      </c>
      <c r="F663" t="inlineStr">
        <is>
          <t>GÄVLEBORGS LÄN</t>
        </is>
      </c>
      <c r="G663" t="inlineStr">
        <is>
          <t>SANDVIKEN</t>
        </is>
      </c>
      <c r="H663" t="inlineStr">
        <is>
          <t>Naturvårdsverket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9651-2026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46072</v>
      </c>
      <c r="E664" s="1" t="n">
        <v>46307</v>
      </c>
      <c r="F664" t="inlineStr">
        <is>
          <t>GÄVLEBORGS LÄN</t>
        </is>
      </c>
      <c r="G664" t="inlineStr">
        <is>
          <t>SANDVIKEN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9653-2026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46307</v>
      </c>
      <c r="F665" t="inlineStr">
        <is>
          <t>GÄVLEBORGS LÄN</t>
        </is>
      </c>
      <c r="G665" t="inlineStr">
        <is>
          <t>SANDVIKEN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10346-2026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46076</v>
      </c>
      <c r="E666" s="1" t="n">
        <v>46307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46031</v>
      </c>
      <c r="E667" s="1" t="n">
        <v>46307</v>
      </c>
      <c r="F667" t="inlineStr">
        <is>
          <t>GÄVLEBORGS LÄN</t>
        </is>
      </c>
      <c r="G667" t="inlineStr">
        <is>
          <t>SANDVIKEN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46043</v>
      </c>
      <c r="E668" s="1" t="n">
        <v>46307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46307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10107-2026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46074</v>
      </c>
      <c r="E670" s="1" t="n">
        <v>46307</v>
      </c>
      <c r="F670" t="inlineStr">
        <is>
          <t>GÄVLEBORGS LÄN</t>
        </is>
      </c>
      <c r="G670" t="inlineStr">
        <is>
          <t>SANDVIKEN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4848-2026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46048</v>
      </c>
      <c r="E671" s="1" t="n">
        <v>46307</v>
      </c>
      <c r="F671" t="inlineStr">
        <is>
          <t>GÄVLEBORGS LÄN</t>
        </is>
      </c>
      <c r="G671" t="inlineStr">
        <is>
          <t>SANDVIKEN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21951-2026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46151</v>
      </c>
      <c r="E672" s="1" t="n">
        <v>46307</v>
      </c>
      <c r="F672" t="inlineStr">
        <is>
          <t>GÄVLEBORGS LÄN</t>
        </is>
      </c>
      <c r="G672" t="inlineStr">
        <is>
          <t>SANDVIKEN</t>
        </is>
      </c>
      <c r="I672" t="n">
        <v>11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12149-2026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46086</v>
      </c>
      <c r="E673" s="1" t="n">
        <v>46307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10176-2026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46076</v>
      </c>
      <c r="E674" s="1" t="n">
        <v>46307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46307</v>
      </c>
      <c r="F675" t="inlineStr">
        <is>
          <t>GÄVLEBORGS LÄN</t>
        </is>
      </c>
      <c r="G675" t="inlineStr">
        <is>
          <t>SANDVIKEN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10025-2026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46073</v>
      </c>
      <c r="E676" s="1" t="n">
        <v>46307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10022-2026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46073</v>
      </c>
      <c r="E677" s="1" t="n">
        <v>46307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11089-2026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46079</v>
      </c>
      <c r="E678" s="1" t="n">
        <v>46307</v>
      </c>
      <c r="F678" t="inlineStr">
        <is>
          <t>GÄVLEBORGS LÄN</t>
        </is>
      </c>
      <c r="G678" t="inlineStr">
        <is>
          <t>SANDVIKEN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22068-2026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46153</v>
      </c>
      <c r="E679" s="1" t="n">
        <v>46307</v>
      </c>
      <c r="F679" t="inlineStr">
        <is>
          <t>GÄVLEBORGS LÄN</t>
        </is>
      </c>
      <c r="G679" t="inlineStr">
        <is>
          <t>SANDVIKEN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46307</v>
      </c>
      <c r="F680" t="inlineStr">
        <is>
          <t>GÄVLEBORGS LÄN</t>
        </is>
      </c>
      <c r="G680" t="inlineStr">
        <is>
          <t>SANDVIKEN</t>
        </is>
      </c>
      <c r="I680" t="n">
        <v>9.300000000000001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46307</v>
      </c>
      <c r="F681" t="inlineStr">
        <is>
          <t>GÄVLEBORGS LÄN</t>
        </is>
      </c>
      <c r="G681" t="inlineStr">
        <is>
          <t>SANDVIKEN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10808-2026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46078</v>
      </c>
      <c r="E682" s="1" t="n">
        <v>46307</v>
      </c>
      <c r="F682" t="inlineStr">
        <is>
          <t>GÄVLEBORGS LÄN</t>
        </is>
      </c>
      <c r="G682" t="inlineStr">
        <is>
          <t>SANDVIKEN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46080</v>
      </c>
      <c r="E683" s="1" t="n">
        <v>46307</v>
      </c>
      <c r="F683" t="inlineStr">
        <is>
          <t>GÄVLEBORGS LÄN</t>
        </is>
      </c>
      <c r="G683" t="inlineStr">
        <is>
          <t>SANDVIKEN</t>
        </is>
      </c>
      <c r="I683" t="n">
        <v>14.5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46035</v>
      </c>
      <c r="E684" s="1" t="n">
        <v>46307</v>
      </c>
      <c r="F684" t="inlineStr">
        <is>
          <t>GÄVLEBORGS LÄN</t>
        </is>
      </c>
      <c r="G684" t="inlineStr">
        <is>
          <t>SANDVIKEN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11191-2026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46080</v>
      </c>
      <c r="E685" s="1" t="n">
        <v>46307</v>
      </c>
      <c r="F685" t="inlineStr">
        <is>
          <t>GÄVLEBORGS LÄN</t>
        </is>
      </c>
      <c r="G685" t="inlineStr">
        <is>
          <t>SANDVIKEN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11940-2026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46085</v>
      </c>
      <c r="E686" s="1" t="n">
        <v>46307</v>
      </c>
      <c r="F686" t="inlineStr">
        <is>
          <t>GÄVLEBORGS LÄN</t>
        </is>
      </c>
      <c r="G686" t="inlineStr">
        <is>
          <t>SANDVIKEN</t>
        </is>
      </c>
      <c r="H686" t="inlineStr">
        <is>
          <t>Naturvårdsverket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11725-2026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46084</v>
      </c>
      <c r="E687" s="1" t="n">
        <v>46307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11726-2026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46084</v>
      </c>
      <c r="E688" s="1" t="n">
        <v>46307</v>
      </c>
      <c r="F688" t="inlineStr">
        <is>
          <t>GÄVLEBORGS LÄN</t>
        </is>
      </c>
      <c r="G688" t="inlineStr">
        <is>
          <t>SANDVIKEN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11913-2026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46307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11914-2026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46307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46037</v>
      </c>
      <c r="E691" s="1" t="n">
        <v>46307</v>
      </c>
      <c r="F691" t="inlineStr">
        <is>
          <t>GÄVLEBORGS LÄN</t>
        </is>
      </c>
      <c r="G691" t="inlineStr">
        <is>
          <t>SANDVIKEN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16012-2026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46108</v>
      </c>
      <c r="E692" s="1" t="n">
        <v>46307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11707-2026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46307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11786-2026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46084</v>
      </c>
      <c r="E694" s="1" t="n">
        <v>46307</v>
      </c>
      <c r="F694" t="inlineStr">
        <is>
          <t>GÄVLEBORGS LÄN</t>
        </is>
      </c>
      <c r="G694" t="inlineStr">
        <is>
          <t>SANDVIKEN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13551-2026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46307</v>
      </c>
      <c r="F695" t="inlineStr">
        <is>
          <t>GÄVLEBORGS LÄN</t>
        </is>
      </c>
      <c r="G695" t="inlineStr">
        <is>
          <t>SANDVIKEN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12146-2026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46086</v>
      </c>
      <c r="E696" s="1" t="n">
        <v>46307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12317-2026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46087</v>
      </c>
      <c r="E697" s="1" t="n">
        <v>46307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27.2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12081-2026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46086</v>
      </c>
      <c r="E698" s="1" t="n">
        <v>46307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12062-2026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46307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12064-2026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46086</v>
      </c>
      <c r="E700" s="1" t="n">
        <v>46307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12293-2026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46087</v>
      </c>
      <c r="E701" s="1" t="n">
        <v>46307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12098-2026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46086</v>
      </c>
      <c r="E702" s="1" t="n">
        <v>46307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12166-2026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46086</v>
      </c>
      <c r="E703" s="1" t="n">
        <v>46307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12208-2026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46087</v>
      </c>
      <c r="E704" s="1" t="n">
        <v>46307</v>
      </c>
      <c r="F704" t="inlineStr">
        <is>
          <t>GÄVLEBORGS LÄN</t>
        </is>
      </c>
      <c r="G704" t="inlineStr">
        <is>
          <t>SANDVIKEN</t>
        </is>
      </c>
      <c r="I704" t="n">
        <v>9.4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12089-2026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46086</v>
      </c>
      <c r="E705" s="1" t="n">
        <v>46307</v>
      </c>
      <c r="F705" t="inlineStr">
        <is>
          <t>GÄVLEBORGS LÄN</t>
        </is>
      </c>
      <c r="G705" t="inlineStr">
        <is>
          <t>SANDVIKEN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12091-2026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46086</v>
      </c>
      <c r="E706" s="1" t="n">
        <v>46307</v>
      </c>
      <c r="F706" t="inlineStr">
        <is>
          <t>GÄVLEBORGS LÄN</t>
        </is>
      </c>
      <c r="G706" t="inlineStr">
        <is>
          <t>SANDVIKEN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12099-2026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46086</v>
      </c>
      <c r="E707" s="1" t="n">
        <v>46307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12132-2026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46086</v>
      </c>
      <c r="E708" s="1" t="n">
        <v>46307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16102-2026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46108</v>
      </c>
      <c r="E709" s="1" t="n">
        <v>46307</v>
      </c>
      <c r="F709" t="inlineStr">
        <is>
          <t>GÄVLEBORGS LÄN</t>
        </is>
      </c>
      <c r="G709" t="inlineStr">
        <is>
          <t>SANDVIKEN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12433-2026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46090</v>
      </c>
      <c r="E710" s="1" t="n">
        <v>46307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46104</v>
      </c>
      <c r="E711" s="1" t="n">
        <v>46307</v>
      </c>
      <c r="F711" t="inlineStr">
        <is>
          <t>GÄVLEBORGS LÄN</t>
        </is>
      </c>
      <c r="G711" t="inlineStr">
        <is>
          <t>SANDVIKEN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3788-2026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46307</v>
      </c>
      <c r="F712" t="inlineStr">
        <is>
          <t>GÄVLEBORGS LÄN</t>
        </is>
      </c>
      <c r="G712" t="inlineStr">
        <is>
          <t>SANDVIKEN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12426-2026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46090</v>
      </c>
      <c r="E713" s="1" t="n">
        <v>46307</v>
      </c>
      <c r="F713" t="inlineStr">
        <is>
          <t>GÄVLEBORGS LÄN</t>
        </is>
      </c>
      <c r="G713" t="inlineStr">
        <is>
          <t>SANDVIKEN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12641-2026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46307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12704-2026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46091</v>
      </c>
      <c r="E715" s="1" t="n">
        <v>46307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12847-2026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46092</v>
      </c>
      <c r="E716" s="1" t="n">
        <v>46307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13108-2026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46093</v>
      </c>
      <c r="E717" s="1" t="n">
        <v>46307</v>
      </c>
      <c r="F717" t="inlineStr">
        <is>
          <t>GÄVLEBORGS LÄN</t>
        </is>
      </c>
      <c r="G717" t="inlineStr">
        <is>
          <t>SANDVIKEN</t>
        </is>
      </c>
      <c r="I717" t="n">
        <v>22.5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12826-2026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46092</v>
      </c>
      <c r="E718" s="1" t="n">
        <v>46307</v>
      </c>
      <c r="F718" t="inlineStr">
        <is>
          <t>GÄVLEBORGS LÄN</t>
        </is>
      </c>
      <c r="G718" t="inlineStr">
        <is>
          <t>SANDVIKEN</t>
        </is>
      </c>
      <c r="H718" t="inlineStr">
        <is>
          <t>Naturvårdsverket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12891-2026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46092</v>
      </c>
      <c r="E719" s="1" t="n">
        <v>46307</v>
      </c>
      <c r="F719" t="inlineStr">
        <is>
          <t>GÄVLEBORGS LÄN</t>
        </is>
      </c>
      <c r="G719" t="inlineStr">
        <is>
          <t>SANDVIKEN</t>
        </is>
      </c>
      <c r="H719" t="inlineStr">
        <is>
          <t>Naturvårdsverket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13138-2026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46093</v>
      </c>
      <c r="E720" s="1" t="n">
        <v>46307</v>
      </c>
      <c r="F720" t="inlineStr">
        <is>
          <t>GÄVLEBORGS LÄN</t>
        </is>
      </c>
      <c r="G720" t="inlineStr">
        <is>
          <t>SANDVIKEN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12893-2026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46092</v>
      </c>
      <c r="E721" s="1" t="n">
        <v>46307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6.2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46036</v>
      </c>
      <c r="E722" s="1" t="n">
        <v>46307</v>
      </c>
      <c r="F722" t="inlineStr">
        <is>
          <t>GÄVLEBORGS LÄN</t>
        </is>
      </c>
      <c r="G722" t="inlineStr">
        <is>
          <t>SANDVIKEN</t>
        </is>
      </c>
      <c r="I722" t="n">
        <v>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13409-2026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46307</v>
      </c>
      <c r="F723" t="inlineStr">
        <is>
          <t>GÄVLEBORGS LÄN</t>
        </is>
      </c>
      <c r="G723" t="inlineStr">
        <is>
          <t>SANDVIKEN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46095</v>
      </c>
      <c r="E724" s="1" t="n">
        <v>46307</v>
      </c>
      <c r="F724" t="inlineStr">
        <is>
          <t>GÄVLEBORGS LÄN</t>
        </is>
      </c>
      <c r="G724" t="inlineStr">
        <is>
          <t>SANDVIKEN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13585-2026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46095</v>
      </c>
      <c r="E725" s="1" t="n">
        <v>46307</v>
      </c>
      <c r="F725" t="inlineStr">
        <is>
          <t>GÄVLEBORGS LÄN</t>
        </is>
      </c>
      <c r="G725" t="inlineStr">
        <is>
          <t>SANDVIKEN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46095</v>
      </c>
      <c r="E726" s="1" t="n">
        <v>46307</v>
      </c>
      <c r="F726" t="inlineStr">
        <is>
          <t>GÄVLEBORGS LÄN</t>
        </is>
      </c>
      <c r="G726" t="inlineStr">
        <is>
          <t>SANDVIKEN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13605-2026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46307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13642-2026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46307</v>
      </c>
      <c r="F728" t="inlineStr">
        <is>
          <t>GÄVLEBORGS LÄN</t>
        </is>
      </c>
      <c r="G728" t="inlineStr">
        <is>
          <t>SANDVIKEN</t>
        </is>
      </c>
      <c r="H728" t="inlineStr">
        <is>
          <t>Kommuner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13552-2026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46307</v>
      </c>
      <c r="F729" t="inlineStr">
        <is>
          <t>GÄVLEBORGS LÄN</t>
        </is>
      </c>
      <c r="G729" t="inlineStr">
        <is>
          <t>SANDVIKEN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13582-2026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46095</v>
      </c>
      <c r="E730" s="1" t="n">
        <v>46307</v>
      </c>
      <c r="F730" t="inlineStr">
        <is>
          <t>GÄVLEBORGS LÄN</t>
        </is>
      </c>
      <c r="G730" t="inlineStr">
        <is>
          <t>SANDVIKEN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13727-2026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46307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23144-2026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46161</v>
      </c>
      <c r="E732" s="1" t="n">
        <v>46307</v>
      </c>
      <c r="F732" t="inlineStr">
        <is>
          <t>GÄVLEBORGS LÄN</t>
        </is>
      </c>
      <c r="G732" t="inlineStr">
        <is>
          <t>SANDVIKEN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46034</v>
      </c>
      <c r="E733" s="1" t="n">
        <v>46307</v>
      </c>
      <c r="F733" t="inlineStr">
        <is>
          <t>GÄVLEBORGS LÄN</t>
        </is>
      </c>
      <c r="G733" t="inlineStr">
        <is>
          <t>SANDVIKEN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15769-2026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46107</v>
      </c>
      <c r="E734" s="1" t="n">
        <v>46307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23465-2026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46307</v>
      </c>
      <c r="F735" t="inlineStr">
        <is>
          <t>GÄVLEBORGS LÄN</t>
        </is>
      </c>
      <c r="G735" t="inlineStr">
        <is>
          <t>SANDVIKEN</t>
        </is>
      </c>
      <c r="H735" t="inlineStr">
        <is>
          <t>Övriga statliga verk och myndigheter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46307</v>
      </c>
      <c r="F736" t="inlineStr">
        <is>
          <t>GÄVLEBORGS LÄN</t>
        </is>
      </c>
      <c r="G736" t="inlineStr">
        <is>
          <t>SANDVIKEN</t>
        </is>
      </c>
      <c r="H736" t="inlineStr">
        <is>
          <t>Övriga statliga verk och myndigheter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955-2026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46307</v>
      </c>
      <c r="F737" t="inlineStr">
        <is>
          <t>GÄVLEBORGS LÄN</t>
        </is>
      </c>
      <c r="G737" t="inlineStr">
        <is>
          <t>SANDVIKEN</t>
        </is>
      </c>
      <c r="I737" t="n">
        <v>14.2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23429-2026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46163</v>
      </c>
      <c r="E738" s="1" t="n">
        <v>46307</v>
      </c>
      <c r="F738" t="inlineStr">
        <is>
          <t>GÄVLEBORGS LÄN</t>
        </is>
      </c>
      <c r="G738" t="inlineStr">
        <is>
          <t>SANDVIKEN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23459-2026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46307</v>
      </c>
      <c r="F739" t="inlineStr">
        <is>
          <t>GÄVLEBORGS LÄN</t>
        </is>
      </c>
      <c r="G739" t="inlineStr">
        <is>
          <t>SANDVIKEN</t>
        </is>
      </c>
      <c r="H739" t="inlineStr">
        <is>
          <t>Övriga statliga verk och myndigheter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46163</v>
      </c>
      <c r="E740" s="1" t="n">
        <v>46307</v>
      </c>
      <c r="F740" t="inlineStr">
        <is>
          <t>GÄVLEBORGS LÄN</t>
        </is>
      </c>
      <c r="G740" t="inlineStr">
        <is>
          <t>SANDVIKEN</t>
        </is>
      </c>
      <c r="H740" t="inlineStr">
        <is>
          <t>Övriga statliga verk och myndigheter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46307</v>
      </c>
      <c r="F741" t="inlineStr">
        <is>
          <t>GÄVLEBORGS LÄN</t>
        </is>
      </c>
      <c r="G741" t="inlineStr">
        <is>
          <t>SANDVIKEN</t>
        </is>
      </c>
      <c r="H741" t="inlineStr">
        <is>
          <t>Övriga statliga verk och myndigheter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23824-2026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46165</v>
      </c>
      <c r="E742" s="1" t="n">
        <v>46307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46165</v>
      </c>
      <c r="E743" s="1" t="n">
        <v>46307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23822-2026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46165</v>
      </c>
      <c r="E744" s="1" t="n">
        <v>46307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46307</v>
      </c>
      <c r="F745" t="inlineStr">
        <is>
          <t>GÄVLEBORGS LÄN</t>
        </is>
      </c>
      <c r="G745" t="inlineStr">
        <is>
          <t>SANDVIKEN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24177-2026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46307</v>
      </c>
      <c r="F746" t="inlineStr">
        <is>
          <t>GÄVLEBORGS LÄN</t>
        </is>
      </c>
      <c r="G746" t="inlineStr">
        <is>
          <t>SANDVIKEN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23823-2026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46165</v>
      </c>
      <c r="E747" s="1" t="n">
        <v>46307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23821-2026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46165</v>
      </c>
      <c r="E748" s="1" t="n">
        <v>46307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24149-2026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46307</v>
      </c>
      <c r="F749" t="inlineStr">
        <is>
          <t>GÄVLEBORGS LÄN</t>
        </is>
      </c>
      <c r="G749" t="inlineStr">
        <is>
          <t>SANDVIKEN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46169</v>
      </c>
      <c r="E750" s="1" t="n">
        <v>46307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24303-2026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46169</v>
      </c>
      <c r="E751" s="1" t="n">
        <v>46307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24313-2026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46169</v>
      </c>
      <c r="E752" s="1" t="n">
        <v>46307</v>
      </c>
      <c r="F752" t="inlineStr">
        <is>
          <t>GÄVLEBORGS LÄN</t>
        </is>
      </c>
      <c r="G752" t="inlineStr">
        <is>
          <t>SANDVIKEN</t>
        </is>
      </c>
      <c r="H752" t="inlineStr">
        <is>
          <t>Kommuner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24355-2026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46169</v>
      </c>
      <c r="E753" s="1" t="n">
        <v>46307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8.9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46169</v>
      </c>
      <c r="E754" s="1" t="n">
        <v>46307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5960-2026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46052</v>
      </c>
      <c r="E755" s="1" t="n">
        <v>46307</v>
      </c>
      <c r="F755" t="inlineStr">
        <is>
          <t>GÄVLEBORGS LÄN</t>
        </is>
      </c>
      <c r="G755" t="inlineStr">
        <is>
          <t>SANDVIKEN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24650-2026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46171</v>
      </c>
      <c r="E756" s="1" t="n">
        <v>46307</v>
      </c>
      <c r="F756" t="inlineStr">
        <is>
          <t>GÄVLEBORGS LÄN</t>
        </is>
      </c>
      <c r="G756" t="inlineStr">
        <is>
          <t>SANDVIKEN</t>
        </is>
      </c>
      <c r="I756" t="n">
        <v>6.1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24627-2026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46171</v>
      </c>
      <c r="E757" s="1" t="n">
        <v>46307</v>
      </c>
      <c r="F757" t="inlineStr">
        <is>
          <t>GÄVLEBORGS LÄN</t>
        </is>
      </c>
      <c r="G757" t="inlineStr">
        <is>
          <t>SANDVIKEN</t>
        </is>
      </c>
      <c r="I757" t="n">
        <v>6.9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25220-2026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46175</v>
      </c>
      <c r="E758" s="1" t="n">
        <v>46307</v>
      </c>
      <c r="F758" t="inlineStr">
        <is>
          <t>GÄVLEBORGS LÄN</t>
        </is>
      </c>
      <c r="G758" t="inlineStr">
        <is>
          <t>SANDVIKEN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25249-2026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46175</v>
      </c>
      <c r="E759" s="1" t="n">
        <v>46307</v>
      </c>
      <c r="F759" t="inlineStr">
        <is>
          <t>GÄVLEBORGS LÄN</t>
        </is>
      </c>
      <c r="G759" t="inlineStr">
        <is>
          <t>SANDVIKEN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46307</v>
      </c>
      <c r="F760" t="inlineStr">
        <is>
          <t>GÄVLEBORGS LÄN</t>
        </is>
      </c>
      <c r="G760" t="inlineStr">
        <is>
          <t>SANDVIKEN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25175-2026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46307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46045</v>
      </c>
      <c r="E762" s="1" t="n">
        <v>46307</v>
      </c>
      <c r="F762" t="inlineStr">
        <is>
          <t>GÄVLEBORGS LÄN</t>
        </is>
      </c>
      <c r="G762" t="inlineStr">
        <is>
          <t>SANDVIKEN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25647-2026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46307</v>
      </c>
      <c r="F763" t="inlineStr">
        <is>
          <t>GÄVLEBORGS LÄN</t>
        </is>
      </c>
      <c r="G763" t="inlineStr">
        <is>
          <t>SANDVIKEN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8940-2026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46069</v>
      </c>
      <c r="E764" s="1" t="n">
        <v>46307</v>
      </c>
      <c r="F764" t="inlineStr">
        <is>
          <t>GÄVLEBORGS LÄN</t>
        </is>
      </c>
      <c r="G764" t="inlineStr">
        <is>
          <t>SANDVIKEN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25456-2026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46177</v>
      </c>
      <c r="E765" s="1" t="n">
        <v>46307</v>
      </c>
      <c r="F765" t="inlineStr">
        <is>
          <t>GÄVLEBORGS LÄN</t>
        </is>
      </c>
      <c r="G765" t="inlineStr">
        <is>
          <t>SANDVIKEN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25412-2026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46176</v>
      </c>
      <c r="E766" s="1" t="n">
        <v>46307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25413-2026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46176</v>
      </c>
      <c r="E767" s="1" t="n">
        <v>46307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25826-2026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46307</v>
      </c>
      <c r="F768" t="inlineStr">
        <is>
          <t>GÄVLEBORGS LÄN</t>
        </is>
      </c>
      <c r="G768" t="inlineStr">
        <is>
          <t>SANDVIKEN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25842-2026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46307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25691-2026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46307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26601-2026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46307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26872-2026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46307</v>
      </c>
      <c r="F772" t="inlineStr">
        <is>
          <t>GÄVLEBORGS LÄN</t>
        </is>
      </c>
      <c r="G772" t="inlineStr">
        <is>
          <t>SANDVIKEN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46307</v>
      </c>
      <c r="F773" t="inlineStr">
        <is>
          <t>GÄVLEBORGS LÄN</t>
        </is>
      </c>
      <c r="G773" t="inlineStr">
        <is>
          <t>SANDVIKEN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26818-2026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46307</v>
      </c>
      <c r="F774" t="inlineStr">
        <is>
          <t>GÄVLEBORGS LÄN</t>
        </is>
      </c>
      <c r="G774" t="inlineStr">
        <is>
          <t>SANDVIKEN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26882-2026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46185</v>
      </c>
      <c r="E775" s="1" t="n">
        <v>46307</v>
      </c>
      <c r="F775" t="inlineStr">
        <is>
          <t>GÄVLEBORGS LÄN</t>
        </is>
      </c>
      <c r="G775" t="inlineStr">
        <is>
          <t>SANDVIKEN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26780-2026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46184</v>
      </c>
      <c r="E776" s="1" t="n">
        <v>46307</v>
      </c>
      <c r="F776" t="inlineStr">
        <is>
          <t>GÄVLEBORGS LÄN</t>
        </is>
      </c>
      <c r="G776" t="inlineStr">
        <is>
          <t>SANDVIKEN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26763-2026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46184</v>
      </c>
      <c r="E777" s="1" t="n">
        <v>46307</v>
      </c>
      <c r="F777" t="inlineStr">
        <is>
          <t>GÄVLEBORGS LÄN</t>
        </is>
      </c>
      <c r="G777" t="inlineStr">
        <is>
          <t>SANDVIKEN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14720-2026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46101</v>
      </c>
      <c r="E778" s="1" t="n">
        <v>46307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27743-2026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46191</v>
      </c>
      <c r="E779" s="1" t="n">
        <v>46307</v>
      </c>
      <c r="F779" t="inlineStr">
        <is>
          <t>GÄVLEBORGS LÄN</t>
        </is>
      </c>
      <c r="G779" t="inlineStr">
        <is>
          <t>SANDVIKEN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46034</v>
      </c>
      <c r="E780" s="1" t="n">
        <v>46307</v>
      </c>
      <c r="F780" t="inlineStr">
        <is>
          <t>GÄVLEBORGS LÄN</t>
        </is>
      </c>
      <c r="G780" t="inlineStr">
        <is>
          <t>SANDVIKEN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27588-2026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46190</v>
      </c>
      <c r="E781" s="1" t="n">
        <v>46307</v>
      </c>
      <c r="F781" t="inlineStr">
        <is>
          <t>GÄVLEBORGS LÄN</t>
        </is>
      </c>
      <c r="G781" t="inlineStr">
        <is>
          <t>SANDVIKEN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28845-2026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46195</v>
      </c>
      <c r="E782" s="1" t="n">
        <v>46307</v>
      </c>
      <c r="F782" t="inlineStr">
        <is>
          <t>GÄVLEBORGS LÄN</t>
        </is>
      </c>
      <c r="G782" t="inlineStr">
        <is>
          <t>SANDVIKEN</t>
        </is>
      </c>
      <c r="H782" t="inlineStr">
        <is>
          <t>Sveaskog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28340-2026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46196</v>
      </c>
      <c r="E783" s="1" t="n">
        <v>46307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26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28344-2026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46196</v>
      </c>
      <c r="E784" s="1" t="n">
        <v>46307</v>
      </c>
      <c r="F784" t="inlineStr">
        <is>
          <t>GÄVLEBORGS LÄN</t>
        </is>
      </c>
      <c r="G784" t="inlineStr">
        <is>
          <t>SANDVIKEN</t>
        </is>
      </c>
      <c r="H784" t="inlineStr">
        <is>
          <t>Sveaskog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28369-2026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46196</v>
      </c>
      <c r="E785" s="1" t="n">
        <v>46307</v>
      </c>
      <c r="F785" t="inlineStr">
        <is>
          <t>GÄVLEBORGS LÄN</t>
        </is>
      </c>
      <c r="G785" t="inlineStr">
        <is>
          <t>SANDVIKEN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28346-2026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46196</v>
      </c>
      <c r="E786" s="1" t="n">
        <v>46307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11.9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29115-2026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46201</v>
      </c>
      <c r="E787" s="1" t="n">
        <v>46307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28728-2026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46307</v>
      </c>
      <c r="F788" t="inlineStr">
        <is>
          <t>GÄVLEBORGS LÄN</t>
        </is>
      </c>
      <c r="G788" t="inlineStr">
        <is>
          <t>SANDVIKEN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29321-2026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46202</v>
      </c>
      <c r="E789" s="1" t="n">
        <v>46307</v>
      </c>
      <c r="F789" t="inlineStr">
        <is>
          <t>GÄVLEBORGS LÄN</t>
        </is>
      </c>
      <c r="G789" t="inlineStr">
        <is>
          <t>SANDVIKEN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29471-2026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46203</v>
      </c>
      <c r="E790" s="1" t="n">
        <v>46307</v>
      </c>
      <c r="F790" t="inlineStr">
        <is>
          <t>GÄVLEBORGS LÄN</t>
        </is>
      </c>
      <c r="G790" t="inlineStr">
        <is>
          <t>SANDVIKEN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29682-2026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46307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29726-2026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46307</v>
      </c>
      <c r="F792" t="inlineStr">
        <is>
          <t>GÄVLEBORGS LÄN</t>
        </is>
      </c>
      <c r="G792" t="inlineStr">
        <is>
          <t>SANDVIKEN</t>
        </is>
      </c>
      <c r="H792" t="inlineStr">
        <is>
          <t>Naturvårdsverket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46307</v>
      </c>
      <c r="F793" t="inlineStr">
        <is>
          <t>GÄVLEBORGS LÄN</t>
        </is>
      </c>
      <c r="G793" t="inlineStr">
        <is>
          <t>SANDVIKEN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29842-2026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46205</v>
      </c>
      <c r="E794" s="1" t="n">
        <v>46307</v>
      </c>
      <c r="F794" t="inlineStr">
        <is>
          <t>GÄVLEBORGS LÄN</t>
        </is>
      </c>
      <c r="G794" t="inlineStr">
        <is>
          <t>SANDVIKEN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29572-2026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46307</v>
      </c>
      <c r="F795" t="inlineStr">
        <is>
          <t>GÄVLEBORGS LÄN</t>
        </is>
      </c>
      <c r="G795" t="inlineStr">
        <is>
          <t>SANDVIKEN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29715-2026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46307</v>
      </c>
      <c r="F796" t="inlineStr">
        <is>
          <t>GÄVLEBORGS LÄN</t>
        </is>
      </c>
      <c r="G796" t="inlineStr">
        <is>
          <t>SANDVIKEN</t>
        </is>
      </c>
      <c r="H796" t="inlineStr">
        <is>
          <t>Naturvårdsverket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29833-2026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46205</v>
      </c>
      <c r="E797" s="1" t="n">
        <v>46307</v>
      </c>
      <c r="F797" t="inlineStr">
        <is>
          <t>GÄVLEBORGS LÄN</t>
        </is>
      </c>
      <c r="G797" t="inlineStr">
        <is>
          <t>SANDVIKEN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22851-2026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46160</v>
      </c>
      <c r="E798" s="1" t="n">
        <v>46307</v>
      </c>
      <c r="F798" t="inlineStr">
        <is>
          <t>GÄVLEBORGS LÄN</t>
        </is>
      </c>
      <c r="G798" t="inlineStr">
        <is>
          <t>SANDVIKEN</t>
        </is>
      </c>
      <c r="H798" t="inlineStr">
        <is>
          <t>Kommuner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25498-2026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46177</v>
      </c>
      <c r="E799" s="1" t="n">
        <v>46307</v>
      </c>
      <c r="F799" t="inlineStr">
        <is>
          <t>GÄVLEBORGS LÄN</t>
        </is>
      </c>
      <c r="G799" t="inlineStr">
        <is>
          <t>SANDVIKEN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1062-2026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46030</v>
      </c>
      <c r="E800" s="1" t="n">
        <v>46307</v>
      </c>
      <c r="F800" t="inlineStr">
        <is>
          <t>GÄVLEBORGS LÄN</t>
        </is>
      </c>
      <c r="G800" t="inlineStr">
        <is>
          <t>SANDVIKEN</t>
        </is>
      </c>
      <c r="I800" t="n">
        <v>10.2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31314-2026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46219</v>
      </c>
      <c r="E801" s="1" t="n">
        <v>46307</v>
      </c>
      <c r="F801" t="inlineStr">
        <is>
          <t>GÄVLEBORGS LÄN</t>
        </is>
      </c>
      <c r="G801" t="inlineStr">
        <is>
          <t>SANDVIKEN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35863-2026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46266</v>
      </c>
      <c r="E802" s="1" t="n">
        <v>46307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35865-2026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46266</v>
      </c>
      <c r="E803" s="1" t="n">
        <v>46307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61100-2025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46000</v>
      </c>
      <c r="E804" s="1" t="n">
        <v>46307</v>
      </c>
      <c r="F804" t="inlineStr">
        <is>
          <t>GÄVLEBORGS LÄN</t>
        </is>
      </c>
      <c r="G804" t="inlineStr">
        <is>
          <t>SANDVIKEN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46227</v>
      </c>
      <c r="E805" s="1" t="n">
        <v>46307</v>
      </c>
      <c r="F805" t="inlineStr">
        <is>
          <t>GÄVLEBORGS LÄN</t>
        </is>
      </c>
      <c r="G805" t="inlineStr">
        <is>
          <t>SANDVIKEN</t>
        </is>
      </c>
      <c r="H805" t="inlineStr">
        <is>
          <t>Kommuner</t>
        </is>
      </c>
      <c r="I805" t="n">
        <v>9.300000000000001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37024-2026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46273</v>
      </c>
      <c r="E806" s="1" t="n">
        <v>46307</v>
      </c>
      <c r="F806" t="inlineStr">
        <is>
          <t>GÄVLEBORGS LÄN</t>
        </is>
      </c>
      <c r="G806" t="inlineStr">
        <is>
          <t>SANDVIKEN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31802-2026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46230</v>
      </c>
      <c r="E807" s="1" t="n">
        <v>46307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31807-2026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46230</v>
      </c>
      <c r="E808" s="1" t="n">
        <v>46307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11.2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37455-2026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46275</v>
      </c>
      <c r="E809" s="1" t="n">
        <v>46307</v>
      </c>
      <c r="F809" t="inlineStr">
        <is>
          <t>GÄVLEBORGS LÄN</t>
        </is>
      </c>
      <c r="G809" t="inlineStr">
        <is>
          <t>SANDVIKEN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7886-2026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46063</v>
      </c>
      <c r="E810" s="1" t="n">
        <v>46307</v>
      </c>
      <c r="F810" t="inlineStr">
        <is>
          <t>GÄVLEBORGS LÄN</t>
        </is>
      </c>
      <c r="G810" t="inlineStr">
        <is>
          <t>SANDVIKEN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38047-2026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46280</v>
      </c>
      <c r="E811" s="1" t="n">
        <v>46307</v>
      </c>
      <c r="F811" t="inlineStr">
        <is>
          <t>GÄVLEBORGS LÄN</t>
        </is>
      </c>
      <c r="G811" t="inlineStr">
        <is>
          <t>SANDVIKEN</t>
        </is>
      </c>
      <c r="H811" t="inlineStr">
        <is>
          <t>Kommuner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29661-2026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46204</v>
      </c>
      <c r="E812" s="1" t="n">
        <v>46307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39155-2026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46287</v>
      </c>
      <c r="E813" s="1" t="n">
        <v>46307</v>
      </c>
      <c r="F813" t="inlineStr">
        <is>
          <t>GÄVLEBORGS LÄN</t>
        </is>
      </c>
      <c r="G813" t="inlineStr">
        <is>
          <t>SANDVIKEN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39393-2026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46288</v>
      </c>
      <c r="E814" s="1" t="n">
        <v>46307</v>
      </c>
      <c r="F814" t="inlineStr">
        <is>
          <t>GÄVLEBORGS LÄN</t>
        </is>
      </c>
      <c r="G814" t="inlineStr">
        <is>
          <t>SANDVIKEN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39396-2026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46288</v>
      </c>
      <c r="E815" s="1" t="n">
        <v>46307</v>
      </c>
      <c r="F815" t="inlineStr">
        <is>
          <t>GÄVLEBORGS LÄN</t>
        </is>
      </c>
      <c r="G815" t="inlineStr">
        <is>
          <t>SANDVIKEN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39157-2026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46287</v>
      </c>
      <c r="E816" s="1" t="n">
        <v>46307</v>
      </c>
      <c r="F816" t="inlineStr">
        <is>
          <t>GÄVLEBORGS LÄN</t>
        </is>
      </c>
      <c r="G816" t="inlineStr">
        <is>
          <t>SANDVIKEN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33007-2026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46244</v>
      </c>
      <c r="E817" s="1" t="n">
        <v>46307</v>
      </c>
      <c r="F817" t="inlineStr">
        <is>
          <t>GÄVLEBORGS LÄN</t>
        </is>
      </c>
      <c r="G817" t="inlineStr">
        <is>
          <t>SANDVIKEN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32875-2026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46307</v>
      </c>
      <c r="F818" t="inlineStr">
        <is>
          <t>GÄVLEBORGS LÄN</t>
        </is>
      </c>
      <c r="G818" t="inlineStr">
        <is>
          <t>SANDVIKEN</t>
        </is>
      </c>
      <c r="H818" t="inlineStr">
        <is>
          <t>Kommuner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38995-2026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46287</v>
      </c>
      <c r="E819" s="1" t="n">
        <v>46307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33383-2026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46247</v>
      </c>
      <c r="E820" s="1" t="n">
        <v>46307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33310-2026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46307</v>
      </c>
      <c r="F821" t="inlineStr">
        <is>
          <t>GÄVLEBORGS LÄN</t>
        </is>
      </c>
      <c r="G821" t="inlineStr">
        <is>
          <t>SANDVIKEN</t>
        </is>
      </c>
      <c r="H821" t="inlineStr">
        <is>
          <t>Kommuner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27533-2026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46190</v>
      </c>
      <c r="E822" s="1" t="n">
        <v>46307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23228-2026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46162</v>
      </c>
      <c r="E823" s="1" t="n">
        <v>46307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46307</v>
      </c>
      <c r="F824" t="inlineStr">
        <is>
          <t>GÄVLEBORGS LÄN</t>
        </is>
      </c>
      <c r="G824" t="inlineStr">
        <is>
          <t>SANDVIKEN</t>
        </is>
      </c>
      <c r="I824" t="n">
        <v>6.9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28349-2026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46196</v>
      </c>
      <c r="E825" s="1" t="n">
        <v>46307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33877-2026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46251</v>
      </c>
      <c r="E826" s="1" t="n">
        <v>46307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34253-2026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46253</v>
      </c>
      <c r="E827" s="1" t="n">
        <v>46307</v>
      </c>
      <c r="F827" t="inlineStr">
        <is>
          <t>GÄVLEBORGS LÄN</t>
        </is>
      </c>
      <c r="G827" t="inlineStr">
        <is>
          <t>SANDVIKEN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34036-2026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46252</v>
      </c>
      <c r="E828" s="1" t="n">
        <v>46307</v>
      </c>
      <c r="F828" t="inlineStr">
        <is>
          <t>GÄVLEBORGS LÄN</t>
        </is>
      </c>
      <c r="G828" t="inlineStr">
        <is>
          <t>SANDVIKEN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7350-2026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46058</v>
      </c>
      <c r="E829" s="1" t="n">
        <v>46307</v>
      </c>
      <c r="F829" t="inlineStr">
        <is>
          <t>GÄVLEBORGS LÄN</t>
        </is>
      </c>
      <c r="G829" t="inlineStr">
        <is>
          <t>SANDVIKEN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18218-2026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46126</v>
      </c>
      <c r="E830" s="1" t="n">
        <v>46307</v>
      </c>
      <c r="F830" t="inlineStr">
        <is>
          <t>GÄVLEBORGS LÄN</t>
        </is>
      </c>
      <c r="G830" t="inlineStr">
        <is>
          <t>SANDVIKEN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12656-2026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46091</v>
      </c>
      <c r="E831" s="1" t="n">
        <v>46307</v>
      </c>
      <c r="F831" t="inlineStr">
        <is>
          <t>GÄVLEBORGS LÄN</t>
        </is>
      </c>
      <c r="G831" t="inlineStr">
        <is>
          <t>SANDVIKEN</t>
        </is>
      </c>
      <c r="H831" t="inlineStr">
        <is>
          <t>Naturvårdsverket</t>
        </is>
      </c>
      <c r="I831" t="n">
        <v>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13581-2026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46095</v>
      </c>
      <c r="E832" s="1" t="n">
        <v>46307</v>
      </c>
      <c r="F832" t="inlineStr">
        <is>
          <t>GÄVLEBORGS LÄN</t>
        </is>
      </c>
      <c r="G832" t="inlineStr">
        <is>
          <t>SANDVIKEN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17164-2026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46115</v>
      </c>
      <c r="E833" s="1" t="n">
        <v>46307</v>
      </c>
      <c r="F833" t="inlineStr">
        <is>
          <t>GÄVLEBORGS LÄN</t>
        </is>
      </c>
      <c r="G833" t="inlineStr">
        <is>
          <t>SANDVIKEN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25837-2026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46307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7351-2026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46058</v>
      </c>
      <c r="E835" s="1" t="n">
        <v>46307</v>
      </c>
      <c r="F835" t="inlineStr">
        <is>
          <t>GÄVLEBORGS LÄN</t>
        </is>
      </c>
      <c r="G835" t="inlineStr">
        <is>
          <t>SANDVIKEN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7352-2026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46058</v>
      </c>
      <c r="E836" s="1" t="n">
        <v>46307</v>
      </c>
      <c r="F836" t="inlineStr">
        <is>
          <t>GÄVLEBORGS LÄN</t>
        </is>
      </c>
      <c r="G836" t="inlineStr">
        <is>
          <t>SANDVIKEN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46307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25835-2026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46178</v>
      </c>
      <c r="E838" s="1" t="n">
        <v>46307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18752-2026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46128</v>
      </c>
      <c r="E839" s="1" t="n">
        <v>46307</v>
      </c>
      <c r="F839" t="inlineStr">
        <is>
          <t>GÄVLEBORGS LÄN</t>
        </is>
      </c>
      <c r="G839" t="inlineStr">
        <is>
          <t>SANDVIKEN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19186-2026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46132</v>
      </c>
      <c r="E840" s="1" t="n">
        <v>46307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7.3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13580-2026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46095</v>
      </c>
      <c r="E841" s="1" t="n">
        <v>46307</v>
      </c>
      <c r="F841" t="inlineStr">
        <is>
          <t>GÄVLEBORGS LÄN</t>
        </is>
      </c>
      <c r="G841" t="inlineStr">
        <is>
          <t>SANDVIKEN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61301-2025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46000</v>
      </c>
      <c r="E842" s="1" t="n">
        <v>46307</v>
      </c>
      <c r="F842" t="inlineStr">
        <is>
          <t>GÄVLEBORGS LÄN</t>
        </is>
      </c>
      <c r="G842" t="inlineStr">
        <is>
          <t>SANDVIKEN</t>
        </is>
      </c>
      <c r="I842" t="n">
        <v>5.9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32998-2026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46307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34606-2026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46255</v>
      </c>
      <c r="E844" s="1" t="n">
        <v>46307</v>
      </c>
      <c r="F844" t="inlineStr">
        <is>
          <t>GÄVLEBORGS LÄN</t>
        </is>
      </c>
      <c r="G844" t="inlineStr">
        <is>
          <t>SANDVIKEN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8611-2026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46065</v>
      </c>
      <c r="E845" s="1" t="n">
        <v>46307</v>
      </c>
      <c r="F845" t="inlineStr">
        <is>
          <t>GÄVLEBORGS LÄN</t>
        </is>
      </c>
      <c r="G845" t="inlineStr">
        <is>
          <t>SANDVIKEN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41125-2026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46300</v>
      </c>
      <c r="E846" s="1" t="n">
        <v>46307</v>
      </c>
      <c r="F846" t="inlineStr">
        <is>
          <t>GÄVLEBORGS LÄN</t>
        </is>
      </c>
      <c r="G846" t="inlineStr">
        <is>
          <t>SANDVIKEN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29616-2026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46204</v>
      </c>
      <c r="E847" s="1" t="n">
        <v>46307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58198-2025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45984</v>
      </c>
      <c r="E848" s="1" t="n">
        <v>46307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46607-2025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45926</v>
      </c>
      <c r="E849" s="1" t="n">
        <v>46307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46178</v>
      </c>
      <c r="E850" s="1" t="n">
        <v>46307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34408-2026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46254</v>
      </c>
      <c r="E851" s="1" t="n">
        <v>46307</v>
      </c>
      <c r="F851" t="inlineStr">
        <is>
          <t>GÄVLEBORGS LÄN</t>
        </is>
      </c>
      <c r="G851" t="inlineStr">
        <is>
          <t>SANDVIKEN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34603-2026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46255</v>
      </c>
      <c r="E852" s="1" t="n">
        <v>46307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34608-2026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46255</v>
      </c>
      <c r="E853" s="1" t="n">
        <v>46307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58200-2025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45984</v>
      </c>
      <c r="E854" s="1" t="n">
        <v>46307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öst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5247-2026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46049</v>
      </c>
      <c r="E855" s="1" t="n">
        <v>46307</v>
      </c>
      <c r="F855" t="inlineStr">
        <is>
          <t>GÄVLEBORGS LÄN</t>
        </is>
      </c>
      <c r="G855" t="inlineStr">
        <is>
          <t>SANDVIKEN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33874-2026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46251</v>
      </c>
      <c r="E856" s="1" t="n">
        <v>46307</v>
      </c>
      <c r="F856" t="inlineStr">
        <is>
          <t>GÄVLEBORGS LÄN</t>
        </is>
      </c>
      <c r="G856" t="inlineStr">
        <is>
          <t>SANDVIKEN</t>
        </is>
      </c>
      <c r="H856" t="inlineStr">
        <is>
          <t>Sveaskog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32989-2026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46244</v>
      </c>
      <c r="E857" s="1" t="n">
        <v>46307</v>
      </c>
      <c r="F857" t="inlineStr">
        <is>
          <t>GÄVLEBORGS LÄN</t>
        </is>
      </c>
      <c r="G857" t="inlineStr">
        <is>
          <t>SANDVIKEN</t>
        </is>
      </c>
      <c r="H857" t="inlineStr">
        <is>
          <t>Kommuner</t>
        </is>
      </c>
      <c r="I857" t="n">
        <v>8.6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15340-2026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46105</v>
      </c>
      <c r="E858" s="1" t="n">
        <v>46307</v>
      </c>
      <c r="F858" t="inlineStr">
        <is>
          <t>GÄVLEBORGS LÄN</t>
        </is>
      </c>
      <c r="G858" t="inlineStr">
        <is>
          <t>SANDVIKEN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4169-2026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46044</v>
      </c>
      <c r="E859" s="1" t="n">
        <v>46307</v>
      </c>
      <c r="F859" t="inlineStr">
        <is>
          <t>GÄVLEBORGS LÄN</t>
        </is>
      </c>
      <c r="G859" t="inlineStr">
        <is>
          <t>SANDVIKEN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34879-2026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46258</v>
      </c>
      <c r="E860" s="1" t="n">
        <v>46307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41328-2026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46301</v>
      </c>
      <c r="E861" s="1" t="n">
        <v>46307</v>
      </c>
      <c r="F861" t="inlineStr">
        <is>
          <t>GÄVLEBORGS LÄN</t>
        </is>
      </c>
      <c r="G861" t="inlineStr">
        <is>
          <t>SANDVIKEN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12857-2026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46092</v>
      </c>
      <c r="E862" s="1" t="n">
        <v>46307</v>
      </c>
      <c r="F862" t="inlineStr">
        <is>
          <t>GÄVLEBORGS LÄN</t>
        </is>
      </c>
      <c r="G862" t="inlineStr">
        <is>
          <t>SANDVIKEN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29613-2026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46204</v>
      </c>
      <c r="E863" s="1" t="n">
        <v>46307</v>
      </c>
      <c r="F863" t="inlineStr">
        <is>
          <t>GÄVLEBORGS LÄN</t>
        </is>
      </c>
      <c r="G863" t="inlineStr">
        <is>
          <t>SANDVIKEN</t>
        </is>
      </c>
      <c r="I863" t="n">
        <v>5.3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29608-2026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46307</v>
      </c>
      <c r="F864" t="inlineStr">
        <is>
          <t>GÄVLEBORGS LÄN</t>
        </is>
      </c>
      <c r="G864" t="inlineStr">
        <is>
          <t>SANDVIKEN</t>
        </is>
      </c>
      <c r="I864" t="n">
        <v>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34997-2026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46259</v>
      </c>
      <c r="E865" s="1" t="n">
        <v>46307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35578-2026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46262</v>
      </c>
      <c r="E866" s="1" t="n">
        <v>46307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35253-2026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46307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35255-2026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46307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11800-2026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46085</v>
      </c>
      <c r="E869" s="1" t="n">
        <v>46307</v>
      </c>
      <c r="F869" t="inlineStr">
        <is>
          <t>GÄVLEBORGS LÄN</t>
        </is>
      </c>
      <c r="G869" t="inlineStr">
        <is>
          <t>SANDVIKEN</t>
        </is>
      </c>
      <c r="H869" t="inlineStr">
        <is>
          <t>Naturvårdsverket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35414-2026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46261</v>
      </c>
      <c r="E870" s="1" t="n">
        <v>46307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öst AB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42018-2026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46304</v>
      </c>
      <c r="E871" s="1" t="n">
        <v>46307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5.4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35254-2026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46307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5.3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35317-2026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46261</v>
      </c>
      <c r="E873" s="1" t="n">
        <v>46307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35492-2026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46262</v>
      </c>
      <c r="E874" s="1" t="n">
        <v>46307</v>
      </c>
      <c r="F874" t="inlineStr">
        <is>
          <t>GÄVLEBORGS LÄN</t>
        </is>
      </c>
      <c r="G874" t="inlineStr">
        <is>
          <t>SANDVIKEN</t>
        </is>
      </c>
      <c r="I874" t="n">
        <v>5.2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35451-2026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46262</v>
      </c>
      <c r="E875" s="1" t="n">
        <v>46307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23476-2026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46163</v>
      </c>
      <c r="E876" s="1" t="n">
        <v>46307</v>
      </c>
      <c r="F876" t="inlineStr">
        <is>
          <t>GÄVLEBORGS LÄN</t>
        </is>
      </c>
      <c r="G876" t="inlineStr">
        <is>
          <t>SANDVIKEN</t>
        </is>
      </c>
      <c r="H876" t="inlineStr">
        <is>
          <t>Övriga statliga verk och myndigheter</t>
        </is>
      </c>
      <c r="I876" t="n">
        <v>4.9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23539-2026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46163</v>
      </c>
      <c r="E877" s="1" t="n">
        <v>46307</v>
      </c>
      <c r="F877" t="inlineStr">
        <is>
          <t>GÄVLEBORGS LÄN</t>
        </is>
      </c>
      <c r="G877" t="inlineStr">
        <is>
          <t>SANDVIKEN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35324-2026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46307</v>
      </c>
      <c r="F878" t="inlineStr">
        <is>
          <t>GÄVLEBORGS LÄN</t>
        </is>
      </c>
      <c r="G878" t="inlineStr">
        <is>
          <t>SANDVIKEN</t>
        </is>
      </c>
      <c r="H878" t="inlineStr">
        <is>
          <t>Naturvårdsverket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35325-2026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46307</v>
      </c>
      <c r="F879" t="inlineStr">
        <is>
          <t>GÄVLEBORGS LÄN</t>
        </is>
      </c>
      <c r="G879" t="inlineStr">
        <is>
          <t>SANDVIKEN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35370-2026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46307</v>
      </c>
      <c r="F880" t="inlineStr">
        <is>
          <t>GÄVLEBORGS LÄN</t>
        </is>
      </c>
      <c r="G880" t="inlineStr">
        <is>
          <t>SANDVIKEN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35348-2026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46307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35376-2026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46307</v>
      </c>
      <c r="F882" t="inlineStr">
        <is>
          <t>GÄVLEBORGS LÄN</t>
        </is>
      </c>
      <c r="G882" t="inlineStr">
        <is>
          <t>SANDVIKEN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35107-2026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46260</v>
      </c>
      <c r="E883" s="1" t="n">
        <v>46307</v>
      </c>
      <c r="F883" t="inlineStr">
        <is>
          <t>GÄVLEBORGS LÄN</t>
        </is>
      </c>
      <c r="G883" t="inlineStr">
        <is>
          <t>SANDVIKEN</t>
        </is>
      </c>
      <c r="I883" t="n">
        <v>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35576-2026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46262</v>
      </c>
      <c r="E884" s="1" t="n">
        <v>46307</v>
      </c>
      <c r="F884" t="inlineStr">
        <is>
          <t>GÄVLEBORGS LÄN</t>
        </is>
      </c>
      <c r="G884" t="inlineStr">
        <is>
          <t>SANDVIKEN</t>
        </is>
      </c>
      <c r="H884" t="inlineStr">
        <is>
          <t>Naturvårdsverket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35420-2026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46261</v>
      </c>
      <c r="E885" s="1" t="n">
        <v>46307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35345-2026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46307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35432-2026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46262</v>
      </c>
      <c r="E887" s="1" t="n">
        <v>46307</v>
      </c>
      <c r="F887" t="inlineStr">
        <is>
          <t>GÄVLEBORGS LÄN</t>
        </is>
      </c>
      <c r="G887" t="inlineStr">
        <is>
          <t>SANDVIKEN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46262</v>
      </c>
      <c r="E888" s="1" t="n">
        <v>46307</v>
      </c>
      <c r="F888" t="inlineStr">
        <is>
          <t>GÄVLEBORGS LÄN</t>
        </is>
      </c>
      <c r="G888" t="inlineStr">
        <is>
          <t>SANDVIKEN</t>
        </is>
      </c>
      <c r="H888" t="inlineStr">
        <is>
          <t>Kommuner</t>
        </is>
      </c>
      <c r="I888" t="n">
        <v>6.7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35320-2026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46261</v>
      </c>
      <c r="E889" s="1" t="n">
        <v>46307</v>
      </c>
      <c r="F889" t="inlineStr">
        <is>
          <t>GÄVLEBORGS LÄN</t>
        </is>
      </c>
      <c r="G889" t="inlineStr">
        <is>
          <t>SANDVIKEN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35575-2026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46262</v>
      </c>
      <c r="E890" s="1" t="n">
        <v>46307</v>
      </c>
      <c r="F890" t="inlineStr">
        <is>
          <t>GÄVLEBORGS LÄN</t>
        </is>
      </c>
      <c r="G890" t="inlineStr">
        <is>
          <t>SANDVIKEN</t>
        </is>
      </c>
      <c r="H890" t="inlineStr">
        <is>
          <t>Naturvårdsverket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35434-2026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46262</v>
      </c>
      <c r="E891" s="1" t="n">
        <v>46307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7825-2026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46062</v>
      </c>
      <c r="E892" s="1" t="n">
        <v>46307</v>
      </c>
      <c r="F892" t="inlineStr">
        <is>
          <t>GÄVLEBORGS LÄN</t>
        </is>
      </c>
      <c r="G892" t="inlineStr">
        <is>
          <t>SANDVIKEN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35416-2026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46307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35417-2026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46307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25836-2026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46178</v>
      </c>
      <c r="E895" s="1" t="n">
        <v>46307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öst AB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36203-2025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45867</v>
      </c>
      <c r="E896" s="1" t="n">
        <v>46307</v>
      </c>
      <c r="F896" t="inlineStr">
        <is>
          <t>GÄVLEBORGS LÄN</t>
        </is>
      </c>
      <c r="G896" t="inlineStr">
        <is>
          <t>SANDVIKEN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2071-2020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44102</v>
      </c>
      <c r="E897" s="1" t="n">
        <v>46307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42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10363-2021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44550</v>
      </c>
      <c r="E898" s="1" t="n">
        <v>46307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73.3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219-2024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45316</v>
      </c>
      <c r="E899" s="1" t="n">
        <v>46307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198-2024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45315</v>
      </c>
      <c r="E900" s="1" t="n">
        <v>46307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64.59999999999999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513-2025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45706</v>
      </c>
      <c r="E901" s="1" t="n">
        <v>46307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29.5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7975-2021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44484</v>
      </c>
      <c r="E902" s="1" t="n">
        <v>46307</v>
      </c>
      <c r="F902" t="inlineStr">
        <is>
          <t>GÄVLEBORGS LÄN</t>
        </is>
      </c>
      <c r="G902" t="inlineStr">
        <is>
          <t>SANDVIKEN</t>
        </is>
      </c>
      <c r="H902" t="inlineStr">
        <is>
          <t>Kommuner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2574-2023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45142</v>
      </c>
      <c r="E903" s="1" t="n">
        <v>46307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31.8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706-2025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45720</v>
      </c>
      <c r="E904" s="1" t="n">
        <v>46307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väst AB</t>
        </is>
      </c>
      <c r="I904" t="n">
        <v>24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531-2025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45707</v>
      </c>
      <c r="E905" s="1" t="n">
        <v>46307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14.4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530-2025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46307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23.1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318-2026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46059</v>
      </c>
      <c r="E907" s="1" t="n">
        <v>46307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14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320-2026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46307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36.3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664-2026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46089</v>
      </c>
      <c r="E909" s="1" t="n">
        <v>46307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>
      <c r="A910" t="inlineStr">
        <is>
          <t>S 677-2026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46307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61.3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2026-10-12T02:02:19Z</dcterms:created>
  <dcterms:modified xmlns:dcterms="http://purl.org/dc/terms/" xmlns:xsi="http://www.w3.org/2001/XMLSchema-instance" xsi:type="dcterms:W3CDTF">2026-10-12T02:02:20Z</dcterms:modified>
</cp:coreProperties>
</file>