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46236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46236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46236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46236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36672-2023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45153</v>
      </c>
      <c r="E13" s="1" t="n">
        <v>46236</v>
      </c>
      <c r="F13" t="inlineStr">
        <is>
          <t>GÄVLEBORGS LÄN</t>
        </is>
      </c>
      <c r="G13" t="inlineStr">
        <is>
          <t>SANDVIKEN</t>
        </is>
      </c>
      <c r="I13" t="n">
        <v>6.4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10</v>
      </c>
      <c r="U13" t="n">
        <v>0</v>
      </c>
      <c r="V13" s="2" t="inlineStr">
        <is>
          <t>Större vattensalamander
Åkergroda
Mindre vattensalamander
Vanlig groda</t>
        </is>
      </c>
      <c r="W13">
        <f>HYPERLINK("https://klasma.github.io/Logging_2181/artfynd/A 36672-2023 artfynd.xlsx", "A 36672-2023")</f>
        <v/>
      </c>
      <c r="X13">
        <f>HYPERLINK("https://klasma.github.io/Logging_2181/kartor/A 36672-2023 karta.png", "A 36672-2023")</f>
        <v/>
      </c>
      <c r="Y13">
        <f>HYPERLINK("https://klasma.github.io/Logging_2181/kartor_geotiff/A 36672-2023 georefererad karta.tif", "A 36672-2023")</f>
        <v/>
      </c>
      <c r="AA13">
        <f>HYPERLINK("https://klasma.github.io/Logging_2181/klagomål/A 36672-2023 FSC-klagomål.docx", "A 36672-2023")</f>
        <v/>
      </c>
      <c r="AB13">
        <f>HYPERLINK("https://klasma.github.io/Logging_2181/klagomålsmail/A 36672-2023 FSC-klagomål mail.docx", "A 36672-2023")</f>
        <v/>
      </c>
      <c r="AC13">
        <f>HYPERLINK("https://klasma.github.io/Logging_2181/tillsyn/A 36672-2023 tillsynsbegäran.docx", "A 36672-2023")</f>
        <v/>
      </c>
      <c r="AD13">
        <f>HYPERLINK("https://klasma.github.io/Logging_2181/tillsynsmail/A 36672-2023 tillsynsbegäran mail.docx", "A 36672-2023")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46236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46236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46236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46236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46236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12192-2026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46086</v>
      </c>
      <c r="E19" s="1" t="n">
        <v>46236</v>
      </c>
      <c r="F19" t="inlineStr">
        <is>
          <t>GÄVLEBORGS LÄN</t>
        </is>
      </c>
      <c r="G19" t="inlineStr">
        <is>
          <t>SANDVIKEN</t>
        </is>
      </c>
      <c r="I19" t="n">
        <v>0.6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Knärot
Rynkskinn
Tretåig hackspett
Spillkråka</t>
        </is>
      </c>
      <c r="W19">
        <f>HYPERLINK("https://klasma.github.io/Logging_2181/artfynd/A 12192-2026 artfynd.xlsx", "A 12192-2026")</f>
        <v/>
      </c>
      <c r="X19">
        <f>HYPERLINK("https://klasma.github.io/Logging_2181/kartor/A 12192-2026 karta.png", "A 12192-2026")</f>
        <v/>
      </c>
      <c r="Y19">
        <f>HYPERLINK("https://klasma.github.io/Logging_2181/kartor_geotiff/A 12192-2026 georefererad karta.tif", "A 12192-2026")</f>
        <v/>
      </c>
      <c r="Z19">
        <f>HYPERLINK("https://klasma.github.io/Logging_2181/knärot/A 12192-2026 karta knärot.png", "A 12192-2026")</f>
        <v/>
      </c>
      <c r="AA19">
        <f>HYPERLINK("https://klasma.github.io/Logging_2181/klagomål/A 12192-2026 FSC-klagomål.docx", "A 12192-2026")</f>
        <v/>
      </c>
      <c r="AB19">
        <f>HYPERLINK("https://klasma.github.io/Logging_2181/klagomålsmail/A 12192-2026 FSC-klagomål mail.docx", "A 12192-2026")</f>
        <v/>
      </c>
      <c r="AC19">
        <f>HYPERLINK("https://klasma.github.io/Logging_2181/tillsyn/A 12192-2026 tillsynsbegäran.docx", "A 12192-2026")</f>
        <v/>
      </c>
      <c r="AD19">
        <f>HYPERLINK("https://klasma.github.io/Logging_2181/tillsynsmail/A 12192-2026 tillsynsbegäran mail.docx", "A 12192-2026")</f>
        <v/>
      </c>
      <c r="AE19">
        <f>HYPERLINK("https://klasma.github.io/Logging_2181/fåglar/A 12192-2026 prioriterade fågelarter.docx", "A 12192-2026")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46236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46236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46236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29114-2026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46201</v>
      </c>
      <c r="E24" s="1" t="n">
        <v>46236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10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Tibast
Grönsiska
Kungsfågel</t>
        </is>
      </c>
      <c r="W24">
        <f>HYPERLINK("https://klasma.github.io/Logging_2181/artfynd/A 29114-2026 artfynd.xlsx", "A 29114-2026")</f>
        <v/>
      </c>
      <c r="X24">
        <f>HYPERLINK("https://klasma.github.io/Logging_2181/kartor/A 29114-2026 karta.png", "A 29114-2026")</f>
        <v/>
      </c>
      <c r="Y24">
        <f>HYPERLINK("https://klasma.github.io/Logging_2181/kartor_geotiff/A 29114-2026 georefererad karta.tif", "A 29114-2026")</f>
        <v/>
      </c>
      <c r="AA24">
        <f>HYPERLINK("https://klasma.github.io/Logging_2181/klagomål/A 29114-2026 FSC-klagomål.docx", "A 29114-2026")</f>
        <v/>
      </c>
      <c r="AB24">
        <f>HYPERLINK("https://klasma.github.io/Logging_2181/klagomålsmail/A 29114-2026 FSC-klagomål mail.docx", "A 29114-2026")</f>
        <v/>
      </c>
      <c r="AC24">
        <f>HYPERLINK("https://klasma.github.io/Logging_2181/tillsyn/A 29114-2026 tillsynsbegäran.docx", "A 29114-2026")</f>
        <v/>
      </c>
      <c r="AD24">
        <f>HYPERLINK("https://klasma.github.io/Logging_2181/tillsynsmail/A 29114-2026 tillsynsbegäran mail.docx", "A 29114-2026")</f>
        <v/>
      </c>
    </row>
    <row r="25" ht="15" customHeight="1">
      <c r="A25" t="inlineStr">
        <is>
          <t>A 31123-2026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46216</v>
      </c>
      <c r="E25" s="1" t="n">
        <v>46236</v>
      </c>
      <c r="F25" t="inlineStr">
        <is>
          <t>GÄVLEBORGS LÄN</t>
        </is>
      </c>
      <c r="G25" t="inlineStr">
        <is>
          <t>SANDVIKEN</t>
        </is>
      </c>
      <c r="I25" t="n">
        <v>3.3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Mindre hackspett
Spillkråka</t>
        </is>
      </c>
      <c r="W25">
        <f>HYPERLINK("https://klasma.github.io/Logging_2181/artfynd/A 31123-2026 artfynd.xlsx", "A 31123-2026")</f>
        <v/>
      </c>
      <c r="X25">
        <f>HYPERLINK("https://klasma.github.io/Logging_2181/kartor/A 31123-2026 karta.png", "A 31123-2026")</f>
        <v/>
      </c>
      <c r="Y25">
        <f>HYPERLINK("https://klasma.github.io/Logging_2181/kartor_geotiff/A 31123-2026 georefererad karta.tif", "A 31123-2026")</f>
        <v/>
      </c>
      <c r="AA25">
        <f>HYPERLINK("https://klasma.github.io/Logging_2181/klagomål/A 31123-2026 FSC-klagomål.docx", "A 31123-2026")</f>
        <v/>
      </c>
      <c r="AB25">
        <f>HYPERLINK("https://klasma.github.io/Logging_2181/klagomålsmail/A 31123-2026 FSC-klagomål mail.docx", "A 31123-2026")</f>
        <v/>
      </c>
      <c r="AC25">
        <f>HYPERLINK("https://klasma.github.io/Logging_2181/tillsyn/A 31123-2026 tillsynsbegäran.docx", "A 31123-2026")</f>
        <v/>
      </c>
      <c r="AD25">
        <f>HYPERLINK("https://klasma.github.io/Logging_2181/tillsynsmail/A 31123-2026 tillsynsbegäran mail.docx", "A 31123-2026")</f>
        <v/>
      </c>
      <c r="AE25">
        <f>HYPERLINK("https://klasma.github.io/Logging_2181/fåglar/A 31123-2026 prioriterade fågelarter.docx", "A 31123-2026")</f>
        <v/>
      </c>
    </row>
    <row r="26" ht="15" customHeight="1">
      <c r="A26" t="inlineStr">
        <is>
          <t>A 31310-2026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46236</v>
      </c>
      <c r="F26" t="inlineStr">
        <is>
          <t>GÄVLEBORGS LÄN</t>
        </is>
      </c>
      <c r="G26" t="inlineStr">
        <is>
          <t>SANDVIKEN</t>
        </is>
      </c>
      <c r="I26" t="n">
        <v>0.7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Vågbandad barkbock
Åkergroda
Vanlig padda</t>
        </is>
      </c>
      <c r="W26">
        <f>HYPERLINK("https://klasma.github.io/Logging_2181/artfynd/A 31310-2026 artfynd.xlsx", "A 31310-2026")</f>
        <v/>
      </c>
      <c r="X26">
        <f>HYPERLINK("https://klasma.github.io/Logging_2181/kartor/A 31310-2026 karta.png", "A 31310-2026")</f>
        <v/>
      </c>
      <c r="Y26">
        <f>HYPERLINK("https://klasma.github.io/Logging_2181/kartor_geotiff/A 31310-2026 georefererad karta.tif", "A 31310-2026")</f>
        <v/>
      </c>
      <c r="AA26">
        <f>HYPERLINK("https://klasma.github.io/Logging_2181/klagomål/A 31310-2026 FSC-klagomål.docx", "A 31310-2026")</f>
        <v/>
      </c>
      <c r="AB26">
        <f>HYPERLINK("https://klasma.github.io/Logging_2181/klagomålsmail/A 31310-2026 FSC-klagomål mail.docx", "A 31310-2026")</f>
        <v/>
      </c>
      <c r="AC26">
        <f>HYPERLINK("https://klasma.github.io/Logging_2181/tillsyn/A 31310-2026 tillsynsbegäran.docx", "A 31310-2026")</f>
        <v/>
      </c>
      <c r="AD26">
        <f>HYPERLINK("https://klasma.github.io/Logging_2181/tillsynsmail/A 31310-2026 tillsynsbegäran mail.docx", "A 31310-2026")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46236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46236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6108-2026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46053</v>
      </c>
      <c r="E29" s="1" t="n">
        <v>46236</v>
      </c>
      <c r="F29" t="inlineStr">
        <is>
          <t>GÄVLEBORGS LÄN</t>
        </is>
      </c>
      <c r="G29" t="inlineStr">
        <is>
          <t>SANDVIKEN</t>
        </is>
      </c>
      <c r="I29" t="n">
        <v>3.9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Knärot
Granvivel
Linnea</t>
        </is>
      </c>
      <c r="W29">
        <f>HYPERLINK("https://klasma.github.io/Logging_2181/artfynd/A 6108-2026 artfynd.xlsx", "A 6108-2026")</f>
        <v/>
      </c>
      <c r="X29">
        <f>HYPERLINK("https://klasma.github.io/Logging_2181/kartor/A 6108-2026 karta.png", "A 6108-2026")</f>
        <v/>
      </c>
      <c r="Y29">
        <f>HYPERLINK("https://klasma.github.io/Logging_2181/kartor_geotiff/A 6108-2026 georefererad karta.tif", "A 6108-2026")</f>
        <v/>
      </c>
      <c r="Z29">
        <f>HYPERLINK("https://klasma.github.io/Logging_2181/knärot/A 6108-2026 karta knärot.png", "A 6108-2026")</f>
        <v/>
      </c>
      <c r="AA29">
        <f>HYPERLINK("https://klasma.github.io/Logging_2181/klagomål/A 6108-2026 FSC-klagomål.docx", "A 6108-2026")</f>
        <v/>
      </c>
      <c r="AB29">
        <f>HYPERLINK("https://klasma.github.io/Logging_2181/klagomålsmail/A 6108-2026 FSC-klagomål mail.docx", "A 6108-2026")</f>
        <v/>
      </c>
      <c r="AC29">
        <f>HYPERLINK("https://klasma.github.io/Logging_2181/tillsyn/A 6108-2026 tillsynsbegäran.docx", "A 6108-2026")</f>
        <v/>
      </c>
      <c r="AD29">
        <f>HYPERLINK("https://klasma.github.io/Logging_2181/tillsynsmail/A 6108-2026 tillsynsbegäran mail.docx", "A 6108-2026")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46236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46236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46236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46236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46236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46236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46236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27014-2026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46236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4.8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Nordfladdermus
Tjäder</t>
        </is>
      </c>
      <c r="W39">
        <f>HYPERLINK("https://klasma.github.io/Logging_2181/artfynd/A 27014-2026 artfynd.xlsx", "A 27014-2026")</f>
        <v/>
      </c>
      <c r="X39">
        <f>HYPERLINK("https://klasma.github.io/Logging_2181/kartor/A 27014-2026 karta.png", "A 27014-2026")</f>
        <v/>
      </c>
      <c r="Y39">
        <f>HYPERLINK("https://klasma.github.io/Logging_2181/kartor_geotiff/A 27014-2026 georefererad karta.tif", "A 27014-2026")</f>
        <v/>
      </c>
      <c r="AA39">
        <f>HYPERLINK("https://klasma.github.io/Logging_2181/klagomål/A 27014-2026 FSC-klagomål.docx", "A 27014-2026")</f>
        <v/>
      </c>
      <c r="AB39">
        <f>HYPERLINK("https://klasma.github.io/Logging_2181/klagomålsmail/A 27014-2026 FSC-klagomål mail.docx", "A 27014-2026")</f>
        <v/>
      </c>
      <c r="AC39">
        <f>HYPERLINK("https://klasma.github.io/Logging_2181/tillsyn/A 27014-2026 tillsynsbegäran.docx", "A 27014-2026")</f>
        <v/>
      </c>
      <c r="AD39">
        <f>HYPERLINK("https://klasma.github.io/Logging_2181/tillsynsmail/A 27014-2026 tillsynsbegäran mail.docx", "A 27014-2026")</f>
        <v/>
      </c>
      <c r="AE39">
        <f>HYPERLINK("https://klasma.github.io/Logging_2181/fåglar/A 27014-2026 prioriterade fågelarter.docx", "A 27014-2026")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46236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46236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46236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46236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46236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19526-2026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46236</v>
      </c>
      <c r="F45" t="inlineStr">
        <is>
          <t>GÄVLEBORGS LÄN</t>
        </is>
      </c>
      <c r="G45" t="inlineStr">
        <is>
          <t>SANDVIKEN</t>
        </is>
      </c>
      <c r="I45" t="n">
        <v>3.1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Kambräken
Lopplummer (aggregat)</t>
        </is>
      </c>
      <c r="W45">
        <f>HYPERLINK("https://klasma.github.io/Logging_2181/artfynd/A 19526-2026 artfynd.xlsx", "A 19526-2026")</f>
        <v/>
      </c>
      <c r="X45">
        <f>HYPERLINK("https://klasma.github.io/Logging_2181/kartor/A 19526-2026 karta.png", "A 19526-2026")</f>
        <v/>
      </c>
      <c r="Y45">
        <f>HYPERLINK("https://klasma.github.io/Logging_2181/kartor_geotiff/A 19526-2026 georefererad karta.tif", "A 19526-2026")</f>
        <v/>
      </c>
      <c r="AA45">
        <f>HYPERLINK("https://klasma.github.io/Logging_2181/klagomål/A 19526-2026 FSC-klagomål.docx", "A 19526-2026")</f>
        <v/>
      </c>
      <c r="AB45">
        <f>HYPERLINK("https://klasma.github.io/Logging_2181/klagomålsmail/A 19526-2026 FSC-klagomål mail.docx", "A 19526-2026")</f>
        <v/>
      </c>
      <c r="AC45">
        <f>HYPERLINK("https://klasma.github.io/Logging_2181/tillsyn/A 19526-2026 tillsynsbegäran.docx", "A 19526-2026")</f>
        <v/>
      </c>
      <c r="AD45">
        <f>HYPERLINK("https://klasma.github.io/Logging_2181/tillsynsmail/A 19526-2026 tillsynsbegäran mail.docx", "A 19526-2026")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46236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46236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Tibast</t>
        </is>
      </c>
      <c r="W47">
        <f>HYPERLINK("https://klasma.github.io/Logging_2181/artfynd/S 519-2022 artfynd.xlsx", "S 519-2022")</f>
        <v/>
      </c>
      <c r="X47">
        <f>HYPERLINK("https://klasma.github.io/Logging_2181/kartor/S 519-2022 karta.png", "S 519-2022")</f>
        <v/>
      </c>
      <c r="Y47">
        <f>HYPERLINK("https://klasma.github.io/Logging_2181/kartor_geotiff/S 519-2022 georefererad karta.tif", "S 519-2022")</f>
        <v/>
      </c>
      <c r="Z47">
        <f>HYPERLINK("https://klasma.github.io/Logging_2181/knärot/S 519-2022 karta knärot.png", "S 519-2022")</f>
        <v/>
      </c>
      <c r="AA47">
        <f>HYPERLINK("https://klasma.github.io/Logging_2181/klagomål/S 519-2022 FSC-klagomål.docx", "S 519-2022")</f>
        <v/>
      </c>
      <c r="AB47">
        <f>HYPERLINK("https://klasma.github.io/Logging_2181/klagomålsmail/S 519-2022 FSC-klagomål mail.docx", "S 519-2022")</f>
        <v/>
      </c>
      <c r="AC47">
        <f>HYPERLINK("https://klasma.github.io/Logging_2181/tillsyn/S 519-2022 tillsynsbegäran.docx", "S 519-2022")</f>
        <v/>
      </c>
      <c r="AD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46236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Grönsångare
Spillkråka</t>
        </is>
      </c>
      <c r="W48">
        <f>HYPERLINK("https://klasma.github.io/Logging_2181/artfynd/S 423-2025 artfynd.xlsx", "S 423-2025")</f>
        <v/>
      </c>
      <c r="X48">
        <f>HYPERLINK("https://klasma.github.io/Logging_2181/kartor/S 423-2025 karta.png", "S 423-2025")</f>
        <v/>
      </c>
      <c r="Y48">
        <f>HYPERLINK("https://klasma.github.io/Logging_2181/kartor_geotiff/S 423-2025 georefererad karta.tif", "S 423-2025")</f>
        <v/>
      </c>
      <c r="AA48">
        <f>HYPERLINK("https://klasma.github.io/Logging_2181/klagomål/S 423-2025 FSC-klagomål.docx", "S 423-2025")</f>
        <v/>
      </c>
      <c r="AB48">
        <f>HYPERLINK("https://klasma.github.io/Logging_2181/klagomålsmail/S 423-2025 FSC-klagomål mail.docx", "S 423-2025")</f>
        <v/>
      </c>
      <c r="AC48">
        <f>HYPERLINK("https://klasma.github.io/Logging_2181/tillsyn/S 423-2025 tillsynsbegäran.docx", "S 423-2025")</f>
        <v/>
      </c>
      <c r="AD48">
        <f>HYPERLINK("https://klasma.github.io/Logging_2181/tillsynsmail/S 423-2025 tillsynsbegäran mail.docx", "S 423-2025")</f>
        <v/>
      </c>
      <c r="AE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46236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46236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46236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4384-2023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44955</v>
      </c>
      <c r="E52" s="1" t="n">
        <v>46236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Sångsvan</t>
        </is>
      </c>
      <c r="W52">
        <f>HYPERLINK("https://klasma.github.io/Logging_2181/artfynd/A 4384-2023 artfynd.xlsx", "A 4384-2023")</f>
        <v/>
      </c>
      <c r="X52">
        <f>HYPERLINK("https://klasma.github.io/Logging_2181/kartor/A 4384-2023 karta.png", "A 4384-2023")</f>
        <v/>
      </c>
      <c r="Y52">
        <f>HYPERLINK("https://klasma.github.io/Logging_2181/kartor_geotiff/A 4384-2023 georefererad karta.tif", "A 4384-2023")</f>
        <v/>
      </c>
      <c r="AA52">
        <f>HYPERLINK("https://klasma.github.io/Logging_2181/klagomål/A 4384-2023 FSC-klagomål.docx", "A 4384-2023")</f>
        <v/>
      </c>
      <c r="AB52">
        <f>HYPERLINK("https://klasma.github.io/Logging_2181/klagomålsmail/A 4384-2023 FSC-klagomål mail.docx", "A 4384-2023")</f>
        <v/>
      </c>
      <c r="AC52">
        <f>HYPERLINK("https://klasma.github.io/Logging_2181/tillsyn/A 4384-2023 tillsynsbegäran.docx", "A 4384-2023")</f>
        <v/>
      </c>
      <c r="AD52">
        <f>HYPERLINK("https://klasma.github.io/Logging_2181/tillsynsmail/A 4384-2023 tillsynsbegäran mail.docx", "A 4384-2023")</f>
        <v/>
      </c>
      <c r="AE52">
        <f>HYPERLINK("https://klasma.github.io/Logging_2181/fåglar/A 4384-2023 prioriterade fågelarter.docx", "A 4384-2023")</f>
        <v/>
      </c>
    </row>
    <row r="53" ht="15" customHeight="1">
      <c r="A53" t="inlineStr">
        <is>
          <t>A 35525-2022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44799</v>
      </c>
      <c r="E53" s="1" t="n">
        <v>46236</v>
      </c>
      <c r="F53" t="inlineStr">
        <is>
          <t>GÄVLEBORGS LÄN</t>
        </is>
      </c>
      <c r="G53" t="inlineStr">
        <is>
          <t>SANDVIKEN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HYPERLINK("https://klasma.github.io/Logging_2181/artfynd/A 35525-2022 artfynd.xlsx", "A 35525-2022")</f>
        <v/>
      </c>
      <c r="X53">
        <f>HYPERLINK("https://klasma.github.io/Logging_2181/kartor/A 35525-2022 karta.png", "A 35525-2022")</f>
        <v/>
      </c>
      <c r="Y53">
        <f>HYPERLINK("https://klasma.github.io/Logging_2181/kartor_geotiff/A 35525-2022 georefererad karta.tif", "A 35525-2022")</f>
        <v/>
      </c>
      <c r="AA53">
        <f>HYPERLINK("https://klasma.github.io/Logging_2181/klagomål/A 35525-2022 FSC-klagomål.docx", "A 35525-2022")</f>
        <v/>
      </c>
      <c r="AB53">
        <f>HYPERLINK("https://klasma.github.io/Logging_2181/klagomålsmail/A 35525-2022 FSC-klagomål mail.docx", "A 35525-2022")</f>
        <v/>
      </c>
      <c r="AC53">
        <f>HYPERLINK("https://klasma.github.io/Logging_2181/tillsyn/A 35525-2022 tillsynsbegäran.docx", "A 35525-2022")</f>
        <v/>
      </c>
      <c r="AD53">
        <f>HYPERLINK("https://klasma.github.io/Logging_2181/tillsynsmail/A 35525-2022 tillsynsbegäran mail.docx", "A 35525-2022")</f>
        <v/>
      </c>
    </row>
    <row r="54" ht="15" customHeight="1">
      <c r="A54" t="inlineStr">
        <is>
          <t>A 41862-2022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46236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Tvåblad</t>
        </is>
      </c>
      <c r="W54">
        <f>HYPERLINK("https://klasma.github.io/Logging_2181/artfynd/A 41862-2022 artfynd.xlsx", "A 41862-2022")</f>
        <v/>
      </c>
      <c r="X54">
        <f>HYPERLINK("https://klasma.github.io/Logging_2181/kartor/A 41862-2022 karta.png", "A 41862-2022")</f>
        <v/>
      </c>
      <c r="Y54">
        <f>HYPERLINK("https://klasma.github.io/Logging_2181/kartor_geotiff/A 41862-2022 georefererad karta.tif", "A 41862-2022")</f>
        <v/>
      </c>
      <c r="AA54">
        <f>HYPERLINK("https://klasma.github.io/Logging_2181/klagomål/A 41862-2022 FSC-klagomål.docx", "A 41862-2022")</f>
        <v/>
      </c>
      <c r="AB54">
        <f>HYPERLINK("https://klasma.github.io/Logging_2181/klagomålsmail/A 41862-2022 FSC-klagomål mail.docx", "A 41862-2022")</f>
        <v/>
      </c>
      <c r="AC54">
        <f>HYPERLINK("https://klasma.github.io/Logging_2181/tillsyn/A 41862-2022 tillsynsbegäran.docx", "A 41862-2022")</f>
        <v/>
      </c>
      <c r="AD54">
        <f>HYPERLINK("https://klasma.github.io/Logging_2181/tillsynsmail/A 41862-2022 tillsynsbegäran mail.docx", "A 41862-2022")</f>
        <v/>
      </c>
    </row>
    <row r="55" ht="15" customHeight="1">
      <c r="A55" t="inlineStr">
        <is>
          <t>A 38350-2025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46236</v>
      </c>
      <c r="F55" t="inlineStr">
        <is>
          <t>GÄVLEBORGS LÄN</t>
        </is>
      </c>
      <c r="G55" t="inlineStr">
        <is>
          <t>SANDVIKEN</t>
        </is>
      </c>
      <c r="H55" t="inlineStr">
        <is>
          <t>Bergvik skog väst AB</t>
        </is>
      </c>
      <c r="I55" t="n">
        <v>25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Brandticka</t>
        </is>
      </c>
      <c r="W55">
        <f>HYPERLINK("https://klasma.github.io/Logging_2181/artfynd/A 38350-2025 artfynd.xlsx", "A 38350-2025")</f>
        <v/>
      </c>
      <c r="X55">
        <f>HYPERLINK("https://klasma.github.io/Logging_2181/kartor/A 38350-2025 karta.png", "A 38350-2025")</f>
        <v/>
      </c>
      <c r="Y55">
        <f>HYPERLINK("https://klasma.github.io/Logging_2181/kartor_geotiff/A 38350-2025 georefererad karta.tif", "A 38350-2025")</f>
        <v/>
      </c>
      <c r="AA55">
        <f>HYPERLINK("https://klasma.github.io/Logging_2181/klagomål/A 38350-2025 FSC-klagomål.docx", "A 38350-2025")</f>
        <v/>
      </c>
      <c r="AB55">
        <f>HYPERLINK("https://klasma.github.io/Logging_2181/klagomålsmail/A 38350-2025 FSC-klagomål mail.docx", "A 38350-2025")</f>
        <v/>
      </c>
      <c r="AC55">
        <f>HYPERLINK("https://klasma.github.io/Logging_2181/tillsyn/A 38350-2025 tillsynsbegäran.docx", "A 38350-2025")</f>
        <v/>
      </c>
      <c r="AD55">
        <f>HYPERLINK("https://klasma.github.io/Logging_2181/tillsynsmail/A 38350-2025 tillsynsbegäran mail.docx", "A 38350-2025")</f>
        <v/>
      </c>
    </row>
    <row r="56" ht="15" customHeight="1">
      <c r="A56" t="inlineStr">
        <is>
          <t>A 39872-2025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46236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Plattlummer</t>
        </is>
      </c>
      <c r="W56">
        <f>HYPERLINK("https://klasma.github.io/Logging_2181/artfynd/A 39872-2025 artfynd.xlsx", "A 39872-2025")</f>
        <v/>
      </c>
      <c r="X56">
        <f>HYPERLINK("https://klasma.github.io/Logging_2181/kartor/A 39872-2025 karta.png", "A 39872-2025")</f>
        <v/>
      </c>
      <c r="Y56">
        <f>HYPERLINK("https://klasma.github.io/Logging_2181/kartor_geotiff/A 39872-2025 georefererad karta.tif", "A 39872-2025")</f>
        <v/>
      </c>
      <c r="AA56">
        <f>HYPERLINK("https://klasma.github.io/Logging_2181/klagomål/A 39872-2025 FSC-klagomål.docx", "A 39872-2025")</f>
        <v/>
      </c>
      <c r="AB56">
        <f>HYPERLINK("https://klasma.github.io/Logging_2181/klagomålsmail/A 39872-2025 FSC-klagomål mail.docx", "A 39872-2025")</f>
        <v/>
      </c>
      <c r="AC56">
        <f>HYPERLINK("https://klasma.github.io/Logging_2181/tillsyn/A 39872-2025 tillsynsbegäran.docx", "A 39872-2025")</f>
        <v/>
      </c>
      <c r="AD56">
        <f>HYPERLINK("https://klasma.github.io/Logging_2181/tillsynsmail/A 39872-2025 tillsynsbegäran mail.docx", "A 39872-2025")</f>
        <v/>
      </c>
    </row>
    <row r="57" ht="15" customHeight="1">
      <c r="A57" t="inlineStr">
        <is>
          <t>A 39873-2025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46236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HYPERLINK("https://klasma.github.io/Logging_2181/artfynd/A 39873-2025 artfynd.xlsx", "A 39873-2025")</f>
        <v/>
      </c>
      <c r="X57">
        <f>HYPERLINK("https://klasma.github.io/Logging_2181/kartor/A 39873-2025 karta.png", "A 39873-2025")</f>
        <v/>
      </c>
      <c r="Y57">
        <f>HYPERLINK("https://klasma.github.io/Logging_2181/kartor_geotiff/A 39873-2025 georefererad karta.tif", "A 39873-2025")</f>
        <v/>
      </c>
      <c r="AA57">
        <f>HYPERLINK("https://klasma.github.io/Logging_2181/klagomål/A 39873-2025 FSC-klagomål.docx", "A 39873-2025")</f>
        <v/>
      </c>
      <c r="AB57">
        <f>HYPERLINK("https://klasma.github.io/Logging_2181/klagomålsmail/A 39873-2025 FSC-klagomål mail.docx", "A 39873-2025")</f>
        <v/>
      </c>
      <c r="AC57">
        <f>HYPERLINK("https://klasma.github.io/Logging_2181/tillsyn/A 39873-2025 tillsynsbegäran.docx", "A 39873-2025")</f>
        <v/>
      </c>
      <c r="AD57">
        <f>HYPERLINK("https://klasma.github.io/Logging_2181/tillsynsmail/A 39873-2025 tillsynsbegäran mail.docx", "A 39873-2025")</f>
        <v/>
      </c>
    </row>
    <row r="58" ht="15" customHeight="1">
      <c r="A58" t="inlineStr">
        <is>
          <t>A 4324-2026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46236</v>
      </c>
      <c r="F58" t="inlineStr">
        <is>
          <t>GÄVLEBORGS LÄN</t>
        </is>
      </c>
      <c r="G58" t="inlineStr">
        <is>
          <t>SANDVIKEN</t>
        </is>
      </c>
      <c r="H58" t="inlineStr">
        <is>
          <t>Kommuner</t>
        </is>
      </c>
      <c r="I58" t="n">
        <v>11.2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Järpe</t>
        </is>
      </c>
      <c r="W58">
        <f>HYPERLINK("https://klasma.github.io/Logging_2181/artfynd/A 4324-2026 artfynd.xlsx", "A 4324-2026")</f>
        <v/>
      </c>
      <c r="X58">
        <f>HYPERLINK("https://klasma.github.io/Logging_2181/kartor/A 4324-2026 karta.png", "A 4324-2026")</f>
        <v/>
      </c>
      <c r="Y58">
        <f>HYPERLINK("https://klasma.github.io/Logging_2181/kartor_geotiff/A 4324-2026 georefererad karta.tif", "A 4324-2026")</f>
        <v/>
      </c>
      <c r="AA58">
        <f>HYPERLINK("https://klasma.github.io/Logging_2181/klagomål/A 4324-2026 FSC-klagomål.docx", "A 4324-2026")</f>
        <v/>
      </c>
      <c r="AB58">
        <f>HYPERLINK("https://klasma.github.io/Logging_2181/klagomålsmail/A 4324-2026 FSC-klagomål mail.docx", "A 4324-2026")</f>
        <v/>
      </c>
      <c r="AC58">
        <f>HYPERLINK("https://klasma.github.io/Logging_2181/tillsyn/A 4324-2026 tillsynsbegäran.docx", "A 4324-2026")</f>
        <v/>
      </c>
      <c r="AD58">
        <f>HYPERLINK("https://klasma.github.io/Logging_2181/tillsynsmail/A 4324-2026 tillsynsbegäran mail.docx", "A 4324-2026")</f>
        <v/>
      </c>
      <c r="AE58">
        <f>HYPERLINK("https://klasma.github.io/Logging_2181/fåglar/A 4324-2026 prioriterade fågelarter.docx", "A 4324-2026")</f>
        <v/>
      </c>
    </row>
    <row r="59" ht="15" customHeight="1">
      <c r="A59" t="inlineStr">
        <is>
          <t>A 23289-2024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45453</v>
      </c>
      <c r="E59" s="1" t="n">
        <v>46236</v>
      </c>
      <c r="F59" t="inlineStr">
        <is>
          <t>GÄVLEBORGS LÄN</t>
        </is>
      </c>
      <c r="G59" t="inlineStr">
        <is>
          <t>SANDVIKEN</t>
        </is>
      </c>
      <c r="H59" t="inlineStr">
        <is>
          <t>Kyrkan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Skogsödla</t>
        </is>
      </c>
      <c r="W59">
        <f>HYPERLINK("https://klasma.github.io/Logging_2181/artfynd/A 23289-2024 artfynd.xlsx", "A 23289-2024")</f>
        <v/>
      </c>
      <c r="X59">
        <f>HYPERLINK("https://klasma.github.io/Logging_2181/kartor/A 23289-2024 karta.png", "A 23289-2024")</f>
        <v/>
      </c>
      <c r="Y59">
        <f>HYPERLINK("https://klasma.github.io/Logging_2181/kartor_geotiff/A 23289-2024 georefererad karta.tif", "A 23289-2024")</f>
        <v/>
      </c>
      <c r="AA59">
        <f>HYPERLINK("https://klasma.github.io/Logging_2181/klagomål/A 23289-2024 FSC-klagomål.docx", "A 23289-2024")</f>
        <v/>
      </c>
      <c r="AB59">
        <f>HYPERLINK("https://klasma.github.io/Logging_2181/klagomålsmail/A 23289-2024 FSC-klagomål mail.docx", "A 23289-2024")</f>
        <v/>
      </c>
      <c r="AC59">
        <f>HYPERLINK("https://klasma.github.io/Logging_2181/tillsyn/A 23289-2024 tillsynsbegäran.docx", "A 23289-2024")</f>
        <v/>
      </c>
      <c r="AD59">
        <f>HYPERLINK("https://klasma.github.io/Logging_2181/tillsynsmail/A 23289-2024 tillsynsbegäran mail.docx", "A 23289-2024")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46236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46236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6972-2026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46236</v>
      </c>
      <c r="F62" t="inlineStr">
        <is>
          <t>GÄVLEBORGS LÄN</t>
        </is>
      </c>
      <c r="G62" t="inlineStr">
        <is>
          <t>SANDVIKEN</t>
        </is>
      </c>
      <c r="H62" t="inlineStr">
        <is>
          <t>Naturvårdsverket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Svartvit flugsnappare</t>
        </is>
      </c>
      <c r="W62">
        <f>HYPERLINK("https://klasma.github.io/Logging_2181/artfynd/A 6972-2026 artfynd.xlsx", "A 6972-2026")</f>
        <v/>
      </c>
      <c r="X62">
        <f>HYPERLINK("https://klasma.github.io/Logging_2181/kartor/A 6972-2026 karta.png", "A 6972-2026")</f>
        <v/>
      </c>
      <c r="Y62">
        <f>HYPERLINK("https://klasma.github.io/Logging_2181/kartor_geotiff/A 6972-2026 georefererad karta.tif", "A 6972-2026")</f>
        <v/>
      </c>
      <c r="AA62">
        <f>HYPERLINK("https://klasma.github.io/Logging_2181/klagomål/A 6972-2026 FSC-klagomål.docx", "A 6972-2026")</f>
        <v/>
      </c>
      <c r="AB62">
        <f>HYPERLINK("https://klasma.github.io/Logging_2181/klagomålsmail/A 6972-2026 FSC-klagomål mail.docx", "A 6972-2026")</f>
        <v/>
      </c>
      <c r="AC62">
        <f>HYPERLINK("https://klasma.github.io/Logging_2181/tillsyn/A 6972-2026 tillsynsbegäran.docx", "A 6972-2026")</f>
        <v/>
      </c>
      <c r="AD62">
        <f>HYPERLINK("https://klasma.github.io/Logging_2181/tillsynsmail/A 6972-2026 tillsynsbegäran mail.docx", "A 6972-2026")</f>
        <v/>
      </c>
    </row>
    <row r="63" ht="15" customHeight="1">
      <c r="A63" t="inlineStr">
        <is>
          <t>A 41349-2025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45899</v>
      </c>
      <c r="E63" s="1" t="n">
        <v>46236</v>
      </c>
      <c r="F63" t="inlineStr">
        <is>
          <t>GÄVLEBORGS LÄN</t>
        </is>
      </c>
      <c r="G63" t="inlineStr">
        <is>
          <t>SANDVIKEN</t>
        </is>
      </c>
      <c r="I63" t="n">
        <v>3.7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HYPERLINK("https://klasma.github.io/Logging_2181/artfynd/A 41349-2025 artfynd.xlsx", "A 41349-2025")</f>
        <v/>
      </c>
      <c r="X63">
        <f>HYPERLINK("https://klasma.github.io/Logging_2181/kartor/A 41349-2025 karta.png", "A 41349-2025")</f>
        <v/>
      </c>
      <c r="Y63">
        <f>HYPERLINK("https://klasma.github.io/Logging_2181/kartor_geotiff/A 41349-2025 georefererad karta.tif", "A 41349-2025")</f>
        <v/>
      </c>
      <c r="AA63">
        <f>HYPERLINK("https://klasma.github.io/Logging_2181/klagomål/A 41349-2025 FSC-klagomål.docx", "A 41349-2025")</f>
        <v/>
      </c>
      <c r="AB63">
        <f>HYPERLINK("https://klasma.github.io/Logging_2181/klagomålsmail/A 41349-2025 FSC-klagomål mail.docx", "A 41349-2025")</f>
        <v/>
      </c>
      <c r="AC63">
        <f>HYPERLINK("https://klasma.github.io/Logging_2181/tillsyn/A 41349-2025 tillsynsbegäran.docx", "A 41349-2025")</f>
        <v/>
      </c>
      <c r="AD63">
        <f>HYPERLINK("https://klasma.github.io/Logging_2181/tillsynsmail/A 41349-2025 tillsynsbegäran mail.docx", "A 41349-2025")</f>
        <v/>
      </c>
    </row>
    <row r="64" ht="15" customHeight="1">
      <c r="A64" t="inlineStr">
        <is>
          <t>A 21532-2026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46148</v>
      </c>
      <c r="E64" s="1" t="n">
        <v>46236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Svartvit flugsnappare</t>
        </is>
      </c>
      <c r="W64">
        <f>HYPERLINK("https://klasma.github.io/Logging_2181/artfynd/A 21532-2026 artfynd.xlsx", "A 21532-2026")</f>
        <v/>
      </c>
      <c r="X64">
        <f>HYPERLINK("https://klasma.github.io/Logging_2181/kartor/A 21532-2026 karta.png", "A 21532-2026")</f>
        <v/>
      </c>
      <c r="Y64">
        <f>HYPERLINK("https://klasma.github.io/Logging_2181/kartor_geotiff/A 21532-2026 georefererad karta.tif", "A 21532-2026")</f>
        <v/>
      </c>
      <c r="AA64">
        <f>HYPERLINK("https://klasma.github.io/Logging_2181/klagomål/A 21532-2026 FSC-klagomål.docx", "A 21532-2026")</f>
        <v/>
      </c>
      <c r="AB64">
        <f>HYPERLINK("https://klasma.github.io/Logging_2181/klagomålsmail/A 21532-2026 FSC-klagomål mail.docx", "A 21532-2026")</f>
        <v/>
      </c>
      <c r="AC64">
        <f>HYPERLINK("https://klasma.github.io/Logging_2181/tillsyn/A 21532-2026 tillsynsbegäran.docx", "A 21532-2026")</f>
        <v/>
      </c>
      <c r="AD64">
        <f>HYPERLINK("https://klasma.github.io/Logging_2181/tillsynsmail/A 21532-2026 tillsynsbegäran mail.docx", "A 21532-2026")</f>
        <v/>
      </c>
    </row>
    <row r="65" ht="15" customHeight="1">
      <c r="A65" t="inlineStr">
        <is>
          <t>A 48188-2025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46236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4.6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Talltita</t>
        </is>
      </c>
      <c r="W65">
        <f>HYPERLINK("https://klasma.github.io/Logging_2181/artfynd/A 48188-2025 artfynd.xlsx", "A 48188-2025")</f>
        <v/>
      </c>
      <c r="X65">
        <f>HYPERLINK("https://klasma.github.io/Logging_2181/kartor/A 48188-2025 karta.png", "A 48188-2025")</f>
        <v/>
      </c>
      <c r="Y65">
        <f>HYPERLINK("https://klasma.github.io/Logging_2181/kartor_geotiff/A 48188-2025 georefererad karta.tif", "A 48188-2025")</f>
        <v/>
      </c>
      <c r="AA65">
        <f>HYPERLINK("https://klasma.github.io/Logging_2181/klagomål/A 48188-2025 FSC-klagomål.docx", "A 48188-2025")</f>
        <v/>
      </c>
      <c r="AB65">
        <f>HYPERLINK("https://klasma.github.io/Logging_2181/klagomålsmail/A 48188-2025 FSC-klagomål mail.docx", "A 48188-2025")</f>
        <v/>
      </c>
      <c r="AC65">
        <f>HYPERLINK("https://klasma.github.io/Logging_2181/tillsyn/A 48188-2025 tillsynsbegäran.docx", "A 48188-2025")</f>
        <v/>
      </c>
      <c r="AD65">
        <f>HYPERLINK("https://klasma.github.io/Logging_2181/tillsynsmail/A 48188-2025 tillsynsbegäran mail.docx", "A 48188-2025")</f>
        <v/>
      </c>
      <c r="AE65">
        <f>HYPERLINK("https://klasma.github.io/Logging_2181/fåglar/A 48188-2025 prioriterade fågelarter.docx", "A 48188-2025")</f>
        <v/>
      </c>
    </row>
    <row r="66" ht="15" customHeight="1">
      <c r="A66" t="inlineStr">
        <is>
          <t>A 29111-2026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46201</v>
      </c>
      <c r="E66" s="1" t="n">
        <v>46236</v>
      </c>
      <c r="F66" t="inlineStr">
        <is>
          <t>GÄVLEBORGS LÄN</t>
        </is>
      </c>
      <c r="G66" t="inlineStr">
        <is>
          <t>SANDVIKEN</t>
        </is>
      </c>
      <c r="H66" t="inlineStr">
        <is>
          <t>Kommuner</t>
        </is>
      </c>
      <c r="I66" t="n">
        <v>4.1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Tallticka</t>
        </is>
      </c>
      <c r="W66">
        <f>HYPERLINK("https://klasma.github.io/Logging_2181/artfynd/A 29111-2026 artfynd.xlsx", "A 29111-2026")</f>
        <v/>
      </c>
      <c r="X66">
        <f>HYPERLINK("https://klasma.github.io/Logging_2181/kartor/A 29111-2026 karta.png", "A 29111-2026")</f>
        <v/>
      </c>
      <c r="Y66">
        <f>HYPERLINK("https://klasma.github.io/Logging_2181/kartor_geotiff/A 29111-2026 georefererad karta.tif", "A 29111-2026")</f>
        <v/>
      </c>
      <c r="AA66">
        <f>HYPERLINK("https://klasma.github.io/Logging_2181/klagomål/A 29111-2026 FSC-klagomål.docx", "A 29111-2026")</f>
        <v/>
      </c>
      <c r="AB66">
        <f>HYPERLINK("https://klasma.github.io/Logging_2181/klagomålsmail/A 29111-2026 FSC-klagomål mail.docx", "A 29111-2026")</f>
        <v/>
      </c>
      <c r="AC66">
        <f>HYPERLINK("https://klasma.github.io/Logging_2181/tillsyn/A 29111-2026 tillsynsbegäran.docx", "A 29111-2026")</f>
        <v/>
      </c>
      <c r="AD66">
        <f>HYPERLINK("https://klasma.github.io/Logging_2181/tillsynsmail/A 29111-2026 tillsynsbegäran mail.docx", "A 29111-2026")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46236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46236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5015-2023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46236</v>
      </c>
      <c r="F69" t="inlineStr">
        <is>
          <t>GÄVLEBORGS LÄN</t>
        </is>
      </c>
      <c r="G69" t="inlineStr">
        <is>
          <t>SANDVIKEN</t>
        </is>
      </c>
      <c r="I69" t="n">
        <v>7.8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Slåtterfibbla</t>
        </is>
      </c>
      <c r="W69">
        <f>HYPERLINK("https://klasma.github.io/Logging_2181/artfynd/A 5015-2023 artfynd.xlsx", "A 5015-2023")</f>
        <v/>
      </c>
      <c r="X69">
        <f>HYPERLINK("https://klasma.github.io/Logging_2181/kartor/A 5015-2023 karta.png", "A 5015-2023")</f>
        <v/>
      </c>
      <c r="Y69">
        <f>HYPERLINK("https://klasma.github.io/Logging_2181/kartor_geotiff/A 5015-2023 georefererad karta.tif", "A 5015-2023")</f>
        <v/>
      </c>
      <c r="AA69">
        <f>HYPERLINK("https://klasma.github.io/Logging_2181/klagomål/A 5015-2023 FSC-klagomål.docx", "A 5015-2023")</f>
        <v/>
      </c>
      <c r="AB69">
        <f>HYPERLINK("https://klasma.github.io/Logging_2181/klagomålsmail/A 5015-2023 FSC-klagomål mail.docx", "A 5015-2023")</f>
        <v/>
      </c>
      <c r="AC69">
        <f>HYPERLINK("https://klasma.github.io/Logging_2181/tillsyn/A 5015-2023 tillsynsbegäran.docx", "A 5015-2023")</f>
        <v/>
      </c>
      <c r="AD69">
        <f>HYPERLINK("https://klasma.github.io/Logging_2181/tillsynsmail/A 5015-2023 tillsynsbegäran mail.docx", "A 5015-2023")</f>
        <v/>
      </c>
    </row>
    <row r="70" ht="15" customHeight="1">
      <c r="A70" t="inlineStr">
        <is>
          <t>A 24171-2026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46168</v>
      </c>
      <c r="E70" s="1" t="n">
        <v>46236</v>
      </c>
      <c r="F70" t="inlineStr">
        <is>
          <t>GÄVLEBORGS LÄN</t>
        </is>
      </c>
      <c r="G70" t="inlineStr">
        <is>
          <t>SANDVIKEN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HYPERLINK("https://klasma.github.io/Logging_2181/artfynd/A 24171-2026 artfynd.xlsx", "A 24171-2026")</f>
        <v/>
      </c>
      <c r="X70">
        <f>HYPERLINK("https://klasma.github.io/Logging_2181/kartor/A 24171-2026 karta.png", "A 24171-2026")</f>
        <v/>
      </c>
      <c r="Y70">
        <f>HYPERLINK("https://klasma.github.io/Logging_2181/kartor_geotiff/A 24171-2026 georefererad karta.tif", "A 24171-2026")</f>
        <v/>
      </c>
      <c r="AA70">
        <f>HYPERLINK("https://klasma.github.io/Logging_2181/klagomål/A 24171-2026 FSC-klagomål.docx", "A 24171-2026")</f>
        <v/>
      </c>
      <c r="AB70">
        <f>HYPERLINK("https://klasma.github.io/Logging_2181/klagomålsmail/A 24171-2026 FSC-klagomål mail.docx", "A 24171-2026")</f>
        <v/>
      </c>
      <c r="AC70">
        <f>HYPERLINK("https://klasma.github.io/Logging_2181/tillsyn/A 24171-2026 tillsynsbegäran.docx", "A 24171-2026")</f>
        <v/>
      </c>
      <c r="AD70">
        <f>HYPERLINK("https://klasma.github.io/Logging_2181/tillsynsmail/A 24171-2026 tillsynsbegäran mail.docx", "A 24171-2026")</f>
        <v/>
      </c>
    </row>
    <row r="71" ht="15" customHeight="1">
      <c r="A71" t="inlineStr">
        <is>
          <t>A 24357-2026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46236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5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Plattlummer</t>
        </is>
      </c>
      <c r="W71">
        <f>HYPERLINK("https://klasma.github.io/Logging_2181/artfynd/A 24357-2026 artfynd.xlsx", "A 24357-2026")</f>
        <v/>
      </c>
      <c r="X71">
        <f>HYPERLINK("https://klasma.github.io/Logging_2181/kartor/A 24357-2026 karta.png", "A 24357-2026")</f>
        <v/>
      </c>
      <c r="Y71">
        <f>HYPERLINK("https://klasma.github.io/Logging_2181/kartor_geotiff/A 24357-2026 georefererad karta.tif", "A 24357-2026")</f>
        <v/>
      </c>
      <c r="AA71">
        <f>HYPERLINK("https://klasma.github.io/Logging_2181/klagomål/A 24357-2026 FSC-klagomål.docx", "A 24357-2026")</f>
        <v/>
      </c>
      <c r="AB71">
        <f>HYPERLINK("https://klasma.github.io/Logging_2181/klagomålsmail/A 24357-2026 FSC-klagomål mail.docx", "A 24357-2026")</f>
        <v/>
      </c>
      <c r="AC71">
        <f>HYPERLINK("https://klasma.github.io/Logging_2181/tillsyn/A 24357-2026 tillsynsbegäran.docx", "A 24357-2026")</f>
        <v/>
      </c>
      <c r="AD71">
        <f>HYPERLINK("https://klasma.github.io/Logging_2181/tillsynsmail/A 24357-2026 tillsynsbegäran mail.docx", "A 24357-2026")</f>
        <v/>
      </c>
    </row>
    <row r="72" ht="15" customHeight="1">
      <c r="A72" t="inlineStr">
        <is>
          <t>A 25479-2023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46236</v>
      </c>
      <c r="F72" t="inlineStr">
        <is>
          <t>GÄVLEBORGS LÄN</t>
        </is>
      </c>
      <c r="G72" t="inlineStr">
        <is>
          <t>SANDVIKEN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Grönpyrola</t>
        </is>
      </c>
      <c r="W72">
        <f>HYPERLINK("https://klasma.github.io/Logging_2181/artfynd/A 25479-2023 artfynd.xlsx", "A 25479-2023")</f>
        <v/>
      </c>
      <c r="X72">
        <f>HYPERLINK("https://klasma.github.io/Logging_2181/kartor/A 25479-2023 karta.png", "A 25479-2023")</f>
        <v/>
      </c>
      <c r="Y72">
        <f>HYPERLINK("https://klasma.github.io/Logging_2181/kartor_geotiff/A 25479-2023 georefererad karta.tif", "A 25479-2023")</f>
        <v/>
      </c>
      <c r="AA72">
        <f>HYPERLINK("https://klasma.github.io/Logging_2181/klagomål/A 25479-2023 FSC-klagomål.docx", "A 25479-2023")</f>
        <v/>
      </c>
      <c r="AB72">
        <f>HYPERLINK("https://klasma.github.io/Logging_2181/klagomålsmail/A 25479-2023 FSC-klagomål mail.docx", "A 25479-2023")</f>
        <v/>
      </c>
      <c r="AC72">
        <f>HYPERLINK("https://klasma.github.io/Logging_2181/tillsyn/A 25479-2023 tillsynsbegäran.docx", "A 25479-2023")</f>
        <v/>
      </c>
      <c r="AD72">
        <f>HYPERLINK("https://klasma.github.io/Logging_2181/tillsynsmail/A 25479-2023 tillsynsbegäran mail.docx", "A 25479-2023")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46236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Dvärghäxört</t>
        </is>
      </c>
      <c r="W73">
        <f>HYPERLINK("https://klasma.github.io/Logging_2181/artfynd/A 448-2026 artfynd.xlsx", "A 448-2026")</f>
        <v/>
      </c>
      <c r="X73">
        <f>HYPERLINK("https://klasma.github.io/Logging_2181/kartor/A 448-2026 karta.png", "A 448-2026")</f>
        <v/>
      </c>
      <c r="Y73">
        <f>HYPERLINK("https://klasma.github.io/Logging_2181/kartor_geotiff/A 448-2026 georefererad karta.tif", "A 448-2026")</f>
        <v/>
      </c>
      <c r="AA73">
        <f>HYPERLINK("https://klasma.github.io/Logging_2181/klagomål/A 448-2026 FSC-klagomål.docx", "A 448-2026")</f>
        <v/>
      </c>
      <c r="AB73">
        <f>HYPERLINK("https://klasma.github.io/Logging_2181/klagomålsmail/A 448-2026 FSC-klagomål mail.docx", "A 448-2026")</f>
        <v/>
      </c>
      <c r="AC73">
        <f>HYPERLINK("https://klasma.github.io/Logging_2181/tillsyn/A 448-2026 tillsynsbegäran.docx", "A 448-2026")</f>
        <v/>
      </c>
      <c r="AD73">
        <f>HYPERLINK("https://klasma.github.io/Logging_2181/tillsynsmail/A 448-2026 tillsynsbegäran mail.docx", "A 448-2026")</f>
        <v/>
      </c>
    </row>
    <row r="74" ht="15" customHeight="1">
      <c r="A74" t="inlineStr">
        <is>
          <t>A 25247-2026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46175</v>
      </c>
      <c r="E74" s="1" t="n">
        <v>46236</v>
      </c>
      <c r="F74" t="inlineStr">
        <is>
          <t>GÄVLEBORGS LÄN</t>
        </is>
      </c>
      <c r="G74" t="inlineStr">
        <is>
          <t>SANDVIKEN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Skinnlav</t>
        </is>
      </c>
      <c r="W74">
        <f>HYPERLINK("https://klasma.github.io/Logging_2181/artfynd/A 25247-2026 artfynd.xlsx", "A 25247-2026")</f>
        <v/>
      </c>
      <c r="X74">
        <f>HYPERLINK("https://klasma.github.io/Logging_2181/kartor/A 25247-2026 karta.png", "A 25247-2026")</f>
        <v/>
      </c>
      <c r="Y74">
        <f>HYPERLINK("https://klasma.github.io/Logging_2181/kartor_geotiff/A 25247-2026 georefererad karta.tif", "A 25247-2026")</f>
        <v/>
      </c>
      <c r="AA74">
        <f>HYPERLINK("https://klasma.github.io/Logging_2181/klagomål/A 25247-2026 FSC-klagomål.docx", "A 25247-2026")</f>
        <v/>
      </c>
      <c r="AB74">
        <f>HYPERLINK("https://klasma.github.io/Logging_2181/klagomålsmail/A 25247-2026 FSC-klagomål mail.docx", "A 25247-2026")</f>
        <v/>
      </c>
      <c r="AC74">
        <f>HYPERLINK("https://klasma.github.io/Logging_2181/tillsyn/A 25247-2026 tillsynsbegäran.docx", "A 25247-2026")</f>
        <v/>
      </c>
      <c r="AD74">
        <f>HYPERLINK("https://klasma.github.io/Logging_2181/tillsynsmail/A 25247-2026 tillsynsbegäran mail.docx", "A 25247-2026")</f>
        <v/>
      </c>
    </row>
    <row r="75" ht="15" customHeight="1">
      <c r="A75" t="inlineStr">
        <is>
          <t>A 1083-2026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46236</v>
      </c>
      <c r="F75" t="inlineStr">
        <is>
          <t>GÄVLEBORGS LÄN</t>
        </is>
      </c>
      <c r="G75" t="inlineStr">
        <is>
          <t>SANDVIKEN</t>
        </is>
      </c>
      <c r="I75" t="n">
        <v>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HYPERLINK("https://klasma.github.io/Logging_2181/artfynd/A 1083-2026 artfynd.xlsx", "A 1083-2026")</f>
        <v/>
      </c>
      <c r="X75">
        <f>HYPERLINK("https://klasma.github.io/Logging_2181/kartor/A 1083-2026 karta.png", "A 1083-2026")</f>
        <v/>
      </c>
      <c r="Y75">
        <f>HYPERLINK("https://klasma.github.io/Logging_2181/kartor_geotiff/A 1083-2026 georefererad karta.tif", "A 1083-2026")</f>
        <v/>
      </c>
      <c r="AA75">
        <f>HYPERLINK("https://klasma.github.io/Logging_2181/klagomål/A 1083-2026 FSC-klagomål.docx", "A 1083-2026")</f>
        <v/>
      </c>
      <c r="AB75">
        <f>HYPERLINK("https://klasma.github.io/Logging_2181/klagomålsmail/A 1083-2026 FSC-klagomål mail.docx", "A 1083-2026")</f>
        <v/>
      </c>
      <c r="AC75">
        <f>HYPERLINK("https://klasma.github.io/Logging_2181/tillsyn/A 1083-2026 tillsynsbegäran.docx", "A 1083-2026")</f>
        <v/>
      </c>
      <c r="AD75">
        <f>HYPERLINK("https://klasma.github.io/Logging_2181/tillsynsmail/A 1083-2026 tillsynsbegäran mail.docx", "A 1083-2026")</f>
        <v/>
      </c>
    </row>
    <row r="76" ht="15" customHeight="1">
      <c r="A76" t="inlineStr">
        <is>
          <t>A 3316-2023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44949</v>
      </c>
      <c r="E76" s="1" t="n">
        <v>46236</v>
      </c>
      <c r="F76" t="inlineStr">
        <is>
          <t>GÄVLEBORGS LÄN</t>
        </is>
      </c>
      <c r="G76" t="inlineStr">
        <is>
          <t>SANDVIKEN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Orre</t>
        </is>
      </c>
      <c r="W76">
        <f>HYPERLINK("https://klasma.github.io/Logging_2181/artfynd/A 3316-2023 artfynd.xlsx", "A 3316-2023")</f>
        <v/>
      </c>
      <c r="X76">
        <f>HYPERLINK("https://klasma.github.io/Logging_2181/kartor/A 3316-2023 karta.png", "A 3316-2023")</f>
        <v/>
      </c>
      <c r="Y76">
        <f>HYPERLINK("https://klasma.github.io/Logging_2181/kartor_geotiff/A 3316-2023 georefererad karta.tif", "A 3316-2023")</f>
        <v/>
      </c>
      <c r="AA76">
        <f>HYPERLINK("https://klasma.github.io/Logging_2181/klagomål/A 3316-2023 FSC-klagomål.docx", "A 3316-2023")</f>
        <v/>
      </c>
      <c r="AB76">
        <f>HYPERLINK("https://klasma.github.io/Logging_2181/klagomålsmail/A 3316-2023 FSC-klagomål mail.docx", "A 3316-2023")</f>
        <v/>
      </c>
      <c r="AC76">
        <f>HYPERLINK("https://klasma.github.io/Logging_2181/tillsyn/A 3316-2023 tillsynsbegäran.docx", "A 3316-2023")</f>
        <v/>
      </c>
      <c r="AD76">
        <f>HYPERLINK("https://klasma.github.io/Logging_2181/tillsynsmail/A 3316-2023 tillsynsbegäran mail.docx", "A 3316-2023")</f>
        <v/>
      </c>
      <c r="AE76">
        <f>HYPERLINK("https://klasma.github.io/Logging_2181/fåglar/A 3316-2023 prioriterade fågelarter.docx", "A 3316-2023")</f>
        <v/>
      </c>
    </row>
    <row r="77" ht="15" customHeight="1">
      <c r="A77" t="inlineStr">
        <is>
          <t>A 22275-2024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46236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Ekorrbär</t>
        </is>
      </c>
      <c r="W77">
        <f>HYPERLINK("https://klasma.github.io/Logging_2181/artfynd/A 22275-2024 artfynd.xlsx", "A 22275-2024")</f>
        <v/>
      </c>
      <c r="X77">
        <f>HYPERLINK("https://klasma.github.io/Logging_2181/kartor/A 22275-2024 karta.png", "A 22275-2024")</f>
        <v/>
      </c>
      <c r="Y77">
        <f>HYPERLINK("https://klasma.github.io/Logging_2181/kartor_geotiff/A 22275-2024 georefererad karta.tif", "A 22275-2024")</f>
        <v/>
      </c>
      <c r="AA77">
        <f>HYPERLINK("https://klasma.github.io/Logging_2181/klagomål/A 22275-2024 FSC-klagomål.docx", "A 22275-2024")</f>
        <v/>
      </c>
      <c r="AB77">
        <f>HYPERLINK("https://klasma.github.io/Logging_2181/klagomålsmail/A 22275-2024 FSC-klagomål mail.docx", "A 22275-2024")</f>
        <v/>
      </c>
      <c r="AC77">
        <f>HYPERLINK("https://klasma.github.io/Logging_2181/tillsyn/A 22275-2024 tillsynsbegäran.docx", "A 22275-2024")</f>
        <v/>
      </c>
      <c r="AD77">
        <f>HYPERLINK("https://klasma.github.io/Logging_2181/tillsynsmail/A 22275-2024 tillsynsbegäran mail.docx", "A 22275-2024")</f>
        <v/>
      </c>
    </row>
    <row r="78" ht="15" customHeight="1">
      <c r="A78" t="inlineStr">
        <is>
          <t>A 31311-2026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46219</v>
      </c>
      <c r="E78" s="1" t="n">
        <v>46236</v>
      </c>
      <c r="F78" t="inlineStr">
        <is>
          <t>GÄVLEBORGS LÄN</t>
        </is>
      </c>
      <c r="G78" t="inlineStr">
        <is>
          <t>SANDVIKEN</t>
        </is>
      </c>
      <c r="I78" t="n">
        <v>1.7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31311-2026 artfynd.xlsx", "A 31311-2026")</f>
        <v/>
      </c>
      <c r="X78">
        <f>HYPERLINK("https://klasma.github.io/Logging_2181/kartor/A 31311-2026 karta.png", "A 31311-2026")</f>
        <v/>
      </c>
      <c r="Y78">
        <f>HYPERLINK("https://klasma.github.io/Logging_2181/kartor_geotiff/A 31311-2026 georefererad karta.tif", "A 31311-2026")</f>
        <v/>
      </c>
      <c r="AA78">
        <f>HYPERLINK("https://klasma.github.io/Logging_2181/klagomål/A 31311-2026 FSC-klagomål.docx", "A 31311-2026")</f>
        <v/>
      </c>
      <c r="AB78">
        <f>HYPERLINK("https://klasma.github.io/Logging_2181/klagomålsmail/A 31311-2026 FSC-klagomål mail.docx", "A 31311-2026")</f>
        <v/>
      </c>
      <c r="AC78">
        <f>HYPERLINK("https://klasma.github.io/Logging_2181/tillsyn/A 31311-2026 tillsynsbegäran.docx", "A 31311-2026")</f>
        <v/>
      </c>
      <c r="AD78">
        <f>HYPERLINK("https://klasma.github.io/Logging_2181/tillsynsmail/A 31311-2026 tillsynsbegäran mail.docx", "A 31311-2026")</f>
        <v/>
      </c>
    </row>
    <row r="79" ht="15" customHeight="1">
      <c r="A79" t="inlineStr">
        <is>
          <t>A 58845-2023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46236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Vanlig padda</t>
        </is>
      </c>
      <c r="W79">
        <f>HYPERLINK("https://klasma.github.io/Logging_2181/artfynd/A 58845-2023 artfynd.xlsx", "A 58845-2023")</f>
        <v/>
      </c>
      <c r="X79">
        <f>HYPERLINK("https://klasma.github.io/Logging_2181/kartor/A 58845-2023 karta.png", "A 58845-2023")</f>
        <v/>
      </c>
      <c r="Y79">
        <f>HYPERLINK("https://klasma.github.io/Logging_2181/kartor_geotiff/A 58845-2023 georefererad karta.tif", "A 58845-2023")</f>
        <v/>
      </c>
      <c r="AA79">
        <f>HYPERLINK("https://klasma.github.io/Logging_2181/klagomål/A 58845-2023 FSC-klagomål.docx", "A 58845-2023")</f>
        <v/>
      </c>
      <c r="AB79">
        <f>HYPERLINK("https://klasma.github.io/Logging_2181/klagomålsmail/A 58845-2023 FSC-klagomål mail.docx", "A 58845-2023")</f>
        <v/>
      </c>
      <c r="AC79">
        <f>HYPERLINK("https://klasma.github.io/Logging_2181/tillsyn/A 58845-2023 tillsynsbegäran.docx", "A 58845-2023")</f>
        <v/>
      </c>
      <c r="AD79">
        <f>HYPERLINK("https://klasma.github.io/Logging_2181/tillsynsmail/A 58845-2023 tillsynsbegäran mail.docx", "A 58845-2023")</f>
        <v/>
      </c>
    </row>
    <row r="80" ht="15" customHeight="1">
      <c r="A80" t="inlineStr">
        <is>
          <t>A 26212-2026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46236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HYPERLINK("https://klasma.github.io/Logging_2181/artfynd/A 26212-2026 artfynd.xlsx", "A 26212-2026")</f>
        <v/>
      </c>
      <c r="X80">
        <f>HYPERLINK("https://klasma.github.io/Logging_2181/kartor/A 26212-2026 karta.png", "A 26212-2026")</f>
        <v/>
      </c>
      <c r="Y80">
        <f>HYPERLINK("https://klasma.github.io/Logging_2181/kartor_geotiff/A 26212-2026 georefererad karta.tif", "A 26212-2026")</f>
        <v/>
      </c>
      <c r="Z80">
        <f>HYPERLINK("https://klasma.github.io/Logging_2181/knärot/A 26212-2026 karta knärot.png", "A 26212-2026")</f>
        <v/>
      </c>
      <c r="AA80">
        <f>HYPERLINK("https://klasma.github.io/Logging_2181/klagomål/A 26212-2026 FSC-klagomål.docx", "A 26212-2026")</f>
        <v/>
      </c>
      <c r="AB80">
        <f>HYPERLINK("https://klasma.github.io/Logging_2181/klagomålsmail/A 26212-2026 FSC-klagomål mail.docx", "A 26212-2026")</f>
        <v/>
      </c>
      <c r="AC80">
        <f>HYPERLINK("https://klasma.github.io/Logging_2181/tillsyn/A 26212-2026 tillsynsbegäran.docx", "A 26212-2026")</f>
        <v/>
      </c>
      <c r="AD80">
        <f>HYPERLINK("https://klasma.github.io/Logging_2181/tillsynsmail/A 26212-2026 tillsynsbegäran mail.docx", "A 26212-2026")</f>
        <v/>
      </c>
    </row>
    <row r="81" ht="15" customHeight="1">
      <c r="A81" t="inlineStr">
        <is>
          <t>A 7393-2026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46236</v>
      </c>
      <c r="F81" t="inlineStr">
        <is>
          <t>GÄVLEBORGS LÄN</t>
        </is>
      </c>
      <c r="G81" t="inlineStr">
        <is>
          <t>SANDVIKEN</t>
        </is>
      </c>
      <c r="I81" t="n">
        <v>6.7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Brunklöver</t>
        </is>
      </c>
      <c r="W81">
        <f>HYPERLINK("https://klasma.github.io/Logging_2181/artfynd/A 7393-2026 artfynd.xlsx", "A 7393-2026")</f>
        <v/>
      </c>
      <c r="X81">
        <f>HYPERLINK("https://klasma.github.io/Logging_2181/kartor/A 7393-2026 karta.png", "A 7393-2026")</f>
        <v/>
      </c>
      <c r="Y81">
        <f>HYPERLINK("https://klasma.github.io/Logging_2181/kartor_geotiff/A 7393-2026 georefererad karta.tif", "A 7393-2026")</f>
        <v/>
      </c>
      <c r="AA81">
        <f>HYPERLINK("https://klasma.github.io/Logging_2181/klagomål/A 7393-2026 FSC-klagomål.docx", "A 7393-2026")</f>
        <v/>
      </c>
      <c r="AB81">
        <f>HYPERLINK("https://klasma.github.io/Logging_2181/klagomålsmail/A 7393-2026 FSC-klagomål mail.docx", "A 7393-2026")</f>
        <v/>
      </c>
      <c r="AC81">
        <f>HYPERLINK("https://klasma.github.io/Logging_2181/tillsyn/A 7393-2026 tillsynsbegäran.docx", "A 7393-2026")</f>
        <v/>
      </c>
      <c r="AD81">
        <f>HYPERLINK("https://klasma.github.io/Logging_2181/tillsynsmail/A 7393-2026 tillsynsbegäran mail.docx", "A 7393-2026")</f>
        <v/>
      </c>
    </row>
    <row r="82" ht="15" customHeight="1">
      <c r="A82" t="inlineStr">
        <is>
          <t>A 27207-2026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46236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Kungsfågel</t>
        </is>
      </c>
      <c r="W82">
        <f>HYPERLINK("https://klasma.github.io/Logging_2181/artfynd/A 27207-2026 artfynd.xlsx", "A 27207-2026")</f>
        <v/>
      </c>
      <c r="X82">
        <f>HYPERLINK("https://klasma.github.io/Logging_2181/kartor/A 27207-2026 karta.png", "A 27207-2026")</f>
        <v/>
      </c>
      <c r="Y82">
        <f>HYPERLINK("https://klasma.github.io/Logging_2181/kartor_geotiff/A 27207-2026 georefererad karta.tif", "A 27207-2026")</f>
        <v/>
      </c>
      <c r="AA82">
        <f>HYPERLINK("https://klasma.github.io/Logging_2181/klagomål/A 27207-2026 FSC-klagomål.docx", "A 27207-2026")</f>
        <v/>
      </c>
      <c r="AB82">
        <f>HYPERLINK("https://klasma.github.io/Logging_2181/klagomålsmail/A 27207-2026 FSC-klagomål mail.docx", "A 27207-2026")</f>
        <v/>
      </c>
      <c r="AC82">
        <f>HYPERLINK("https://klasma.github.io/Logging_2181/tillsyn/A 27207-2026 tillsynsbegäran.docx", "A 27207-2026")</f>
        <v/>
      </c>
      <c r="AD82">
        <f>HYPERLINK("https://klasma.github.io/Logging_2181/tillsynsmail/A 27207-2026 tillsynsbegäran mail.docx", "A 27207-2026")</f>
        <v/>
      </c>
    </row>
    <row r="83" ht="15" customHeight="1">
      <c r="A83" t="inlineStr">
        <is>
          <t>A 9267-2026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46236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Gullpudra</t>
        </is>
      </c>
      <c r="W83">
        <f>HYPERLINK("https://klasma.github.io/Logging_2181/artfynd/A 9267-2026 artfynd.xlsx", "A 9267-2026")</f>
        <v/>
      </c>
      <c r="X83">
        <f>HYPERLINK("https://klasma.github.io/Logging_2181/kartor/A 9267-2026 karta.png", "A 9267-2026")</f>
        <v/>
      </c>
      <c r="Y83">
        <f>HYPERLINK("https://klasma.github.io/Logging_2181/kartor_geotiff/A 9267-2026 georefererad karta.tif", "A 9267-2026")</f>
        <v/>
      </c>
      <c r="AA83">
        <f>HYPERLINK("https://klasma.github.io/Logging_2181/klagomål/A 9267-2026 FSC-klagomål.docx", "A 9267-2026")</f>
        <v/>
      </c>
      <c r="AB83">
        <f>HYPERLINK("https://klasma.github.io/Logging_2181/klagomålsmail/A 9267-2026 FSC-klagomål mail.docx", "A 9267-2026")</f>
        <v/>
      </c>
      <c r="AC83">
        <f>HYPERLINK("https://klasma.github.io/Logging_2181/tillsyn/A 9267-2026 tillsynsbegäran.docx", "A 9267-2026")</f>
        <v/>
      </c>
      <c r="AD83">
        <f>HYPERLINK("https://klasma.github.io/Logging_2181/tillsynsmail/A 9267-2026 tillsynsbegäran mail.docx", "A 9267-2026")</f>
        <v/>
      </c>
    </row>
    <row r="84" ht="15" customHeight="1">
      <c r="A84" t="inlineStr">
        <is>
          <t>A 23225-2026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46162</v>
      </c>
      <c r="E84" s="1" t="n">
        <v>46236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1.3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Rödvingetrast</t>
        </is>
      </c>
      <c r="W84">
        <f>HYPERLINK("https://klasma.github.io/Logging_2181/artfynd/A 23225-2026 artfynd.xlsx", "A 23225-2026")</f>
        <v/>
      </c>
      <c r="X84">
        <f>HYPERLINK("https://klasma.github.io/Logging_2181/kartor/A 23225-2026 karta.png", "A 23225-2026")</f>
        <v/>
      </c>
      <c r="Y84">
        <f>HYPERLINK("https://klasma.github.io/Logging_2181/kartor_geotiff/A 23225-2026 georefererad karta.tif", "A 23225-2026")</f>
        <v/>
      </c>
      <c r="AA84">
        <f>HYPERLINK("https://klasma.github.io/Logging_2181/klagomål/A 23225-2026 FSC-klagomål.docx", "A 23225-2026")</f>
        <v/>
      </c>
      <c r="AB84">
        <f>HYPERLINK("https://klasma.github.io/Logging_2181/klagomålsmail/A 23225-2026 FSC-klagomål mail.docx", "A 23225-2026")</f>
        <v/>
      </c>
      <c r="AC84">
        <f>HYPERLINK("https://klasma.github.io/Logging_2181/tillsyn/A 23225-2026 tillsynsbegäran.docx", "A 23225-2026")</f>
        <v/>
      </c>
      <c r="AD84">
        <f>HYPERLINK("https://klasma.github.io/Logging_2181/tillsynsmail/A 23225-2026 tillsynsbegäran mail.docx", "A 23225-2026")</f>
        <v/>
      </c>
      <c r="AE84">
        <f>HYPERLINK("https://klasma.github.io/Logging_2181/fåglar/A 23225-2026 prioriterade fågelarter.docx", "A 23225-2026")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46236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45427-2023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46236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HYPERLINK("https://klasma.github.io/Logging_2181/artfynd/A 45427-2023 artfynd.xlsx", "A 45427-2023")</f>
        <v/>
      </c>
      <c r="X86">
        <f>HYPERLINK("https://klasma.github.io/Logging_2181/kartor/A 45427-2023 karta.png", "A 45427-2023")</f>
        <v/>
      </c>
      <c r="Y86">
        <f>HYPERLINK("https://klasma.github.io/Logging_2181/kartor_geotiff/A 45427-2023 georefererad karta.tif", "A 45427-2023")</f>
        <v/>
      </c>
      <c r="AA86">
        <f>HYPERLINK("https://klasma.github.io/Logging_2181/klagomål/A 45427-2023 FSC-klagomål.docx", "A 45427-2023")</f>
        <v/>
      </c>
      <c r="AB86">
        <f>HYPERLINK("https://klasma.github.io/Logging_2181/klagomålsmail/A 45427-2023 FSC-klagomål mail.docx", "A 45427-2023")</f>
        <v/>
      </c>
      <c r="AC86">
        <f>HYPERLINK("https://klasma.github.io/Logging_2181/tillsyn/A 45427-2023 tillsynsbegäran.docx", "A 45427-2023")</f>
        <v/>
      </c>
      <c r="AD86">
        <f>HYPERLINK("https://klasma.github.io/Logging_2181/tillsynsmail/A 45427-2023 tillsynsbegäran mail.docx", "A 45427-2023")</f>
        <v/>
      </c>
    </row>
    <row r="87" ht="15" customHeight="1">
      <c r="A87" t="inlineStr">
        <is>
          <t>A 13135-2026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46236</v>
      </c>
      <c r="F87" t="inlineStr">
        <is>
          <t>GÄVLEBORGS LÄN</t>
        </is>
      </c>
      <c r="G87" t="inlineStr">
        <is>
          <t>SANDVIKEN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HYPERLINK("https://klasma.github.io/Logging_2181/artfynd/A 13135-2026 artfynd.xlsx", "A 13135-2026")</f>
        <v/>
      </c>
      <c r="X87">
        <f>HYPERLINK("https://klasma.github.io/Logging_2181/kartor/A 13135-2026 karta.png", "A 13135-2026")</f>
        <v/>
      </c>
      <c r="Y87">
        <f>HYPERLINK("https://klasma.github.io/Logging_2181/kartor_geotiff/A 13135-2026 georefererad karta.tif", "A 13135-2026")</f>
        <v/>
      </c>
      <c r="AA87">
        <f>HYPERLINK("https://klasma.github.io/Logging_2181/klagomål/A 13135-2026 FSC-klagomål.docx", "A 13135-2026")</f>
        <v/>
      </c>
      <c r="AB87">
        <f>HYPERLINK("https://klasma.github.io/Logging_2181/klagomålsmail/A 13135-2026 FSC-klagomål mail.docx", "A 13135-2026")</f>
        <v/>
      </c>
      <c r="AC87">
        <f>HYPERLINK("https://klasma.github.io/Logging_2181/tillsyn/A 13135-2026 tillsynsbegäran.docx", "A 13135-2026")</f>
        <v/>
      </c>
      <c r="AD87">
        <f>HYPERLINK("https://klasma.github.io/Logging_2181/tillsynsmail/A 13135-2026 tillsynsbegäran mail.docx", "A 13135-2026")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46236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15121-2026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46105</v>
      </c>
      <c r="E89" s="1" t="n">
        <v>46236</v>
      </c>
      <c r="F89" t="inlineStr">
        <is>
          <t>GÄVLEBORGS LÄN</t>
        </is>
      </c>
      <c r="G89" t="inlineStr">
        <is>
          <t>SANDVIKEN</t>
        </is>
      </c>
      <c r="I89" t="n">
        <v>2.7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Brandticka</t>
        </is>
      </c>
      <c r="W89">
        <f>HYPERLINK("https://klasma.github.io/Logging_2181/artfynd/A 15121-2026 artfynd.xlsx", "A 15121-2026")</f>
        <v/>
      </c>
      <c r="X89">
        <f>HYPERLINK("https://klasma.github.io/Logging_2181/kartor/A 15121-2026 karta.png", "A 15121-2026")</f>
        <v/>
      </c>
      <c r="Y89">
        <f>HYPERLINK("https://klasma.github.io/Logging_2181/kartor_geotiff/A 15121-2026 georefererad karta.tif", "A 15121-2026")</f>
        <v/>
      </c>
      <c r="AA89">
        <f>HYPERLINK("https://klasma.github.io/Logging_2181/klagomål/A 15121-2026 FSC-klagomål.docx", "A 15121-2026")</f>
        <v/>
      </c>
      <c r="AB89">
        <f>HYPERLINK("https://klasma.github.io/Logging_2181/klagomålsmail/A 15121-2026 FSC-klagomål mail.docx", "A 15121-2026")</f>
        <v/>
      </c>
      <c r="AC89">
        <f>HYPERLINK("https://klasma.github.io/Logging_2181/tillsyn/A 15121-2026 tillsynsbegäran.docx", "A 15121-2026")</f>
        <v/>
      </c>
      <c r="AD89">
        <f>HYPERLINK("https://klasma.github.io/Logging_2181/tillsynsmail/A 15121-2026 tillsynsbegäran mail.docx", "A 15121-2026")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46236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17062-2026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46236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Vårärt</t>
        </is>
      </c>
      <c r="W91">
        <f>HYPERLINK("https://klasma.github.io/Logging_2181/artfynd/A 17062-2026 artfynd.xlsx", "A 17062-2026")</f>
        <v/>
      </c>
      <c r="X91">
        <f>HYPERLINK("https://klasma.github.io/Logging_2181/kartor/A 17062-2026 karta.png", "A 17062-2026")</f>
        <v/>
      </c>
      <c r="Y91">
        <f>HYPERLINK("https://klasma.github.io/Logging_2181/kartor_geotiff/A 17062-2026 georefererad karta.tif", "A 17062-2026")</f>
        <v/>
      </c>
      <c r="AA91">
        <f>HYPERLINK("https://klasma.github.io/Logging_2181/klagomål/A 17062-2026 FSC-klagomål.docx", "A 17062-2026")</f>
        <v/>
      </c>
      <c r="AB91">
        <f>HYPERLINK("https://klasma.github.io/Logging_2181/klagomålsmail/A 17062-2026 FSC-klagomål mail.docx", "A 17062-2026")</f>
        <v/>
      </c>
      <c r="AC91">
        <f>HYPERLINK("https://klasma.github.io/Logging_2181/tillsyn/A 17062-2026 tillsynsbegäran.docx", "A 17062-2026")</f>
        <v/>
      </c>
      <c r="AD91">
        <f>HYPERLINK("https://klasma.github.io/Logging_2181/tillsynsmail/A 17062-2026 tillsynsbegäran mail.docx", "A 17062-2026")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46236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15729-2022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46236</v>
      </c>
      <c r="F93" t="inlineStr">
        <is>
          <t>GÄVLEBORGS LÄN</t>
        </is>
      </c>
      <c r="G93" t="inlineStr">
        <is>
          <t>SANDVIKEN</t>
        </is>
      </c>
      <c r="I93" t="n">
        <v>2.1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HYPERLINK("https://klasma.github.io/Logging_2181/artfynd/A 15729-2022 artfynd.xlsx", "A 15729-2022")</f>
        <v/>
      </c>
      <c r="X93">
        <f>HYPERLINK("https://klasma.github.io/Logging_2181/kartor/A 15729-2022 karta.png", "A 15729-2022")</f>
        <v/>
      </c>
      <c r="Y93">
        <f>HYPERLINK("https://klasma.github.io/Logging_2181/kartor_geotiff/A 15729-2022 georefererad karta.tif", "A 15729-2022")</f>
        <v/>
      </c>
      <c r="Z93">
        <f>HYPERLINK("https://klasma.github.io/Logging_2181/knärot/A 15729-2022 karta knärot.png", "A 15729-2022")</f>
        <v/>
      </c>
      <c r="AA93">
        <f>HYPERLINK("https://klasma.github.io/Logging_2181/klagomål/A 15729-2022 FSC-klagomål.docx", "A 15729-2022")</f>
        <v/>
      </c>
      <c r="AB93">
        <f>HYPERLINK("https://klasma.github.io/Logging_2181/klagomålsmail/A 15729-2022 FSC-klagomål mail.docx", "A 15729-2022")</f>
        <v/>
      </c>
      <c r="AC93">
        <f>HYPERLINK("https://klasma.github.io/Logging_2181/tillsyn/A 15729-2022 tillsynsbegäran.docx", "A 15729-2022")</f>
        <v/>
      </c>
      <c r="AD93">
        <f>HYPERLINK("https://klasma.github.io/Logging_2181/tillsynsmail/A 15729-2022 tillsynsbegäran mail.docx", "A 15729-2022")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46236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42115-2023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45177</v>
      </c>
      <c r="E95" s="1" t="n">
        <v>46236</v>
      </c>
      <c r="F95" t="inlineStr">
        <is>
          <t>GÄVLEBORGS LÄN</t>
        </is>
      </c>
      <c r="G95" t="inlineStr">
        <is>
          <t>SANDVIKEN</t>
        </is>
      </c>
      <c r="H95" t="inlineStr">
        <is>
          <t>Sveaskog</t>
        </is>
      </c>
      <c r="I95" t="n">
        <v>2.4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HYPERLINK("https://klasma.github.io/Logging_2181/artfynd/A 42115-2023 artfynd.xlsx", "A 42115-2023")</f>
        <v/>
      </c>
      <c r="X95">
        <f>HYPERLINK("https://klasma.github.io/Logging_2181/kartor/A 42115-2023 karta.png", "A 42115-2023")</f>
        <v/>
      </c>
      <c r="Y95">
        <f>HYPERLINK("https://klasma.github.io/Logging_2181/kartor_geotiff/A 42115-2023 georefererad karta.tif", "A 42115-2023")</f>
        <v/>
      </c>
      <c r="AA95">
        <f>HYPERLINK("https://klasma.github.io/Logging_2181/klagomål/A 42115-2023 FSC-klagomål.docx", "A 42115-2023")</f>
        <v/>
      </c>
      <c r="AB95">
        <f>HYPERLINK("https://klasma.github.io/Logging_2181/klagomålsmail/A 42115-2023 FSC-klagomål mail.docx", "A 42115-2023")</f>
        <v/>
      </c>
      <c r="AC95">
        <f>HYPERLINK("https://klasma.github.io/Logging_2181/tillsyn/A 42115-2023 tillsynsbegäran.docx", "A 42115-2023")</f>
        <v/>
      </c>
      <c r="AD95">
        <f>HYPERLINK("https://klasma.github.io/Logging_2181/tillsynsmail/A 42115-2023 tillsynsbegäran mail.docx", "A 42115-2023")</f>
        <v/>
      </c>
      <c r="AE95">
        <f>HYPERLINK("https://klasma.github.io/Logging_2181/fåglar/A 42115-2023 prioriterade fågelarter.docx", "A 42115-2023")</f>
        <v/>
      </c>
    </row>
    <row r="96" ht="15" customHeight="1">
      <c r="A96" t="inlineStr">
        <is>
          <t>A 25323-2025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46236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3.8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3</v>
      </c>
      <c r="U96" t="n">
        <v>3</v>
      </c>
      <c r="V96" s="2" t="inlineStr">
        <is>
          <t>Plattlummer</t>
        </is>
      </c>
      <c r="W96">
        <f>HYPERLINK("https://klasma.github.io/Logging_2181/artfynd/A 25323-2025 artfynd.xlsx", "A 25323-2025")</f>
        <v/>
      </c>
      <c r="X96">
        <f>HYPERLINK("https://klasma.github.io/Logging_2181/kartor/A 25323-2025 karta.png", "A 25323-2025")</f>
        <v/>
      </c>
      <c r="Y96">
        <f>HYPERLINK("https://klasma.github.io/Logging_2181/kartor_geotiff/A 25323-2025 georefererad karta.tif", "A 25323-2025")</f>
        <v/>
      </c>
      <c r="AA96">
        <f>HYPERLINK("https://klasma.github.io/Logging_2181/klagomål/A 25323-2025 FSC-klagomål.docx", "A 25323-2025")</f>
        <v/>
      </c>
      <c r="AB96">
        <f>HYPERLINK("https://klasma.github.io/Logging_2181/klagomålsmail/A 25323-2025 FSC-klagomål mail.docx", "A 25323-2025")</f>
        <v/>
      </c>
      <c r="AC96">
        <f>HYPERLINK("https://klasma.github.io/Logging_2181/tillsyn/A 25323-2025 tillsynsbegäran.docx", "A 25323-2025")</f>
        <v/>
      </c>
      <c r="AD96">
        <f>HYPERLINK("https://klasma.github.io/Logging_2181/tillsynsmail/A 25323-2025 tillsynsbegäran mail.docx", "A 25323-2025")</f>
        <v/>
      </c>
    </row>
    <row r="97" ht="15" customHeight="1">
      <c r="A97" t="inlineStr">
        <is>
          <t>A 25314-2025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46236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Garnlav</t>
        </is>
      </c>
      <c r="W97">
        <f>HYPERLINK("https://klasma.github.io/Logging_2181/artfynd/A 25314-2025 artfynd.xlsx", "A 25314-2025")</f>
        <v/>
      </c>
      <c r="X97">
        <f>HYPERLINK("https://klasma.github.io/Logging_2181/kartor/A 25314-2025 karta.png", "A 25314-2025")</f>
        <v/>
      </c>
      <c r="Y97">
        <f>HYPERLINK("https://klasma.github.io/Logging_2181/kartor_geotiff/A 25314-2025 georefererad karta.tif", "A 25314-2025")</f>
        <v/>
      </c>
      <c r="AA97">
        <f>HYPERLINK("https://klasma.github.io/Logging_2181/klagomål/A 25314-2025 FSC-klagomål.docx", "A 25314-2025")</f>
        <v/>
      </c>
      <c r="AB97">
        <f>HYPERLINK("https://klasma.github.io/Logging_2181/klagomålsmail/A 25314-2025 FSC-klagomål mail.docx", "A 25314-2025")</f>
        <v/>
      </c>
      <c r="AC97">
        <f>HYPERLINK("https://klasma.github.io/Logging_2181/tillsyn/A 25314-2025 tillsynsbegäran.docx", "A 25314-2025")</f>
        <v/>
      </c>
      <c r="AD97">
        <f>HYPERLINK("https://klasma.github.io/Logging_2181/tillsynsmail/A 25314-2025 tillsynsbegäran mail.docx", "A 25314-2025")</f>
        <v/>
      </c>
    </row>
    <row r="98" ht="15" customHeight="1">
      <c r="A98" t="inlineStr">
        <is>
          <t>A 36417-2025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46236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3.9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HYPERLINK("https://klasma.github.io/Logging_2181/artfynd/A 36417-2025 artfynd.xlsx", "A 36417-2025")</f>
        <v/>
      </c>
      <c r="X98">
        <f>HYPERLINK("https://klasma.github.io/Logging_2181/kartor/A 36417-2025 karta.png", "A 36417-2025")</f>
        <v/>
      </c>
      <c r="Y98">
        <f>HYPERLINK("https://klasma.github.io/Logging_2181/kartor_geotiff/A 36417-2025 georefererad karta.tif", "A 36417-2025")</f>
        <v/>
      </c>
      <c r="Z98">
        <f>HYPERLINK("https://klasma.github.io/Logging_2181/knärot/A 36417-2025 karta knärot.png", "A 36417-2025")</f>
        <v/>
      </c>
      <c r="AA98">
        <f>HYPERLINK("https://klasma.github.io/Logging_2181/klagomål/A 36417-2025 FSC-klagomål.docx", "A 36417-2025")</f>
        <v/>
      </c>
      <c r="AB98">
        <f>HYPERLINK("https://klasma.github.io/Logging_2181/klagomålsmail/A 36417-2025 FSC-klagomål mail.docx", "A 36417-2025")</f>
        <v/>
      </c>
      <c r="AC98">
        <f>HYPERLINK("https://klasma.github.io/Logging_2181/tillsyn/A 36417-2025 tillsynsbegäran.docx", "A 36417-2025")</f>
        <v/>
      </c>
      <c r="AD98">
        <f>HYPERLINK("https://klasma.github.io/Logging_2181/tillsynsmail/A 36417-2025 tillsynsbegäran mail.docx", "A 36417-2025")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46236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HYPERLINK("https://klasma.github.io/Logging_2181/artfynd/S 504-2025 artfynd.xlsx", "S 504-2025")</f>
        <v/>
      </c>
      <c r="X99">
        <f>HYPERLINK("https://klasma.github.io/Logging_2181/kartor/S 504-2025 karta.png", "S 504-2025")</f>
        <v/>
      </c>
      <c r="Y99">
        <f>HYPERLINK("https://klasma.github.io/Logging_2181/kartor_geotiff/S 504-2025 georefererad karta.tif", "S 504-2025")</f>
        <v/>
      </c>
      <c r="AA99">
        <f>HYPERLINK("https://klasma.github.io/Logging_2181/klagomål/S 504-2025 FSC-klagomål.docx", "S 504-2025")</f>
        <v/>
      </c>
      <c r="AB99">
        <f>HYPERLINK("https://klasma.github.io/Logging_2181/klagomålsmail/S 504-2025 FSC-klagomål mail.docx", "S 504-2025")</f>
        <v/>
      </c>
      <c r="AC99">
        <f>HYPERLINK("https://klasma.github.io/Logging_2181/tillsyn/S 504-2025 tillsynsbegäran.docx", "S 504-2025")</f>
        <v/>
      </c>
      <c r="AD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46236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Bivråk</t>
        </is>
      </c>
      <c r="W100">
        <f>HYPERLINK("https://klasma.github.io/Logging_2181/artfynd/S 242-2024 artfynd.xlsx", "S 242-2024")</f>
        <v/>
      </c>
      <c r="X100">
        <f>HYPERLINK("https://klasma.github.io/Logging_2181/kartor/S 242-2024 karta.png", "S 242-2024")</f>
        <v/>
      </c>
      <c r="Y100">
        <f>HYPERLINK("https://klasma.github.io/Logging_2181/kartor_geotiff/S 242-2024 georefererad karta.tif", "S 242-2024")</f>
        <v/>
      </c>
      <c r="AA100">
        <f>HYPERLINK("https://klasma.github.io/Logging_2181/klagomål/S 242-2024 FSC-klagomål.docx", "S 242-2024")</f>
        <v/>
      </c>
      <c r="AB100">
        <f>HYPERLINK("https://klasma.github.io/Logging_2181/klagomålsmail/S 242-2024 FSC-klagomål mail.docx", "S 242-2024")</f>
        <v/>
      </c>
      <c r="AC100">
        <f>HYPERLINK("https://klasma.github.io/Logging_2181/tillsyn/S 242-2024 tillsynsbegäran.docx", "S 242-2024")</f>
        <v/>
      </c>
      <c r="AD100">
        <f>HYPERLINK("https://klasma.github.io/Logging_2181/tillsynsmail/S 242-2024 tillsynsbegäran mail.docx", "S 242-2024")</f>
        <v/>
      </c>
      <c r="AE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46236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HYPERLINK("https://klasma.github.io/Logging_2181/artfynd/S 1687-2023 artfynd.xlsx", "S 1687-2023")</f>
        <v/>
      </c>
      <c r="X101">
        <f>HYPERLINK("https://klasma.github.io/Logging_2181/kartor/S 1687-2023 karta.png", "S 1687-2023")</f>
        <v/>
      </c>
      <c r="Y101">
        <f>HYPERLINK("https://klasma.github.io/Logging_2181/kartor_geotiff/S 1687-2023 georefererad karta.tif", "S 1687-2023")</f>
        <v/>
      </c>
      <c r="AA101">
        <f>HYPERLINK("https://klasma.github.io/Logging_2181/klagomål/S 1687-2023 FSC-klagomål.docx", "S 1687-2023")</f>
        <v/>
      </c>
      <c r="AB101">
        <f>HYPERLINK("https://klasma.github.io/Logging_2181/klagomålsmail/S 1687-2023 FSC-klagomål mail.docx", "S 1687-2023")</f>
        <v/>
      </c>
      <c r="AC101">
        <f>HYPERLINK("https://klasma.github.io/Logging_2181/tillsyn/S 1687-2023 tillsynsbegäran.docx", "S 1687-2023")</f>
        <v/>
      </c>
      <c r="AD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46236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46236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46236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46236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46236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46236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46236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46236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46236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46236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46236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46236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46236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46236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46236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46236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46236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46236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46236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46236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46236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46236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46236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46236</v>
      </c>
      <c r="F127" t="inlineStr">
        <is>
          <t>GÄVLEBORGS LÄN</t>
        </is>
      </c>
      <c r="G127" t="inlineStr">
        <is>
          <t>SANDVIKEN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46236</v>
      </c>
      <c r="F128" t="inlineStr">
        <is>
          <t>GÄVLEBORGS LÄN</t>
        </is>
      </c>
      <c r="G128" t="inlineStr">
        <is>
          <t>SANDVIKEN</t>
        </is>
      </c>
      <c r="H128" t="inlineStr">
        <is>
          <t>Bergvik skog öst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46236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46236</v>
      </c>
      <c r="F130" t="inlineStr">
        <is>
          <t>GÄVLEBORGS LÄN</t>
        </is>
      </c>
      <c r="G130" t="inlineStr">
        <is>
          <t>SANDVIKEN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46236</v>
      </c>
      <c r="F131" t="inlineStr">
        <is>
          <t>GÄVLEBORGS LÄN</t>
        </is>
      </c>
      <c r="G131" t="inlineStr">
        <is>
          <t>SANDVIKEN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46236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46236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46236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46236</v>
      </c>
      <c r="F135" t="inlineStr">
        <is>
          <t>GÄVLEBORGS LÄN</t>
        </is>
      </c>
      <c r="G135" t="inlineStr">
        <is>
          <t>SANDVIKEN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46236</v>
      </c>
      <c r="F136" t="inlineStr">
        <is>
          <t>GÄVLEBORGS LÄN</t>
        </is>
      </c>
      <c r="G136" t="inlineStr">
        <is>
          <t>SANDVIKEN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63309-2023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46236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46236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väst AB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46236</v>
      </c>
      <c r="F139" t="inlineStr">
        <is>
          <t>GÄVLEBORGS LÄN</t>
        </is>
      </c>
      <c r="G139" t="inlineStr">
        <is>
          <t>SANDVIKEN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46236</v>
      </c>
      <c r="F140" t="inlineStr">
        <is>
          <t>GÄVLEBORGS LÄN</t>
        </is>
      </c>
      <c r="G140" t="inlineStr">
        <is>
          <t>SANDVIKEN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45374</v>
      </c>
      <c r="E141" s="1" t="n">
        <v>46236</v>
      </c>
      <c r="F141" t="inlineStr">
        <is>
          <t>GÄVLEBORGS LÄN</t>
        </is>
      </c>
      <c r="G141" t="inlineStr">
        <is>
          <t>SANDVIKEN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11897-2024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45376</v>
      </c>
      <c r="E142" s="1" t="n">
        <v>46236</v>
      </c>
      <c r="F142" t="inlineStr">
        <is>
          <t>GÄVLEBORGS LÄN</t>
        </is>
      </c>
      <c r="G142" t="inlineStr">
        <is>
          <t>SANDVIKEN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46236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46236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46236</v>
      </c>
      <c r="F145" t="inlineStr">
        <is>
          <t>GÄVLEBORGS LÄN</t>
        </is>
      </c>
      <c r="G145" t="inlineStr">
        <is>
          <t>SANDVIKEN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45271</v>
      </c>
      <c r="E146" s="1" t="n">
        <v>46236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46236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46236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45070</v>
      </c>
      <c r="E149" s="1" t="n">
        <v>46236</v>
      </c>
      <c r="F149" t="inlineStr">
        <is>
          <t>GÄVLEBORGS LÄN</t>
        </is>
      </c>
      <c r="G149" t="inlineStr">
        <is>
          <t>SANDVIKEN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46236</v>
      </c>
      <c r="F150" t="inlineStr">
        <is>
          <t>GÄVLEBORGS LÄN</t>
        </is>
      </c>
      <c r="G150" t="inlineStr">
        <is>
          <t>SANDVIKEN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45562-2022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46236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46236</v>
      </c>
      <c r="F152" t="inlineStr">
        <is>
          <t>GÄVLEBORGS LÄN</t>
        </is>
      </c>
      <c r="G152" t="inlineStr">
        <is>
          <t>SANDVIKEN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46236</v>
      </c>
      <c r="F153" t="inlineStr">
        <is>
          <t>GÄVLEBORGS LÄN</t>
        </is>
      </c>
      <c r="G153" t="inlineStr">
        <is>
          <t>SANDVIKEN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44564</v>
      </c>
      <c r="E154" s="1" t="n">
        <v>46236</v>
      </c>
      <c r="F154" t="inlineStr">
        <is>
          <t>GÄVLEBORGS LÄN</t>
        </is>
      </c>
      <c r="G154" t="inlineStr">
        <is>
          <t>SANDVIKEN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46236</v>
      </c>
      <c r="F155" t="inlineStr">
        <is>
          <t>GÄVLEBORGS LÄN</t>
        </is>
      </c>
      <c r="G155" t="inlineStr">
        <is>
          <t>SANDVIKEN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46236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46236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45069</v>
      </c>
      <c r="E158" s="1" t="n">
        <v>46236</v>
      </c>
      <c r="F158" t="inlineStr">
        <is>
          <t>GÄVLEBORGS LÄN</t>
        </is>
      </c>
      <c r="G158" t="inlineStr">
        <is>
          <t>SANDVIKEN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46236</v>
      </c>
      <c r="F159" t="inlineStr">
        <is>
          <t>GÄVLEBORGS LÄN</t>
        </is>
      </c>
      <c r="G159" t="inlineStr">
        <is>
          <t>SANDVIKEN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46236</v>
      </c>
      <c r="F160" t="inlineStr">
        <is>
          <t>GÄVLEBORGS LÄN</t>
        </is>
      </c>
      <c r="G160" t="inlineStr">
        <is>
          <t>SANDVIKEN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46236</v>
      </c>
      <c r="F161" t="inlineStr">
        <is>
          <t>GÄVLEBORGS LÄN</t>
        </is>
      </c>
      <c r="G161" t="inlineStr">
        <is>
          <t>SANDVIKEN</t>
        </is>
      </c>
      <c r="H161" t="inlineStr">
        <is>
          <t>Sveaskog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44805</v>
      </c>
      <c r="E162" s="1" t="n">
        <v>46236</v>
      </c>
      <c r="F162" t="inlineStr">
        <is>
          <t>GÄVLEBORGS LÄN</t>
        </is>
      </c>
      <c r="G162" t="inlineStr">
        <is>
          <t>SANDVIKEN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46236</v>
      </c>
      <c r="F163" t="inlineStr">
        <is>
          <t>GÄVLEBORGS LÄN</t>
        </is>
      </c>
      <c r="G163" t="inlineStr">
        <is>
          <t>SANDVIKEN</t>
        </is>
      </c>
      <c r="H163" t="inlineStr">
        <is>
          <t>Kommuner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46236</v>
      </c>
      <c r="F164" t="inlineStr">
        <is>
          <t>GÄVLEBORGS LÄN</t>
        </is>
      </c>
      <c r="G164" t="inlineStr">
        <is>
          <t>SANDVIKEN</t>
        </is>
      </c>
      <c r="H164" t="inlineStr">
        <is>
          <t>Bergvik skog öst AB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46236</v>
      </c>
      <c r="F165" t="inlineStr">
        <is>
          <t>GÄVLEBORGS LÄN</t>
        </is>
      </c>
      <c r="G165" t="inlineStr">
        <is>
          <t>SANDVIKEN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46236</v>
      </c>
      <c r="F166" t="inlineStr">
        <is>
          <t>GÄVLEBORGS LÄN</t>
        </is>
      </c>
      <c r="G166" t="inlineStr">
        <is>
          <t>SANDVIKEN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46236</v>
      </c>
      <c r="F167" t="inlineStr">
        <is>
          <t>GÄVLEBORGS LÄN</t>
        </is>
      </c>
      <c r="G167" t="inlineStr">
        <is>
          <t>SANDVIKEN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46236</v>
      </c>
      <c r="F168" t="inlineStr">
        <is>
          <t>GÄVLEBORGS LÄN</t>
        </is>
      </c>
      <c r="G168" t="inlineStr">
        <is>
          <t>SANDVIKEN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46236</v>
      </c>
      <c r="F169" t="inlineStr">
        <is>
          <t>GÄVLEBORGS LÄN</t>
        </is>
      </c>
      <c r="G169" t="inlineStr">
        <is>
          <t>SANDVIKEN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65098-2023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45288</v>
      </c>
      <c r="E170" s="1" t="n">
        <v>46236</v>
      </c>
      <c r="F170" t="inlineStr">
        <is>
          <t>GÄVLEBORGS LÄN</t>
        </is>
      </c>
      <c r="G170" t="inlineStr">
        <is>
          <t>SANDVIKEN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46236</v>
      </c>
      <c r="F171" t="inlineStr">
        <is>
          <t>GÄVLEBORGS LÄN</t>
        </is>
      </c>
      <c r="G171" t="inlineStr">
        <is>
          <t>SANDVIKEN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46236</v>
      </c>
      <c r="F172" t="inlineStr">
        <is>
          <t>GÄVLEBORGS LÄN</t>
        </is>
      </c>
      <c r="G172" t="inlineStr">
        <is>
          <t>SANDVIKEN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46236</v>
      </c>
      <c r="F173" t="inlineStr">
        <is>
          <t>GÄVLEBORGS LÄN</t>
        </is>
      </c>
      <c r="G173" t="inlineStr">
        <is>
          <t>SANDVIKEN</t>
        </is>
      </c>
      <c r="H173" t="inlineStr">
        <is>
          <t>Kyrkan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46236</v>
      </c>
      <c r="F174" t="inlineStr">
        <is>
          <t>GÄVLEBORGS LÄN</t>
        </is>
      </c>
      <c r="G174" t="inlineStr">
        <is>
          <t>SANDVIKEN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46236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46236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öst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46236</v>
      </c>
      <c r="F177" t="inlineStr">
        <is>
          <t>GÄVLEBORGS LÄN</t>
        </is>
      </c>
      <c r="G177" t="inlineStr">
        <is>
          <t>SANDVIKEN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46236</v>
      </c>
      <c r="F178" t="inlineStr">
        <is>
          <t>GÄVLEBORGS LÄN</t>
        </is>
      </c>
      <c r="G178" t="inlineStr">
        <is>
          <t>SANDVIKEN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46236</v>
      </c>
      <c r="F179" t="inlineStr">
        <is>
          <t>GÄVLEBORGS LÄN</t>
        </is>
      </c>
      <c r="G179" t="inlineStr">
        <is>
          <t>SANDVIKEN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46236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46236</v>
      </c>
      <c r="F181" t="inlineStr">
        <is>
          <t>GÄVLEBORGS LÄN</t>
        </is>
      </c>
      <c r="G181" t="inlineStr">
        <is>
          <t>SANDVIKEN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46236</v>
      </c>
      <c r="F182" t="inlineStr">
        <is>
          <t>GÄVLEBORGS LÄN</t>
        </is>
      </c>
      <c r="G182" t="inlineStr">
        <is>
          <t>SANDVIKEN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46236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46236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46236</v>
      </c>
      <c r="F185" t="inlineStr">
        <is>
          <t>GÄVLEBORGS LÄN</t>
        </is>
      </c>
      <c r="G185" t="inlineStr">
        <is>
          <t>SANDVIKEN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23217-2023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45075</v>
      </c>
      <c r="E186" s="1" t="n">
        <v>46236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46236</v>
      </c>
      <c r="F187" t="inlineStr">
        <is>
          <t>GÄVLEBORGS LÄN</t>
        </is>
      </c>
      <c r="G187" t="inlineStr">
        <is>
          <t>SANDVIKEN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45265</v>
      </c>
      <c r="E188" s="1" t="n">
        <v>46236</v>
      </c>
      <c r="F188" t="inlineStr">
        <is>
          <t>GÄVLEBORGS LÄN</t>
        </is>
      </c>
      <c r="G188" t="inlineStr">
        <is>
          <t>SANDVIKEN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46236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46236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46236</v>
      </c>
      <c r="F191" t="inlineStr">
        <is>
          <t>GÄVLEBORGS LÄN</t>
        </is>
      </c>
      <c r="G191" t="inlineStr">
        <is>
          <t>SANDVIKEN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46236</v>
      </c>
      <c r="F192" t="inlineStr">
        <is>
          <t>GÄVLEBORGS LÄN</t>
        </is>
      </c>
      <c r="G192" t="inlineStr">
        <is>
          <t>SANDVIKEN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46236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60908-2022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44914</v>
      </c>
      <c r="E194" s="1" t="n">
        <v>46236</v>
      </c>
      <c r="F194" t="inlineStr">
        <is>
          <t>GÄVLEBORGS LÄN</t>
        </is>
      </c>
      <c r="G194" t="inlineStr">
        <is>
          <t>SANDVIKEN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46236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46236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46236</v>
      </c>
      <c r="F197" t="inlineStr">
        <is>
          <t>GÄVLEBORGS LÄN</t>
        </is>
      </c>
      <c r="G197" t="inlineStr">
        <is>
          <t>SANDVIKEN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45476</v>
      </c>
      <c r="E198" s="1" t="n">
        <v>46236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46236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46236</v>
      </c>
      <c r="F200" t="inlineStr">
        <is>
          <t>GÄVLEBORGS LÄN</t>
        </is>
      </c>
      <c r="G200" t="inlineStr">
        <is>
          <t>SANDVIKEN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45899</v>
      </c>
      <c r="E201" s="1" t="n">
        <v>46236</v>
      </c>
      <c r="F201" t="inlineStr">
        <is>
          <t>GÄVLEBORGS LÄN</t>
        </is>
      </c>
      <c r="G201" t="inlineStr">
        <is>
          <t>SANDVIKEN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46236</v>
      </c>
      <c r="F202" t="inlineStr">
        <is>
          <t>GÄVLEBORGS LÄN</t>
        </is>
      </c>
      <c r="G202" t="inlineStr">
        <is>
          <t>SANDVIKEN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46236</v>
      </c>
      <c r="F203" t="inlineStr">
        <is>
          <t>GÄVLEBORGS LÄN</t>
        </is>
      </c>
      <c r="G203" t="inlineStr">
        <is>
          <t>SANDVIKEN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45779</v>
      </c>
      <c r="E204" s="1" t="n">
        <v>46236</v>
      </c>
      <c r="F204" t="inlineStr">
        <is>
          <t>GÄVLEBORGS LÄN</t>
        </is>
      </c>
      <c r="G204" t="inlineStr">
        <is>
          <t>SANDVIKEN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46236</v>
      </c>
      <c r="F205" t="inlineStr">
        <is>
          <t>GÄVLEBORGS LÄN</t>
        </is>
      </c>
      <c r="G205" t="inlineStr">
        <is>
          <t>SANDVIKEN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15671-2024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45404</v>
      </c>
      <c r="E206" s="1" t="n">
        <v>46236</v>
      </c>
      <c r="F206" t="inlineStr">
        <is>
          <t>GÄVLEBORGS LÄN</t>
        </is>
      </c>
      <c r="G206" t="inlineStr">
        <is>
          <t>SANDVIKEN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46236</v>
      </c>
      <c r="F207" t="inlineStr">
        <is>
          <t>GÄVLEBORGS LÄN</t>
        </is>
      </c>
      <c r="G207" t="inlineStr">
        <is>
          <t>SANDVIKEN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46236</v>
      </c>
      <c r="F208" t="inlineStr">
        <is>
          <t>GÄVLEBORGS LÄN</t>
        </is>
      </c>
      <c r="G208" t="inlineStr">
        <is>
          <t>SANDVIKEN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46236</v>
      </c>
      <c r="F209" t="inlineStr">
        <is>
          <t>GÄVLEBORGS LÄN</t>
        </is>
      </c>
      <c r="G209" t="inlineStr">
        <is>
          <t>SANDVIKEN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46236</v>
      </c>
      <c r="F210" t="inlineStr">
        <is>
          <t>GÄVLEBORGS LÄN</t>
        </is>
      </c>
      <c r="G210" t="inlineStr">
        <is>
          <t>SANDVIKEN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46236</v>
      </c>
      <c r="F211" t="inlineStr">
        <is>
          <t>GÄVLEBORGS LÄN</t>
        </is>
      </c>
      <c r="G211" t="inlineStr">
        <is>
          <t>SANDVIKEN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46236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46236</v>
      </c>
      <c r="F213" t="inlineStr">
        <is>
          <t>GÄVLEBORGS LÄN</t>
        </is>
      </c>
      <c r="G213" t="inlineStr">
        <is>
          <t>SANDVIKEN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46236</v>
      </c>
      <c r="F214" t="inlineStr">
        <is>
          <t>GÄVLEBORGS LÄN</t>
        </is>
      </c>
      <c r="G214" t="inlineStr">
        <is>
          <t>SANDVIKEN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46236</v>
      </c>
      <c r="F215" t="inlineStr">
        <is>
          <t>GÄVLEBORGS LÄN</t>
        </is>
      </c>
      <c r="G215" t="inlineStr">
        <is>
          <t>SANDVIKEN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46236</v>
      </c>
      <c r="F216" t="inlineStr">
        <is>
          <t>GÄVLEBORGS LÄN</t>
        </is>
      </c>
      <c r="G216" t="inlineStr">
        <is>
          <t>SANDVIKEN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46236</v>
      </c>
      <c r="F217" t="inlineStr">
        <is>
          <t>GÄVLEBORGS LÄN</t>
        </is>
      </c>
      <c r="G217" t="inlineStr">
        <is>
          <t>SANDVIKEN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46236</v>
      </c>
      <c r="F218" t="inlineStr">
        <is>
          <t>GÄVLEBORGS LÄN</t>
        </is>
      </c>
      <c r="G218" t="inlineStr">
        <is>
          <t>SANDVIKEN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46236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46236</v>
      </c>
      <c r="F220" t="inlineStr">
        <is>
          <t>GÄVLEBORGS LÄN</t>
        </is>
      </c>
      <c r="G220" t="inlineStr">
        <is>
          <t>SANDVIKEN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45537</v>
      </c>
      <c r="E221" s="1" t="n">
        <v>46236</v>
      </c>
      <c r="F221" t="inlineStr">
        <is>
          <t>GÄVLEBORGS LÄN</t>
        </is>
      </c>
      <c r="G221" t="inlineStr">
        <is>
          <t>SANDVIKEN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46236</v>
      </c>
      <c r="F222" t="inlineStr">
        <is>
          <t>GÄVLEBORGS LÄN</t>
        </is>
      </c>
      <c r="G222" t="inlineStr">
        <is>
          <t>SANDVIKEN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46236</v>
      </c>
      <c r="F223" t="inlineStr">
        <is>
          <t>GÄVLEBORGS LÄN</t>
        </is>
      </c>
      <c r="G223" t="inlineStr">
        <is>
          <t>SANDVIKEN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46236</v>
      </c>
      <c r="F224" t="inlineStr">
        <is>
          <t>GÄVLEBORGS LÄN</t>
        </is>
      </c>
      <c r="G224" t="inlineStr">
        <is>
          <t>SANDVIKEN</t>
        </is>
      </c>
      <c r="H224" t="inlineStr">
        <is>
          <t>Kyrkan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46236</v>
      </c>
      <c r="F225" t="inlineStr">
        <is>
          <t>GÄVLEBORGS LÄN</t>
        </is>
      </c>
      <c r="G225" t="inlineStr">
        <is>
          <t>SANDVIKEN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56310-2021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44477</v>
      </c>
      <c r="E226" s="1" t="n">
        <v>46236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väst AB</t>
        </is>
      </c>
      <c r="I226" t="n">
        <v>18.5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45595</v>
      </c>
      <c r="E227" s="1" t="n">
        <v>46236</v>
      </c>
      <c r="F227" t="inlineStr">
        <is>
          <t>GÄVLEBORGS LÄN</t>
        </is>
      </c>
      <c r="G227" t="inlineStr">
        <is>
          <t>SANDVIKEN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46236</v>
      </c>
      <c r="F228" t="inlineStr">
        <is>
          <t>GÄVLEBORGS LÄN</t>
        </is>
      </c>
      <c r="G228" t="inlineStr">
        <is>
          <t>SANDVIKEN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46061</v>
      </c>
      <c r="E229" s="1" t="n">
        <v>46236</v>
      </c>
      <c r="F229" t="inlineStr">
        <is>
          <t>GÄVLEBORGS LÄN</t>
        </is>
      </c>
      <c r="G229" t="inlineStr">
        <is>
          <t>SANDVIKEN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46236</v>
      </c>
      <c r="F230" t="inlineStr">
        <is>
          <t>GÄVLEBORGS LÄN</t>
        </is>
      </c>
      <c r="G230" t="inlineStr">
        <is>
          <t>SANDVIKEN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46236</v>
      </c>
      <c r="F231" t="inlineStr">
        <is>
          <t>GÄVLEBORGS LÄN</t>
        </is>
      </c>
      <c r="G231" t="inlineStr">
        <is>
          <t>SANDVIKEN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46046</v>
      </c>
      <c r="E232" s="1" t="n">
        <v>46236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45728</v>
      </c>
      <c r="E233" s="1" t="n">
        <v>46236</v>
      </c>
      <c r="F233" t="inlineStr">
        <is>
          <t>GÄVLEBORGS LÄN</t>
        </is>
      </c>
      <c r="G233" t="inlineStr">
        <is>
          <t>SANDVIKEN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46236</v>
      </c>
      <c r="F234" t="inlineStr">
        <is>
          <t>GÄVLEBORGS LÄN</t>
        </is>
      </c>
      <c r="G234" t="inlineStr">
        <is>
          <t>SANDVIKEN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46236</v>
      </c>
      <c r="F235" t="inlineStr">
        <is>
          <t>GÄVLEBORGS LÄN</t>
        </is>
      </c>
      <c r="G235" t="inlineStr">
        <is>
          <t>SANDVIKEN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45217</v>
      </c>
      <c r="E236" s="1" t="n">
        <v>46236</v>
      </c>
      <c r="F236" t="inlineStr">
        <is>
          <t>GÄVLEBORGS LÄN</t>
        </is>
      </c>
      <c r="G236" t="inlineStr">
        <is>
          <t>SANDVIKEN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46236</v>
      </c>
      <c r="F237" t="inlineStr">
        <is>
          <t>GÄVLEBORGS LÄN</t>
        </is>
      </c>
      <c r="G237" t="inlineStr">
        <is>
          <t>SANDVIKEN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46085</v>
      </c>
      <c r="E238" s="1" t="n">
        <v>46236</v>
      </c>
      <c r="F238" t="inlineStr">
        <is>
          <t>GÄVLEBORGS LÄN</t>
        </is>
      </c>
      <c r="G238" t="inlineStr">
        <is>
          <t>SANDVIKEN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46236</v>
      </c>
      <c r="F239" t="inlineStr">
        <is>
          <t>GÄVLEBORGS LÄN</t>
        </is>
      </c>
      <c r="G239" t="inlineStr">
        <is>
          <t>SANDVIKEN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46236</v>
      </c>
      <c r="F240" t="inlineStr">
        <is>
          <t>GÄVLEBORGS LÄN</t>
        </is>
      </c>
      <c r="G240" t="inlineStr">
        <is>
          <t>SANDVIKEN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46236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46236</v>
      </c>
      <c r="F242" t="inlineStr">
        <is>
          <t>GÄVLEBORGS LÄN</t>
        </is>
      </c>
      <c r="G242" t="inlineStr">
        <is>
          <t>SANDVIKEN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46236</v>
      </c>
      <c r="F243" t="inlineStr">
        <is>
          <t>GÄVLEBORGS LÄN</t>
        </is>
      </c>
      <c r="G243" t="inlineStr">
        <is>
          <t>SANDVIKEN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46236</v>
      </c>
      <c r="F244" t="inlineStr">
        <is>
          <t>GÄVLEBORGS LÄN</t>
        </is>
      </c>
      <c r="G244" t="inlineStr">
        <is>
          <t>SANDVIKEN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46236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46236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46236</v>
      </c>
      <c r="F247" t="inlineStr">
        <is>
          <t>GÄVLEBORGS LÄN</t>
        </is>
      </c>
      <c r="G247" t="inlineStr">
        <is>
          <t>SANDVIKEN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45094</v>
      </c>
      <c r="E248" s="1" t="n">
        <v>46236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46236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45182</v>
      </c>
      <c r="E250" s="1" t="n">
        <v>46236</v>
      </c>
      <c r="F250" t="inlineStr">
        <is>
          <t>GÄVLEBORGS LÄN</t>
        </is>
      </c>
      <c r="G250" t="inlineStr">
        <is>
          <t>SANDVIKEN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46236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46236</v>
      </c>
      <c r="F252" t="inlineStr">
        <is>
          <t>GÄVLEBORGS LÄN</t>
        </is>
      </c>
      <c r="G252" t="inlineStr">
        <is>
          <t>SANDVIKEN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46236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46236</v>
      </c>
      <c r="F254" t="inlineStr">
        <is>
          <t>GÄVLEBORGS LÄN</t>
        </is>
      </c>
      <c r="G254" t="inlineStr">
        <is>
          <t>SANDVIKEN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46236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46236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46236</v>
      </c>
      <c r="F257" t="inlineStr">
        <is>
          <t>GÄVLEBORGS LÄN</t>
        </is>
      </c>
      <c r="G257" t="inlineStr">
        <is>
          <t>SANDVIKEN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46236</v>
      </c>
      <c r="F258" t="inlineStr">
        <is>
          <t>GÄVLEBORGS LÄN</t>
        </is>
      </c>
      <c r="G258" t="inlineStr">
        <is>
          <t>SANDVIKEN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46236</v>
      </c>
      <c r="F259" t="inlineStr">
        <is>
          <t>GÄVLEBORGS LÄN</t>
        </is>
      </c>
      <c r="G259" t="inlineStr">
        <is>
          <t>SANDVIKEN</t>
        </is>
      </c>
      <c r="I259" t="n">
        <v>10.3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46236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46236</v>
      </c>
      <c r="F261" t="inlineStr">
        <is>
          <t>GÄVLEBORGS LÄN</t>
        </is>
      </c>
      <c r="G261" t="inlineStr">
        <is>
          <t>SANDVIKEN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46236</v>
      </c>
      <c r="F262" t="inlineStr">
        <is>
          <t>GÄVLEBORGS LÄN</t>
        </is>
      </c>
      <c r="G262" t="inlineStr">
        <is>
          <t>SANDVIKEN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46236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46236</v>
      </c>
      <c r="F264" t="inlineStr">
        <is>
          <t>GÄVLEBORGS LÄN</t>
        </is>
      </c>
      <c r="G264" t="inlineStr">
        <is>
          <t>SANDVIKEN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46236</v>
      </c>
      <c r="F265" t="inlineStr">
        <is>
          <t>GÄVLEBORGS LÄN</t>
        </is>
      </c>
      <c r="G265" t="inlineStr">
        <is>
          <t>SANDVIKEN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46236</v>
      </c>
      <c r="F266" t="inlineStr">
        <is>
          <t>GÄVLEBORGS LÄN</t>
        </is>
      </c>
      <c r="G266" t="inlineStr">
        <is>
          <t>SANDVIKEN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46236</v>
      </c>
      <c r="F267" t="inlineStr">
        <is>
          <t>GÄVLEBORGS LÄN</t>
        </is>
      </c>
      <c r="G267" t="inlineStr">
        <is>
          <t>SANDVIKEN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45478</v>
      </c>
      <c r="E268" s="1" t="n">
        <v>46236</v>
      </c>
      <c r="F268" t="inlineStr">
        <is>
          <t>GÄVLEBORGS LÄN</t>
        </is>
      </c>
      <c r="G268" t="inlineStr">
        <is>
          <t>SANDVIKEN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46236</v>
      </c>
      <c r="F269" t="inlineStr">
        <is>
          <t>GÄVLEBORGS LÄN</t>
        </is>
      </c>
      <c r="G269" t="inlineStr">
        <is>
          <t>SANDVIKEN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46236</v>
      </c>
      <c r="F270" t="inlineStr">
        <is>
          <t>GÄVLEBORGS LÄN</t>
        </is>
      </c>
      <c r="G270" t="inlineStr">
        <is>
          <t>SANDVIKEN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46236</v>
      </c>
      <c r="F271" t="inlineStr">
        <is>
          <t>GÄVLEBORGS LÄN</t>
        </is>
      </c>
      <c r="G271" t="inlineStr">
        <is>
          <t>SANDVIKEN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46236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öst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44797</v>
      </c>
      <c r="E273" s="1" t="n">
        <v>46236</v>
      </c>
      <c r="F273" t="inlineStr">
        <is>
          <t>GÄVLEBORGS LÄN</t>
        </is>
      </c>
      <c r="G273" t="inlineStr">
        <is>
          <t>SANDVIKEN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46236</v>
      </c>
      <c r="F274" t="inlineStr">
        <is>
          <t>GÄVLEBORGS LÄN</t>
        </is>
      </c>
      <c r="G274" t="inlineStr">
        <is>
          <t>SANDVIKEN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46236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46236</v>
      </c>
      <c r="F276" t="inlineStr">
        <is>
          <t>GÄVLEBORGS LÄN</t>
        </is>
      </c>
      <c r="G276" t="inlineStr">
        <is>
          <t>SANDVIKEN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46236</v>
      </c>
      <c r="F277" t="inlineStr">
        <is>
          <t>GÄVLEBORGS LÄN</t>
        </is>
      </c>
      <c r="G277" t="inlineStr">
        <is>
          <t>SANDVIKEN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46236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46236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46236</v>
      </c>
      <c r="F280" t="inlineStr">
        <is>
          <t>GÄVLEBORGS LÄN</t>
        </is>
      </c>
      <c r="G280" t="inlineStr">
        <is>
          <t>SANDVIKEN</t>
        </is>
      </c>
      <c r="H280" t="inlineStr">
        <is>
          <t>Bergvik skog väst AB</t>
        </is>
      </c>
      <c r="I280" t="n">
        <v>10.1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46236</v>
      </c>
      <c r="F281" t="inlineStr">
        <is>
          <t>GÄVLEBORGS LÄN</t>
        </is>
      </c>
      <c r="G281" t="inlineStr">
        <is>
          <t>SANDVIKEN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46236</v>
      </c>
      <c r="F282" t="inlineStr">
        <is>
          <t>GÄVLEBORGS LÄN</t>
        </is>
      </c>
      <c r="G282" t="inlineStr">
        <is>
          <t>SANDVIKEN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46236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46236</v>
      </c>
      <c r="F284" t="inlineStr">
        <is>
          <t>GÄVLEBORGS LÄN</t>
        </is>
      </c>
      <c r="G284" t="inlineStr">
        <is>
          <t>SANDVIKEN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45022</v>
      </c>
      <c r="E285" s="1" t="n">
        <v>46236</v>
      </c>
      <c r="F285" t="inlineStr">
        <is>
          <t>GÄVLEBORGS LÄN</t>
        </is>
      </c>
      <c r="G285" t="inlineStr">
        <is>
          <t>SANDVIKEN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49217-2025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45938</v>
      </c>
      <c r="E286" s="1" t="n">
        <v>46236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45671</v>
      </c>
      <c r="E287" s="1" t="n">
        <v>46236</v>
      </c>
      <c r="F287" t="inlineStr">
        <is>
          <t>GÄVLEBORGS LÄN</t>
        </is>
      </c>
      <c r="G287" t="inlineStr">
        <is>
          <t>SANDVIKEN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46236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46065</v>
      </c>
      <c r="E289" s="1" t="n">
        <v>46236</v>
      </c>
      <c r="F289" t="inlineStr">
        <is>
          <t>GÄVLEBORGS LÄN</t>
        </is>
      </c>
      <c r="G289" t="inlineStr">
        <is>
          <t>SANDVIKEN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46236</v>
      </c>
      <c r="F290" t="inlineStr">
        <is>
          <t>GÄVLEBORGS LÄN</t>
        </is>
      </c>
      <c r="G290" t="inlineStr">
        <is>
          <t>SANDVIKEN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46236</v>
      </c>
      <c r="F291" t="inlineStr">
        <is>
          <t>GÄVLEBORGS LÄN</t>
        </is>
      </c>
      <c r="G291" t="inlineStr">
        <is>
          <t>SANDVIKEN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46115</v>
      </c>
      <c r="E292" s="1" t="n">
        <v>46236</v>
      </c>
      <c r="F292" t="inlineStr">
        <is>
          <t>GÄVLEBORGS LÄN</t>
        </is>
      </c>
      <c r="G292" t="inlineStr">
        <is>
          <t>SANDVIKEN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45730</v>
      </c>
      <c r="E293" s="1" t="n">
        <v>46236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45730</v>
      </c>
      <c r="E294" s="1" t="n">
        <v>46236</v>
      </c>
      <c r="F294" t="inlineStr">
        <is>
          <t>GÄVLEBORGS LÄN</t>
        </is>
      </c>
      <c r="G294" t="inlineStr">
        <is>
          <t>SANDVIKEN</t>
        </is>
      </c>
      <c r="H294" t="inlineStr">
        <is>
          <t>Bergvik skog öst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46236</v>
      </c>
      <c r="F295" t="inlineStr">
        <is>
          <t>GÄVLEBORGS LÄN</t>
        </is>
      </c>
      <c r="G295" t="inlineStr">
        <is>
          <t>SANDVIKEN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46236</v>
      </c>
      <c r="F296" t="inlineStr">
        <is>
          <t>GÄVLEBORGS LÄN</t>
        </is>
      </c>
      <c r="G296" t="inlineStr">
        <is>
          <t>SANDVIKEN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46147</v>
      </c>
      <c r="E297" s="1" t="n">
        <v>46236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46147</v>
      </c>
      <c r="E298" s="1" t="n">
        <v>46236</v>
      </c>
      <c r="F298" t="inlineStr">
        <is>
          <t>GÄVLEBORGS LÄN</t>
        </is>
      </c>
      <c r="G298" t="inlineStr">
        <is>
          <t>SANDVIKEN</t>
        </is>
      </c>
      <c r="H298" t="inlineStr">
        <is>
          <t>Kommuner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46147</v>
      </c>
      <c r="E299" s="1" t="n">
        <v>46236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46147</v>
      </c>
      <c r="E300" s="1" t="n">
        <v>46236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46236</v>
      </c>
      <c r="F301" t="inlineStr">
        <is>
          <t>GÄVLEBORGS LÄN</t>
        </is>
      </c>
      <c r="G301" t="inlineStr">
        <is>
          <t>SANDVIKEN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45939</v>
      </c>
      <c r="E302" s="1" t="n">
        <v>46236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46147</v>
      </c>
      <c r="E303" s="1" t="n">
        <v>46236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45668</v>
      </c>
      <c r="E304" s="1" t="n">
        <v>46236</v>
      </c>
      <c r="F304" t="inlineStr">
        <is>
          <t>GÄVLEBORGS LÄN</t>
        </is>
      </c>
      <c r="G304" t="inlineStr">
        <is>
          <t>SANDVIKEN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46236</v>
      </c>
      <c r="F305" t="inlineStr">
        <is>
          <t>GÄVLEBORGS LÄN</t>
        </is>
      </c>
      <c r="G305" t="inlineStr">
        <is>
          <t>SANDVIKEN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46236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46236</v>
      </c>
      <c r="F307" t="inlineStr">
        <is>
          <t>GÄVLEBORGS LÄN</t>
        </is>
      </c>
      <c r="G307" t="inlineStr">
        <is>
          <t>SANDVIKEN</t>
        </is>
      </c>
      <c r="H307" t="inlineStr">
        <is>
          <t>Kommuner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46236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46236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46236</v>
      </c>
      <c r="F310" t="inlineStr">
        <is>
          <t>GÄVLEBORGS LÄN</t>
        </is>
      </c>
      <c r="G310" t="inlineStr">
        <is>
          <t>SANDVIKEN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47398-2025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46236</v>
      </c>
      <c r="F311" t="inlineStr">
        <is>
          <t>GÄVLEBORGS LÄN</t>
        </is>
      </c>
      <c r="G311" t="inlineStr">
        <is>
          <t>SANDVIKEN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46236</v>
      </c>
      <c r="F312" t="inlineStr">
        <is>
          <t>GÄVLEBORGS LÄN</t>
        </is>
      </c>
      <c r="G312" t="inlineStr">
        <is>
          <t>SANDVIKEN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46236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46236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46236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46236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46236</v>
      </c>
      <c r="F317" t="inlineStr">
        <is>
          <t>GÄVLEBORGS LÄN</t>
        </is>
      </c>
      <c r="G317" t="inlineStr">
        <is>
          <t>SANDVIKEN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50851-2025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45946</v>
      </c>
      <c r="E318" s="1" t="n">
        <v>46236</v>
      </c>
      <c r="F318" t="inlineStr">
        <is>
          <t>GÄVLEBORGS LÄN</t>
        </is>
      </c>
      <c r="G318" t="inlineStr">
        <is>
          <t>SANDVIKEN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46236</v>
      </c>
      <c r="F319" t="inlineStr">
        <is>
          <t>GÄVLEBORGS LÄN</t>
        </is>
      </c>
      <c r="G319" t="inlineStr">
        <is>
          <t>SANDVIKEN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45602</v>
      </c>
      <c r="E320" s="1" t="n">
        <v>46236</v>
      </c>
      <c r="F320" t="inlineStr">
        <is>
          <t>GÄVLEBORGS LÄN</t>
        </is>
      </c>
      <c r="G320" t="inlineStr">
        <is>
          <t>SANDVIKEN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46236</v>
      </c>
      <c r="F321" t="inlineStr">
        <is>
          <t>GÄVLEBORGS LÄN</t>
        </is>
      </c>
      <c r="G321" t="inlineStr">
        <is>
          <t>SANDVIKEN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46236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46236</v>
      </c>
      <c r="F323" t="inlineStr">
        <is>
          <t>GÄVLEBORGS LÄN</t>
        </is>
      </c>
      <c r="G323" t="inlineStr">
        <is>
          <t>SANDVIKEN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46236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46236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11.9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46151</v>
      </c>
      <c r="E326" s="1" t="n">
        <v>46236</v>
      </c>
      <c r="F326" t="inlineStr">
        <is>
          <t>GÄVLEBORGS LÄN</t>
        </is>
      </c>
      <c r="G326" t="inlineStr">
        <is>
          <t>SANDVIKEN</t>
        </is>
      </c>
      <c r="I326" t="n">
        <v>11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12149-2026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46236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46236</v>
      </c>
      <c r="F328" t="inlineStr">
        <is>
          <t>GÄVLEBORGS LÄN</t>
        </is>
      </c>
      <c r="G328" t="inlineStr">
        <is>
          <t>SANDVIKEN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46236</v>
      </c>
      <c r="F329" t="inlineStr">
        <is>
          <t>GÄVLEBORGS LÄN</t>
        </is>
      </c>
      <c r="G329" t="inlineStr">
        <is>
          <t>SANDVIKEN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46236</v>
      </c>
      <c r="F330" t="inlineStr">
        <is>
          <t>GÄVLEBORGS LÄN</t>
        </is>
      </c>
      <c r="G330" t="inlineStr">
        <is>
          <t>SANDVIKEN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45615</v>
      </c>
      <c r="E331" s="1" t="n">
        <v>46236</v>
      </c>
      <c r="F331" t="inlineStr">
        <is>
          <t>GÄVLEBORGS LÄN</t>
        </is>
      </c>
      <c r="G331" t="inlineStr">
        <is>
          <t>SANDVIKEN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46236</v>
      </c>
      <c r="F332" t="inlineStr">
        <is>
          <t>GÄVLEBORGS LÄN</t>
        </is>
      </c>
      <c r="G332" t="inlineStr">
        <is>
          <t>SANDVIKEN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45957</v>
      </c>
      <c r="E333" s="1" t="n">
        <v>46236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Z333">
        <f>HYPERLINK("https://klasma.github.io/Logging_2181/knärot/A 52786-2025 karta knärot.png", "A 52786-2025")</f>
        <v/>
      </c>
      <c r="AA333">
        <f>HYPERLINK("https://klasma.github.io/Logging_2181/klagomål/A 52786-2025 FSC-klagomål.docx", "A 52786-2025")</f>
        <v/>
      </c>
      <c r="AB333">
        <f>HYPERLINK("https://klasma.github.io/Logging_2181/klagomålsmail/A 52786-2025 FSC-klagomål mail.docx", "A 52786-2025")</f>
        <v/>
      </c>
      <c r="AC333">
        <f>HYPERLINK("https://klasma.github.io/Logging_2181/tillsyn/A 52786-2025 tillsynsbegäran.docx", "A 52786-2025")</f>
        <v/>
      </c>
      <c r="AD333">
        <f>HYPERLINK("https://klasma.github.io/Logging_2181/tillsynsmail/A 52786-2025 tillsynsbegäran mail.docx", "A 52786-2025")</f>
        <v/>
      </c>
    </row>
    <row r="334" ht="15" customHeight="1">
      <c r="A334" t="inlineStr">
        <is>
          <t>A 3119-2022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44582</v>
      </c>
      <c r="E334" s="1" t="n">
        <v>46236</v>
      </c>
      <c r="F334" t="inlineStr">
        <is>
          <t>GÄVLEBORGS LÄN</t>
        </is>
      </c>
      <c r="G334" t="inlineStr">
        <is>
          <t>SANDVIKEN</t>
        </is>
      </c>
      <c r="H334" t="inlineStr">
        <is>
          <t>Kyrkan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46236</v>
      </c>
      <c r="F335" t="inlineStr">
        <is>
          <t>GÄVLEBORGS LÄN</t>
        </is>
      </c>
      <c r="G335" t="inlineStr">
        <is>
          <t>SANDVIKEN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44452</v>
      </c>
      <c r="E336" s="1" t="n">
        <v>46236</v>
      </c>
      <c r="F336" t="inlineStr">
        <is>
          <t>GÄVLEBORGS LÄN</t>
        </is>
      </c>
      <c r="G336" t="inlineStr">
        <is>
          <t>SANDVIKEN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45327</v>
      </c>
      <c r="E337" s="1" t="n">
        <v>46236</v>
      </c>
      <c r="F337" t="inlineStr">
        <is>
          <t>GÄVLEBORGS LÄN</t>
        </is>
      </c>
      <c r="G337" t="inlineStr">
        <is>
          <t>SANDVIKEN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45693</v>
      </c>
      <c r="E338" s="1" t="n">
        <v>46236</v>
      </c>
      <c r="F338" t="inlineStr">
        <is>
          <t>GÄVLEBORGS LÄN</t>
        </is>
      </c>
      <c r="G338" t="inlineStr">
        <is>
          <t>SANDVIKEN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45730</v>
      </c>
      <c r="E339" s="1" t="n">
        <v>46236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46236</v>
      </c>
      <c r="F340" t="inlineStr">
        <is>
          <t>GÄVLEBORGS LÄN</t>
        </is>
      </c>
      <c r="G340" t="inlineStr">
        <is>
          <t>SANDVIKEN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46236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46236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46236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46236</v>
      </c>
      <c r="F344" t="inlineStr">
        <is>
          <t>GÄVLEBORGS LÄN</t>
        </is>
      </c>
      <c r="G344" t="inlineStr">
        <is>
          <t>SANDVIKEN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46236</v>
      </c>
      <c r="F345" t="inlineStr">
        <is>
          <t>GÄVLEBORGS LÄN</t>
        </is>
      </c>
      <c r="G345" t="inlineStr">
        <is>
          <t>SANDVIKEN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45226</v>
      </c>
      <c r="E346" s="1" t="n">
        <v>46236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46236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46236</v>
      </c>
      <c r="F348" t="inlineStr">
        <is>
          <t>GÄVLEBORGS LÄN</t>
        </is>
      </c>
      <c r="G348" t="inlineStr">
        <is>
          <t>SANDVIKEN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46236</v>
      </c>
      <c r="F349" t="inlineStr">
        <is>
          <t>GÄVLEBORGS LÄN</t>
        </is>
      </c>
      <c r="G349" t="inlineStr">
        <is>
          <t>SANDVIKEN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46236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26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46236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46236</v>
      </c>
      <c r="F352" t="inlineStr">
        <is>
          <t>GÄVLEBORGS LÄN</t>
        </is>
      </c>
      <c r="G352" t="inlineStr">
        <is>
          <t>SANDVIKEN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46236</v>
      </c>
      <c r="F353" t="inlineStr">
        <is>
          <t>GÄVLEBORGS LÄN</t>
        </is>
      </c>
      <c r="G353" t="inlineStr">
        <is>
          <t>SANDVIKEN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29115-2026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46201</v>
      </c>
      <c r="E354" s="1" t="n">
        <v>46236</v>
      </c>
      <c r="F354" t="inlineStr">
        <is>
          <t>GÄVLEBORGS LÄN</t>
        </is>
      </c>
      <c r="G354" t="inlineStr">
        <is>
          <t>SANDVIKEN</t>
        </is>
      </c>
      <c r="H354" t="inlineStr">
        <is>
          <t>Kommuner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44949</v>
      </c>
      <c r="E355" s="1" t="n">
        <v>46236</v>
      </c>
      <c r="F355" t="inlineStr">
        <is>
          <t>GÄVLEBORGS LÄN</t>
        </is>
      </c>
      <c r="G355" t="inlineStr">
        <is>
          <t>SANDVIKEN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45670</v>
      </c>
      <c r="E356" s="1" t="n">
        <v>46236</v>
      </c>
      <c r="F356" t="inlineStr">
        <is>
          <t>GÄVLEBORGS LÄN</t>
        </is>
      </c>
      <c r="G356" t="inlineStr">
        <is>
          <t>SANDVIKEN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45102-2022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44843</v>
      </c>
      <c r="E357" s="1" t="n">
        <v>46236</v>
      </c>
      <c r="F357" t="inlineStr">
        <is>
          <t>GÄVLEBORGS LÄN</t>
        </is>
      </c>
      <c r="G357" t="inlineStr">
        <is>
          <t>SANDVIKEN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46236</v>
      </c>
      <c r="F358" t="inlineStr">
        <is>
          <t>GÄVLEBORGS LÄN</t>
        </is>
      </c>
      <c r="G358" t="inlineStr">
        <is>
          <t>SANDVIKEN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46236</v>
      </c>
      <c r="F359" t="inlineStr">
        <is>
          <t>GÄVLEBORGS LÄN</t>
        </is>
      </c>
      <c r="G359" t="inlineStr">
        <is>
          <t>SANDVIKEN</t>
        </is>
      </c>
      <c r="I359" t="n">
        <v>10.4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46236</v>
      </c>
      <c r="F360" t="inlineStr">
        <is>
          <t>GÄVLEBORGS LÄN</t>
        </is>
      </c>
      <c r="G360" t="inlineStr">
        <is>
          <t>SANDVIKEN</t>
        </is>
      </c>
      <c r="H360" t="inlineStr">
        <is>
          <t>Kommuner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46236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46236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46115</v>
      </c>
      <c r="E363" s="1" t="n">
        <v>46236</v>
      </c>
      <c r="F363" t="inlineStr">
        <is>
          <t>GÄVLEBORGS LÄN</t>
        </is>
      </c>
      <c r="G363" t="inlineStr">
        <is>
          <t>SANDVIKEN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46236</v>
      </c>
      <c r="F364" t="inlineStr">
        <is>
          <t>GÄVLEBORGS LÄN</t>
        </is>
      </c>
      <c r="G364" t="inlineStr">
        <is>
          <t>SANDVIKEN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46236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45771</v>
      </c>
      <c r="E366" s="1" t="n">
        <v>46236</v>
      </c>
      <c r="F366" t="inlineStr">
        <is>
          <t>GÄVLEBORGS LÄN</t>
        </is>
      </c>
      <c r="G366" t="inlineStr">
        <is>
          <t>SANDVIKEN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46236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45977</v>
      </c>
      <c r="E368" s="1" t="n">
        <v>46236</v>
      </c>
      <c r="F368" t="inlineStr">
        <is>
          <t>GÄVLEBORGS LÄN</t>
        </is>
      </c>
      <c r="G368" t="inlineStr">
        <is>
          <t>SANDVIKEN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46236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46236</v>
      </c>
      <c r="F370" t="inlineStr">
        <is>
          <t>GÄVLEBORGS LÄN</t>
        </is>
      </c>
      <c r="G370" t="inlineStr">
        <is>
          <t>SANDVIKEN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46236</v>
      </c>
      <c r="F371" t="inlineStr">
        <is>
          <t>GÄVLEBORGS LÄN</t>
        </is>
      </c>
      <c r="G371" t="inlineStr">
        <is>
          <t>SANDVIKEN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46236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46236</v>
      </c>
      <c r="F373" t="inlineStr">
        <is>
          <t>GÄVLEBORGS LÄN</t>
        </is>
      </c>
      <c r="G373" t="inlineStr">
        <is>
          <t>SANDVIKEN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46236</v>
      </c>
      <c r="F374" t="inlineStr">
        <is>
          <t>GÄVLEBORGS LÄN</t>
        </is>
      </c>
      <c r="G374" t="inlineStr">
        <is>
          <t>SANDVIKEN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46236</v>
      </c>
      <c r="F375" t="inlineStr">
        <is>
          <t>GÄVLEBORGS LÄN</t>
        </is>
      </c>
      <c r="G375" t="inlineStr">
        <is>
          <t>SANDVIKEN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46236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46236</v>
      </c>
      <c r="F377" t="inlineStr">
        <is>
          <t>GÄVLEBORGS LÄN</t>
        </is>
      </c>
      <c r="G377" t="inlineStr">
        <is>
          <t>SANDVIKEN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46236</v>
      </c>
      <c r="F378" t="inlineStr">
        <is>
          <t>GÄVLEBORGS LÄN</t>
        </is>
      </c>
      <c r="G378" t="inlineStr">
        <is>
          <t>SANDVIKEN</t>
        </is>
      </c>
      <c r="H378" t="inlineStr">
        <is>
          <t>Naturvårdsverket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46236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45986</v>
      </c>
      <c r="E380" s="1" t="n">
        <v>46236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46236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46236</v>
      </c>
      <c r="F382" t="inlineStr">
        <is>
          <t>GÄVLEBORGS LÄN</t>
        </is>
      </c>
      <c r="G382" t="inlineStr">
        <is>
          <t>SANDVIKEN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46236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45983</v>
      </c>
      <c r="E384" s="1" t="n">
        <v>46236</v>
      </c>
      <c r="F384" t="inlineStr">
        <is>
          <t>GÄVLEBORGS LÄN</t>
        </is>
      </c>
      <c r="G384" t="inlineStr">
        <is>
          <t>SANDVIKEN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46236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46236</v>
      </c>
      <c r="F386" t="inlineStr">
        <is>
          <t>GÄVLEBORGS LÄN</t>
        </is>
      </c>
      <c r="G386" t="inlineStr">
        <is>
          <t>SANDVIKEN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46236</v>
      </c>
      <c r="F387" t="inlineStr">
        <is>
          <t>GÄVLEBORGS LÄN</t>
        </is>
      </c>
      <c r="G387" t="inlineStr">
        <is>
          <t>SANDVIKEN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46236</v>
      </c>
      <c r="F388" t="inlineStr">
        <is>
          <t>GÄVLEBORGS LÄN</t>
        </is>
      </c>
      <c r="G388" t="inlineStr">
        <is>
          <t>SANDVIKEN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46236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46236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46236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45984</v>
      </c>
      <c r="E392" s="1" t="n">
        <v>46236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45523</v>
      </c>
      <c r="E393" s="1" t="n">
        <v>46236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46236</v>
      </c>
      <c r="F394" t="inlineStr">
        <is>
          <t>GÄVLEBORGS LÄN</t>
        </is>
      </c>
      <c r="G394" t="inlineStr">
        <is>
          <t>SANDVIKEN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46236</v>
      </c>
      <c r="F395" t="inlineStr">
        <is>
          <t>GÄVLEBORGS LÄN</t>
        </is>
      </c>
      <c r="G395" t="inlineStr">
        <is>
          <t>SANDVIKEN</t>
        </is>
      </c>
      <c r="H395" t="inlineStr">
        <is>
          <t>Övriga statliga verk och myndigheter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46236</v>
      </c>
      <c r="F396" t="inlineStr">
        <is>
          <t>GÄVLEBORGS LÄN</t>
        </is>
      </c>
      <c r="G396" t="inlineStr">
        <is>
          <t>SANDVIKEN</t>
        </is>
      </c>
      <c r="H396" t="inlineStr">
        <is>
          <t>Övriga statliga verk och myndigheter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46236</v>
      </c>
      <c r="F397" t="inlineStr">
        <is>
          <t>GÄVLEBORGS LÄN</t>
        </is>
      </c>
      <c r="G397" t="inlineStr">
        <is>
          <t>SANDVIKEN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46236</v>
      </c>
      <c r="F398" t="inlineStr">
        <is>
          <t>GÄVLEBORGS LÄN</t>
        </is>
      </c>
      <c r="G398" t="inlineStr">
        <is>
          <t>SANDVIKEN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46236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46236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46236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49211-2023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45210</v>
      </c>
      <c r="E402" s="1" t="n">
        <v>46236</v>
      </c>
      <c r="F402" t="inlineStr">
        <is>
          <t>GÄVLEBORGS LÄN</t>
        </is>
      </c>
      <c r="G402" t="inlineStr">
        <is>
          <t>SANDVIKEN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45480</v>
      </c>
      <c r="E403" s="1" t="n">
        <v>46236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46236</v>
      </c>
      <c r="F404" t="inlineStr">
        <is>
          <t>GÄVLEBORGS LÄN</t>
        </is>
      </c>
      <c r="G404" t="inlineStr">
        <is>
          <t>SANDVIKEN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46236</v>
      </c>
      <c r="F405" t="inlineStr">
        <is>
          <t>GÄVLEBORGS LÄN</t>
        </is>
      </c>
      <c r="G405" t="inlineStr">
        <is>
          <t>SANDVIKEN</t>
        </is>
      </c>
      <c r="H405" t="inlineStr">
        <is>
          <t>Kommuner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45162</v>
      </c>
      <c r="E406" s="1" t="n">
        <v>46236</v>
      </c>
      <c r="F406" t="inlineStr">
        <is>
          <t>GÄVLEBORGS LÄN</t>
        </is>
      </c>
      <c r="G406" t="inlineStr">
        <is>
          <t>SANDVIKEN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46236</v>
      </c>
      <c r="F407" t="inlineStr">
        <is>
          <t>GÄVLEBORGS LÄN</t>
        </is>
      </c>
      <c r="G407" t="inlineStr">
        <is>
          <t>SANDVIKEN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46236</v>
      </c>
      <c r="F408" t="inlineStr">
        <is>
          <t>GÄVLEBORGS LÄN</t>
        </is>
      </c>
      <c r="G408" t="inlineStr">
        <is>
          <t>SANDVIKEN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45576</v>
      </c>
      <c r="E409" s="1" t="n">
        <v>46236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46236</v>
      </c>
      <c r="F410" t="inlineStr">
        <is>
          <t>GÄVLEBORGS LÄN</t>
        </is>
      </c>
      <c r="G410" t="inlineStr">
        <is>
          <t>SANDVIKEN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44908</v>
      </c>
      <c r="E411" s="1" t="n">
        <v>46236</v>
      </c>
      <c r="F411" t="inlineStr">
        <is>
          <t>GÄVLEBORGS LÄN</t>
        </is>
      </c>
      <c r="G411" t="inlineStr">
        <is>
          <t>SANDVIKEN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46236</v>
      </c>
      <c r="F412" t="inlineStr">
        <is>
          <t>GÄVLEBORGS LÄN</t>
        </is>
      </c>
      <c r="G412" t="inlineStr">
        <is>
          <t>SANDVIKEN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45721</v>
      </c>
      <c r="E413" s="1" t="n">
        <v>46236</v>
      </c>
      <c r="F413" t="inlineStr">
        <is>
          <t>GÄVLEBORGS LÄN</t>
        </is>
      </c>
      <c r="G413" t="inlineStr">
        <is>
          <t>SANDVIKEN</t>
        </is>
      </c>
      <c r="H413" t="inlineStr">
        <is>
          <t>Sveaskog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10580-2025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46236</v>
      </c>
      <c r="F414" t="inlineStr">
        <is>
          <t>GÄVLEBORGS LÄN</t>
        </is>
      </c>
      <c r="G414" t="inlineStr">
        <is>
          <t>SANDVIKEN</t>
        </is>
      </c>
      <c r="H414" t="inlineStr">
        <is>
          <t>Sveaskog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46236</v>
      </c>
      <c r="F415" t="inlineStr">
        <is>
          <t>GÄVLEBORGS LÄN</t>
        </is>
      </c>
      <c r="G415" t="inlineStr">
        <is>
          <t>SANDVIKEN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45087</v>
      </c>
      <c r="E416" s="1" t="n">
        <v>46236</v>
      </c>
      <c r="F416" t="inlineStr">
        <is>
          <t>GÄVLEBORGS LÄN</t>
        </is>
      </c>
      <c r="G416" t="inlineStr">
        <is>
          <t>SANDVIKEN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44847</v>
      </c>
      <c r="E417" s="1" t="n">
        <v>46236</v>
      </c>
      <c r="F417" t="inlineStr">
        <is>
          <t>GÄVLEBORGS LÄN</t>
        </is>
      </c>
      <c r="G417" t="inlineStr">
        <is>
          <t>SANDVIKEN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46236</v>
      </c>
      <c r="F418" t="inlineStr">
        <is>
          <t>GÄVLEBORGS LÄN</t>
        </is>
      </c>
      <c r="G418" t="inlineStr">
        <is>
          <t>SANDVIKEN</t>
        </is>
      </c>
      <c r="H418" t="inlineStr">
        <is>
          <t>Övriga statliga verk och myndigheter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46236</v>
      </c>
      <c r="F419" t="inlineStr">
        <is>
          <t>GÄVLEBORGS LÄN</t>
        </is>
      </c>
      <c r="G419" t="inlineStr">
        <is>
          <t>SANDVIKEN</t>
        </is>
      </c>
      <c r="H419" t="inlineStr">
        <is>
          <t>Övriga statliga verk och myndigheter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46236</v>
      </c>
      <c r="F420" t="inlineStr">
        <is>
          <t>GÄVLEBORGS LÄN</t>
        </is>
      </c>
      <c r="G420" t="inlineStr">
        <is>
          <t>SANDVIKEN</t>
        </is>
      </c>
      <c r="H420" t="inlineStr">
        <is>
          <t>Övriga statliga verk och myndigheter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46236</v>
      </c>
      <c r="F421" t="inlineStr">
        <is>
          <t>GÄVLEBORGS LÄN</t>
        </is>
      </c>
      <c r="G421" t="inlineStr">
        <is>
          <t>SANDVIKEN</t>
        </is>
      </c>
      <c r="I421" t="n">
        <v>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58198-2025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45984</v>
      </c>
      <c r="E422" s="1" t="n">
        <v>46236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46236</v>
      </c>
      <c r="F423" t="inlineStr">
        <is>
          <t>GÄVLEBORGS LÄN</t>
        </is>
      </c>
      <c r="G423" t="inlineStr">
        <is>
          <t>SANDVIKEN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46165</v>
      </c>
      <c r="E424" s="1" t="n">
        <v>46236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46165</v>
      </c>
      <c r="E425" s="1" t="n">
        <v>46236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46165</v>
      </c>
      <c r="E426" s="1" t="n">
        <v>46236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46236</v>
      </c>
      <c r="F427" t="inlineStr">
        <is>
          <t>GÄVLEBORGS LÄN</t>
        </is>
      </c>
      <c r="G427" t="inlineStr">
        <is>
          <t>SANDVIKEN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46236</v>
      </c>
      <c r="F428" t="inlineStr">
        <is>
          <t>GÄVLEBORGS LÄN</t>
        </is>
      </c>
      <c r="G428" t="inlineStr">
        <is>
          <t>SANDVIKEN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46236</v>
      </c>
      <c r="F429" t="inlineStr">
        <is>
          <t>GÄVLEBORGS LÄN</t>
        </is>
      </c>
      <c r="G429" t="inlineStr">
        <is>
          <t>SANDVIKEN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46236</v>
      </c>
      <c r="F430" t="inlineStr">
        <is>
          <t>GÄVLEBORGS LÄN</t>
        </is>
      </c>
      <c r="G430" t="inlineStr">
        <is>
          <t>SANDVIKEN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61020-2025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45999</v>
      </c>
      <c r="E431" s="1" t="n">
        <v>46236</v>
      </c>
      <c r="F431" t="inlineStr">
        <is>
          <t>GÄVLEBORGS LÄN</t>
        </is>
      </c>
      <c r="G431" t="inlineStr">
        <is>
          <t>SANDVIKEN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46236</v>
      </c>
      <c r="F432" t="inlineStr">
        <is>
          <t>GÄVLEBORGS LÄN</t>
        </is>
      </c>
      <c r="G432" t="inlineStr">
        <is>
          <t>SANDVIKEN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46236</v>
      </c>
      <c r="F433" t="inlineStr">
        <is>
          <t>GÄVLEBORGS LÄN</t>
        </is>
      </c>
      <c r="G433" t="inlineStr">
        <is>
          <t>SANDVIKEN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46165</v>
      </c>
      <c r="E434" s="1" t="n">
        <v>46236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46236</v>
      </c>
      <c r="F435" t="inlineStr">
        <is>
          <t>GÄVLEBORGS LÄN</t>
        </is>
      </c>
      <c r="G435" t="inlineStr">
        <is>
          <t>SANDVIKEN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46165</v>
      </c>
      <c r="E436" s="1" t="n">
        <v>46236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46236</v>
      </c>
      <c r="F437" t="inlineStr">
        <is>
          <t>GÄVLEBORGS LÄN</t>
        </is>
      </c>
      <c r="G437" t="inlineStr">
        <is>
          <t>SANDVIKEN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44901</v>
      </c>
      <c r="E438" s="1" t="n">
        <v>46236</v>
      </c>
      <c r="F438" t="inlineStr">
        <is>
          <t>GÄVLEBORGS LÄN</t>
        </is>
      </c>
      <c r="G438" t="inlineStr">
        <is>
          <t>SANDVIKEN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46236</v>
      </c>
      <c r="F439" t="inlineStr">
        <is>
          <t>GÄVLEBORGS LÄN</t>
        </is>
      </c>
      <c r="G439" t="inlineStr">
        <is>
          <t>SANDVIKEN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46169</v>
      </c>
      <c r="E440" s="1" t="n">
        <v>46236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46236</v>
      </c>
      <c r="F441" t="inlineStr">
        <is>
          <t>GÄVLEBORGS LÄN</t>
        </is>
      </c>
      <c r="G441" t="inlineStr">
        <is>
          <t>SANDVIKEN</t>
        </is>
      </c>
      <c r="H441" t="inlineStr">
        <is>
          <t>Kommuner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45984</v>
      </c>
      <c r="E442" s="1" t="n">
        <v>46236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46236</v>
      </c>
      <c r="F443" t="inlineStr">
        <is>
          <t>GÄVLEBORGS LÄN</t>
        </is>
      </c>
      <c r="G443" t="inlineStr">
        <is>
          <t>SANDVIKEN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24313-2026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46169</v>
      </c>
      <c r="E444" s="1" t="n">
        <v>46236</v>
      </c>
      <c r="F444" t="inlineStr">
        <is>
          <t>GÄVLEBORGS LÄN</t>
        </is>
      </c>
      <c r="G444" t="inlineStr">
        <is>
          <t>SANDVIKEN</t>
        </is>
      </c>
      <c r="H444" t="inlineStr">
        <is>
          <t>Kommuner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15340-2026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46105</v>
      </c>
      <c r="E445" s="1" t="n">
        <v>46236</v>
      </c>
      <c r="F445" t="inlineStr">
        <is>
          <t>GÄVLEBORGS LÄN</t>
        </is>
      </c>
      <c r="G445" t="inlineStr">
        <is>
          <t>SANDVIKEN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46236</v>
      </c>
      <c r="F446" t="inlineStr">
        <is>
          <t>GÄVLEBORGS LÄN</t>
        </is>
      </c>
      <c r="G446" t="inlineStr">
        <is>
          <t>SANDVIKEN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46236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24356-2026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46236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45049</v>
      </c>
      <c r="E449" s="1" t="n">
        <v>46236</v>
      </c>
      <c r="F449" t="inlineStr">
        <is>
          <t>GÄVLEBORGS LÄN</t>
        </is>
      </c>
      <c r="G449" t="inlineStr">
        <is>
          <t>SANDVIKEN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46052</v>
      </c>
      <c r="E450" s="1" t="n">
        <v>46236</v>
      </c>
      <c r="F450" t="inlineStr">
        <is>
          <t>GÄVLEBORGS LÄN</t>
        </is>
      </c>
      <c r="G450" t="inlineStr">
        <is>
          <t>SANDVIKEN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45169</v>
      </c>
      <c r="E451" s="1" t="n">
        <v>46236</v>
      </c>
      <c r="F451" t="inlineStr">
        <is>
          <t>GÄVLEBORGS LÄN</t>
        </is>
      </c>
      <c r="G451" t="inlineStr">
        <is>
          <t>SANDVIKEN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49704-2023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45212</v>
      </c>
      <c r="E452" s="1" t="n">
        <v>46236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61694-2021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44501</v>
      </c>
      <c r="E453" s="1" t="n">
        <v>46236</v>
      </c>
      <c r="F453" t="inlineStr">
        <is>
          <t>GÄVLEBORGS LÄN</t>
        </is>
      </c>
      <c r="G453" t="inlineStr">
        <is>
          <t>SANDVIKEN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46236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46236</v>
      </c>
      <c r="F455" t="inlineStr">
        <is>
          <t>GÄVLEBORGS LÄN</t>
        </is>
      </c>
      <c r="G455" t="inlineStr">
        <is>
          <t>SANDVIKEN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37643-2024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45541</v>
      </c>
      <c r="E456" s="1" t="n">
        <v>46236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46236</v>
      </c>
      <c r="F457" t="inlineStr">
        <is>
          <t>GÄVLEBORGS LÄN</t>
        </is>
      </c>
      <c r="G457" t="inlineStr">
        <is>
          <t>SANDVIKEN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46236</v>
      </c>
      <c r="F458" t="inlineStr">
        <is>
          <t>GÄVLEBORGS LÄN</t>
        </is>
      </c>
      <c r="G458" t="inlineStr">
        <is>
          <t>SANDVIKEN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35185-2022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44797</v>
      </c>
      <c r="E459" s="1" t="n">
        <v>46236</v>
      </c>
      <c r="F459" t="inlineStr">
        <is>
          <t>GÄVLEBORGS LÄN</t>
        </is>
      </c>
      <c r="G459" t="inlineStr">
        <is>
          <t>SANDVIKEN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62047-2022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44918</v>
      </c>
      <c r="E460" s="1" t="n">
        <v>46236</v>
      </c>
      <c r="F460" t="inlineStr">
        <is>
          <t>GÄVLEBORGS LÄN</t>
        </is>
      </c>
      <c r="G460" t="inlineStr">
        <is>
          <t>SANDVIKEN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44988</v>
      </c>
      <c r="E461" s="1" t="n">
        <v>46236</v>
      </c>
      <c r="F461" t="inlineStr">
        <is>
          <t>GÄVLEBORGS LÄN</t>
        </is>
      </c>
      <c r="G461" t="inlineStr">
        <is>
          <t>SANDVIKEN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45672</v>
      </c>
      <c r="E462" s="1" t="n">
        <v>46236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46236</v>
      </c>
      <c r="F463" t="inlineStr">
        <is>
          <t>GÄVLEBORGS LÄN</t>
        </is>
      </c>
      <c r="G463" t="inlineStr">
        <is>
          <t>SANDVIKEN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46171</v>
      </c>
      <c r="E464" s="1" t="n">
        <v>46236</v>
      </c>
      <c r="F464" t="inlineStr">
        <is>
          <t>GÄVLEBORGS LÄN</t>
        </is>
      </c>
      <c r="G464" t="inlineStr">
        <is>
          <t>SANDVIKEN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45252</v>
      </c>
      <c r="E465" s="1" t="n">
        <v>46236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56217-2023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46236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46236</v>
      </c>
      <c r="F467" t="inlineStr">
        <is>
          <t>GÄVLEBORGS LÄN</t>
        </is>
      </c>
      <c r="G467" t="inlineStr">
        <is>
          <t>SANDVIKEN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46021</v>
      </c>
      <c r="E468" s="1" t="n">
        <v>46236</v>
      </c>
      <c r="F468" t="inlineStr">
        <is>
          <t>GÄVLEBORGS LÄN</t>
        </is>
      </c>
      <c r="G468" t="inlineStr">
        <is>
          <t>SANDVIKEN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46236</v>
      </c>
      <c r="F469" t="inlineStr">
        <is>
          <t>GÄVLEBORGS LÄN</t>
        </is>
      </c>
      <c r="G469" t="inlineStr">
        <is>
          <t>SANDVIKEN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46236</v>
      </c>
      <c r="F470" t="inlineStr">
        <is>
          <t>GÄVLEBORGS LÄN</t>
        </is>
      </c>
      <c r="G470" t="inlineStr">
        <is>
          <t>SANDVIKEN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73331-2021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44551</v>
      </c>
      <c r="E471" s="1" t="n">
        <v>46236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46236</v>
      </c>
      <c r="F472" t="inlineStr">
        <is>
          <t>GÄVLEBORGS LÄN</t>
        </is>
      </c>
      <c r="G472" t="inlineStr">
        <is>
          <t>SANDVIKEN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64225-2021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44510</v>
      </c>
      <c r="E473" s="1" t="n">
        <v>46236</v>
      </c>
      <c r="F473" t="inlineStr">
        <is>
          <t>GÄVLEBORGS LÄN</t>
        </is>
      </c>
      <c r="G473" t="inlineStr">
        <is>
          <t>SANDVIKEN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64112-2023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45279</v>
      </c>
      <c r="E474" s="1" t="n">
        <v>46236</v>
      </c>
      <c r="F474" t="inlineStr">
        <is>
          <t>GÄVLEBORGS LÄN</t>
        </is>
      </c>
      <c r="G474" t="inlineStr">
        <is>
          <t>SANDVIKEN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46236</v>
      </c>
      <c r="F475" t="inlineStr">
        <is>
          <t>GÄVLEBORGS LÄN</t>
        </is>
      </c>
      <c r="G475" t="inlineStr">
        <is>
          <t>SANDVIKEN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46236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46236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46236</v>
      </c>
      <c r="F478" t="inlineStr">
        <is>
          <t>GÄVLEBORGS LÄN</t>
        </is>
      </c>
      <c r="G478" t="inlineStr">
        <is>
          <t>SANDVIKEN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46236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46236</v>
      </c>
      <c r="F480" t="inlineStr">
        <is>
          <t>GÄVLEBORGS LÄN</t>
        </is>
      </c>
      <c r="G480" t="inlineStr">
        <is>
          <t>SANDVIKEN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46236</v>
      </c>
      <c r="F481" t="inlineStr">
        <is>
          <t>GÄVLEBORGS LÄN</t>
        </is>
      </c>
      <c r="G481" t="inlineStr">
        <is>
          <t>SANDVIKEN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46236</v>
      </c>
      <c r="F482" t="inlineStr">
        <is>
          <t>GÄVLEBORGS LÄN</t>
        </is>
      </c>
      <c r="G482" t="inlineStr">
        <is>
          <t>SANDVIKEN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46236</v>
      </c>
      <c r="F483" t="inlineStr">
        <is>
          <t>GÄVLEBORGS LÄN</t>
        </is>
      </c>
      <c r="G483" t="inlineStr">
        <is>
          <t>SANDVIKEN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25647-2026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46177</v>
      </c>
      <c r="E484" s="1" t="n">
        <v>46236</v>
      </c>
      <c r="F484" t="inlineStr">
        <is>
          <t>GÄVLEBORGS LÄN</t>
        </is>
      </c>
      <c r="G484" t="inlineStr">
        <is>
          <t>SANDVIKEN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46236</v>
      </c>
      <c r="F485" t="inlineStr">
        <is>
          <t>GÄVLEBORGS LÄN</t>
        </is>
      </c>
      <c r="G485" t="inlineStr">
        <is>
          <t>SANDVIKEN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46236</v>
      </c>
      <c r="F486" t="inlineStr">
        <is>
          <t>GÄVLEBORGS LÄN</t>
        </is>
      </c>
      <c r="G486" t="inlineStr">
        <is>
          <t>SANDVIKEN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46236</v>
      </c>
      <c r="F487" t="inlineStr">
        <is>
          <t>GÄVLEBORGS LÄN</t>
        </is>
      </c>
      <c r="G487" t="inlineStr">
        <is>
          <t>SANDVIKEN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46236</v>
      </c>
      <c r="F488" t="inlineStr">
        <is>
          <t>GÄVLEBORGS LÄN</t>
        </is>
      </c>
      <c r="G488" t="inlineStr">
        <is>
          <t>SANDVIKEN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46236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46236</v>
      </c>
      <c r="F490" t="inlineStr">
        <is>
          <t>GÄVLEBORGS LÄN</t>
        </is>
      </c>
      <c r="G490" t="inlineStr">
        <is>
          <t>SANDVIKEN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46236</v>
      </c>
      <c r="F491" t="inlineStr">
        <is>
          <t>GÄVLEBORGS LÄN</t>
        </is>
      </c>
      <c r="G491" t="inlineStr">
        <is>
          <t>SANDVIKEN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46236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46236</v>
      </c>
      <c r="F493" t="inlineStr">
        <is>
          <t>GÄVLEBORGS LÄN</t>
        </is>
      </c>
      <c r="G493" t="inlineStr">
        <is>
          <t>SANDVIKEN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46038</v>
      </c>
      <c r="E494" s="1" t="n">
        <v>46236</v>
      </c>
      <c r="F494" t="inlineStr">
        <is>
          <t>GÄVLEBORGS LÄN</t>
        </is>
      </c>
      <c r="G494" t="inlineStr">
        <is>
          <t>SANDVIKEN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46219</v>
      </c>
      <c r="E495" s="1" t="n">
        <v>46236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46236</v>
      </c>
      <c r="F496" t="inlineStr">
        <is>
          <t>GÄVLEBORGS LÄN</t>
        </is>
      </c>
      <c r="G496" t="inlineStr">
        <is>
          <t>SANDVIKEN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45159</v>
      </c>
      <c r="E497" s="1" t="n">
        <v>46236</v>
      </c>
      <c r="F497" t="inlineStr">
        <is>
          <t>GÄVLEBORGS LÄN</t>
        </is>
      </c>
      <c r="G497" t="inlineStr">
        <is>
          <t>SANDVIKEN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46236</v>
      </c>
      <c r="F498" t="inlineStr">
        <is>
          <t>GÄVLEBORGS LÄN</t>
        </is>
      </c>
      <c r="G498" t="inlineStr">
        <is>
          <t>SANDVIKEN</t>
        </is>
      </c>
      <c r="I498" t="n">
        <v>8.699999999999999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46236</v>
      </c>
      <c r="F499" t="inlineStr">
        <is>
          <t>GÄVLEBORGS LÄN</t>
        </is>
      </c>
      <c r="G499" t="inlineStr">
        <is>
          <t>SANDVIKEN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29297-2024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45483</v>
      </c>
      <c r="E500" s="1" t="n">
        <v>46236</v>
      </c>
      <c r="F500" t="inlineStr">
        <is>
          <t>GÄVLEBORGS LÄN</t>
        </is>
      </c>
      <c r="G500" t="inlineStr">
        <is>
          <t>SANDVIKEN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46236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46236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46236</v>
      </c>
      <c r="F503" t="inlineStr">
        <is>
          <t>GÄVLEBORGS LÄN</t>
        </is>
      </c>
      <c r="G503" t="inlineStr">
        <is>
          <t>SANDVIKEN</t>
        </is>
      </c>
      <c r="I503" t="n">
        <v>10.2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46236</v>
      </c>
      <c r="F504" t="inlineStr">
        <is>
          <t>GÄVLEBORGS LÄN</t>
        </is>
      </c>
      <c r="G504" t="inlineStr">
        <is>
          <t>SANDVIKEN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46236</v>
      </c>
      <c r="F505" t="inlineStr">
        <is>
          <t>GÄVLEBORGS LÄN</t>
        </is>
      </c>
      <c r="G505" t="inlineStr">
        <is>
          <t>SANDVIKEN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6951-2024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45343</v>
      </c>
      <c r="E506" s="1" t="n">
        <v>46236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46044</v>
      </c>
      <c r="E507" s="1" t="n">
        <v>46236</v>
      </c>
      <c r="F507" t="inlineStr">
        <is>
          <t>GÄVLEBORGS LÄN</t>
        </is>
      </c>
      <c r="G507" t="inlineStr">
        <is>
          <t>SANDVIKEN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46236</v>
      </c>
      <c r="F508" t="inlineStr">
        <is>
          <t>GÄVLEBORGS LÄN</t>
        </is>
      </c>
      <c r="G508" t="inlineStr">
        <is>
          <t>SANDVIKEN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46236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46236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46236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46236</v>
      </c>
      <c r="F512" t="inlineStr">
        <is>
          <t>GÄVLEBORGS LÄN</t>
        </is>
      </c>
      <c r="G512" t="inlineStr">
        <is>
          <t>SANDVIKEN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46236</v>
      </c>
      <c r="F513" t="inlineStr">
        <is>
          <t>GÄVLEBORGS LÄN</t>
        </is>
      </c>
      <c r="G513" t="inlineStr">
        <is>
          <t>SANDVIKEN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46236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46236</v>
      </c>
      <c r="F515" t="inlineStr">
        <is>
          <t>GÄVLEBORGS LÄN</t>
        </is>
      </c>
      <c r="G515" t="inlineStr">
        <is>
          <t>SANDVIKEN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46236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46236</v>
      </c>
      <c r="F517" t="inlineStr">
        <is>
          <t>GÄVLEBORGS LÄN</t>
        </is>
      </c>
      <c r="G517" t="inlineStr">
        <is>
          <t>SANDVIKEN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46045</v>
      </c>
      <c r="E518" s="1" t="n">
        <v>46236</v>
      </c>
      <c r="F518" t="inlineStr">
        <is>
          <t>GÄVLEBORGS LÄN</t>
        </is>
      </c>
      <c r="G518" t="inlineStr">
        <is>
          <t>SANDVIKEN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45615</v>
      </c>
      <c r="E519" s="1" t="n">
        <v>46236</v>
      </c>
      <c r="F519" t="inlineStr">
        <is>
          <t>GÄVLEBORGS LÄN</t>
        </is>
      </c>
      <c r="G519" t="inlineStr">
        <is>
          <t>SANDVIKEN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46236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46236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45666</v>
      </c>
      <c r="E522" s="1" t="n">
        <v>46236</v>
      </c>
      <c r="F522" t="inlineStr">
        <is>
          <t>GÄVLEBORGS LÄN</t>
        </is>
      </c>
      <c r="G522" t="inlineStr">
        <is>
          <t>SANDVIKEN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43121-2024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45567</v>
      </c>
      <c r="E523" s="1" t="n">
        <v>46236</v>
      </c>
      <c r="F523" t="inlineStr">
        <is>
          <t>GÄVLEBORGS LÄN</t>
        </is>
      </c>
      <c r="G523" t="inlineStr">
        <is>
          <t>SANDVIKEN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46236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46178</v>
      </c>
      <c r="E525" s="1" t="n">
        <v>46236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46236</v>
      </c>
      <c r="F526" t="inlineStr">
        <is>
          <t>GÄVLEBORGS LÄN</t>
        </is>
      </c>
      <c r="G526" t="inlineStr">
        <is>
          <t>SANDVIKEN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46236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46051</v>
      </c>
      <c r="E528" s="1" t="n">
        <v>46236</v>
      </c>
      <c r="F528" t="inlineStr">
        <is>
          <t>GÄVLEBORGS LÄN</t>
        </is>
      </c>
      <c r="G528" t="inlineStr">
        <is>
          <t>SANDVIKEN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45069</v>
      </c>
      <c r="E529" s="1" t="n">
        <v>46236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46051</v>
      </c>
      <c r="E530" s="1" t="n">
        <v>46236</v>
      </c>
      <c r="F530" t="inlineStr">
        <is>
          <t>GÄVLEBORGS LÄN</t>
        </is>
      </c>
      <c r="G530" t="inlineStr">
        <is>
          <t>SANDVIKEN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46236</v>
      </c>
      <c r="F531" t="inlineStr">
        <is>
          <t>GÄVLEBORGS LÄN</t>
        </is>
      </c>
      <c r="G531" t="inlineStr">
        <is>
          <t>SANDVIKEN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46236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46236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46236</v>
      </c>
      <c r="F534" t="inlineStr">
        <is>
          <t>GÄVLEBORGS LÄN</t>
        </is>
      </c>
      <c r="G534" t="inlineStr">
        <is>
          <t>SANDVIKEN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46236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46236</v>
      </c>
      <c r="F536" t="inlineStr">
        <is>
          <t>GÄVLEBORGS LÄN</t>
        </is>
      </c>
      <c r="G536" t="inlineStr">
        <is>
          <t>SANDVIKEN</t>
        </is>
      </c>
      <c r="H536" t="inlineStr">
        <is>
          <t>Kommuner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46236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46236</v>
      </c>
      <c r="F538" t="inlineStr">
        <is>
          <t>GÄVLEBORGS LÄN</t>
        </is>
      </c>
      <c r="G538" t="inlineStr">
        <is>
          <t>SANDVIKEN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46056</v>
      </c>
      <c r="E539" s="1" t="n">
        <v>46236</v>
      </c>
      <c r="F539" t="inlineStr">
        <is>
          <t>GÄVLEBORGS LÄN</t>
        </is>
      </c>
      <c r="G539" t="inlineStr">
        <is>
          <t>SANDVIKEN</t>
        </is>
      </c>
      <c r="I539" t="n">
        <v>8.800000000000001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45748</v>
      </c>
      <c r="E540" s="1" t="n">
        <v>46236</v>
      </c>
      <c r="F540" t="inlineStr">
        <is>
          <t>GÄVLEBORGS LÄN</t>
        </is>
      </c>
      <c r="G540" t="inlineStr">
        <is>
          <t>SANDVIKEN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46236</v>
      </c>
      <c r="F541" t="inlineStr">
        <is>
          <t>GÄVLEBORGS LÄN</t>
        </is>
      </c>
      <c r="G541" t="inlineStr">
        <is>
          <t>SANDVIKEN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46236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29613-2026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46236</v>
      </c>
      <c r="F543" t="inlineStr">
        <is>
          <t>GÄVLEBORGS LÄN</t>
        </is>
      </c>
      <c r="G543" t="inlineStr">
        <is>
          <t>SANDVIKEN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46482-2023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45197</v>
      </c>
      <c r="E544" s="1" t="n">
        <v>46236</v>
      </c>
      <c r="F544" t="inlineStr">
        <is>
          <t>GÄVLEBORGS LÄN</t>
        </is>
      </c>
      <c r="G544" t="inlineStr">
        <is>
          <t>SANDVIKEN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46236</v>
      </c>
      <c r="F545" t="inlineStr">
        <is>
          <t>GÄVLEBORGS LÄN</t>
        </is>
      </c>
      <c r="G545" t="inlineStr">
        <is>
          <t>SANDVIKEN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47889-2022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44855</v>
      </c>
      <c r="E546" s="1" t="n">
        <v>46236</v>
      </c>
      <c r="F546" t="inlineStr">
        <is>
          <t>GÄVLEBORGS LÄN</t>
        </is>
      </c>
      <c r="G546" t="inlineStr">
        <is>
          <t>SANDVIKEN</t>
        </is>
      </c>
      <c r="H546" t="inlineStr">
        <is>
          <t>Sveaskog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46236</v>
      </c>
      <c r="F547" t="inlineStr">
        <is>
          <t>GÄVLEBORGS LÄN</t>
        </is>
      </c>
      <c r="G547" t="inlineStr">
        <is>
          <t>SANDVIKEN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46236</v>
      </c>
      <c r="F548" t="inlineStr">
        <is>
          <t>GÄVLEBORGS LÄN</t>
        </is>
      </c>
      <c r="G548" t="inlineStr">
        <is>
          <t>SANDVIKEN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46236</v>
      </c>
      <c r="F549" t="inlineStr">
        <is>
          <t>GÄVLEBORGS LÄN</t>
        </is>
      </c>
      <c r="G549" t="inlineStr">
        <is>
          <t>SANDVIKEN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7343-2026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46058</v>
      </c>
      <c r="E550" s="1" t="n">
        <v>46236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26872-2026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46236</v>
      </c>
      <c r="F551" t="inlineStr">
        <is>
          <t>GÄVLEBORGS LÄN</t>
        </is>
      </c>
      <c r="G551" t="inlineStr">
        <is>
          <t>SANDVIKEN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46236</v>
      </c>
      <c r="F552" t="inlineStr">
        <is>
          <t>GÄVLEBORGS LÄN</t>
        </is>
      </c>
      <c r="G552" t="inlineStr">
        <is>
          <t>SANDVIKEN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46236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46236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46236</v>
      </c>
      <c r="F555" t="inlineStr">
        <is>
          <t>GÄVLEBORGS LÄN</t>
        </is>
      </c>
      <c r="G555" t="inlineStr">
        <is>
          <t>SANDVIKEN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46236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46236</v>
      </c>
      <c r="F557" t="inlineStr">
        <is>
          <t>GÄVLEBORGS LÄN</t>
        </is>
      </c>
      <c r="G557" t="inlineStr">
        <is>
          <t>SANDVIKEN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46236</v>
      </c>
      <c r="F558" t="inlineStr">
        <is>
          <t>GÄVLEBORGS LÄN</t>
        </is>
      </c>
      <c r="G558" t="inlineStr">
        <is>
          <t>SANDVIKEN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46236</v>
      </c>
      <c r="F559" t="inlineStr">
        <is>
          <t>GÄVLEBORGS LÄN</t>
        </is>
      </c>
      <c r="G559" t="inlineStr">
        <is>
          <t>SANDVIKEN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46236</v>
      </c>
      <c r="F560" t="inlineStr">
        <is>
          <t>GÄVLEBORGS LÄN</t>
        </is>
      </c>
      <c r="G560" t="inlineStr">
        <is>
          <t>SANDVIKEN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46236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46236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46236</v>
      </c>
      <c r="F563" t="inlineStr">
        <is>
          <t>GÄVLEBORGS LÄN</t>
        </is>
      </c>
      <c r="G563" t="inlineStr">
        <is>
          <t>SANDVIKEN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46236</v>
      </c>
      <c r="F564" t="inlineStr">
        <is>
          <t>GÄVLEBORGS LÄN</t>
        </is>
      </c>
      <c r="G564" t="inlineStr">
        <is>
          <t>SANDVIKEN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3748-2022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46236</v>
      </c>
      <c r="F565" t="inlineStr">
        <is>
          <t>GÄVLEBORGS LÄN</t>
        </is>
      </c>
      <c r="G565" t="inlineStr">
        <is>
          <t>SANDVIKEN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46236</v>
      </c>
      <c r="F566" t="inlineStr">
        <is>
          <t>GÄVLEBORGS LÄN</t>
        </is>
      </c>
      <c r="G566" t="inlineStr">
        <is>
          <t>SANDVIKEN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8363-2026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46236</v>
      </c>
      <c r="F567" t="inlineStr">
        <is>
          <t>GÄVLEBORGS LÄN</t>
        </is>
      </c>
      <c r="G567" t="inlineStr">
        <is>
          <t>SANDVIKEN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46236</v>
      </c>
      <c r="F568" t="inlineStr">
        <is>
          <t>GÄVLEBORGS LÄN</t>
        </is>
      </c>
      <c r="G568" t="inlineStr">
        <is>
          <t>SANDVIKEN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46236</v>
      </c>
      <c r="F569" t="inlineStr">
        <is>
          <t>GÄVLEBORGS LÄN</t>
        </is>
      </c>
      <c r="G569" t="inlineStr">
        <is>
          <t>SANDVIKEN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46236</v>
      </c>
      <c r="F570" t="inlineStr">
        <is>
          <t>GÄVLEBORGS LÄN</t>
        </is>
      </c>
      <c r="G570" t="inlineStr">
        <is>
          <t>SANDVIKEN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46236</v>
      </c>
      <c r="F571" t="inlineStr">
        <is>
          <t>GÄVLEBORGS LÄN</t>
        </is>
      </c>
      <c r="G571" t="inlineStr">
        <is>
          <t>SANDVIKEN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46236</v>
      </c>
      <c r="F572" t="inlineStr">
        <is>
          <t>GÄVLEBORGS LÄN</t>
        </is>
      </c>
      <c r="G572" t="inlineStr">
        <is>
          <t>SANDVIKEN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26780-2026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46236</v>
      </c>
      <c r="F573" t="inlineStr">
        <is>
          <t>GÄVLEBORGS LÄN</t>
        </is>
      </c>
      <c r="G573" t="inlineStr">
        <is>
          <t>SANDVIKEN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46236</v>
      </c>
      <c r="F574" t="inlineStr">
        <is>
          <t>GÄVLEBORGS LÄN</t>
        </is>
      </c>
      <c r="G574" t="inlineStr">
        <is>
          <t>SANDVIKEN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8713-2026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46236</v>
      </c>
      <c r="F575" t="inlineStr">
        <is>
          <t>GÄVLEBORGS LÄN</t>
        </is>
      </c>
      <c r="G575" t="inlineStr">
        <is>
          <t>SANDVIKEN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46236</v>
      </c>
      <c r="F576" t="inlineStr">
        <is>
          <t>GÄVLEBORGS LÄN</t>
        </is>
      </c>
      <c r="G576" t="inlineStr">
        <is>
          <t>SANDVIKEN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46236</v>
      </c>
      <c r="F577" t="inlineStr">
        <is>
          <t>GÄVLEBORGS LÄN</t>
        </is>
      </c>
      <c r="G577" t="inlineStr">
        <is>
          <t>SANDVIKEN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8611-2026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46065</v>
      </c>
      <c r="E578" s="1" t="n">
        <v>46236</v>
      </c>
      <c r="F578" t="inlineStr">
        <is>
          <t>GÄVLEBORGS LÄN</t>
        </is>
      </c>
      <c r="G578" t="inlineStr">
        <is>
          <t>SANDVIKEN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45758</v>
      </c>
      <c r="E579" s="1" t="n">
        <v>46236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46227</v>
      </c>
      <c r="E580" s="1" t="n">
        <v>46236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9.300000000000001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8574-2026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46065</v>
      </c>
      <c r="E581" s="1" t="n">
        <v>46236</v>
      </c>
      <c r="F581" t="inlineStr">
        <is>
          <t>GÄVLEBORGS LÄN</t>
        </is>
      </c>
      <c r="G581" t="inlineStr">
        <is>
          <t>SANDVIKEN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45191</v>
      </c>
      <c r="E582" s="1" t="n">
        <v>46236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46236</v>
      </c>
      <c r="F583" t="inlineStr">
        <is>
          <t>GÄVLEBORGS LÄN</t>
        </is>
      </c>
      <c r="G583" t="inlineStr">
        <is>
          <t>SANDVIKEN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59661-2024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45639</v>
      </c>
      <c r="E584" s="1" t="n">
        <v>46236</v>
      </c>
      <c r="F584" t="inlineStr">
        <is>
          <t>GÄVLEBORGS LÄN</t>
        </is>
      </c>
      <c r="G584" t="inlineStr">
        <is>
          <t>SANDVIKEN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46236</v>
      </c>
      <c r="F585" t="inlineStr">
        <is>
          <t>GÄVLEBORGS LÄN</t>
        </is>
      </c>
      <c r="G585" t="inlineStr">
        <is>
          <t>SANDVIKEN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72997-2021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44549</v>
      </c>
      <c r="E586" s="1" t="n">
        <v>46236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46236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46236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19.5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46236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46236</v>
      </c>
      <c r="F590" t="inlineStr">
        <is>
          <t>GÄVLEBORGS LÄN</t>
        </is>
      </c>
      <c r="G590" t="inlineStr">
        <is>
          <t>SANDVIKEN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38609-2022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44813</v>
      </c>
      <c r="E591" s="1" t="n">
        <v>46236</v>
      </c>
      <c r="F591" t="inlineStr">
        <is>
          <t>GÄVLEBORGS LÄN</t>
        </is>
      </c>
      <c r="G591" t="inlineStr">
        <is>
          <t>SANDVIKEN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46236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45541</v>
      </c>
      <c r="E593" s="1" t="n">
        <v>46236</v>
      </c>
      <c r="F593" t="inlineStr">
        <is>
          <t>GÄVLEBORGS LÄN</t>
        </is>
      </c>
      <c r="G593" t="inlineStr">
        <is>
          <t>SANDVIKEN</t>
        </is>
      </c>
      <c r="H593" t="inlineStr">
        <is>
          <t>Sveaskog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45701</v>
      </c>
      <c r="E594" s="1" t="n">
        <v>46236</v>
      </c>
      <c r="F594" t="inlineStr">
        <is>
          <t>GÄVLEBORGS LÄN</t>
        </is>
      </c>
      <c r="G594" t="inlineStr">
        <is>
          <t>SANDVIKEN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46236</v>
      </c>
      <c r="F595" t="inlineStr">
        <is>
          <t>GÄVLEBORGS LÄN</t>
        </is>
      </c>
      <c r="G595" t="inlineStr">
        <is>
          <t>SANDVIKEN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10346-2026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46236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46236</v>
      </c>
      <c r="F597" t="inlineStr">
        <is>
          <t>GÄVLEBORGS LÄN</t>
        </is>
      </c>
      <c r="G597" t="inlineStr">
        <is>
          <t>SANDVIKEN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46236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10107-2026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46074</v>
      </c>
      <c r="E599" s="1" t="n">
        <v>46236</v>
      </c>
      <c r="F599" t="inlineStr">
        <is>
          <t>GÄVLEBORGS LÄN</t>
        </is>
      </c>
      <c r="G599" t="inlineStr">
        <is>
          <t>SANDVIKEN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44566</v>
      </c>
      <c r="E600" s="1" t="n">
        <v>46236</v>
      </c>
      <c r="F600" t="inlineStr">
        <is>
          <t>GÄVLEBORGS LÄN</t>
        </is>
      </c>
      <c r="G600" t="inlineStr">
        <is>
          <t>SANDVIKEN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46236</v>
      </c>
      <c r="F601" t="inlineStr">
        <is>
          <t>GÄVLEBORGS LÄN</t>
        </is>
      </c>
      <c r="G601" t="inlineStr">
        <is>
          <t>SANDVIKEN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46034</v>
      </c>
      <c r="E602" s="1" t="n">
        <v>46236</v>
      </c>
      <c r="F602" t="inlineStr">
        <is>
          <t>GÄVLEBORGS LÄN</t>
        </is>
      </c>
      <c r="G602" t="inlineStr">
        <is>
          <t>SANDVIKEN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23162-2023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45075</v>
      </c>
      <c r="E603" s="1" t="n">
        <v>46236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45153</v>
      </c>
      <c r="E604" s="1" t="n">
        <v>46236</v>
      </c>
      <c r="F604" t="inlineStr">
        <is>
          <t>GÄVLEBORGS LÄN</t>
        </is>
      </c>
      <c r="G604" t="inlineStr">
        <is>
          <t>SANDVIKEN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36660-2023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45153</v>
      </c>
      <c r="E605" s="1" t="n">
        <v>46236</v>
      </c>
      <c r="F605" t="inlineStr">
        <is>
          <t>GÄVLEBORGS LÄN</t>
        </is>
      </c>
      <c r="G605" t="inlineStr">
        <is>
          <t>SANDVIKEN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10176-2026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46076</v>
      </c>
      <c r="E606" s="1" t="n">
        <v>46236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46236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46236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46034</v>
      </c>
      <c r="E609" s="1" t="n">
        <v>46236</v>
      </c>
      <c r="F609" t="inlineStr">
        <is>
          <t>GÄVLEBORGS LÄN</t>
        </is>
      </c>
      <c r="G609" t="inlineStr">
        <is>
          <t>SANDVIKEN</t>
        </is>
      </c>
      <c r="I609" t="n">
        <v>9.300000000000001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46236</v>
      </c>
      <c r="F610" t="inlineStr">
        <is>
          <t>GÄVLEBORGS LÄN</t>
        </is>
      </c>
      <c r="G610" t="inlineStr">
        <is>
          <t>SANDVIKEN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45112</v>
      </c>
      <c r="E611" s="1" t="n">
        <v>46236</v>
      </c>
      <c r="F611" t="inlineStr">
        <is>
          <t>GÄVLEBORGS LÄN</t>
        </is>
      </c>
      <c r="G611" t="inlineStr">
        <is>
          <t>SANDVIKEN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46236</v>
      </c>
      <c r="F612" t="inlineStr">
        <is>
          <t>GÄVLEBORGS LÄN</t>
        </is>
      </c>
      <c r="G612" t="inlineStr">
        <is>
          <t>SANDVIKEN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45638</v>
      </c>
      <c r="E613" s="1" t="n">
        <v>46236</v>
      </c>
      <c r="F613" t="inlineStr">
        <is>
          <t>GÄVLEBORGS LÄN</t>
        </is>
      </c>
      <c r="G613" t="inlineStr">
        <is>
          <t>SANDVIKEN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10808-2026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46236</v>
      </c>
      <c r="F614" t="inlineStr">
        <is>
          <t>GÄVLEBORGS LÄN</t>
        </is>
      </c>
      <c r="G614" t="inlineStr">
        <is>
          <t>SANDVIKEN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46083</v>
      </c>
      <c r="E615" s="1" t="n">
        <v>46236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46080</v>
      </c>
      <c r="E616" s="1" t="n">
        <v>46236</v>
      </c>
      <c r="F616" t="inlineStr">
        <is>
          <t>GÄVLEBORGS LÄN</t>
        </is>
      </c>
      <c r="G616" t="inlineStr">
        <is>
          <t>SANDVIKEN</t>
        </is>
      </c>
      <c r="I616" t="n">
        <v>14.5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46236</v>
      </c>
      <c r="F617" t="inlineStr">
        <is>
          <t>GÄVLEBORGS LÄN</t>
        </is>
      </c>
      <c r="G617" t="inlineStr">
        <is>
          <t>SANDVIKEN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11191-2026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46080</v>
      </c>
      <c r="E618" s="1" t="n">
        <v>46236</v>
      </c>
      <c r="F618" t="inlineStr">
        <is>
          <t>GÄVLEBORGS LÄN</t>
        </is>
      </c>
      <c r="G618" t="inlineStr">
        <is>
          <t>SANDVIKEN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46236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29972-2022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44756</v>
      </c>
      <c r="E620" s="1" t="n">
        <v>46236</v>
      </c>
      <c r="F620" t="inlineStr">
        <is>
          <t>GÄVLEBORGS LÄN</t>
        </is>
      </c>
      <c r="G620" t="inlineStr">
        <is>
          <t>SANDVIKEN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45191</v>
      </c>
      <c r="E621" s="1" t="n">
        <v>46236</v>
      </c>
      <c r="F621" t="inlineStr">
        <is>
          <t>GÄVLEBORGS LÄN</t>
        </is>
      </c>
      <c r="G621" t="inlineStr">
        <is>
          <t>SANDVIKEN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11898-2026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46236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46236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11726-2026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46236</v>
      </c>
      <c r="F624" t="inlineStr">
        <is>
          <t>GÄVLEBORGS LÄN</t>
        </is>
      </c>
      <c r="G624" t="inlineStr">
        <is>
          <t>SANDVIKEN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46085</v>
      </c>
      <c r="E625" s="1" t="n">
        <v>46236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46236</v>
      </c>
      <c r="F626" t="inlineStr">
        <is>
          <t>GÄVLEBORGS LÄN</t>
        </is>
      </c>
      <c r="G626" t="inlineStr">
        <is>
          <t>SANDVIKEN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46037</v>
      </c>
      <c r="E627" s="1" t="n">
        <v>46236</v>
      </c>
      <c r="F627" t="inlineStr">
        <is>
          <t>GÄVLEBORGS LÄN</t>
        </is>
      </c>
      <c r="G627" t="inlineStr">
        <is>
          <t>SANDVIKEN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46236</v>
      </c>
      <c r="F628" t="inlineStr">
        <is>
          <t>GÄVLEBORGS LÄN</t>
        </is>
      </c>
      <c r="G628" t="inlineStr">
        <is>
          <t>SANDVIKEN</t>
        </is>
      </c>
      <c r="H628" t="inlineStr">
        <is>
          <t>Naturvårdsverket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46084</v>
      </c>
      <c r="E629" s="1" t="n">
        <v>46236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11786-2026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46236</v>
      </c>
      <c r="F630" t="inlineStr">
        <is>
          <t>GÄVLEBORGS LÄN</t>
        </is>
      </c>
      <c r="G630" t="inlineStr">
        <is>
          <t>SANDVIKEN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45673</v>
      </c>
      <c r="E631" s="1" t="n">
        <v>46236</v>
      </c>
      <c r="F631" t="inlineStr">
        <is>
          <t>GÄVLEBORGS LÄN</t>
        </is>
      </c>
      <c r="G631" t="inlineStr">
        <is>
          <t>SANDVIKEN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62056-2022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44918</v>
      </c>
      <c r="E632" s="1" t="n">
        <v>46236</v>
      </c>
      <c r="F632" t="inlineStr">
        <is>
          <t>GÄVLEBORGS LÄN</t>
        </is>
      </c>
      <c r="G632" t="inlineStr">
        <is>
          <t>SANDVIKEN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46086</v>
      </c>
      <c r="E633" s="1" t="n">
        <v>46236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12317-2026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46236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27.2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12081-2026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46086</v>
      </c>
      <c r="E635" s="1" t="n">
        <v>46236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12062-2026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46236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12064-2026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46236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46087</v>
      </c>
      <c r="E638" s="1" t="n">
        <v>46236</v>
      </c>
      <c r="F638" t="inlineStr">
        <is>
          <t>GÄVLEBORGS LÄN</t>
        </is>
      </c>
      <c r="G638" t="inlineStr">
        <is>
          <t>SANDVIKEN</t>
        </is>
      </c>
      <c r="H638" t="inlineStr">
        <is>
          <t>Kommuner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12098-2026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46086</v>
      </c>
      <c r="E639" s="1" t="n">
        <v>46236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46236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12208-2026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46087</v>
      </c>
      <c r="E641" s="1" t="n">
        <v>46236</v>
      </c>
      <c r="F641" t="inlineStr">
        <is>
          <t>GÄVLEBORGS LÄN</t>
        </is>
      </c>
      <c r="G641" t="inlineStr">
        <is>
          <t>SANDVIKEN</t>
        </is>
      </c>
      <c r="I641" t="n">
        <v>9.4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46236</v>
      </c>
      <c r="F642" t="inlineStr">
        <is>
          <t>GÄVLEBORGS LÄN</t>
        </is>
      </c>
      <c r="G642" t="inlineStr">
        <is>
          <t>SANDVIKEN</t>
        </is>
      </c>
      <c r="I642" t="n">
        <v>6.9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12091-2026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46236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12099-2026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46086</v>
      </c>
      <c r="E644" s="1" t="n">
        <v>46236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46086</v>
      </c>
      <c r="E645" s="1" t="n">
        <v>46236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37697-2022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44810</v>
      </c>
      <c r="E646" s="1" t="n">
        <v>46236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49706-2023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45212</v>
      </c>
      <c r="E647" s="1" t="n">
        <v>46236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12656-2026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46091</v>
      </c>
      <c r="E648" s="1" t="n">
        <v>46236</v>
      </c>
      <c r="F648" t="inlineStr">
        <is>
          <t>GÄVLEBORGS LÄN</t>
        </is>
      </c>
      <c r="G648" t="inlineStr">
        <is>
          <t>SANDVIKEN</t>
        </is>
      </c>
      <c r="H648" t="inlineStr">
        <is>
          <t>Naturvårdsverket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46090</v>
      </c>
      <c r="E649" s="1" t="n">
        <v>46236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45667</v>
      </c>
      <c r="E650" s="1" t="n">
        <v>46236</v>
      </c>
      <c r="F650" t="inlineStr">
        <is>
          <t>GÄVLEBORGS LÄN</t>
        </is>
      </c>
      <c r="G650" t="inlineStr">
        <is>
          <t>SANDVIKEN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46236</v>
      </c>
      <c r="F651" t="inlineStr">
        <is>
          <t>GÄVLEBORGS LÄN</t>
        </is>
      </c>
      <c r="G651" t="inlineStr">
        <is>
          <t>SANDVIKEN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46090</v>
      </c>
      <c r="E652" s="1" t="n">
        <v>46236</v>
      </c>
      <c r="F652" t="inlineStr">
        <is>
          <t>GÄVLEBORGS LÄN</t>
        </is>
      </c>
      <c r="G652" t="inlineStr">
        <is>
          <t>SANDVIKEN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54443-2024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45617</v>
      </c>
      <c r="E653" s="1" t="n">
        <v>46236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12641-2026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46091</v>
      </c>
      <c r="E654" s="1" t="n">
        <v>46236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12586-2026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46090</v>
      </c>
      <c r="E655" s="1" t="n">
        <v>46236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12704-2026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46091</v>
      </c>
      <c r="E656" s="1" t="n">
        <v>46236</v>
      </c>
      <c r="F656" t="inlineStr">
        <is>
          <t>GÄVLEBORGS LÄN</t>
        </is>
      </c>
      <c r="G656" t="inlineStr">
        <is>
          <t>SANDVIKEN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46092</v>
      </c>
      <c r="E657" s="1" t="n">
        <v>46236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46093</v>
      </c>
      <c r="E658" s="1" t="n">
        <v>46236</v>
      </c>
      <c r="F658" t="inlineStr">
        <is>
          <t>GÄVLEBORGS LÄN</t>
        </is>
      </c>
      <c r="G658" t="inlineStr">
        <is>
          <t>SANDVIKEN</t>
        </is>
      </c>
      <c r="I658" t="n">
        <v>22.5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46236</v>
      </c>
      <c r="F659" t="inlineStr">
        <is>
          <t>GÄVLEBORGS LÄN</t>
        </is>
      </c>
      <c r="G659" t="inlineStr">
        <is>
          <t>SANDVIKEN</t>
        </is>
      </c>
      <c r="H659" t="inlineStr">
        <is>
          <t>Naturvårdsverket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48300-2023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45205</v>
      </c>
      <c r="E660" s="1" t="n">
        <v>46236</v>
      </c>
      <c r="F660" t="inlineStr">
        <is>
          <t>GÄVLEBORGS LÄN</t>
        </is>
      </c>
      <c r="G660" t="inlineStr">
        <is>
          <t>SANDVIKEN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46236</v>
      </c>
      <c r="F661" t="inlineStr">
        <is>
          <t>GÄVLEBORGS LÄN</t>
        </is>
      </c>
      <c r="G661" t="inlineStr">
        <is>
          <t>SANDVIKEN</t>
        </is>
      </c>
      <c r="H661" t="inlineStr">
        <is>
          <t>Naturvårdsverket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13138-2026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46236</v>
      </c>
      <c r="F662" t="inlineStr">
        <is>
          <t>GÄVLEBORGS LÄN</t>
        </is>
      </c>
      <c r="G662" t="inlineStr">
        <is>
          <t>SANDVIKEN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46236</v>
      </c>
      <c r="F663" t="inlineStr">
        <is>
          <t>GÄVLEBORGS LÄN</t>
        </is>
      </c>
      <c r="G663" t="inlineStr">
        <is>
          <t>SANDVIKEN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48597-2023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45208</v>
      </c>
      <c r="E664" s="1" t="n">
        <v>46236</v>
      </c>
      <c r="F664" t="inlineStr">
        <is>
          <t>GÄVLEBORGS LÄN</t>
        </is>
      </c>
      <c r="G664" t="inlineStr">
        <is>
          <t>SANDVIKEN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46236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6.2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46236</v>
      </c>
      <c r="F666" t="inlineStr">
        <is>
          <t>GÄVLEBORGS LÄN</t>
        </is>
      </c>
      <c r="G666" t="inlineStr">
        <is>
          <t>SANDVIKEN</t>
        </is>
      </c>
      <c r="I666" t="n">
        <v>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13409-2026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46236</v>
      </c>
      <c r="F667" t="inlineStr">
        <is>
          <t>GÄVLEBORGS LÄN</t>
        </is>
      </c>
      <c r="G667" t="inlineStr">
        <is>
          <t>SANDVIKEN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46236</v>
      </c>
      <c r="F668" t="inlineStr">
        <is>
          <t>GÄVLEBORGS LÄN</t>
        </is>
      </c>
      <c r="G668" t="inlineStr">
        <is>
          <t>SANDVIKEN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46236</v>
      </c>
      <c r="F669" t="inlineStr">
        <is>
          <t>GÄVLEBORGS LÄN</t>
        </is>
      </c>
      <c r="G669" t="inlineStr">
        <is>
          <t>SANDVIKEN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13577-2026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46095</v>
      </c>
      <c r="E670" s="1" t="n">
        <v>46236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46095</v>
      </c>
      <c r="E671" s="1" t="n">
        <v>46236</v>
      </c>
      <c r="F671" t="inlineStr">
        <is>
          <t>GÄVLEBORGS LÄN</t>
        </is>
      </c>
      <c r="G671" t="inlineStr">
        <is>
          <t>SANDVIKEN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46095</v>
      </c>
      <c r="E672" s="1" t="n">
        <v>46236</v>
      </c>
      <c r="F672" t="inlineStr">
        <is>
          <t>GÄVLEBORGS LÄN</t>
        </is>
      </c>
      <c r="G672" t="inlineStr">
        <is>
          <t>SANDVIKEN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46095</v>
      </c>
      <c r="E673" s="1" t="n">
        <v>46236</v>
      </c>
      <c r="F673" t="inlineStr">
        <is>
          <t>GÄVLEBORGS LÄN</t>
        </is>
      </c>
      <c r="G673" t="inlineStr">
        <is>
          <t>SANDVIKEN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13605-2026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46097</v>
      </c>
      <c r="E674" s="1" t="n">
        <v>46236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46097</v>
      </c>
      <c r="E675" s="1" t="n">
        <v>46236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46236</v>
      </c>
      <c r="F676" t="inlineStr">
        <is>
          <t>GÄVLEBORGS LÄN</t>
        </is>
      </c>
      <c r="G676" t="inlineStr">
        <is>
          <t>SANDVIKEN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46095</v>
      </c>
      <c r="E677" s="1" t="n">
        <v>46236</v>
      </c>
      <c r="F677" t="inlineStr">
        <is>
          <t>GÄVLEBORGS LÄN</t>
        </is>
      </c>
      <c r="G677" t="inlineStr">
        <is>
          <t>SANDVIKEN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13727-2026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46097</v>
      </c>
      <c r="E678" s="1" t="n">
        <v>46236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13416-2026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46236</v>
      </c>
      <c r="F679" t="inlineStr">
        <is>
          <t>GÄVLEBORGS LÄN</t>
        </is>
      </c>
      <c r="G679" t="inlineStr">
        <is>
          <t>SANDVIKEN</t>
        </is>
      </c>
      <c r="H679" t="inlineStr">
        <is>
          <t>Sveaskog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46095</v>
      </c>
      <c r="E680" s="1" t="n">
        <v>46236</v>
      </c>
      <c r="F680" t="inlineStr">
        <is>
          <t>GÄVLEBORGS LÄN</t>
        </is>
      </c>
      <c r="G680" t="inlineStr">
        <is>
          <t>SANDVIKEN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46095</v>
      </c>
      <c r="E681" s="1" t="n">
        <v>46236</v>
      </c>
      <c r="F681" t="inlineStr">
        <is>
          <t>GÄVLEBORGS LÄN</t>
        </is>
      </c>
      <c r="G681" t="inlineStr">
        <is>
          <t>SANDVIKEN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45698</v>
      </c>
      <c r="E682" s="1" t="n">
        <v>46236</v>
      </c>
      <c r="F682" t="inlineStr">
        <is>
          <t>GÄVLEBORGS LÄN</t>
        </is>
      </c>
      <c r="G682" t="inlineStr">
        <is>
          <t>SANDVIKEN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48799-2023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45209</v>
      </c>
      <c r="E683" s="1" t="n">
        <v>46236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10895-2025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45722</v>
      </c>
      <c r="E684" s="1" t="n">
        <v>46236</v>
      </c>
      <c r="F684" t="inlineStr">
        <is>
          <t>GÄVLEBORGS LÄN</t>
        </is>
      </c>
      <c r="G684" t="inlineStr">
        <is>
          <t>SANDVIKEN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13966-2026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46098</v>
      </c>
      <c r="E685" s="1" t="n">
        <v>46236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45240</v>
      </c>
      <c r="E686" s="1" t="n">
        <v>46236</v>
      </c>
      <c r="F686" t="inlineStr">
        <is>
          <t>GÄVLEBORGS LÄN</t>
        </is>
      </c>
      <c r="G686" t="inlineStr">
        <is>
          <t>SANDVIKEN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14094-2026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46099</v>
      </c>
      <c r="E687" s="1" t="n">
        <v>46236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14219-2026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46099</v>
      </c>
      <c r="E688" s="1" t="n">
        <v>46236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14257-2026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46099</v>
      </c>
      <c r="E689" s="1" t="n">
        <v>46236</v>
      </c>
      <c r="F689" t="inlineStr">
        <is>
          <t>GÄVLEBORGS LÄN</t>
        </is>
      </c>
      <c r="G689" t="inlineStr">
        <is>
          <t>SANDVIKEN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46236</v>
      </c>
      <c r="F690" t="inlineStr">
        <is>
          <t>GÄVLEBORGS LÄN</t>
        </is>
      </c>
      <c r="G690" t="inlineStr">
        <is>
          <t>SANDVIKEN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46236</v>
      </c>
      <c r="F691" t="inlineStr">
        <is>
          <t>GÄVLEBORGS LÄN</t>
        </is>
      </c>
      <c r="G691" t="inlineStr">
        <is>
          <t>SANDVIKEN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14093-2026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46099</v>
      </c>
      <c r="E692" s="1" t="n">
        <v>46236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14119-2026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46099</v>
      </c>
      <c r="E693" s="1" t="n">
        <v>46236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14330-2026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46100</v>
      </c>
      <c r="E694" s="1" t="n">
        <v>46236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14663-2026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46101</v>
      </c>
      <c r="E695" s="1" t="n">
        <v>46236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46100</v>
      </c>
      <c r="E696" s="1" t="n">
        <v>46236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45476</v>
      </c>
      <c r="E697" s="1" t="n">
        <v>46236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14676-2026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46236</v>
      </c>
      <c r="F698" t="inlineStr">
        <is>
          <t>GÄVLEBORGS LÄN</t>
        </is>
      </c>
      <c r="G698" t="inlineStr">
        <is>
          <t>SANDVIKEN</t>
        </is>
      </c>
      <c r="H698" t="inlineStr">
        <is>
          <t>Kommuner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16385-2023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45022</v>
      </c>
      <c r="E699" s="1" t="n">
        <v>46236</v>
      </c>
      <c r="F699" t="inlineStr">
        <is>
          <t>GÄVLEBORGS LÄN</t>
        </is>
      </c>
      <c r="G699" t="inlineStr">
        <is>
          <t>SANDVIKEN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14649-2026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46236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61052-2024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46236</v>
      </c>
      <c r="F701" t="inlineStr">
        <is>
          <t>GÄVLEBORGS LÄN</t>
        </is>
      </c>
      <c r="G701" t="inlineStr">
        <is>
          <t>SANDVIKEN</t>
        </is>
      </c>
      <c r="H701" t="inlineStr">
        <is>
          <t>Naturvårdsverket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37996-2024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46236</v>
      </c>
      <c r="F702" t="inlineStr">
        <is>
          <t>GÄVLEBORGS LÄN</t>
        </is>
      </c>
      <c r="G702" t="inlineStr">
        <is>
          <t>SANDVIKEN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45701</v>
      </c>
      <c r="E703" s="1" t="n">
        <v>46236</v>
      </c>
      <c r="F703" t="inlineStr">
        <is>
          <t>GÄVLEBORGS LÄN</t>
        </is>
      </c>
      <c r="G703" t="inlineStr">
        <is>
          <t>SANDVIKEN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46105</v>
      </c>
      <c r="E704" s="1" t="n">
        <v>46236</v>
      </c>
      <c r="F704" t="inlineStr">
        <is>
          <t>GÄVLEBORGS LÄN</t>
        </is>
      </c>
      <c r="G704" t="inlineStr">
        <is>
          <t>SANDVIKEN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7056-2025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45701</v>
      </c>
      <c r="E705" s="1" t="n">
        <v>46236</v>
      </c>
      <c r="F705" t="inlineStr">
        <is>
          <t>GÄVLEBORGS LÄN</t>
        </is>
      </c>
      <c r="G705" t="inlineStr">
        <is>
          <t>SANDVIKEN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46236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46236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53867-2024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45615</v>
      </c>
      <c r="E708" s="1" t="n">
        <v>46236</v>
      </c>
      <c r="F708" t="inlineStr">
        <is>
          <t>GÄVLEBORGS LÄN</t>
        </is>
      </c>
      <c r="G708" t="inlineStr">
        <is>
          <t>SANDVIKEN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15861-2026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46236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46236</v>
      </c>
      <c r="F710" t="inlineStr">
        <is>
          <t>GÄVLEBORGS LÄN</t>
        </is>
      </c>
      <c r="G710" t="inlineStr">
        <is>
          <t>SANDVIKEN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15529-2026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46236</v>
      </c>
      <c r="F711" t="inlineStr">
        <is>
          <t>GÄVLEBORGS LÄN</t>
        </is>
      </c>
      <c r="G711" t="inlineStr">
        <is>
          <t>SANDVIKEN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61820-2024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45649</v>
      </c>
      <c r="E712" s="1" t="n">
        <v>46236</v>
      </c>
      <c r="F712" t="inlineStr">
        <is>
          <t>GÄVLEBORGS LÄN</t>
        </is>
      </c>
      <c r="G712" t="inlineStr">
        <is>
          <t>SANDVIKEN</t>
        </is>
      </c>
      <c r="I712" t="n">
        <v>11.1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24992-2023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46236</v>
      </c>
      <c r="F713" t="inlineStr">
        <is>
          <t>GÄVLEBORGS LÄN</t>
        </is>
      </c>
      <c r="G713" t="inlineStr">
        <is>
          <t>SANDVIKEN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46236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16328-2026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46236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4783-2025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45688</v>
      </c>
      <c r="E716" s="1" t="n">
        <v>46236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46236</v>
      </c>
      <c r="F717" t="inlineStr">
        <is>
          <t>GÄVLEBORGS LÄN</t>
        </is>
      </c>
      <c r="G717" t="inlineStr">
        <is>
          <t>SANDVIKEN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46236</v>
      </c>
      <c r="F718" t="inlineStr">
        <is>
          <t>GÄVLEBORGS LÄN</t>
        </is>
      </c>
      <c r="G718" t="inlineStr">
        <is>
          <t>SANDVIKEN</t>
        </is>
      </c>
      <c r="H718" t="inlineStr">
        <is>
          <t>Kommuner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16242-2026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46111</v>
      </c>
      <c r="E719" s="1" t="n">
        <v>46236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46111</v>
      </c>
      <c r="E720" s="1" t="n">
        <v>46236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46108</v>
      </c>
      <c r="E721" s="1" t="n">
        <v>46236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19269-2025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45769</v>
      </c>
      <c r="E722" s="1" t="n">
        <v>46236</v>
      </c>
      <c r="F722" t="inlineStr">
        <is>
          <t>GÄVLEBORGS LÄN</t>
        </is>
      </c>
      <c r="G722" t="inlineStr">
        <is>
          <t>SANDVIKEN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16569-2026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46236</v>
      </c>
      <c r="F723" t="inlineStr">
        <is>
          <t>GÄVLEBORGS LÄN</t>
        </is>
      </c>
      <c r="G723" t="inlineStr">
        <is>
          <t>SANDVIKEN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46049</v>
      </c>
      <c r="E724" s="1" t="n">
        <v>46236</v>
      </c>
      <c r="F724" t="inlineStr">
        <is>
          <t>GÄVLEBORGS LÄN</t>
        </is>
      </c>
      <c r="G724" t="inlineStr">
        <is>
          <t>SANDVIKEN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17166-2026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46115</v>
      </c>
      <c r="E725" s="1" t="n">
        <v>46236</v>
      </c>
      <c r="F725" t="inlineStr">
        <is>
          <t>GÄVLEBORGS LÄN</t>
        </is>
      </c>
      <c r="G725" t="inlineStr">
        <is>
          <t>SANDVIKEN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46115</v>
      </c>
      <c r="E726" s="1" t="n">
        <v>46236</v>
      </c>
      <c r="F726" t="inlineStr">
        <is>
          <t>GÄVLEBORGS LÄN</t>
        </is>
      </c>
      <c r="G726" t="inlineStr">
        <is>
          <t>SANDVIKEN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17172-2026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46115</v>
      </c>
      <c r="E727" s="1" t="n">
        <v>46236</v>
      </c>
      <c r="F727" t="inlineStr">
        <is>
          <t>GÄVLEBORGS LÄN</t>
        </is>
      </c>
      <c r="G727" t="inlineStr">
        <is>
          <t>SANDVIKEN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58911-2023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46236</v>
      </c>
      <c r="F728" t="inlineStr">
        <is>
          <t>GÄVLEBORGS LÄN</t>
        </is>
      </c>
      <c r="G728" t="inlineStr">
        <is>
          <t>SANDVIKEN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17165-2026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46115</v>
      </c>
      <c r="E729" s="1" t="n">
        <v>46236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16958-2026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46236</v>
      </c>
      <c r="F730" t="inlineStr">
        <is>
          <t>GÄVLEBORGS LÄN</t>
        </is>
      </c>
      <c r="G730" t="inlineStr">
        <is>
          <t>SANDVIKEN</t>
        </is>
      </c>
      <c r="I730" t="n">
        <v>10.3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46115</v>
      </c>
      <c r="E731" s="1" t="n">
        <v>46236</v>
      </c>
      <c r="F731" t="inlineStr">
        <is>
          <t>GÄVLEBORGS LÄN</t>
        </is>
      </c>
      <c r="G731" t="inlineStr">
        <is>
          <t>SANDVIKEN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17366-2026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46236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46119</v>
      </c>
      <c r="E733" s="1" t="n">
        <v>46236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17182-2026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46116</v>
      </c>
      <c r="E734" s="1" t="n">
        <v>46236</v>
      </c>
      <c r="F734" t="inlineStr">
        <is>
          <t>GÄVLEBORGS LÄN</t>
        </is>
      </c>
      <c r="G734" t="inlineStr">
        <is>
          <t>SANDVIKEN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46116</v>
      </c>
      <c r="E735" s="1" t="n">
        <v>46236</v>
      </c>
      <c r="F735" t="inlineStr">
        <is>
          <t>GÄVLEBORGS LÄN</t>
        </is>
      </c>
      <c r="G735" t="inlineStr">
        <is>
          <t>SANDVIKEN</t>
        </is>
      </c>
      <c r="I735" t="n">
        <v>8.9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46236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17171-2026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46115</v>
      </c>
      <c r="E737" s="1" t="n">
        <v>46236</v>
      </c>
      <c r="F737" t="inlineStr">
        <is>
          <t>GÄVLEBORGS LÄN</t>
        </is>
      </c>
      <c r="G737" t="inlineStr">
        <is>
          <t>SANDVIKEN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17183-2026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46116</v>
      </c>
      <c r="E738" s="1" t="n">
        <v>46236</v>
      </c>
      <c r="F738" t="inlineStr">
        <is>
          <t>GÄVLEBORGS LÄN</t>
        </is>
      </c>
      <c r="G738" t="inlineStr">
        <is>
          <t>SANDVIKEN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46119</v>
      </c>
      <c r="E739" s="1" t="n">
        <v>46236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46236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17365-2026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46236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58562-2023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45251</v>
      </c>
      <c r="E742" s="1" t="n">
        <v>46236</v>
      </c>
      <c r="F742" t="inlineStr">
        <is>
          <t>GÄVLEBORGS LÄN</t>
        </is>
      </c>
      <c r="G742" t="inlineStr">
        <is>
          <t>SANDVIKEN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23539-2026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46163</v>
      </c>
      <c r="E743" s="1" t="n">
        <v>46236</v>
      </c>
      <c r="F743" t="inlineStr">
        <is>
          <t>GÄVLEBORGS LÄN</t>
        </is>
      </c>
      <c r="G743" t="inlineStr">
        <is>
          <t>SANDVIKEN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17473-2026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46236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17626-2026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46121</v>
      </c>
      <c r="E745" s="1" t="n">
        <v>46236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45463</v>
      </c>
      <c r="E746" s="1" t="n">
        <v>46236</v>
      </c>
      <c r="F746" t="inlineStr">
        <is>
          <t>GÄVLEBORGS LÄN</t>
        </is>
      </c>
      <c r="G746" t="inlineStr">
        <is>
          <t>SANDVIKEN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45779</v>
      </c>
      <c r="E747" s="1" t="n">
        <v>46236</v>
      </c>
      <c r="F747" t="inlineStr">
        <is>
          <t>GÄVLEBORGS LÄN</t>
        </is>
      </c>
      <c r="G747" t="inlineStr">
        <is>
          <t>SANDVIKEN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17596-2026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46236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53007-2023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45226</v>
      </c>
      <c r="E749" s="1" t="n">
        <v>46236</v>
      </c>
      <c r="F749" t="inlineStr">
        <is>
          <t>GÄVLEBORGS LÄN</t>
        </is>
      </c>
      <c r="G749" t="inlineStr">
        <is>
          <t>SANDVIKEN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46236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36646-2022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44804</v>
      </c>
      <c r="E751" s="1" t="n">
        <v>46236</v>
      </c>
      <c r="F751" t="inlineStr">
        <is>
          <t>GÄVLEBORGS LÄN</t>
        </is>
      </c>
      <c r="G751" t="inlineStr">
        <is>
          <t>SANDVIKEN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18395-2026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46126</v>
      </c>
      <c r="E752" s="1" t="n">
        <v>46236</v>
      </c>
      <c r="F752" t="inlineStr">
        <is>
          <t>GÄVLEBORGS LÄN</t>
        </is>
      </c>
      <c r="G752" t="inlineStr">
        <is>
          <t>SANDVIKEN</t>
        </is>
      </c>
      <c r="I752" t="n">
        <v>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18219-2026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46126</v>
      </c>
      <c r="E753" s="1" t="n">
        <v>46236</v>
      </c>
      <c r="F753" t="inlineStr">
        <is>
          <t>GÄVLEBORGS LÄN</t>
        </is>
      </c>
      <c r="G753" t="inlineStr">
        <is>
          <t>SANDVIKEN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18218-2026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46126</v>
      </c>
      <c r="E754" s="1" t="n">
        <v>46236</v>
      </c>
      <c r="F754" t="inlineStr">
        <is>
          <t>GÄVLEBORGS LÄN</t>
        </is>
      </c>
      <c r="G754" t="inlineStr">
        <is>
          <t>SANDVIKEN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18224-2026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46126</v>
      </c>
      <c r="E755" s="1" t="n">
        <v>46236</v>
      </c>
      <c r="F755" t="inlineStr">
        <is>
          <t>GÄVLEBORGS LÄN</t>
        </is>
      </c>
      <c r="G755" t="inlineStr">
        <is>
          <t>SANDVIKEN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14092-2026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46099</v>
      </c>
      <c r="E756" s="1" t="n">
        <v>46236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45540</v>
      </c>
      <c r="E757" s="1" t="n">
        <v>46236</v>
      </c>
      <c r="F757" t="inlineStr">
        <is>
          <t>GÄVLEBORGS LÄN</t>
        </is>
      </c>
      <c r="G757" t="inlineStr">
        <is>
          <t>SANDVIKEN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16683-2024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45408</v>
      </c>
      <c r="E758" s="1" t="n">
        <v>46236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väst AB</t>
        </is>
      </c>
      <c r="I758" t="n">
        <v>14.2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19018-2026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46130</v>
      </c>
      <c r="E759" s="1" t="n">
        <v>46236</v>
      </c>
      <c r="F759" t="inlineStr">
        <is>
          <t>GÄVLEBORGS LÄN</t>
        </is>
      </c>
      <c r="G759" t="inlineStr">
        <is>
          <t>SANDVIKEN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46236</v>
      </c>
      <c r="F760" t="inlineStr">
        <is>
          <t>GÄVLEBORGS LÄN</t>
        </is>
      </c>
      <c r="G760" t="inlineStr">
        <is>
          <t>SANDVIKEN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15855-2026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46107</v>
      </c>
      <c r="E761" s="1" t="n">
        <v>46236</v>
      </c>
      <c r="F761" t="inlineStr">
        <is>
          <t>GÄVLEBORGS LÄN</t>
        </is>
      </c>
      <c r="G761" t="inlineStr">
        <is>
          <t>SANDVIKEN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46236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18991-2026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46129</v>
      </c>
      <c r="E763" s="1" t="n">
        <v>46236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18656-2026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46128</v>
      </c>
      <c r="E764" s="1" t="n">
        <v>46236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46236</v>
      </c>
      <c r="F765" t="inlineStr">
        <is>
          <t>GÄVLEBORGS LÄN</t>
        </is>
      </c>
      <c r="G765" t="inlineStr">
        <is>
          <t>SANDVIKEN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18749-2026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46128</v>
      </c>
      <c r="E766" s="1" t="n">
        <v>46236</v>
      </c>
      <c r="F766" t="inlineStr">
        <is>
          <t>GÄVLEBORGS LÄN</t>
        </is>
      </c>
      <c r="G766" t="inlineStr">
        <is>
          <t>SANDVIKEN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18811-2026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46128</v>
      </c>
      <c r="E767" s="1" t="n">
        <v>46236</v>
      </c>
      <c r="F767" t="inlineStr">
        <is>
          <t>GÄVLEBORGS LÄN</t>
        </is>
      </c>
      <c r="G767" t="inlineStr">
        <is>
          <t>SANDVIKEN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7825-2026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46236</v>
      </c>
      <c r="F768" t="inlineStr">
        <is>
          <t>GÄVLEBORGS LÄN</t>
        </is>
      </c>
      <c r="G768" t="inlineStr">
        <is>
          <t>SANDVIKEN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12675-2026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46091</v>
      </c>
      <c r="E769" s="1" t="n">
        <v>46236</v>
      </c>
      <c r="F769" t="inlineStr">
        <is>
          <t>GÄVLEBORGS LÄN</t>
        </is>
      </c>
      <c r="G769" t="inlineStr">
        <is>
          <t>SANDVIKEN</t>
        </is>
      </c>
      <c r="H769" t="inlineStr">
        <is>
          <t>Naturvårdsverket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46236</v>
      </c>
      <c r="F770" t="inlineStr">
        <is>
          <t>GÄVLEBORGS LÄN</t>
        </is>
      </c>
      <c r="G770" t="inlineStr">
        <is>
          <t>SANDVIKEN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19080-2026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46132</v>
      </c>
      <c r="E771" s="1" t="n">
        <v>46236</v>
      </c>
      <c r="F771" t="inlineStr">
        <is>
          <t>GÄVLEBORGS LÄN</t>
        </is>
      </c>
      <c r="G771" t="inlineStr">
        <is>
          <t>SANDVIKEN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12732-2026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46091</v>
      </c>
      <c r="E772" s="1" t="n">
        <v>46236</v>
      </c>
      <c r="F772" t="inlineStr">
        <is>
          <t>GÄVLEBORGS LÄN</t>
        </is>
      </c>
      <c r="G772" t="inlineStr">
        <is>
          <t>SANDVIKEN</t>
        </is>
      </c>
      <c r="H772" t="inlineStr">
        <is>
          <t>Naturvårdsverket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18990-2026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46129</v>
      </c>
      <c r="E773" s="1" t="n">
        <v>46236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41284-2023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45174</v>
      </c>
      <c r="E774" s="1" t="n">
        <v>46236</v>
      </c>
      <c r="F774" t="inlineStr">
        <is>
          <t>GÄVLEBORGS LÄN</t>
        </is>
      </c>
      <c r="G774" t="inlineStr">
        <is>
          <t>SANDVIKEN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46129</v>
      </c>
      <c r="E775" s="1" t="n">
        <v>46236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18992-2026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46129</v>
      </c>
      <c r="E776" s="1" t="n">
        <v>46236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18997-2026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46129</v>
      </c>
      <c r="E777" s="1" t="n">
        <v>46236</v>
      </c>
      <c r="F777" t="inlineStr">
        <is>
          <t>GÄVLEBORGS LÄN</t>
        </is>
      </c>
      <c r="G777" t="inlineStr">
        <is>
          <t>SANDVIKEN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46129</v>
      </c>
      <c r="E778" s="1" t="n">
        <v>46236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56019-2023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46236</v>
      </c>
      <c r="F779" t="inlineStr">
        <is>
          <t>GÄVLEBORGS LÄN</t>
        </is>
      </c>
      <c r="G779" t="inlineStr">
        <is>
          <t>SANDVIKEN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40460-2024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46236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55446-2024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45622</v>
      </c>
      <c r="E781" s="1" t="n">
        <v>46236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19273-2026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46133</v>
      </c>
      <c r="E782" s="1" t="n">
        <v>46236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10.1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48319-2023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45205</v>
      </c>
      <c r="E783" s="1" t="n">
        <v>46236</v>
      </c>
      <c r="F783" t="inlineStr">
        <is>
          <t>GÄVLEBORGS LÄN</t>
        </is>
      </c>
      <c r="G783" t="inlineStr">
        <is>
          <t>SANDVIKEN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27967-2022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44744</v>
      </c>
      <c r="E784" s="1" t="n">
        <v>46236</v>
      </c>
      <c r="F784" t="inlineStr">
        <is>
          <t>GÄVLEBORGS LÄN</t>
        </is>
      </c>
      <c r="G784" t="inlineStr">
        <is>
          <t>SANDVIKEN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45246</v>
      </c>
      <c r="E785" s="1" t="n">
        <v>46236</v>
      </c>
      <c r="F785" t="inlineStr">
        <is>
          <t>GÄVLEBORGS LÄN</t>
        </is>
      </c>
      <c r="G785" t="inlineStr">
        <is>
          <t>SANDVIKEN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42950-2023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45178</v>
      </c>
      <c r="E786" s="1" t="n">
        <v>46236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väst AB</t>
        </is>
      </c>
      <c r="I786" t="n">
        <v>16.5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46236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69521-2021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44531</v>
      </c>
      <c r="E788" s="1" t="n">
        <v>46236</v>
      </c>
      <c r="F788" t="inlineStr">
        <is>
          <t>GÄVLEBORGS LÄN</t>
        </is>
      </c>
      <c r="G788" t="inlineStr">
        <is>
          <t>SANDVIKEN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12776-2026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46091</v>
      </c>
      <c r="E789" s="1" t="n">
        <v>46236</v>
      </c>
      <c r="F789" t="inlineStr">
        <is>
          <t>GÄVLEBORGS LÄN</t>
        </is>
      </c>
      <c r="G789" t="inlineStr">
        <is>
          <t>SANDVIKEN</t>
        </is>
      </c>
      <c r="H789" t="inlineStr">
        <is>
          <t>Naturvårdsverket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45321</v>
      </c>
      <c r="E790" s="1" t="n">
        <v>46236</v>
      </c>
      <c r="F790" t="inlineStr">
        <is>
          <t>GÄVLEBORGS LÄN</t>
        </is>
      </c>
      <c r="G790" t="inlineStr">
        <is>
          <t>SANDVIKEN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19827-2026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46135</v>
      </c>
      <c r="E791" s="1" t="n">
        <v>46236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16.4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35252-2024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45530</v>
      </c>
      <c r="E792" s="1" t="n">
        <v>46236</v>
      </c>
      <c r="F792" t="inlineStr">
        <is>
          <t>GÄVLEBORGS LÄN</t>
        </is>
      </c>
      <c r="G792" t="inlineStr">
        <is>
          <t>SANDVIKEN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45679</v>
      </c>
      <c r="E793" s="1" t="n">
        <v>46236</v>
      </c>
      <c r="F793" t="inlineStr">
        <is>
          <t>GÄVLEBORGS LÄN</t>
        </is>
      </c>
      <c r="G793" t="inlineStr">
        <is>
          <t>SANDVIKEN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46042</v>
      </c>
      <c r="E794" s="1" t="n">
        <v>46236</v>
      </c>
      <c r="F794" t="inlineStr">
        <is>
          <t>GÄVLEBORGS LÄN</t>
        </is>
      </c>
      <c r="G794" t="inlineStr">
        <is>
          <t>SANDVIKEN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33623-2024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45520</v>
      </c>
      <c r="E795" s="1" t="n">
        <v>46236</v>
      </c>
      <c r="F795" t="inlineStr">
        <is>
          <t>GÄVLEBORGS LÄN</t>
        </is>
      </c>
      <c r="G795" t="inlineStr">
        <is>
          <t>SANDVIKEN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19910-2026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46136</v>
      </c>
      <c r="E796" s="1" t="n">
        <v>46236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46135</v>
      </c>
      <c r="E797" s="1" t="n">
        <v>46236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12115-2026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46086</v>
      </c>
      <c r="E798" s="1" t="n">
        <v>46236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45989-2023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45196</v>
      </c>
      <c r="E799" s="1" t="n">
        <v>46236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13258-2026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46093</v>
      </c>
      <c r="E800" s="1" t="n">
        <v>46236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34946-2022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44796</v>
      </c>
      <c r="E801" s="1" t="n">
        <v>46236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8603-2026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46065</v>
      </c>
      <c r="E802" s="1" t="n">
        <v>46236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56017-2023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45240</v>
      </c>
      <c r="E803" s="1" t="n">
        <v>46236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12382-2026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46236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40745-2024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45558</v>
      </c>
      <c r="E805" s="1" t="n">
        <v>46236</v>
      </c>
      <c r="F805" t="inlineStr">
        <is>
          <t>GÄVLEBORGS LÄN</t>
        </is>
      </c>
      <c r="G805" t="inlineStr">
        <is>
          <t>SANDVIKEN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45920-2022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44846</v>
      </c>
      <c r="E806" s="1" t="n">
        <v>46236</v>
      </c>
      <c r="F806" t="inlineStr">
        <is>
          <t>GÄVLEBORGS LÄN</t>
        </is>
      </c>
      <c r="G806" t="inlineStr">
        <is>
          <t>SANDVIKEN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8379-2025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45709</v>
      </c>
      <c r="E807" s="1" t="n">
        <v>46236</v>
      </c>
      <c r="F807" t="inlineStr">
        <is>
          <t>GÄVLEBORGS LÄN</t>
        </is>
      </c>
      <c r="G807" t="inlineStr">
        <is>
          <t>SANDVIKEN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36203-2025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45867</v>
      </c>
      <c r="E808" s="1" t="n">
        <v>46236</v>
      </c>
      <c r="F808" t="inlineStr">
        <is>
          <t>GÄVLEBORGS LÄN</t>
        </is>
      </c>
      <c r="G808" t="inlineStr">
        <is>
          <t>SANDVIKEN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36671-2023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45153</v>
      </c>
      <c r="E809" s="1" t="n">
        <v>46236</v>
      </c>
      <c r="F809" t="inlineStr">
        <is>
          <t>GÄVLEBORGS LÄN</t>
        </is>
      </c>
      <c r="G809" t="inlineStr">
        <is>
          <t>SANDVIKEN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29928-2024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45488</v>
      </c>
      <c r="E810" s="1" t="n">
        <v>46236</v>
      </c>
      <c r="F810" t="inlineStr">
        <is>
          <t>GÄVLEBORGS LÄN</t>
        </is>
      </c>
      <c r="G810" t="inlineStr">
        <is>
          <t>SANDVIKEN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46048</v>
      </c>
      <c r="E811" s="1" t="n">
        <v>46236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44586</v>
      </c>
      <c r="E812" s="1" t="n">
        <v>46236</v>
      </c>
      <c r="F812" t="inlineStr">
        <is>
          <t>GÄVLEBORGS LÄN</t>
        </is>
      </c>
      <c r="G812" t="inlineStr">
        <is>
          <t>SANDVIKEN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8698-2024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45356</v>
      </c>
      <c r="E813" s="1" t="n">
        <v>46236</v>
      </c>
      <c r="F813" t="inlineStr">
        <is>
          <t>GÄVLEBORGS LÄN</t>
        </is>
      </c>
      <c r="G813" t="inlineStr">
        <is>
          <t>SANDVIKEN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56734-2021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44481</v>
      </c>
      <c r="E814" s="1" t="n">
        <v>46236</v>
      </c>
      <c r="F814" t="inlineStr">
        <is>
          <t>GÄVLEBORGS LÄN</t>
        </is>
      </c>
      <c r="G814" t="inlineStr">
        <is>
          <t>SANDVIKEN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46035</v>
      </c>
      <c r="E815" s="1" t="n">
        <v>46236</v>
      </c>
      <c r="F815" t="inlineStr">
        <is>
          <t>GÄVLEBORGS LÄN</t>
        </is>
      </c>
      <c r="G815" t="inlineStr">
        <is>
          <t>SANDVIKEN</t>
        </is>
      </c>
      <c r="I815" t="n">
        <v>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64801-2023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45282</v>
      </c>
      <c r="E816" s="1" t="n">
        <v>46236</v>
      </c>
      <c r="F816" t="inlineStr">
        <is>
          <t>GÄVLEBORGS LÄN</t>
        </is>
      </c>
      <c r="G816" t="inlineStr">
        <is>
          <t>SANDVIKEN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45303</v>
      </c>
      <c r="E817" s="1" t="n">
        <v>46236</v>
      </c>
      <c r="F817" t="inlineStr">
        <is>
          <t>GÄVLEBORGS LÄN</t>
        </is>
      </c>
      <c r="G817" t="inlineStr">
        <is>
          <t>SANDVIKEN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61363-2023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45264</v>
      </c>
      <c r="E818" s="1" t="n">
        <v>46236</v>
      </c>
      <c r="F818" t="inlineStr">
        <is>
          <t>GÄVLEBORGS LÄN</t>
        </is>
      </c>
      <c r="G818" t="inlineStr">
        <is>
          <t>SANDVIKEN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46030</v>
      </c>
      <c r="E819" s="1" t="n">
        <v>46236</v>
      </c>
      <c r="F819" t="inlineStr">
        <is>
          <t>GÄVLEBORGS LÄN</t>
        </is>
      </c>
      <c r="G819" t="inlineStr">
        <is>
          <t>SANDVIKEN</t>
        </is>
      </c>
      <c r="I819" t="n">
        <v>10.1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8604-2026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46236</v>
      </c>
      <c r="F820" t="inlineStr">
        <is>
          <t>GÄVLEBORGS LÄN</t>
        </is>
      </c>
      <c r="G820" t="inlineStr">
        <is>
          <t>SANDVIKEN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45265</v>
      </c>
      <c r="E821" s="1" t="n">
        <v>46236</v>
      </c>
      <c r="F821" t="inlineStr">
        <is>
          <t>GÄVLEBORGS LÄN</t>
        </is>
      </c>
      <c r="G821" t="inlineStr">
        <is>
          <t>SANDVIKEN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34429-2024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45525</v>
      </c>
      <c r="E822" s="1" t="n">
        <v>46236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45293</v>
      </c>
      <c r="E823" s="1" t="n">
        <v>46236</v>
      </c>
      <c r="F823" t="inlineStr">
        <is>
          <t>GÄVLEBORGS LÄN</t>
        </is>
      </c>
      <c r="G823" t="inlineStr">
        <is>
          <t>SANDVIKEN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45293</v>
      </c>
      <c r="E824" s="1" t="n">
        <v>46236</v>
      </c>
      <c r="F824" t="inlineStr">
        <is>
          <t>GÄVLEBORGS LÄN</t>
        </is>
      </c>
      <c r="G824" t="inlineStr">
        <is>
          <t>SANDVIKEN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45660</v>
      </c>
      <c r="E825" s="1" t="n">
        <v>46236</v>
      </c>
      <c r="F825" t="inlineStr">
        <is>
          <t>GÄVLEBORGS LÄN</t>
        </is>
      </c>
      <c r="G825" t="inlineStr">
        <is>
          <t>SANDVIKEN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27872-2024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45475</v>
      </c>
      <c r="E826" s="1" t="n">
        <v>46236</v>
      </c>
      <c r="F826" t="inlineStr">
        <is>
          <t>GÄVLEBORGS LÄN</t>
        </is>
      </c>
      <c r="G826" t="inlineStr">
        <is>
          <t>SANDVIKEN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37458-2024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45540</v>
      </c>
      <c r="E827" s="1" t="n">
        <v>46236</v>
      </c>
      <c r="F827" t="inlineStr">
        <is>
          <t>GÄVLEBORGS LÄN</t>
        </is>
      </c>
      <c r="G827" t="inlineStr">
        <is>
          <t>SANDVIKEN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44289-2023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45188</v>
      </c>
      <c r="E828" s="1" t="n">
        <v>46236</v>
      </c>
      <c r="F828" t="inlineStr">
        <is>
          <t>GÄVLEBORGS LÄN</t>
        </is>
      </c>
      <c r="G828" t="inlineStr">
        <is>
          <t>SANDVIKEN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15682-2024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45404</v>
      </c>
      <c r="E829" s="1" t="n">
        <v>46236</v>
      </c>
      <c r="F829" t="inlineStr">
        <is>
          <t>GÄVLEBORGS LÄN</t>
        </is>
      </c>
      <c r="G829" t="inlineStr">
        <is>
          <t>SANDVIKEN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17735-2024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45418</v>
      </c>
      <c r="E830" s="1" t="n">
        <v>46236</v>
      </c>
      <c r="F830" t="inlineStr">
        <is>
          <t>GÄVLEBORGS LÄN</t>
        </is>
      </c>
      <c r="G830" t="inlineStr">
        <is>
          <t>SANDVIKEN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64000-2023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45278</v>
      </c>
      <c r="E831" s="1" t="n">
        <v>46236</v>
      </c>
      <c r="F831" t="inlineStr">
        <is>
          <t>GÄVLEBORGS LÄN</t>
        </is>
      </c>
      <c r="G831" t="inlineStr">
        <is>
          <t>SANDVIKEN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45221-2021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44439</v>
      </c>
      <c r="E832" s="1" t="n">
        <v>46236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60798-2023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45260</v>
      </c>
      <c r="E833" s="1" t="n">
        <v>46236</v>
      </c>
      <c r="F833" t="inlineStr">
        <is>
          <t>GÄVLEBORGS LÄN</t>
        </is>
      </c>
      <c r="G833" t="inlineStr">
        <is>
          <t>SANDVIKEN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71995-2021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44544</v>
      </c>
      <c r="E834" s="1" t="n">
        <v>46236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53322-2024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45614</v>
      </c>
      <c r="E835" s="1" t="n">
        <v>46236</v>
      </c>
      <c r="F835" t="inlineStr">
        <is>
          <t>GÄVLEBORGS LÄN</t>
        </is>
      </c>
      <c r="G835" t="inlineStr">
        <is>
          <t>SANDVIKEN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2358-2025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46236</v>
      </c>
      <c r="F836" t="inlineStr">
        <is>
          <t>GÄVLEBORGS LÄN</t>
        </is>
      </c>
      <c r="G836" t="inlineStr">
        <is>
          <t>SANDVIKEN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18725-2025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45763</v>
      </c>
      <c r="E837" s="1" t="n">
        <v>46236</v>
      </c>
      <c r="F837" t="inlineStr">
        <is>
          <t>GÄVLEBORGS LÄN</t>
        </is>
      </c>
      <c r="G837" t="inlineStr">
        <is>
          <t>SANDVIKEN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25300-2025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45800</v>
      </c>
      <c r="E838" s="1" t="n">
        <v>46236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25327-2025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46236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25317-2025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46236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24953-2025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45799</v>
      </c>
      <c r="E841" s="1" t="n">
        <v>46236</v>
      </c>
      <c r="F841" t="inlineStr">
        <is>
          <t>GÄVLEBORGS LÄN</t>
        </is>
      </c>
      <c r="G841" t="inlineStr">
        <is>
          <t>SANDVIKEN</t>
        </is>
      </c>
      <c r="I841" t="n">
        <v>10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25111-2025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45800</v>
      </c>
      <c r="E842" s="1" t="n">
        <v>46236</v>
      </c>
      <c r="F842" t="inlineStr">
        <is>
          <t>GÄVLEBORGS LÄN</t>
        </is>
      </c>
      <c r="G842" t="inlineStr">
        <is>
          <t>SANDVIKEN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24940-2025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45799</v>
      </c>
      <c r="E843" s="1" t="n">
        <v>46236</v>
      </c>
      <c r="F843" t="inlineStr">
        <is>
          <t>GÄVLEBORGS LÄN</t>
        </is>
      </c>
      <c r="G843" t="inlineStr">
        <is>
          <t>SANDVIKEN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24948-2025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45799</v>
      </c>
      <c r="E844" s="1" t="n">
        <v>46236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33136-2023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45126</v>
      </c>
      <c r="E845" s="1" t="n">
        <v>46236</v>
      </c>
      <c r="F845" t="inlineStr">
        <is>
          <t>GÄVLEBORGS LÄN</t>
        </is>
      </c>
      <c r="G845" t="inlineStr">
        <is>
          <t>SANDVIKEN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26294-2025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45805</v>
      </c>
      <c r="E846" s="1" t="n">
        <v>46236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26787-2025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45810</v>
      </c>
      <c r="E847" s="1" t="n">
        <v>46236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28476-2025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45819</v>
      </c>
      <c r="E848" s="1" t="n">
        <v>46236</v>
      </c>
      <c r="F848" t="inlineStr">
        <is>
          <t>GÄVLEBORGS LÄN</t>
        </is>
      </c>
      <c r="G848" t="inlineStr">
        <is>
          <t>SANDVIKEN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28424-2025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45819</v>
      </c>
      <c r="E849" s="1" t="n">
        <v>46236</v>
      </c>
      <c r="F849" t="inlineStr">
        <is>
          <t>GÄVLEBORGS LÄN</t>
        </is>
      </c>
      <c r="G849" t="inlineStr">
        <is>
          <t>SANDVIKEN</t>
        </is>
      </c>
      <c r="I849" t="n">
        <v>6.8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28468-2025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45819</v>
      </c>
      <c r="E850" s="1" t="n">
        <v>46236</v>
      </c>
      <c r="F850" t="inlineStr">
        <is>
          <t>GÄVLEBORGS LÄN</t>
        </is>
      </c>
      <c r="G850" t="inlineStr">
        <is>
          <t>SANDVIKEN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29738-2025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45825</v>
      </c>
      <c r="E851" s="1" t="n">
        <v>46236</v>
      </c>
      <c r="F851" t="inlineStr">
        <is>
          <t>GÄVLEBORGS LÄN</t>
        </is>
      </c>
      <c r="G851" t="inlineStr">
        <is>
          <t>SANDVIKEN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30203-2025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45827</v>
      </c>
      <c r="E852" s="1" t="n">
        <v>46236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31145-2025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45832</v>
      </c>
      <c r="E853" s="1" t="n">
        <v>46236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30843-2025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45831</v>
      </c>
      <c r="E854" s="1" t="n">
        <v>46236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31460-2025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45833</v>
      </c>
      <c r="E855" s="1" t="n">
        <v>46236</v>
      </c>
      <c r="F855" t="inlineStr">
        <is>
          <t>GÄVLEBORGS LÄN</t>
        </is>
      </c>
      <c r="G855" t="inlineStr">
        <is>
          <t>SANDVIKEN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33015-2025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45840</v>
      </c>
      <c r="E856" s="1" t="n">
        <v>46236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27.3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33757-2025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45842</v>
      </c>
      <c r="E857" s="1" t="n">
        <v>46236</v>
      </c>
      <c r="F857" t="inlineStr">
        <is>
          <t>GÄVLEBORGS LÄN</t>
        </is>
      </c>
      <c r="G857" t="inlineStr">
        <is>
          <t>SANDVIKEN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34219-2025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46236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18357-2025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45762</v>
      </c>
      <c r="E859" s="1" t="n">
        <v>46236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36107-2025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45866</v>
      </c>
      <c r="E860" s="1" t="n">
        <v>46236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35995-2025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45863</v>
      </c>
      <c r="E861" s="1" t="n">
        <v>46236</v>
      </c>
      <c r="F861" t="inlineStr">
        <is>
          <t>GÄVLEBORGS LÄN</t>
        </is>
      </c>
      <c r="G861" t="inlineStr">
        <is>
          <t>SANDVIKEN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36091-2025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45866</v>
      </c>
      <c r="E862" s="1" t="n">
        <v>46236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36212-2025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45867</v>
      </c>
      <c r="E863" s="1" t="n">
        <v>46236</v>
      </c>
      <c r="F863" t="inlineStr">
        <is>
          <t>GÄVLEBORGS LÄN</t>
        </is>
      </c>
      <c r="G863" t="inlineStr">
        <is>
          <t>SANDVIKEN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36584-2025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45870</v>
      </c>
      <c r="E864" s="1" t="n">
        <v>46236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32849-2022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44784</v>
      </c>
      <c r="E865" s="1" t="n">
        <v>46236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36732-2025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45873</v>
      </c>
      <c r="E866" s="1" t="n">
        <v>46236</v>
      </c>
      <c r="F866" t="inlineStr">
        <is>
          <t>GÄVLEBORGS LÄN</t>
        </is>
      </c>
      <c r="G866" t="inlineStr">
        <is>
          <t>SANDVIKEN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36693-2025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45873</v>
      </c>
      <c r="E867" s="1" t="n">
        <v>46236</v>
      </c>
      <c r="F867" t="inlineStr">
        <is>
          <t>GÄVLEBORGS LÄN</t>
        </is>
      </c>
      <c r="G867" t="inlineStr">
        <is>
          <t>SANDVIKEN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36793-2025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45873</v>
      </c>
      <c r="E868" s="1" t="n">
        <v>46236</v>
      </c>
      <c r="F868" t="inlineStr">
        <is>
          <t>GÄVLEBORGS LÄN</t>
        </is>
      </c>
      <c r="G868" t="inlineStr">
        <is>
          <t>SANDVIKEN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46236</v>
      </c>
      <c r="F869" t="inlineStr">
        <is>
          <t>GÄVLEBORGS LÄN</t>
        </is>
      </c>
      <c r="G869" t="inlineStr">
        <is>
          <t>SANDVIKEN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46236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10363-2021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44550</v>
      </c>
      <c r="E871" s="1" t="n">
        <v>46236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73.3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219-2024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45316</v>
      </c>
      <c r="E872" s="1" t="n">
        <v>46236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198-2024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45315</v>
      </c>
      <c r="E873" s="1" t="n">
        <v>46236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64.59999999999999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513-2025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45706</v>
      </c>
      <c r="E874" s="1" t="n">
        <v>46236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46236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46236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46236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46236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46236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46236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46236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46236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46236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2026-08-02T01:52:50Z</dcterms:created>
  <dcterms:modified xmlns:dcterms="http://purl.org/dc/terms/" xmlns:xsi="http://www.w3.org/2001/XMLSchema-instance" xsi:type="dcterms:W3CDTF">2026-08-02T01:52:51Z</dcterms:modified>
</cp:coreProperties>
</file>