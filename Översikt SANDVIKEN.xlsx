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45572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45572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45572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45572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45572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45572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45572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61554-2023</t>
        </is>
      </c>
      <c r="B9" s="1" t="n">
        <v>45265</v>
      </c>
      <c r="C9" s="1" t="n">
        <v>45572</v>
      </c>
      <c r="D9" t="inlineStr">
        <is>
          <t>GÄVLEBORGS LÄN</t>
        </is>
      </c>
      <c r="E9" t="inlineStr">
        <is>
          <t>SANDVIKEN</t>
        </is>
      </c>
      <c r="G9" t="n">
        <v>4.5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Nästlav</t>
        </is>
      </c>
      <c r="S9">
        <f>HYPERLINK("https://klasma.github.io/Logging_2181/artfynd/A 61554-2023 artfynd.xlsx", "A 61554-2023")</f>
        <v/>
      </c>
      <c r="T9">
        <f>HYPERLINK("https://klasma.github.io/Logging_2181/kartor/A 61554-2023 karta.png", "A 61554-2023")</f>
        <v/>
      </c>
      <c r="V9">
        <f>HYPERLINK("https://klasma.github.io/Logging_2181/klagomål/A 61554-2023 FSC-klagomål.docx", "A 61554-2023")</f>
        <v/>
      </c>
      <c r="W9">
        <f>HYPERLINK("https://klasma.github.io/Logging_2181/klagomålsmail/A 61554-2023 FSC-klagomål mail.docx", "A 61554-2023")</f>
        <v/>
      </c>
      <c r="X9">
        <f>HYPERLINK("https://klasma.github.io/Logging_2181/tillsyn/A 61554-2023 tillsynsbegäran.docx", "A 61554-2023")</f>
        <v/>
      </c>
      <c r="Y9">
        <f>HYPERLINK("https://klasma.github.io/Logging_2181/tillsynsmail/A 61554-2023 tillsynsbegäran mail.docx", "A 61554-2023")</f>
        <v/>
      </c>
    </row>
    <row r="10" ht="15" customHeight="1">
      <c r="A10" t="inlineStr">
        <is>
          <t>A 30530-2024</t>
        </is>
      </c>
      <c r="B10" s="1" t="n">
        <v>45492</v>
      </c>
      <c r="C10" s="1" t="n">
        <v>45572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13.5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30530-2024 artfynd.xlsx", "A 30530-2024")</f>
        <v/>
      </c>
      <c r="T10">
        <f>HYPERLINK("https://klasma.github.io/Logging_2181/kartor/A 30530-2024 karta.png", "A 30530-2024")</f>
        <v/>
      </c>
      <c r="U10">
        <f>HYPERLINK("https://klasma.github.io/Logging_2181/knärot/A 30530-2024 karta knärot.png", "A 30530-2024")</f>
        <v/>
      </c>
      <c r="V10">
        <f>HYPERLINK("https://klasma.github.io/Logging_2181/klagomål/A 30530-2024 FSC-klagomål.docx", "A 30530-2024")</f>
        <v/>
      </c>
      <c r="W10">
        <f>HYPERLINK("https://klasma.github.io/Logging_2181/klagomålsmail/A 30530-2024 FSC-klagomål mail.docx", "A 30530-2024")</f>
        <v/>
      </c>
      <c r="X10">
        <f>HYPERLINK("https://klasma.github.io/Logging_2181/tillsyn/A 30530-2024 tillsynsbegäran.docx", "A 30530-2024")</f>
        <v/>
      </c>
      <c r="Y10">
        <f>HYPERLINK("https://klasma.github.io/Logging_2181/tillsynsmail/A 30530-2024 tillsynsbegäran mail.docx", "A 30530-2024")</f>
        <v/>
      </c>
    </row>
    <row r="11" ht="15" customHeight="1">
      <c r="A11" t="inlineStr">
        <is>
          <t>A 46192-2019</t>
        </is>
      </c>
      <c r="B11" s="1" t="n">
        <v>43718</v>
      </c>
      <c r="C11" s="1" t="n">
        <v>45572</v>
      </c>
      <c r="D11" t="inlineStr">
        <is>
          <t>GÄVLEBORGS LÄN</t>
        </is>
      </c>
      <c r="E11" t="inlineStr">
        <is>
          <t>SANDVIKEN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HYPERLINK("https://klasma.github.io/Logging_2181/artfynd/A 46192-2019 artfynd.xlsx", "A 46192-2019")</f>
        <v/>
      </c>
      <c r="T11">
        <f>HYPERLINK("https://klasma.github.io/Logging_2181/kartor/A 46192-2019 karta.png", "A 46192-2019")</f>
        <v/>
      </c>
      <c r="V11">
        <f>HYPERLINK("https://klasma.github.io/Logging_2181/klagomål/A 46192-2019 FSC-klagomål.docx", "A 46192-2019")</f>
        <v/>
      </c>
      <c r="W11">
        <f>HYPERLINK("https://klasma.github.io/Logging_2181/klagomålsmail/A 46192-2019 FSC-klagomål mail.docx", "A 46192-2019")</f>
        <v/>
      </c>
      <c r="X11">
        <f>HYPERLINK("https://klasma.github.io/Logging_2181/tillsyn/A 46192-2019 tillsynsbegäran.docx", "A 46192-2019")</f>
        <v/>
      </c>
      <c r="Y11">
        <f>HYPERLINK("https://klasma.github.io/Logging_2181/tillsynsmail/A 46192-2019 tillsynsbegäran mail.docx", "A 46192-2019")</f>
        <v/>
      </c>
    </row>
    <row r="12" ht="15" customHeight="1">
      <c r="A12" t="inlineStr">
        <is>
          <t>A 48775-2019</t>
        </is>
      </c>
      <c r="B12" s="1" t="n">
        <v>43727</v>
      </c>
      <c r="C12" s="1" t="n">
        <v>45572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HYPERLINK("https://klasma.github.io/Logging_2181/artfynd/A 48775-2019 artfynd.xlsx", "A 48775-2019")</f>
        <v/>
      </c>
      <c r="T12">
        <f>HYPERLINK("https://klasma.github.io/Logging_2181/kartor/A 48775-2019 karta.png", "A 48775-2019")</f>
        <v/>
      </c>
      <c r="V12">
        <f>HYPERLINK("https://klasma.github.io/Logging_2181/klagomål/A 48775-2019 FSC-klagomål.docx", "A 48775-2019")</f>
        <v/>
      </c>
      <c r="W12">
        <f>HYPERLINK("https://klasma.github.io/Logging_2181/klagomålsmail/A 48775-2019 FSC-klagomål mail.docx", "A 48775-2019")</f>
        <v/>
      </c>
      <c r="X12">
        <f>HYPERLINK("https://klasma.github.io/Logging_2181/tillsyn/A 48775-2019 tillsynsbegäran.docx", "A 48775-2019")</f>
        <v/>
      </c>
      <c r="Y12">
        <f>HYPERLINK("https://klasma.github.io/Logging_2181/tillsynsmail/A 48775-2019 tillsynsbegäran mail.docx", "A 48775-2019")</f>
        <v/>
      </c>
    </row>
    <row r="13" ht="15" customHeight="1">
      <c r="A13" t="inlineStr">
        <is>
          <t>A 9731-2020</t>
        </is>
      </c>
      <c r="B13" s="1" t="n">
        <v>43881</v>
      </c>
      <c r="C13" s="1" t="n">
        <v>45572</v>
      </c>
      <c r="D13" t="inlineStr">
        <is>
          <t>GÄVLEBORGS LÄN</t>
        </is>
      </c>
      <c r="E13" t="inlineStr">
        <is>
          <t>SANDVIKEN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HYPERLINK("https://klasma.github.io/Logging_2181/artfynd/A 9731-2020 artfynd.xlsx", "A 9731-2020")</f>
        <v/>
      </c>
      <c r="T13">
        <f>HYPERLINK("https://klasma.github.io/Logging_2181/kartor/A 9731-2020 karta.png", "A 9731-2020")</f>
        <v/>
      </c>
      <c r="V13">
        <f>HYPERLINK("https://klasma.github.io/Logging_2181/klagomål/A 9731-2020 FSC-klagomål.docx", "A 9731-2020")</f>
        <v/>
      </c>
      <c r="W13">
        <f>HYPERLINK("https://klasma.github.io/Logging_2181/klagomålsmail/A 9731-2020 FSC-klagomål mail.docx", "A 9731-2020")</f>
        <v/>
      </c>
      <c r="X13">
        <f>HYPERLINK("https://klasma.github.io/Logging_2181/tillsyn/A 9731-2020 tillsynsbegäran.docx", "A 9731-2020")</f>
        <v/>
      </c>
      <c r="Y13">
        <f>HYPERLINK("https://klasma.github.io/Logging_2181/tillsynsmail/A 9731-2020 tillsynsbegäran mail.docx", "A 9731-2020")</f>
        <v/>
      </c>
    </row>
    <row r="14" ht="15" customHeight="1">
      <c r="A14" t="inlineStr">
        <is>
          <t>A 13645-2020</t>
        </is>
      </c>
      <c r="B14" s="1" t="n">
        <v>43903</v>
      </c>
      <c r="C14" s="1" t="n">
        <v>45572</v>
      </c>
      <c r="D14" t="inlineStr">
        <is>
          <t>GÄVLEBORGS LÄN</t>
        </is>
      </c>
      <c r="E14" t="inlineStr">
        <is>
          <t>SANDVIKEN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HYPERLINK("https://klasma.github.io/Logging_2181/artfynd/A 13645-2020 artfynd.xlsx", "A 13645-2020")</f>
        <v/>
      </c>
      <c r="T14">
        <f>HYPERLINK("https://klasma.github.io/Logging_2181/kartor/A 13645-2020 karta.png", "A 13645-2020")</f>
        <v/>
      </c>
      <c r="V14">
        <f>HYPERLINK("https://klasma.github.io/Logging_2181/klagomål/A 13645-2020 FSC-klagomål.docx", "A 13645-2020")</f>
        <v/>
      </c>
      <c r="W14">
        <f>HYPERLINK("https://klasma.github.io/Logging_2181/klagomålsmail/A 13645-2020 FSC-klagomål mail.docx", "A 13645-2020")</f>
        <v/>
      </c>
      <c r="X14">
        <f>HYPERLINK("https://klasma.github.io/Logging_2181/tillsyn/A 13645-2020 tillsynsbegäran.docx", "A 13645-2020")</f>
        <v/>
      </c>
      <c r="Y14">
        <f>HYPERLINK("https://klasma.github.io/Logging_2181/tillsynsmail/A 13645-2020 tillsynsbegäran mail.docx", "A 13645-2020")</f>
        <v/>
      </c>
    </row>
    <row r="15" ht="15" customHeight="1">
      <c r="A15" t="inlineStr">
        <is>
          <t>A 30998-2020</t>
        </is>
      </c>
      <c r="B15" s="1" t="n">
        <v>44011</v>
      </c>
      <c r="C15" s="1" t="n">
        <v>45572</v>
      </c>
      <c r="D15" t="inlineStr">
        <is>
          <t>GÄVLEBORGS LÄN</t>
        </is>
      </c>
      <c r="E15" t="inlineStr">
        <is>
          <t>SANDVIKEN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HYPERLINK("https://klasma.github.io/Logging_2181/artfynd/A 30998-2020 artfynd.xlsx", "A 30998-2020")</f>
        <v/>
      </c>
      <c r="T15">
        <f>HYPERLINK("https://klasma.github.io/Logging_2181/kartor/A 30998-2020 karta.png", "A 30998-2020")</f>
        <v/>
      </c>
      <c r="V15">
        <f>HYPERLINK("https://klasma.github.io/Logging_2181/klagomål/A 30998-2020 FSC-klagomål.docx", "A 30998-2020")</f>
        <v/>
      </c>
      <c r="W15">
        <f>HYPERLINK("https://klasma.github.io/Logging_2181/klagomålsmail/A 30998-2020 FSC-klagomål mail.docx", "A 30998-2020")</f>
        <v/>
      </c>
      <c r="X15">
        <f>HYPERLINK("https://klasma.github.io/Logging_2181/tillsyn/A 30998-2020 tillsynsbegäran.docx", "A 30998-2020")</f>
        <v/>
      </c>
      <c r="Y15">
        <f>HYPERLINK("https://klasma.github.io/Logging_2181/tillsynsmail/A 30998-2020 tillsynsbegäran mail.docx", "A 30998-2020")</f>
        <v/>
      </c>
    </row>
    <row r="16" ht="15" customHeight="1">
      <c r="A16" t="inlineStr">
        <is>
          <t>A 32799-2020</t>
        </is>
      </c>
      <c r="B16" s="1" t="n">
        <v>44020</v>
      </c>
      <c r="C16" s="1" t="n">
        <v>45572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HYPERLINK("https://klasma.github.io/Logging_2181/artfynd/A 32799-2020 artfynd.xlsx", "A 32799-2020")</f>
        <v/>
      </c>
      <c r="T16">
        <f>HYPERLINK("https://klasma.github.io/Logging_2181/kartor/A 32799-2020 karta.png", "A 32799-2020")</f>
        <v/>
      </c>
      <c r="V16">
        <f>HYPERLINK("https://klasma.github.io/Logging_2181/klagomål/A 32799-2020 FSC-klagomål.docx", "A 32799-2020")</f>
        <v/>
      </c>
      <c r="W16">
        <f>HYPERLINK("https://klasma.github.io/Logging_2181/klagomålsmail/A 32799-2020 FSC-klagomål mail.docx", "A 32799-2020")</f>
        <v/>
      </c>
      <c r="X16">
        <f>HYPERLINK("https://klasma.github.io/Logging_2181/tillsyn/A 32799-2020 tillsynsbegäran.docx", "A 32799-2020")</f>
        <v/>
      </c>
      <c r="Y16">
        <f>HYPERLINK("https://klasma.github.io/Logging_2181/tillsynsmail/A 32799-2020 tillsynsbegäran mail.docx", "A 32799-2020")</f>
        <v/>
      </c>
    </row>
    <row r="17" ht="15" customHeight="1">
      <c r="A17" t="inlineStr">
        <is>
          <t>A 48805-2021</t>
        </is>
      </c>
      <c r="B17" s="1" t="n">
        <v>44452</v>
      </c>
      <c r="C17" s="1" t="n">
        <v>45572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48805-2021 artfynd.xlsx", "A 48805-2021")</f>
        <v/>
      </c>
      <c r="T17">
        <f>HYPERLINK("https://klasma.github.io/Logging_2181/kartor/A 48805-2021 karta.png", "A 48805-2021")</f>
        <v/>
      </c>
      <c r="U17">
        <f>HYPERLINK("https://klasma.github.io/Logging_2181/knärot/A 48805-2021 karta knärot.png", "A 48805-2021")</f>
        <v/>
      </c>
      <c r="V17">
        <f>HYPERLINK("https://klasma.github.io/Logging_2181/klagomål/A 48805-2021 FSC-klagomål.docx", "A 48805-2021")</f>
        <v/>
      </c>
      <c r="W17">
        <f>HYPERLINK("https://klasma.github.io/Logging_2181/klagomålsmail/A 48805-2021 FSC-klagomål mail.docx", "A 48805-2021")</f>
        <v/>
      </c>
      <c r="X17">
        <f>HYPERLINK("https://klasma.github.io/Logging_2181/tillsyn/A 48805-2021 tillsynsbegäran.docx", "A 48805-2021")</f>
        <v/>
      </c>
      <c r="Y17">
        <f>HYPERLINK("https://klasma.github.io/Logging_2181/tillsynsmail/A 48805-2021 tillsynsbegäran mail.docx", "A 48805-2021")</f>
        <v/>
      </c>
    </row>
    <row r="18" ht="15" customHeight="1">
      <c r="A18" t="inlineStr">
        <is>
          <t>A 6942-2022</t>
        </is>
      </c>
      <c r="B18" s="1" t="n">
        <v>44603</v>
      </c>
      <c r="C18" s="1" t="n">
        <v>45572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HYPERLINK("https://klasma.github.io/Logging_2181/artfynd/A 6942-2022 artfynd.xlsx", "A 6942-2022")</f>
        <v/>
      </c>
      <c r="T18">
        <f>HYPERLINK("https://klasma.github.io/Logging_2181/kartor/A 6942-2022 karta.png", "A 6942-2022")</f>
        <v/>
      </c>
      <c r="V18">
        <f>HYPERLINK("https://klasma.github.io/Logging_2181/klagomål/A 6942-2022 FSC-klagomål.docx", "A 6942-2022")</f>
        <v/>
      </c>
      <c r="W18">
        <f>HYPERLINK("https://klasma.github.io/Logging_2181/klagomålsmail/A 6942-2022 FSC-klagomål mail.docx", "A 6942-2022")</f>
        <v/>
      </c>
      <c r="X18">
        <f>HYPERLINK("https://klasma.github.io/Logging_2181/tillsyn/A 6942-2022 tillsynsbegäran.docx", "A 6942-2022")</f>
        <v/>
      </c>
      <c r="Y18">
        <f>HYPERLINK("https://klasma.github.io/Logging_2181/tillsynsmail/A 6942-2022 tillsynsbegäran mail.docx", "A 6942-2022")</f>
        <v/>
      </c>
      <c r="Z18">
        <f>HYPERLINK("https://klasma.github.io/Logging_2181/fåglar/A 6942-2022 prioriterade fågelarter.docx", "A 6942-2022")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45572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24698-2022</t>
        </is>
      </c>
      <c r="B20" s="1" t="n">
        <v>44727</v>
      </c>
      <c r="C20" s="1" t="n">
        <v>45572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HYPERLINK("https://klasma.github.io/Logging_2181/artfynd/A 24698-2022 artfynd.xlsx", "A 24698-2022")</f>
        <v/>
      </c>
      <c r="T20">
        <f>HYPERLINK("https://klasma.github.io/Logging_2181/kartor/A 24698-2022 karta.png", "A 24698-2022")</f>
        <v/>
      </c>
      <c r="V20">
        <f>HYPERLINK("https://klasma.github.io/Logging_2181/klagomål/A 24698-2022 FSC-klagomål.docx", "A 24698-2022")</f>
        <v/>
      </c>
      <c r="W20">
        <f>HYPERLINK("https://klasma.github.io/Logging_2181/klagomålsmail/A 24698-2022 FSC-klagomål mail.docx", "A 24698-2022")</f>
        <v/>
      </c>
      <c r="X20">
        <f>HYPERLINK("https://klasma.github.io/Logging_2181/tillsyn/A 24698-2022 tillsynsbegäran.docx", "A 24698-2022")</f>
        <v/>
      </c>
      <c r="Y20">
        <f>HYPERLINK("https://klasma.github.io/Logging_2181/tillsynsmail/A 24698-2022 tillsynsbegäran mail.docx", "A 24698-2022")</f>
        <v/>
      </c>
    </row>
    <row r="21" ht="15" customHeight="1">
      <c r="A21" t="inlineStr">
        <is>
          <t>A 25688-2022</t>
        </is>
      </c>
      <c r="B21" s="1" t="n">
        <v>44733</v>
      </c>
      <c r="C21" s="1" t="n">
        <v>45572</v>
      </c>
      <c r="D21" t="inlineStr">
        <is>
          <t>GÄVLEBORGS LÄN</t>
        </is>
      </c>
      <c r="E21" t="inlineStr">
        <is>
          <t>SANDVIKEN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HYPERLINK("https://klasma.github.io/Logging_2181/artfynd/A 25688-2022 artfynd.xlsx", "A 25688-2022")</f>
        <v/>
      </c>
      <c r="T21">
        <f>HYPERLINK("https://klasma.github.io/Logging_2181/kartor/A 25688-2022 karta.png", "A 25688-2022")</f>
        <v/>
      </c>
      <c r="V21">
        <f>HYPERLINK("https://klasma.github.io/Logging_2181/klagomål/A 25688-2022 FSC-klagomål.docx", "A 25688-2022")</f>
        <v/>
      </c>
      <c r="W21">
        <f>HYPERLINK("https://klasma.github.io/Logging_2181/klagomålsmail/A 25688-2022 FSC-klagomål mail.docx", "A 25688-2022")</f>
        <v/>
      </c>
      <c r="X21">
        <f>HYPERLINK("https://klasma.github.io/Logging_2181/tillsyn/A 25688-2022 tillsynsbegäran.docx", "A 25688-2022")</f>
        <v/>
      </c>
      <c r="Y21">
        <f>HYPERLINK("https://klasma.github.io/Logging_2181/tillsynsmail/A 25688-2022 tillsynsbegäran mail.docx", "A 25688-2022")</f>
        <v/>
      </c>
    </row>
    <row r="22" ht="15" customHeight="1">
      <c r="A22" t="inlineStr">
        <is>
          <t>A 31023-2022</t>
        </is>
      </c>
      <c r="B22" s="1" t="n">
        <v>44768</v>
      </c>
      <c r="C22" s="1" t="n">
        <v>45572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HYPERLINK("https://klasma.github.io/Logging_2181/artfynd/A 31023-2022 artfynd.xlsx", "A 31023-2022")</f>
        <v/>
      </c>
      <c r="T22">
        <f>HYPERLINK("https://klasma.github.io/Logging_2181/kartor/A 31023-2022 karta.png", "A 31023-2022")</f>
        <v/>
      </c>
      <c r="V22">
        <f>HYPERLINK("https://klasma.github.io/Logging_2181/klagomål/A 31023-2022 FSC-klagomål.docx", "A 31023-2022")</f>
        <v/>
      </c>
      <c r="W22">
        <f>HYPERLINK("https://klasma.github.io/Logging_2181/klagomålsmail/A 31023-2022 FSC-klagomål mail.docx", "A 31023-2022")</f>
        <v/>
      </c>
      <c r="X22">
        <f>HYPERLINK("https://klasma.github.io/Logging_2181/tillsyn/A 31023-2022 tillsynsbegäran.docx", "A 31023-2022")</f>
        <v/>
      </c>
      <c r="Y22">
        <f>HYPERLINK("https://klasma.github.io/Logging_2181/tillsynsmail/A 31023-2022 tillsynsbegäran mail.docx", "A 31023-2022")</f>
        <v/>
      </c>
    </row>
    <row r="23" ht="15" customHeight="1">
      <c r="A23" t="inlineStr">
        <is>
          <t>A 35525-2022</t>
        </is>
      </c>
      <c r="B23" s="1" t="n">
        <v>44799</v>
      </c>
      <c r="C23" s="1" t="n">
        <v>45572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45909-2022</t>
        </is>
      </c>
      <c r="B24" s="1" t="n">
        <v>44846</v>
      </c>
      <c r="C24" s="1" t="n">
        <v>45572</v>
      </c>
      <c r="D24" t="inlineStr">
        <is>
          <t>GÄVLEBORGS LÄN</t>
        </is>
      </c>
      <c r="E24" t="inlineStr">
        <is>
          <t>SANDVIKEN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HYPERLINK("https://klasma.github.io/Logging_2181/artfynd/A 45909-2022 artfynd.xlsx", "A 45909-2022")</f>
        <v/>
      </c>
      <c r="T24">
        <f>HYPERLINK("https://klasma.github.io/Logging_2181/kartor/A 45909-2022 karta.png", "A 45909-2022")</f>
        <v/>
      </c>
      <c r="V24">
        <f>HYPERLINK("https://klasma.github.io/Logging_2181/klagomål/A 45909-2022 FSC-klagomål.docx", "A 45909-2022")</f>
        <v/>
      </c>
      <c r="W24">
        <f>HYPERLINK("https://klasma.github.io/Logging_2181/klagomålsmail/A 45909-2022 FSC-klagomål mail.docx", "A 45909-2022")</f>
        <v/>
      </c>
      <c r="X24">
        <f>HYPERLINK("https://klasma.github.io/Logging_2181/tillsyn/A 45909-2022 tillsynsbegäran.docx", "A 45909-2022")</f>
        <v/>
      </c>
      <c r="Y24">
        <f>HYPERLINK("https://klasma.github.io/Logging_2181/tillsynsmail/A 45909-2022 tillsynsbegäran mail.docx", "A 45909-2022")</f>
        <v/>
      </c>
    </row>
    <row r="25" ht="15" customHeight="1">
      <c r="A25" t="inlineStr">
        <is>
          <t>A 53259-2022</t>
        </is>
      </c>
      <c r="B25" s="1" t="n">
        <v>44876</v>
      </c>
      <c r="C25" s="1" t="n">
        <v>45572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53259-2022 artfynd.xlsx", "A 53259-2022")</f>
        <v/>
      </c>
      <c r="T25">
        <f>HYPERLINK("https://klasma.github.io/Logging_2181/kartor/A 53259-2022 karta.png", "A 53259-2022")</f>
        <v/>
      </c>
      <c r="U25">
        <f>HYPERLINK("https://klasma.github.io/Logging_2181/knärot/A 53259-2022 karta knärot.png", "A 53259-2022")</f>
        <v/>
      </c>
      <c r="V25">
        <f>HYPERLINK("https://klasma.github.io/Logging_2181/klagomål/A 53259-2022 FSC-klagomål.docx", "A 53259-2022")</f>
        <v/>
      </c>
      <c r="W25">
        <f>HYPERLINK("https://klasma.github.io/Logging_2181/klagomålsmail/A 53259-2022 FSC-klagomål mail.docx", "A 53259-2022")</f>
        <v/>
      </c>
      <c r="X25">
        <f>HYPERLINK("https://klasma.github.io/Logging_2181/tillsyn/A 53259-2022 tillsynsbegäran.docx", "A 53259-2022")</f>
        <v/>
      </c>
      <c r="Y25">
        <f>HYPERLINK("https://klasma.github.io/Logging_2181/tillsynsmail/A 53259-2022 tillsynsbegäran mail.docx", "A 53259-2022")</f>
        <v/>
      </c>
    </row>
    <row r="26" ht="15" customHeight="1">
      <c r="A26" t="inlineStr">
        <is>
          <t>A 58774-2022</t>
        </is>
      </c>
      <c r="B26" s="1" t="n">
        <v>44903</v>
      </c>
      <c r="C26" s="1" t="n">
        <v>45572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58774-2022 artfynd.xlsx", "A 58774-2022")</f>
        <v/>
      </c>
      <c r="T26">
        <f>HYPERLINK("https://klasma.github.io/Logging_2181/kartor/A 58774-2022 karta.png", "A 58774-2022")</f>
        <v/>
      </c>
      <c r="V26">
        <f>HYPERLINK("https://klasma.github.io/Logging_2181/klagomål/A 58774-2022 FSC-klagomål.docx", "A 58774-2022")</f>
        <v/>
      </c>
      <c r="W26">
        <f>HYPERLINK("https://klasma.github.io/Logging_2181/klagomålsmail/A 58774-2022 FSC-klagomål mail.docx", "A 58774-2022")</f>
        <v/>
      </c>
      <c r="X26">
        <f>HYPERLINK("https://klasma.github.io/Logging_2181/tillsyn/A 58774-2022 tillsynsbegäran.docx", "A 58774-2022")</f>
        <v/>
      </c>
      <c r="Y26">
        <f>HYPERLINK("https://klasma.github.io/Logging_2181/tillsynsmail/A 58774-2022 tillsynsbegäran mail.docx", "A 58774-2022")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45572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45572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23161-2023</t>
        </is>
      </c>
      <c r="B29" s="1" t="n">
        <v>45075</v>
      </c>
      <c r="C29" s="1" t="n">
        <v>45572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HYPERLINK("https://klasma.github.io/Logging_2181/artfynd/A 23161-2023 artfynd.xlsx", "A 23161-2023")</f>
        <v/>
      </c>
      <c r="T29">
        <f>HYPERLINK("https://klasma.github.io/Logging_2181/kartor/A 23161-2023 karta.png", "A 23161-2023")</f>
        <v/>
      </c>
      <c r="V29">
        <f>HYPERLINK("https://klasma.github.io/Logging_2181/klagomål/A 23161-2023 FSC-klagomål.docx", "A 23161-2023")</f>
        <v/>
      </c>
      <c r="W29">
        <f>HYPERLINK("https://klasma.github.io/Logging_2181/klagomålsmail/A 23161-2023 FSC-klagomål mail.docx", "A 23161-2023")</f>
        <v/>
      </c>
      <c r="X29">
        <f>HYPERLINK("https://klasma.github.io/Logging_2181/tillsyn/A 23161-2023 tillsynsbegäran.docx", "A 23161-2023")</f>
        <v/>
      </c>
      <c r="Y29">
        <f>HYPERLINK("https://klasma.github.io/Logging_2181/tillsynsmail/A 23161-2023 tillsynsbegäran mail.docx", "A 23161-2023")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45572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45572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45572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45572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45572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45572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45572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45572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45572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45572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45572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45572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45572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45572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45572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45572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45572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45572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45572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45572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45572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45572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45572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45572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45572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45572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45572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45572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45572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45572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45572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45572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45572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45572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45572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45572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45572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45572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45572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45572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45572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45572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45572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45572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45572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45572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45572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45572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45572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45572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45572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45572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45572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45572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45572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45572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45572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45572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45572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45572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45572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45572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45572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45572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45572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45572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45572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45572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45572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45572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45572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45572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45572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45572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45572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45572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45572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45572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45572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45572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45572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45572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45572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45572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45572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45572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45572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45572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45572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45572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45572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45572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45572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45572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45572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45572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45572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45572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45572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45572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45572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45572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45572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45572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45572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45572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45572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45572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45572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45572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45572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45572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45572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45572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45572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45572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45572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45572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45572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45572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45572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45572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45572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45572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45572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45572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45572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45572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45572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45572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45572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45572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45572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45572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45572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45572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45572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45572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45572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45572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45572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45572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45572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45572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45572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45572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45572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45572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45572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45572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45572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45572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45572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45572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45572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45572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45572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45572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45572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45572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45572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45572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45572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45572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45572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45572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45572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45572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45572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45572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45572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45572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45572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45572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45572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45572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45572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45572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45572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45572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45572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45572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45572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45572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45572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45572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45572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45572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45572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45572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45572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45572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45572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45572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45572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45572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45572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45572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45572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45572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45572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45572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45572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45572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45572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45572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45572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45572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45572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45572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45572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45572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45572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45572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45572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45572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45572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45572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45572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45572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45572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45572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45572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45572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45572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45572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45572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45572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45572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45572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45572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45572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45572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45572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45572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45572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45572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45572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45572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45572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45572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45572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45572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45572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45572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45572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45572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45572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45572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45572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45572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45572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45572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45572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45572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45572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45572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45572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45572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45572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45572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45572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45572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45572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45572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45572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45572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45572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45572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45572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45572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45572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45572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45572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45572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45572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45572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45572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45572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45572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45572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45572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45572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45572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45572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45572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45572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45572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45572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45572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45572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45572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45572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45572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45572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45572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45572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45572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45572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45572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45572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45572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45572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45572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45572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45572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45572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45572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45572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45572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45572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45572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45572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45572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45572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45572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45572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45572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45572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45572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45572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45572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45572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45572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45572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45572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45572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45572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45572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45572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45572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45572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45572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45572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45572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45572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45572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45572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45572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45572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45572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45572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45572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45572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45572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45572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45572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45572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45572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45572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45572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45572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45572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45572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45572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45572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45572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45572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45572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45572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45572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45572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45572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45572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45572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45572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45572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45572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45572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45572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45572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45572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45572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45572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45572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45572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45572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45572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45572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45572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45572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45572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45572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45572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45572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45572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45572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45572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45572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45572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45572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45572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45572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45572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45572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45572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45572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45572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45572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45572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45572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45572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45572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45572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45572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45572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45572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45572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45572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45572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45572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45572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45572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45572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45572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45572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45572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45572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45572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45572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45572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45572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45572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45572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45572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45572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45572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45572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45572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45572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45572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45572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45572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45572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45572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45572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45572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45572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45572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45572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45572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45572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45572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45572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45572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45572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45572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45572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45572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45572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45572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45572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45572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45572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45572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45572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45572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45572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45572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45572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45572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45572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45572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45572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45572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45572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45572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45572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45572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45572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45572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45572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45572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45572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45572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45572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45572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45572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45572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45572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45572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45572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45572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45572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45572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45572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45572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45572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45572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45572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45572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45572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45572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45572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45572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45572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45572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45572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45572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45572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45572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45572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45572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45572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45572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45572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45572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45572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45572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45572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45572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45572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45572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45572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45572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45572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45572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45572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45572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45572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45572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45572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45572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45572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45572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45572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45572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45572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45572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45572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45572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45572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45572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45572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45572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45572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45572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45572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45572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45572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45572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45572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45572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45572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45572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45572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45572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45572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45572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45572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45572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45572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45572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45572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45572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45572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45572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45572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45572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45572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45572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45572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45572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45572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45572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45572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45572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45572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45572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45572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45572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45572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45572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45572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45572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45572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45572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45572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45572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45572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45572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45572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45572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45572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45572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45572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45572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45572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45572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45572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45572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45572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45572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45572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45572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45572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45572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45572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45572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45572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45572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45572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45572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45572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45572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45572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45572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45572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45572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45572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45572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45572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45572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45572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45572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45572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45572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45572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45572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45572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45572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45572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45572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45572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45572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45572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45572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45572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45572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45572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45572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45572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45572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45572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45572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45572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45572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45572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45572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45572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45572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45572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45572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45572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45572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45572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45572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45572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45572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45572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45572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45572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45572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45572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45572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45572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45572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45572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45572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45572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45572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45572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45572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45572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45572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45572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45572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45572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45572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45572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45572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45572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45572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45572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45572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45572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45572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45572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45572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45572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45572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45572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45572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45572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45572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45572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45572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45572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45572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45572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45572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45572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45572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45572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45572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45572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45572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45572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45572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45572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45572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45572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45572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45572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45572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45572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45572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45572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45572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45572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45572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45572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45572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45572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45572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45572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45572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45572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45572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45572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45572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45572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45572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45572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45572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45572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45572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45572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45572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45572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45572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45572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45572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45572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45572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45572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45572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45572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45572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45572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45572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45572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45572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45572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45572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45572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45572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45572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45572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45572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45572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45572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45572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45572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45572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45572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45572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45572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45572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45572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45572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45572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45572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45572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45572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45572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45572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45572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45572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45572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45572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45572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45572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45572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45572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45572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45572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45572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45572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45572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45572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45572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45572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45572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45572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45572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45572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45572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45572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45572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45572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45572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45572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45572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45572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45572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45572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45572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45572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45572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45572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45572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45572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45572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45572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45572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45572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45572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45572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45572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45572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45572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45572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45572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45572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45572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45572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45572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45572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45572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45572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45572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45572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45572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45572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45572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45572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45572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45572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45572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45572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45572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45572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45572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45572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45572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45572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45572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45572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45572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45572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45572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45572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45572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45572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45572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45572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45572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45572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45572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45572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45572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45572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45572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45572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45572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45572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45572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45572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45572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45572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45572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45572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45572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45572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45572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45572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45572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45572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45572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45572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45572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45572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45572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45572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45572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45572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45572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45572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38202-2024</t>
        </is>
      </c>
      <c r="B909" s="1" t="n">
        <v>45545</v>
      </c>
      <c r="C909" s="1" t="n">
        <v>45572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38200-2024</t>
        </is>
      </c>
      <c r="B910" s="1" t="n">
        <v>45545</v>
      </c>
      <c r="C910" s="1" t="n">
        <v>45572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45572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45572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45572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45572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45572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38979-2024</t>
        </is>
      </c>
      <c r="B916" s="1" t="n">
        <v>45548</v>
      </c>
      <c r="C916" s="1" t="n">
        <v>45572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39047-2024</t>
        </is>
      </c>
      <c r="B917" s="1" t="n">
        <v>45548</v>
      </c>
      <c r="C917" s="1" t="n">
        <v>45572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12.9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39342-2024</t>
        </is>
      </c>
      <c r="B918" s="1" t="n">
        <v>45551</v>
      </c>
      <c r="C918" s="1" t="n">
        <v>45572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45572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39340-2024</t>
        </is>
      </c>
      <c r="B920" s="1" t="n">
        <v>45551</v>
      </c>
      <c r="C920" s="1" t="n">
        <v>45572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45572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45572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45572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45572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45572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45572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45572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45572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41383-2024</t>
        </is>
      </c>
      <c r="B929" s="1" t="n">
        <v>45560</v>
      </c>
      <c r="C929" s="1" t="n">
        <v>45572</v>
      </c>
      <c r="D929" t="inlineStr">
        <is>
          <t>GÄVLEBORGS LÄN</t>
        </is>
      </c>
      <c r="E929" t="inlineStr">
        <is>
          <t>SANDVIKEN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41384-2024</t>
        </is>
      </c>
      <c r="B930" s="1" t="n">
        <v>45560</v>
      </c>
      <c r="C930" s="1" t="n">
        <v>45572</v>
      </c>
      <c r="D930" t="inlineStr">
        <is>
          <t>GÄVLEBORGS LÄN</t>
        </is>
      </c>
      <c r="E930" t="inlineStr">
        <is>
          <t>SANDVIKEN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41790-2024</t>
        </is>
      </c>
      <c r="B931" s="1" t="n">
        <v>45561</v>
      </c>
      <c r="C931" s="1" t="n">
        <v>45572</v>
      </c>
      <c r="D931" t="inlineStr">
        <is>
          <t>GÄVLEBORGS LÄN</t>
        </is>
      </c>
      <c r="E931" t="inlineStr">
        <is>
          <t>SANDVIKEN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41800-2024</t>
        </is>
      </c>
      <c r="B932" s="1" t="n">
        <v>45561</v>
      </c>
      <c r="C932" s="1" t="n">
        <v>45572</v>
      </c>
      <c r="D932" t="inlineStr">
        <is>
          <t>GÄVLEBORGS LÄN</t>
        </is>
      </c>
      <c r="E932" t="inlineStr">
        <is>
          <t>SANDVIKEN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42069-2024</t>
        </is>
      </c>
      <c r="B933" s="1" t="n">
        <v>45562</v>
      </c>
      <c r="C933" s="1" t="n">
        <v>45572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42107-2024</t>
        </is>
      </c>
      <c r="B934" s="1" t="n">
        <v>45562</v>
      </c>
      <c r="C934" s="1" t="n">
        <v>45572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42088-2024</t>
        </is>
      </c>
      <c r="B935" s="1" t="n">
        <v>45562</v>
      </c>
      <c r="C935" s="1" t="n">
        <v>45572</v>
      </c>
      <c r="D935" t="inlineStr">
        <is>
          <t>GÄVLEBORGS LÄN</t>
        </is>
      </c>
      <c r="E935" t="inlineStr">
        <is>
          <t>SANDVIKEN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42071-2024</t>
        </is>
      </c>
      <c r="B936" s="1" t="n">
        <v>45562</v>
      </c>
      <c r="C936" s="1" t="n">
        <v>45572</v>
      </c>
      <c r="D936" t="inlineStr">
        <is>
          <t>GÄVLEBORGS LÄN</t>
        </is>
      </c>
      <c r="E936" t="inlineStr">
        <is>
          <t>SANDVIKEN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42865-2024</t>
        </is>
      </c>
      <c r="B937" s="1" t="n">
        <v>45566</v>
      </c>
      <c r="C937" s="1" t="n">
        <v>45572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42869-2024</t>
        </is>
      </c>
      <c r="B938" s="1" t="n">
        <v>45566</v>
      </c>
      <c r="C938" s="1" t="n">
        <v>45572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42864-2024</t>
        </is>
      </c>
      <c r="B939" s="1" t="n">
        <v>45566</v>
      </c>
      <c r="C939" s="1" t="n">
        <v>45572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42868-2024</t>
        </is>
      </c>
      <c r="B940" s="1" t="n">
        <v>45566</v>
      </c>
      <c r="C940" s="1" t="n">
        <v>45572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43121-2024</t>
        </is>
      </c>
      <c r="B941" s="1" t="n">
        <v>45567</v>
      </c>
      <c r="C941" s="1" t="n">
        <v>45572</v>
      </c>
      <c r="D941" t="inlineStr">
        <is>
          <t>GÄVLEBORGS LÄN</t>
        </is>
      </c>
      <c r="E941" t="inlineStr">
        <is>
          <t>SANDVIKEN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43207-2024</t>
        </is>
      </c>
      <c r="B942" s="1" t="n">
        <v>45567</v>
      </c>
      <c r="C942" s="1" t="n">
        <v>45572</v>
      </c>
      <c r="D942" t="inlineStr">
        <is>
          <t>GÄVLEBORGS LÄN</t>
        </is>
      </c>
      <c r="E942" t="inlineStr">
        <is>
          <t>SANDVIKEN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43764-2024</t>
        </is>
      </c>
      <c r="B943" s="1" t="n">
        <v>45569</v>
      </c>
      <c r="C943" s="1" t="n">
        <v>45572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2024-10-07T12:50:55Z</dcterms:created>
  <dcterms:modified xmlns:dcterms="http://purl.org/dc/terms/" xmlns:xsi="http://www.w3.org/2001/XMLSchema-instance" xsi:type="dcterms:W3CDTF">2024-10-07T12:50:55Z</dcterms:modified>
</cp:coreProperties>
</file>