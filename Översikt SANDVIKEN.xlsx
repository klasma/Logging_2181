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46271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46271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46271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46271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46271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46271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46271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46271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46271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46271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46271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46271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46271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46271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46271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46271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46271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46271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46271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46271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46271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46271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46271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46271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46271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46271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46271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46271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46271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46271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46271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46271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46271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46271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46271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27014-2026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46271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4.8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Tjäder</t>
        </is>
      </c>
      <c r="W47">
        <f>HYPERLINK("https://klasma.github.io/Logging_2181/artfynd/A 27014-2026 artfynd.xlsx", "A 27014-2026")</f>
        <v/>
      </c>
      <c r="X47">
        <f>HYPERLINK("https://klasma.github.io/Logging_2181/kartor/A 27014-2026 karta.png", "A 27014-2026")</f>
        <v/>
      </c>
      <c r="Y47">
        <f>HYPERLINK("https://klasma.github.io/Logging_2181/kartor_geotiff/A 27014-2026 georefererad karta.tif", "A 27014-2026")</f>
        <v/>
      </c>
      <c r="AA47">
        <f>HYPERLINK("https://klasma.github.io/Logging_2181/klagomål/A 27014-2026 FSC-klagomål.docx", "A 27014-2026")</f>
        <v/>
      </c>
      <c r="AB47">
        <f>HYPERLINK("https://klasma.github.io/Logging_2181/klagomålsmail/A 27014-2026 FSC-klagomål mail.docx", "A 27014-2026")</f>
        <v/>
      </c>
      <c r="AC47">
        <f>HYPERLINK("https://klasma.github.io/Logging_2181/tillsyn/A 27014-2026 tillsynsbegäran.docx", "A 27014-2026")</f>
        <v/>
      </c>
      <c r="AD47">
        <f>HYPERLINK("https://klasma.github.io/Logging_2181/tillsynsmail/A 27014-2026 tillsynsbegäran mail.docx", "A 27014-2026")</f>
        <v/>
      </c>
      <c r="AE47">
        <f>HYPERLINK("https://klasma.github.io/Logging_2181/fåglar/A 27014-2026 prioriterade fågelarter.docx", "A 27014-2026")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46271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46271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46271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46271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46271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46271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46271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46271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46271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46271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46271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46271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46271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46271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46271</v>
      </c>
      <c r="F62" t="inlineStr">
        <is>
          <t>GÄVLEBORGS LÄN</t>
        </is>
      </c>
      <c r="G62" t="inlineStr">
        <is>
          <t>SANDVIKEN</t>
        </is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Dvärghäxört</t>
        </is>
      </c>
      <c r="W62">
        <f>HYPERLINK("https://klasma.github.io/Logging_2181/artfynd/A 448-2026 artfynd.xlsx", "A 448-2026")</f>
        <v/>
      </c>
      <c r="X62">
        <f>HYPERLINK("https://klasma.github.io/Logging_2181/kartor/A 448-2026 karta.png", "A 448-2026")</f>
        <v/>
      </c>
      <c r="Y62">
        <f>HYPERLINK("https://klasma.github.io/Logging_2181/kartor_geotiff/A 448-2026 georefererad karta.tif", "A 448-2026")</f>
        <v/>
      </c>
      <c r="AA62">
        <f>HYPERLINK("https://klasma.github.io/Logging_2181/klagomål/A 448-2026 FSC-klagomål.docx", "A 448-2026")</f>
        <v/>
      </c>
      <c r="AB62">
        <f>HYPERLINK("https://klasma.github.io/Logging_2181/klagomålsmail/A 448-2026 FSC-klagomål mail.docx", "A 448-2026")</f>
        <v/>
      </c>
      <c r="AC62">
        <f>HYPERLINK("https://klasma.github.io/Logging_2181/tillsyn/A 448-2026 tillsynsbegäran.docx", "A 448-2026")</f>
        <v/>
      </c>
      <c r="AD62">
        <f>HYPERLINK("https://klasma.github.io/Logging_2181/tillsynsmail/A 448-2026 tillsynsbegäran mail.docx", "A 448-2026")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46271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46271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1083-2026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46271</v>
      </c>
      <c r="F65" t="inlineStr">
        <is>
          <t>GÄVLEBORGS LÄN</t>
        </is>
      </c>
      <c r="G65" t="inlineStr">
        <is>
          <t>SANDVIKEN</t>
        </is>
      </c>
      <c r="I65" t="n">
        <v>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HYPERLINK("https://klasma.github.io/Logging_2181/artfynd/A 1083-2026 artfynd.xlsx", "A 1083-2026")</f>
        <v/>
      </c>
      <c r="X65">
        <f>HYPERLINK("https://klasma.github.io/Logging_2181/kartor/A 1083-2026 karta.png", "A 1083-2026")</f>
        <v/>
      </c>
      <c r="Y65">
        <f>HYPERLINK("https://klasma.github.io/Logging_2181/kartor_geotiff/A 1083-2026 georefererad karta.tif", "A 1083-2026")</f>
        <v/>
      </c>
      <c r="AA65">
        <f>HYPERLINK("https://klasma.github.io/Logging_2181/klagomål/A 1083-2026 FSC-klagomål.docx", "A 1083-2026")</f>
        <v/>
      </c>
      <c r="AB65">
        <f>HYPERLINK("https://klasma.github.io/Logging_2181/klagomålsmail/A 1083-2026 FSC-klagomål mail.docx", "A 1083-2026")</f>
        <v/>
      </c>
      <c r="AC65">
        <f>HYPERLINK("https://klasma.github.io/Logging_2181/tillsyn/A 1083-2026 tillsynsbegäran.docx", "A 1083-2026")</f>
        <v/>
      </c>
      <c r="AD65">
        <f>HYPERLINK("https://klasma.github.io/Logging_2181/tillsynsmail/A 1083-2026 tillsynsbegäran mail.docx", "A 1083-2026")</f>
        <v/>
      </c>
    </row>
    <row r="66" ht="15" customHeight="1">
      <c r="A66" t="inlineStr">
        <is>
          <t>A 3316-2023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44949</v>
      </c>
      <c r="E66" s="1" t="n">
        <v>46271</v>
      </c>
      <c r="F66" t="inlineStr">
        <is>
          <t>GÄVLEBORGS LÄN</t>
        </is>
      </c>
      <c r="G66" t="inlineStr">
        <is>
          <t>SANDVIKEN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HYPERLINK("https://klasma.github.io/Logging_2181/artfynd/A 3316-2023 artfynd.xlsx", "A 3316-2023")</f>
        <v/>
      </c>
      <c r="X66">
        <f>HYPERLINK("https://klasma.github.io/Logging_2181/kartor/A 3316-2023 karta.png", "A 3316-2023")</f>
        <v/>
      </c>
      <c r="Y66">
        <f>HYPERLINK("https://klasma.github.io/Logging_2181/kartor_geotiff/A 3316-2023 georefererad karta.tif", "A 3316-2023")</f>
        <v/>
      </c>
      <c r="AA66">
        <f>HYPERLINK("https://klasma.github.io/Logging_2181/klagomål/A 3316-2023 FSC-klagomål.docx", "A 3316-2023")</f>
        <v/>
      </c>
      <c r="AB66">
        <f>HYPERLINK("https://klasma.github.io/Logging_2181/klagomålsmail/A 3316-2023 FSC-klagomål mail.docx", "A 3316-2023")</f>
        <v/>
      </c>
      <c r="AC66">
        <f>HYPERLINK("https://klasma.github.io/Logging_2181/tillsyn/A 3316-2023 tillsynsbegäran.docx", "A 3316-2023")</f>
        <v/>
      </c>
      <c r="AD66">
        <f>HYPERLINK("https://klasma.github.io/Logging_2181/tillsynsmail/A 3316-2023 tillsynsbegäran mail.docx", "A 3316-2023")</f>
        <v/>
      </c>
      <c r="AE66">
        <f>HYPERLINK("https://klasma.github.io/Logging_2181/fåglar/A 3316-2023 prioriterade fågelarter.docx", "A 3316-2023")</f>
        <v/>
      </c>
    </row>
    <row r="67" ht="15" customHeight="1">
      <c r="A67" t="inlineStr">
        <is>
          <t>A 46610-2025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46271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16.3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HYPERLINK("https://klasma.github.io/Logging_2181/artfynd/A 46610-2025 artfynd.xlsx", "A 46610-2025")</f>
        <v/>
      </c>
      <c r="X67">
        <f>HYPERLINK("https://klasma.github.io/Logging_2181/kartor/A 46610-2025 karta.png", "A 46610-2025")</f>
        <v/>
      </c>
      <c r="Y67">
        <f>HYPERLINK("https://klasma.github.io/Logging_2181/kartor_geotiff/A 46610-2025 georefererad karta.tif", "A 46610-2025")</f>
        <v/>
      </c>
      <c r="AA67">
        <f>HYPERLINK("https://klasma.github.io/Logging_2181/klagomål/A 46610-2025 FSC-klagomål.docx", "A 46610-2025")</f>
        <v/>
      </c>
      <c r="AB67">
        <f>HYPERLINK("https://klasma.github.io/Logging_2181/klagomålsmail/A 46610-2025 FSC-klagomål mail.docx", "A 46610-2025")</f>
        <v/>
      </c>
      <c r="AC67">
        <f>HYPERLINK("https://klasma.github.io/Logging_2181/tillsyn/A 46610-2025 tillsynsbegäran.docx", "A 46610-2025")</f>
        <v/>
      </c>
      <c r="AD67">
        <f>HYPERLINK("https://klasma.github.io/Logging_2181/tillsynsmail/A 46610-2025 tillsynsbegäran mail.docx", "A 46610-2025")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46271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46271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46271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46271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46271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HYPERLINK("https://klasma.github.io/Logging_2181/artfynd/A 36417-2025 artfynd.xlsx", "A 36417-2025")</f>
        <v/>
      </c>
      <c r="X72">
        <f>HYPERLINK("https://klasma.github.io/Logging_2181/kartor/A 36417-2025 karta.png", "A 36417-2025")</f>
        <v/>
      </c>
      <c r="Y72">
        <f>HYPERLINK("https://klasma.github.io/Logging_2181/kartor_geotiff/A 36417-2025 georefererad karta.tif", "A 36417-2025")</f>
        <v/>
      </c>
      <c r="Z72">
        <f>HYPERLINK("https://klasma.github.io/Logging_2181/knärot/A 36417-2025 karta knärot.png", "A 36417-2025")</f>
        <v/>
      </c>
      <c r="AA72">
        <f>HYPERLINK("https://klasma.github.io/Logging_2181/klagomål/A 36417-2025 FSC-klagomål.docx", "A 36417-2025")</f>
        <v/>
      </c>
      <c r="AB72">
        <f>HYPERLINK("https://klasma.github.io/Logging_2181/klagomålsmail/A 36417-2025 FSC-klagomål mail.docx", "A 36417-2025")</f>
        <v/>
      </c>
      <c r="AC72">
        <f>HYPERLINK("https://klasma.github.io/Logging_2181/tillsyn/A 36417-2025 tillsynsbegäran.docx", "A 36417-2025")</f>
        <v/>
      </c>
      <c r="AD72">
        <f>HYPERLINK("https://klasma.github.io/Logging_2181/tillsynsmail/A 36417-2025 tillsynsbegäran mail.docx", "A 36417-2025")</f>
        <v/>
      </c>
    </row>
    <row r="73" ht="15" customHeight="1">
      <c r="A73" t="inlineStr">
        <is>
          <t>A 38350-2025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46271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väst AB</t>
        </is>
      </c>
      <c r="I73" t="n">
        <v>25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Brandticka</t>
        </is>
      </c>
      <c r="W73">
        <f>HYPERLINK("https://klasma.github.io/Logging_2181/artfynd/A 38350-2025 artfynd.xlsx", "A 38350-2025")</f>
        <v/>
      </c>
      <c r="X73">
        <f>HYPERLINK("https://klasma.github.io/Logging_2181/kartor/A 38350-2025 karta.png", "A 38350-2025")</f>
        <v/>
      </c>
      <c r="Y73">
        <f>HYPERLINK("https://klasma.github.io/Logging_2181/kartor_geotiff/A 38350-2025 georefererad karta.tif", "A 38350-2025")</f>
        <v/>
      </c>
      <c r="AA73">
        <f>HYPERLINK("https://klasma.github.io/Logging_2181/klagomål/A 38350-2025 FSC-klagomål.docx", "A 38350-2025")</f>
        <v/>
      </c>
      <c r="AB73">
        <f>HYPERLINK("https://klasma.github.io/Logging_2181/klagomålsmail/A 38350-2025 FSC-klagomål mail.docx", "A 38350-2025")</f>
        <v/>
      </c>
      <c r="AC73">
        <f>HYPERLINK("https://klasma.github.io/Logging_2181/tillsyn/A 38350-2025 tillsynsbegäran.docx", "A 38350-2025")</f>
        <v/>
      </c>
      <c r="AD73">
        <f>HYPERLINK("https://klasma.github.io/Logging_2181/tillsynsmail/A 38350-2025 tillsynsbegäran mail.docx", "A 38350-2025")</f>
        <v/>
      </c>
    </row>
    <row r="74" ht="15" customHeight="1">
      <c r="A74" t="inlineStr">
        <is>
          <t>A 7393-2026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46271</v>
      </c>
      <c r="F74" t="inlineStr">
        <is>
          <t>GÄVLEBORGS LÄN</t>
        </is>
      </c>
      <c r="G74" t="inlineStr">
        <is>
          <t>SANDVIKEN</t>
        </is>
      </c>
      <c r="I74" t="n">
        <v>6.7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Brunklöver</t>
        </is>
      </c>
      <c r="W74">
        <f>HYPERLINK("https://klasma.github.io/Logging_2181/artfynd/A 7393-2026 artfynd.xlsx", "A 7393-2026")</f>
        <v/>
      </c>
      <c r="X74">
        <f>HYPERLINK("https://klasma.github.io/Logging_2181/kartor/A 7393-2026 karta.png", "A 7393-2026")</f>
        <v/>
      </c>
      <c r="Y74">
        <f>HYPERLINK("https://klasma.github.io/Logging_2181/kartor_geotiff/A 7393-2026 georefererad karta.tif", "A 7393-2026")</f>
        <v/>
      </c>
      <c r="AA74">
        <f>HYPERLINK("https://klasma.github.io/Logging_2181/klagomål/A 7393-2026 FSC-klagomål.docx", "A 7393-2026")</f>
        <v/>
      </c>
      <c r="AB74">
        <f>HYPERLINK("https://klasma.github.io/Logging_2181/klagomålsmail/A 7393-2026 FSC-klagomål mail.docx", "A 7393-2026")</f>
        <v/>
      </c>
      <c r="AC74">
        <f>HYPERLINK("https://klasma.github.io/Logging_2181/tillsyn/A 7393-2026 tillsynsbegäran.docx", "A 7393-2026")</f>
        <v/>
      </c>
      <c r="AD74">
        <f>HYPERLINK("https://klasma.github.io/Logging_2181/tillsynsmail/A 7393-2026 tillsynsbegäran mail.docx", "A 7393-2026")</f>
        <v/>
      </c>
    </row>
    <row r="75" ht="15" customHeight="1">
      <c r="A75" t="inlineStr">
        <is>
          <t>A 9267-2026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46271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Gullpudra</t>
        </is>
      </c>
      <c r="W75">
        <f>HYPERLINK("https://klasma.github.io/Logging_2181/artfynd/A 9267-2026 artfynd.xlsx", "A 9267-2026")</f>
        <v/>
      </c>
      <c r="X75">
        <f>HYPERLINK("https://klasma.github.io/Logging_2181/kartor/A 9267-2026 karta.png", "A 9267-2026")</f>
        <v/>
      </c>
      <c r="Y75">
        <f>HYPERLINK("https://klasma.github.io/Logging_2181/kartor_geotiff/A 9267-2026 georefererad karta.tif", "A 9267-2026")</f>
        <v/>
      </c>
      <c r="AA75">
        <f>HYPERLINK("https://klasma.github.io/Logging_2181/klagomål/A 9267-2026 FSC-klagomål.docx", "A 9267-2026")</f>
        <v/>
      </c>
      <c r="AB75">
        <f>HYPERLINK("https://klasma.github.io/Logging_2181/klagomålsmail/A 9267-2026 FSC-klagomål mail.docx", "A 9267-2026")</f>
        <v/>
      </c>
      <c r="AC75">
        <f>HYPERLINK("https://klasma.github.io/Logging_2181/tillsyn/A 9267-2026 tillsynsbegäran.docx", "A 9267-2026")</f>
        <v/>
      </c>
      <c r="AD75">
        <f>HYPERLINK("https://klasma.github.io/Logging_2181/tillsynsmail/A 9267-2026 tillsynsbegäran mail.docx", "A 9267-2026")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46271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46271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46271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HYPERLINK("https://klasma.github.io/Logging_2181/artfynd/A 11784-2026 artfynd.xlsx", "A 11784-2026")</f>
        <v/>
      </c>
      <c r="X78">
        <f>HYPERLINK("https://klasma.github.io/Logging_2181/kartor/A 11784-2026 karta.png", "A 11784-2026")</f>
        <v/>
      </c>
      <c r="Y78">
        <f>HYPERLINK("https://klasma.github.io/Logging_2181/kartor_geotiff/A 11784-2026 georefererad karta.tif", "A 11784-2026")</f>
        <v/>
      </c>
      <c r="AA78">
        <f>HYPERLINK("https://klasma.github.io/Logging_2181/klagomål/A 11784-2026 FSC-klagomål.docx", "A 11784-2026")</f>
        <v/>
      </c>
      <c r="AB78">
        <f>HYPERLINK("https://klasma.github.io/Logging_2181/klagomålsmail/A 11784-2026 FSC-klagomål mail.docx", "A 11784-2026")</f>
        <v/>
      </c>
      <c r="AC78">
        <f>HYPERLINK("https://klasma.github.io/Logging_2181/tillsyn/A 11784-2026 tillsynsbegäran.docx", "A 11784-2026")</f>
        <v/>
      </c>
      <c r="AD78">
        <f>HYPERLINK("https://klasma.github.io/Logging_2181/tillsynsmail/A 11784-2026 tillsynsbegäran mail.docx", "A 11784-2026")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46271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HYPERLINK("https://klasma.github.io/Logging_2181/artfynd/A 13135-2026 artfynd.xlsx", "A 13135-2026")</f>
        <v/>
      </c>
      <c r="X79">
        <f>HYPERLINK("https://klasma.github.io/Logging_2181/kartor/A 13135-2026 karta.png", "A 13135-2026")</f>
        <v/>
      </c>
      <c r="Y79">
        <f>HYPERLINK("https://klasma.github.io/Logging_2181/kartor_geotiff/A 13135-2026 georefererad karta.tif", "A 13135-2026")</f>
        <v/>
      </c>
      <c r="AA79">
        <f>HYPERLINK("https://klasma.github.io/Logging_2181/klagomål/A 13135-2026 FSC-klagomål.docx", "A 13135-2026")</f>
        <v/>
      </c>
      <c r="AB79">
        <f>HYPERLINK("https://klasma.github.io/Logging_2181/klagomålsmail/A 13135-2026 FSC-klagomål mail.docx", "A 13135-2026")</f>
        <v/>
      </c>
      <c r="AC79">
        <f>HYPERLINK("https://klasma.github.io/Logging_2181/tillsyn/A 13135-2026 tillsynsbegäran.docx", "A 13135-2026")</f>
        <v/>
      </c>
      <c r="AD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46271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HYPERLINK("https://klasma.github.io/Logging_2181/artfynd/A 13645-2026 artfynd.xlsx", "A 13645-2026")</f>
        <v/>
      </c>
      <c r="X80">
        <f>HYPERLINK("https://klasma.github.io/Logging_2181/kartor/A 13645-2026 karta.png", "A 13645-2026")</f>
        <v/>
      </c>
      <c r="Y80">
        <f>HYPERLINK("https://klasma.github.io/Logging_2181/kartor_geotiff/A 13645-2026 georefererad karta.tif", "A 13645-2026")</f>
        <v/>
      </c>
      <c r="AA80">
        <f>HYPERLINK("https://klasma.github.io/Logging_2181/klagomål/A 13645-2026 FSC-klagomål.docx", "A 13645-2026")</f>
        <v/>
      </c>
      <c r="AB80">
        <f>HYPERLINK("https://klasma.github.io/Logging_2181/klagomålsmail/A 13645-2026 FSC-klagomål mail.docx", "A 13645-2026")</f>
        <v/>
      </c>
      <c r="AC80">
        <f>HYPERLINK("https://klasma.github.io/Logging_2181/tillsyn/A 13645-2026 tillsynsbegäran.docx", "A 13645-2026")</f>
        <v/>
      </c>
      <c r="AD80">
        <f>HYPERLINK("https://klasma.github.io/Logging_2181/tillsynsmail/A 13645-2026 tillsynsbegäran mail.docx", "A 13645-2026")</f>
        <v/>
      </c>
      <c r="AE80">
        <f>HYPERLINK("https://klasma.github.io/Logging_2181/fåglar/A 13645-2026 prioriterade fågelarter.docx", "A 13645-2026")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46271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46271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46271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46271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22275-2024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46271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Ekorrbär</t>
        </is>
      </c>
      <c r="W85">
        <f>HYPERLINK("https://klasma.github.io/Logging_2181/artfynd/A 22275-2024 artfynd.xlsx", "A 22275-2024")</f>
        <v/>
      </c>
      <c r="X85">
        <f>HYPERLINK("https://klasma.github.io/Logging_2181/kartor/A 22275-2024 karta.png", "A 22275-2024")</f>
        <v/>
      </c>
      <c r="Y85">
        <f>HYPERLINK("https://klasma.github.io/Logging_2181/kartor_geotiff/A 22275-2024 georefererad karta.tif", "A 22275-2024")</f>
        <v/>
      </c>
      <c r="AA85">
        <f>HYPERLINK("https://klasma.github.io/Logging_2181/klagomål/A 22275-2024 FSC-klagomål.docx", "A 22275-2024")</f>
        <v/>
      </c>
      <c r="AB85">
        <f>HYPERLINK("https://klasma.github.io/Logging_2181/klagomålsmail/A 22275-2024 FSC-klagomål mail.docx", "A 22275-2024")</f>
        <v/>
      </c>
      <c r="AC85">
        <f>HYPERLINK("https://klasma.github.io/Logging_2181/tillsyn/A 22275-2024 tillsynsbegäran.docx", "A 22275-2024")</f>
        <v/>
      </c>
      <c r="AD85">
        <f>HYPERLINK("https://klasma.github.io/Logging_2181/tillsynsmail/A 22275-2024 tillsynsbegäran mail.docx", "A 22275-2024")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46271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46271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46271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46271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46271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46271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46271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46271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46271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46271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46271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46271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46271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46271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4384-2023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44955</v>
      </c>
      <c r="E100" s="1" t="n">
        <v>46271</v>
      </c>
      <c r="F100" t="inlineStr">
        <is>
          <t>GÄVLEBORGS LÄN</t>
        </is>
      </c>
      <c r="G100" t="inlineStr">
        <is>
          <t>SANDVIKEN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Sångsvan</t>
        </is>
      </c>
      <c r="W100">
        <f>HYPERLINK("https://klasma.github.io/Logging_2181/artfynd/A 4384-2023 artfynd.xlsx", "A 4384-2023")</f>
        <v/>
      </c>
      <c r="X100">
        <f>HYPERLINK("https://klasma.github.io/Logging_2181/kartor/A 4384-2023 karta.png", "A 4384-2023")</f>
        <v/>
      </c>
      <c r="Y100">
        <f>HYPERLINK("https://klasma.github.io/Logging_2181/kartor_geotiff/A 4384-2023 georefererad karta.tif", "A 4384-2023")</f>
        <v/>
      </c>
      <c r="AA100">
        <f>HYPERLINK("https://klasma.github.io/Logging_2181/klagomål/A 4384-2023 FSC-klagomål.docx", "A 4384-2023")</f>
        <v/>
      </c>
      <c r="AB100">
        <f>HYPERLINK("https://klasma.github.io/Logging_2181/klagomålsmail/A 4384-2023 FSC-klagomål mail.docx", "A 4384-2023")</f>
        <v/>
      </c>
      <c r="AC100">
        <f>HYPERLINK("https://klasma.github.io/Logging_2181/tillsyn/A 4384-2023 tillsynsbegäran.docx", "A 4384-2023")</f>
        <v/>
      </c>
      <c r="AD100">
        <f>HYPERLINK("https://klasma.github.io/Logging_2181/tillsynsmail/A 4384-2023 tillsynsbegäran mail.docx", "A 4384-2023")</f>
        <v/>
      </c>
      <c r="AE100">
        <f>HYPERLINK("https://klasma.github.io/Logging_2181/fåglar/A 4384-2023 prioriterade fågelarter.docx", "A 4384-2023")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46271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46271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46271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46271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46271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46271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46271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46271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46271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36596-2026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46271</v>
      </c>
      <c r="F110" t="inlineStr">
        <is>
          <t>GÄVLEBORGS LÄN</t>
        </is>
      </c>
      <c r="G110" t="inlineStr">
        <is>
          <t>SANDVIKEN</t>
        </is>
      </c>
      <c r="I110" t="n">
        <v>10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HYPERLINK("https://klasma.github.io/Logging_2181/artfynd/A 36596-2026 artfynd.xlsx", "A 36596-2026")</f>
        <v/>
      </c>
      <c r="X110">
        <f>HYPERLINK("https://klasma.github.io/Logging_2181/kartor/A 36596-2026 karta.png", "A 36596-2026")</f>
        <v/>
      </c>
      <c r="Y110">
        <f>HYPERLINK("https://klasma.github.io/Logging_2181/kartor_geotiff/A 36596-2026 georefererad karta.tif", "A 36596-2026")</f>
        <v/>
      </c>
      <c r="AA110">
        <f>HYPERLINK("https://klasma.github.io/Logging_2181/klagomål/A 36596-2026 FSC-klagomål.docx", "A 36596-2026")</f>
        <v/>
      </c>
      <c r="AB110">
        <f>HYPERLINK("https://klasma.github.io/Logging_2181/klagomålsmail/A 36596-2026 FSC-klagomål mail.docx", "A 36596-2026")</f>
        <v/>
      </c>
      <c r="AC110">
        <f>HYPERLINK("https://klasma.github.io/Logging_2181/tillsyn/A 36596-2026 tillsynsbegäran.docx", "A 36596-2026")</f>
        <v/>
      </c>
      <c r="AD110">
        <f>HYPERLINK("https://klasma.github.io/Logging_2181/tillsynsmail/A 36596-2026 tillsynsbegäran mail.docx", "A 36596-2026")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46271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46271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46271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46271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46271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46271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46271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46271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46271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46271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46271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46271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46271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46271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46271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46271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46271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46271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46271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46271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46271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46271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46271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46271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46271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46271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46271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46271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46271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46271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46271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46271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46271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46271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46271</v>
      </c>
      <c r="F147" t="inlineStr">
        <is>
          <t>GÄVLEBORGS LÄN</t>
        </is>
      </c>
      <c r="G147" t="inlineStr">
        <is>
          <t>SANDVIKEN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46271</v>
      </c>
      <c r="F148" t="inlineStr">
        <is>
          <t>GÄVLEBORGS LÄN</t>
        </is>
      </c>
      <c r="G148" t="inlineStr">
        <is>
          <t>SANDVIKEN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46271</v>
      </c>
      <c r="F149" t="inlineStr">
        <is>
          <t>GÄVLEBORGS LÄN</t>
        </is>
      </c>
      <c r="G149" t="inlineStr">
        <is>
          <t>SANDVIKEN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46271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46271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46271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46271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46271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45523</v>
      </c>
      <c r="E155" s="1" t="n">
        <v>46271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46271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46271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46271</v>
      </c>
      <c r="F158" t="inlineStr">
        <is>
          <t>GÄVLEBORGS LÄN</t>
        </is>
      </c>
      <c r="G158" t="inlineStr">
        <is>
          <t>SANDVIKEN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49704-2023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45212</v>
      </c>
      <c r="E159" s="1" t="n">
        <v>46271</v>
      </c>
      <c r="F159" t="inlineStr">
        <is>
          <t>GÄVLEBORGS LÄN</t>
        </is>
      </c>
      <c r="G159" t="inlineStr">
        <is>
          <t>SANDVIKEN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46271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46271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46271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46271</v>
      </c>
      <c r="F163" t="inlineStr">
        <is>
          <t>GÄVLEBORGS LÄN</t>
        </is>
      </c>
      <c r="G163" t="inlineStr">
        <is>
          <t>SANDVIKEN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46271</v>
      </c>
      <c r="F164" t="inlineStr">
        <is>
          <t>GÄVLEBORGS LÄN</t>
        </is>
      </c>
      <c r="G164" t="inlineStr">
        <is>
          <t>SANDVIKEN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46271</v>
      </c>
      <c r="F165" t="inlineStr">
        <is>
          <t>GÄVLEBORGS LÄN</t>
        </is>
      </c>
      <c r="G165" t="inlineStr">
        <is>
          <t>SANDVIKEN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46271</v>
      </c>
      <c r="F166" t="inlineStr">
        <is>
          <t>GÄVLEBORGS LÄN</t>
        </is>
      </c>
      <c r="G166" t="inlineStr">
        <is>
          <t>SANDVIKEN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45365</v>
      </c>
      <c r="E167" s="1" t="n">
        <v>46271</v>
      </c>
      <c r="F167" t="inlineStr">
        <is>
          <t>GÄVLEBORGS LÄN</t>
        </is>
      </c>
      <c r="G167" t="inlineStr">
        <is>
          <t>SANDVIKEN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45418</v>
      </c>
      <c r="E168" s="1" t="n">
        <v>46271</v>
      </c>
      <c r="F168" t="inlineStr">
        <is>
          <t>GÄVLEBORGS LÄN</t>
        </is>
      </c>
      <c r="G168" t="inlineStr">
        <is>
          <t>SANDVIKEN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46271</v>
      </c>
      <c r="F169" t="inlineStr">
        <is>
          <t>GÄVLEBORGS LÄN</t>
        </is>
      </c>
      <c r="G169" t="inlineStr">
        <is>
          <t>SANDVIKEN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46271</v>
      </c>
      <c r="F170" t="inlineStr">
        <is>
          <t>GÄVLEBORGS LÄN</t>
        </is>
      </c>
      <c r="G170" t="inlineStr">
        <is>
          <t>SANDVIKEN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46271</v>
      </c>
      <c r="F171" t="inlineStr">
        <is>
          <t>GÄVLEBORGS LÄN</t>
        </is>
      </c>
      <c r="G171" t="inlineStr">
        <is>
          <t>SANDVIKEN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46271</v>
      </c>
      <c r="F172" t="inlineStr">
        <is>
          <t>GÄVLEBORGS LÄN</t>
        </is>
      </c>
      <c r="G172" t="inlineStr">
        <is>
          <t>SANDVIKEN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46271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46271</v>
      </c>
      <c r="F174" t="inlineStr">
        <is>
          <t>GÄVLEBORGS LÄN</t>
        </is>
      </c>
      <c r="G174" t="inlineStr">
        <is>
          <t>SANDVIKEN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46271</v>
      </c>
      <c r="F175" t="inlineStr">
        <is>
          <t>GÄVLEBORGS LÄN</t>
        </is>
      </c>
      <c r="G175" t="inlineStr">
        <is>
          <t>SANDVIKEN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46271</v>
      </c>
      <c r="F176" t="inlineStr">
        <is>
          <t>GÄVLEBORGS LÄN</t>
        </is>
      </c>
      <c r="G176" t="inlineStr">
        <is>
          <t>SANDVIKEN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46271</v>
      </c>
      <c r="F177" t="inlineStr">
        <is>
          <t>GÄVLEBORGS LÄN</t>
        </is>
      </c>
      <c r="G177" t="inlineStr">
        <is>
          <t>SANDVIKEN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46271</v>
      </c>
      <c r="F178" t="inlineStr">
        <is>
          <t>GÄVLEBORGS LÄN</t>
        </is>
      </c>
      <c r="G178" t="inlineStr">
        <is>
          <t>SANDVIKEN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46271</v>
      </c>
      <c r="F179" t="inlineStr">
        <is>
          <t>GÄVLEBORGS LÄN</t>
        </is>
      </c>
      <c r="G179" t="inlineStr">
        <is>
          <t>SANDVIKEN</t>
        </is>
      </c>
      <c r="I179" t="n">
        <v>10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45126</v>
      </c>
      <c r="E180" s="1" t="n">
        <v>46271</v>
      </c>
      <c r="F180" t="inlineStr">
        <is>
          <t>GÄVLEBORGS LÄN</t>
        </is>
      </c>
      <c r="G180" t="inlineStr">
        <is>
          <t>SANDVIKEN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46271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46271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46271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46271</v>
      </c>
      <c r="F184" t="inlineStr">
        <is>
          <t>GÄVLEBORGS LÄN</t>
        </is>
      </c>
      <c r="G184" t="inlineStr">
        <is>
          <t>SANDVIKEN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46271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46271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46271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46271</v>
      </c>
      <c r="F188" t="inlineStr">
        <is>
          <t>GÄVLEBORGS LÄN</t>
        </is>
      </c>
      <c r="G188" t="inlineStr">
        <is>
          <t>SANDVIKEN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46271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46271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44744</v>
      </c>
      <c r="E191" s="1" t="n">
        <v>46271</v>
      </c>
      <c r="F191" t="inlineStr">
        <is>
          <t>GÄVLEBORGS LÄN</t>
        </is>
      </c>
      <c r="G191" t="inlineStr">
        <is>
          <t>SANDVIKEN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46271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46271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46271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46271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46271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46271</v>
      </c>
      <c r="F197" t="inlineStr">
        <is>
          <t>GÄVLEBORGS LÄN</t>
        </is>
      </c>
      <c r="G197" t="inlineStr">
        <is>
          <t>SANDVIKEN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46271</v>
      </c>
      <c r="F198" t="inlineStr">
        <is>
          <t>GÄVLEBORGS LÄN</t>
        </is>
      </c>
      <c r="G198" t="inlineStr">
        <is>
          <t>SANDVIKEN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46271</v>
      </c>
      <c r="F199" t="inlineStr">
        <is>
          <t>GÄVLEBORGS LÄN</t>
        </is>
      </c>
      <c r="G199" t="inlineStr">
        <is>
          <t>SANDVIKEN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46271</v>
      </c>
      <c r="F200" t="inlineStr">
        <is>
          <t>GÄVLEBORGS LÄN</t>
        </is>
      </c>
      <c r="G200" t="inlineStr">
        <is>
          <t>SANDVIKEN</t>
        </is>
      </c>
      <c r="I200" t="n">
        <v>11.1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46271</v>
      </c>
      <c r="F201" t="inlineStr">
        <is>
          <t>GÄVLEBORGS LÄN</t>
        </is>
      </c>
      <c r="G201" t="inlineStr">
        <is>
          <t>SANDVIKEN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46271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46271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46271</v>
      </c>
      <c r="F204" t="inlineStr">
        <is>
          <t>GÄVLEBORGS LÄN</t>
        </is>
      </c>
      <c r="G204" t="inlineStr">
        <is>
          <t>SANDVIKEN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46271</v>
      </c>
      <c r="F205" t="inlineStr">
        <is>
          <t>GÄVLEBORGS LÄN</t>
        </is>
      </c>
      <c r="G205" t="inlineStr">
        <is>
          <t>SANDVIKEN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46271</v>
      </c>
      <c r="F206" t="inlineStr">
        <is>
          <t>GÄVLEBORGS LÄN</t>
        </is>
      </c>
      <c r="G206" t="inlineStr">
        <is>
          <t>SANDVIKEN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46271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46271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46271</v>
      </c>
      <c r="F209" t="inlineStr">
        <is>
          <t>GÄVLEBORGS LÄN</t>
        </is>
      </c>
      <c r="G209" t="inlineStr">
        <is>
          <t>SANDVIKEN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46271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46271</v>
      </c>
      <c r="F211" t="inlineStr">
        <is>
          <t>GÄVLEBORGS LÄN</t>
        </is>
      </c>
      <c r="G211" t="inlineStr">
        <is>
          <t>SANDVIKEN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46271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45899</v>
      </c>
      <c r="E213" s="1" t="n">
        <v>46271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46271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väst AB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46271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46271</v>
      </c>
      <c r="F216" t="inlineStr">
        <is>
          <t>GÄVLEBORGS LÄN</t>
        </is>
      </c>
      <c r="G216" t="inlineStr">
        <is>
          <t>SANDVIKEN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46271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46271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46271</v>
      </c>
      <c r="F219" t="inlineStr">
        <is>
          <t>GÄVLEBORGS LÄN</t>
        </is>
      </c>
      <c r="G219" t="inlineStr">
        <is>
          <t>SANDVIKEN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46271</v>
      </c>
      <c r="F220" t="inlineStr">
        <is>
          <t>GÄVLEBORGS LÄN</t>
        </is>
      </c>
      <c r="G220" t="inlineStr">
        <is>
          <t>SANDVIKEN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46271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öst AB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30843-2025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45831</v>
      </c>
      <c r="E222" s="1" t="n">
        <v>46271</v>
      </c>
      <c r="F222" t="inlineStr">
        <is>
          <t>GÄVLEBORGS LÄN</t>
        </is>
      </c>
      <c r="G222" t="inlineStr">
        <is>
          <t>SANDVIKEN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46271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46271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46271</v>
      </c>
      <c r="F225" t="inlineStr">
        <is>
          <t>GÄVLEBORGS LÄN</t>
        </is>
      </c>
      <c r="G225" t="inlineStr">
        <is>
          <t>SANDVIKEN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44813</v>
      </c>
      <c r="E226" s="1" t="n">
        <v>46271</v>
      </c>
      <c r="F226" t="inlineStr">
        <is>
          <t>GÄVLEBORGS LÄN</t>
        </is>
      </c>
      <c r="G226" t="inlineStr">
        <is>
          <t>SANDVIKEN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46271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46271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46271</v>
      </c>
      <c r="F229" t="inlineStr">
        <is>
          <t>GÄVLEBORGS LÄN</t>
        </is>
      </c>
      <c r="G229" t="inlineStr">
        <is>
          <t>SANDVIKEN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45480</v>
      </c>
      <c r="E230" s="1" t="n">
        <v>46271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46271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46271</v>
      </c>
      <c r="F232" t="inlineStr">
        <is>
          <t>GÄVLEBORGS LÄN</t>
        </is>
      </c>
      <c r="G232" t="inlineStr">
        <is>
          <t>SANDVIKEN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46271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27.3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46271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46271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46271</v>
      </c>
      <c r="F236" t="inlineStr">
        <is>
          <t>GÄVLEBORGS LÄN</t>
        </is>
      </c>
      <c r="G236" t="inlineStr">
        <is>
          <t>SANDVIKEN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46271</v>
      </c>
      <c r="F237" t="inlineStr">
        <is>
          <t>GÄVLEBORGS LÄN</t>
        </is>
      </c>
      <c r="G237" t="inlineStr">
        <is>
          <t>SANDVIKEN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46271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46271</v>
      </c>
      <c r="F239" t="inlineStr">
        <is>
          <t>GÄVLEBORGS LÄN</t>
        </is>
      </c>
      <c r="G239" t="inlineStr">
        <is>
          <t>SANDVIKEN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46271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46271</v>
      </c>
      <c r="F241" t="inlineStr">
        <is>
          <t>GÄVLEBORGS LÄN</t>
        </is>
      </c>
      <c r="G241" t="inlineStr">
        <is>
          <t>SANDVIKEN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46271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46271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46271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46271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46271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46271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44804</v>
      </c>
      <c r="E248" s="1" t="n">
        <v>46271</v>
      </c>
      <c r="F248" t="inlineStr">
        <is>
          <t>GÄVLEBORGS LÄN</t>
        </is>
      </c>
      <c r="G248" t="inlineStr">
        <is>
          <t>SANDVIKEN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46271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46271</v>
      </c>
      <c r="F250" t="inlineStr">
        <is>
          <t>GÄVLEBORGS LÄN</t>
        </is>
      </c>
      <c r="G250" t="inlineStr">
        <is>
          <t>SANDVIKEN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46271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46271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46271</v>
      </c>
      <c r="F253" t="inlineStr">
        <is>
          <t>GÄVLEBORGS LÄN</t>
        </is>
      </c>
      <c r="G253" t="inlineStr">
        <is>
          <t>SANDVIKEN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46271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46271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46271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46271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46271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46271</v>
      </c>
      <c r="F259" t="inlineStr">
        <is>
          <t>GÄVLEBORGS LÄN</t>
        </is>
      </c>
      <c r="G259" t="inlineStr">
        <is>
          <t>SANDVIKEN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46271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46271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45863</v>
      </c>
      <c r="E262" s="1" t="n">
        <v>46271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46271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45866</v>
      </c>
      <c r="E264" s="1" t="n">
        <v>46271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46271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46271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45938</v>
      </c>
      <c r="E267" s="1" t="n">
        <v>46271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46271</v>
      </c>
      <c r="F268" t="inlineStr">
        <is>
          <t>GÄVLEBORGS LÄN</t>
        </is>
      </c>
      <c r="G268" t="inlineStr">
        <is>
          <t>SANDVIKEN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46271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46271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46271</v>
      </c>
      <c r="F271" t="inlineStr">
        <is>
          <t>GÄVLEBORGS LÄN</t>
        </is>
      </c>
      <c r="G271" t="inlineStr">
        <is>
          <t>SANDVIKEN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46271</v>
      </c>
      <c r="F272" t="inlineStr">
        <is>
          <t>GÄVLEBORGS LÄN</t>
        </is>
      </c>
      <c r="G272" t="inlineStr">
        <is>
          <t>SANDVIKEN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46271</v>
      </c>
      <c r="F273" t="inlineStr">
        <is>
          <t>GÄVLEBORGS LÄN</t>
        </is>
      </c>
      <c r="G273" t="inlineStr">
        <is>
          <t>SANDVIKEN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46271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46271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46271</v>
      </c>
      <c r="F276" t="inlineStr">
        <is>
          <t>GÄVLEBORGS LÄN</t>
        </is>
      </c>
      <c r="G276" t="inlineStr">
        <is>
          <t>SANDVIKEN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46271</v>
      </c>
      <c r="F277" t="inlineStr">
        <is>
          <t>GÄVLEBORGS LÄN</t>
        </is>
      </c>
      <c r="G277" t="inlineStr">
        <is>
          <t>SANDVIKEN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46271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46271</v>
      </c>
      <c r="F279" t="inlineStr">
        <is>
          <t>GÄVLEBORGS LÄN</t>
        </is>
      </c>
      <c r="G279" t="inlineStr">
        <is>
          <t>SANDVIKEN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32849-2022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46271</v>
      </c>
      <c r="F280" t="inlineStr">
        <is>
          <t>GÄVLEBORGS LÄN</t>
        </is>
      </c>
      <c r="G280" t="inlineStr">
        <is>
          <t>SANDVIKEN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46271</v>
      </c>
      <c r="F281" t="inlineStr">
        <is>
          <t>GÄVLEBORGS LÄN</t>
        </is>
      </c>
      <c r="G281" t="inlineStr">
        <is>
          <t>SANDVIKEN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46271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46271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46271</v>
      </c>
      <c r="F284" t="inlineStr">
        <is>
          <t>GÄVLEBORGS LÄN</t>
        </is>
      </c>
      <c r="G284" t="inlineStr">
        <is>
          <t>SANDVIKEN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45870</v>
      </c>
      <c r="E285" s="1" t="n">
        <v>46271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46271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50851-2025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45946</v>
      </c>
      <c r="E287" s="1" t="n">
        <v>46271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36732-2025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45873</v>
      </c>
      <c r="E288" s="1" t="n">
        <v>46271</v>
      </c>
      <c r="F288" t="inlineStr">
        <is>
          <t>GÄVLEBORGS LÄN</t>
        </is>
      </c>
      <c r="G288" t="inlineStr">
        <is>
          <t>SANDVIKEN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46271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46271</v>
      </c>
      <c r="F290" t="inlineStr">
        <is>
          <t>GÄVLEBORGS LÄN</t>
        </is>
      </c>
      <c r="G290" t="inlineStr">
        <is>
          <t>SANDVIKEN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46271</v>
      </c>
      <c r="F291" t="inlineStr">
        <is>
          <t>GÄVLEBORGS LÄN</t>
        </is>
      </c>
      <c r="G291" t="inlineStr">
        <is>
          <t>SANDVIKEN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46271</v>
      </c>
      <c r="F292" t="inlineStr">
        <is>
          <t>GÄVLEBORGS LÄN</t>
        </is>
      </c>
      <c r="G292" t="inlineStr">
        <is>
          <t>SANDVIKEN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46271</v>
      </c>
      <c r="F293" t="inlineStr">
        <is>
          <t>GÄVLEBORGS LÄN</t>
        </is>
      </c>
      <c r="G293" t="inlineStr">
        <is>
          <t>SANDVIKEN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46271</v>
      </c>
      <c r="F294" t="inlineStr">
        <is>
          <t>GÄVLEBORGS LÄN</t>
        </is>
      </c>
      <c r="G294" t="inlineStr">
        <is>
          <t>SANDVIKEN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46271</v>
      </c>
      <c r="F295" t="inlineStr">
        <is>
          <t>GÄVLEBORGS LÄN</t>
        </is>
      </c>
      <c r="G295" t="inlineStr">
        <is>
          <t>SANDVIKEN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46271</v>
      </c>
      <c r="F296" t="inlineStr">
        <is>
          <t>GÄVLEBORGS LÄN</t>
        </is>
      </c>
      <c r="G296" t="inlineStr">
        <is>
          <t>SANDVIKEN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46271</v>
      </c>
      <c r="F297" t="inlineStr">
        <is>
          <t>GÄVLEBORGS LÄN</t>
        </is>
      </c>
      <c r="G297" t="inlineStr">
        <is>
          <t>SANDVIKEN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46271</v>
      </c>
      <c r="F298" t="inlineStr">
        <is>
          <t>GÄVLEBORGS LÄN</t>
        </is>
      </c>
      <c r="G298" t="inlineStr">
        <is>
          <t>SANDVIKEN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46271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46271</v>
      </c>
      <c r="F300" t="inlineStr">
        <is>
          <t>GÄVLEBORGS LÄN</t>
        </is>
      </c>
      <c r="G300" t="inlineStr">
        <is>
          <t>SANDVIKEN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46271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HYPERLINK("https://klasma.github.io/Logging_2181/knärot/A 52786-2025 karta knärot.png", "A 52786-2025")</f>
        <v/>
      </c>
      <c r="AA301">
        <f>HYPERLINK("https://klasma.github.io/Logging_2181/klagomål/A 52786-2025 FSC-klagomål.docx", "A 52786-2025")</f>
        <v/>
      </c>
      <c r="AB301">
        <f>HYPERLINK("https://klasma.github.io/Logging_2181/klagomålsmail/A 52786-2025 FSC-klagomål mail.docx", "A 52786-2025")</f>
        <v/>
      </c>
      <c r="AC301">
        <f>HYPERLINK("https://klasma.github.io/Logging_2181/tillsyn/A 52786-2025 tillsynsbegäran.docx", "A 52786-2025")</f>
        <v/>
      </c>
      <c r="AD301">
        <f>HYPERLINK("https://klasma.github.io/Logging_2181/tillsynsmail/A 52786-2025 tillsynsbegäran mail.docx", "A 52786-2025")</f>
        <v/>
      </c>
    </row>
    <row r="302" ht="15" customHeight="1">
      <c r="A302" t="inlineStr">
        <is>
          <t>A 38435-2025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46271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46271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46271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46271</v>
      </c>
      <c r="F305" t="inlineStr">
        <is>
          <t>GÄVLEBORGS LÄN</t>
        </is>
      </c>
      <c r="G305" t="inlineStr">
        <is>
          <t>SANDVIKEN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46271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46271</v>
      </c>
      <c r="F307" t="inlineStr">
        <is>
          <t>GÄVLEBORGS LÄN</t>
        </is>
      </c>
      <c r="G307" t="inlineStr">
        <is>
          <t>SANDVIKEN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46271</v>
      </c>
      <c r="F308" t="inlineStr">
        <is>
          <t>GÄVLEBORGS LÄN</t>
        </is>
      </c>
      <c r="G308" t="inlineStr">
        <is>
          <t>SANDVIKEN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45467</v>
      </c>
      <c r="E309" s="1" t="n">
        <v>46271</v>
      </c>
      <c r="F309" t="inlineStr">
        <is>
          <t>GÄVLEBORGS LÄN</t>
        </is>
      </c>
      <c r="G309" t="inlineStr">
        <is>
          <t>SANDVIKEN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46271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46271</v>
      </c>
      <c r="F311" t="inlineStr">
        <is>
          <t>GÄVLEBORGS LÄN</t>
        </is>
      </c>
      <c r="G311" t="inlineStr">
        <is>
          <t>SANDVIKEN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46271</v>
      </c>
      <c r="F312" t="inlineStr">
        <is>
          <t>GÄVLEBORGS LÄN</t>
        </is>
      </c>
      <c r="G312" t="inlineStr">
        <is>
          <t>SANDVIKEN</t>
        </is>
      </c>
      <c r="H312" t="inlineStr">
        <is>
          <t>Kommuner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46271</v>
      </c>
      <c r="F313" t="inlineStr">
        <is>
          <t>GÄVLEBORGS LÄN</t>
        </is>
      </c>
      <c r="G313" t="inlineStr">
        <is>
          <t>SANDVIKEN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61694-2021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46271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46271</v>
      </c>
      <c r="F315" t="inlineStr">
        <is>
          <t>GÄVLEBORGS LÄN</t>
        </is>
      </c>
      <c r="G315" t="inlineStr">
        <is>
          <t>SANDVIKEN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46271</v>
      </c>
      <c r="F316" t="inlineStr">
        <is>
          <t>GÄVLEBORGS LÄN</t>
        </is>
      </c>
      <c r="G316" t="inlineStr">
        <is>
          <t>SANDVIKEN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46271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72997-2021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44549</v>
      </c>
      <c r="E318" s="1" t="n">
        <v>46271</v>
      </c>
      <c r="F318" t="inlineStr">
        <is>
          <t>GÄVLEBORGS LÄN</t>
        </is>
      </c>
      <c r="G318" t="inlineStr">
        <is>
          <t>SANDVIKEN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45701</v>
      </c>
      <c r="E319" s="1" t="n">
        <v>46271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46271</v>
      </c>
      <c r="F320" t="inlineStr">
        <is>
          <t>GÄVLEBORGS LÄN</t>
        </is>
      </c>
      <c r="G320" t="inlineStr">
        <is>
          <t>SANDVIKEN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46271</v>
      </c>
      <c r="F321" t="inlineStr">
        <is>
          <t>GÄVLEBORGS LÄN</t>
        </is>
      </c>
      <c r="G321" t="inlineStr">
        <is>
          <t>SANDVIKEN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46271</v>
      </c>
      <c r="F322" t="inlineStr">
        <is>
          <t>GÄVLEBORGS LÄN</t>
        </is>
      </c>
      <c r="G322" t="inlineStr">
        <is>
          <t>SANDVIKEN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45390</v>
      </c>
      <c r="E323" s="1" t="n">
        <v>46271</v>
      </c>
      <c r="F323" t="inlineStr">
        <is>
          <t>GÄVLEBORGS LÄN</t>
        </is>
      </c>
      <c r="G323" t="inlineStr">
        <is>
          <t>SANDVIKEN</t>
        </is>
      </c>
      <c r="H323" t="inlineStr">
        <is>
          <t>Kyrkan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46271</v>
      </c>
      <c r="F324" t="inlineStr">
        <is>
          <t>GÄVLEBORGS LÄN</t>
        </is>
      </c>
      <c r="G324" t="inlineStr">
        <is>
          <t>SANDVIKEN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45330</v>
      </c>
      <c r="E325" s="1" t="n">
        <v>46271</v>
      </c>
      <c r="F325" t="inlineStr">
        <is>
          <t>GÄVLEBORGS LÄN</t>
        </is>
      </c>
      <c r="G325" t="inlineStr">
        <is>
          <t>SANDVIKEN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46271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46271</v>
      </c>
      <c r="F327" t="inlineStr">
        <is>
          <t>GÄVLEBORGS LÄN</t>
        </is>
      </c>
      <c r="G327" t="inlineStr">
        <is>
          <t>SANDVIKEN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45660</v>
      </c>
      <c r="E328" s="1" t="n">
        <v>46271</v>
      </c>
      <c r="F328" t="inlineStr">
        <is>
          <t>GÄVLEBORGS LÄN</t>
        </is>
      </c>
      <c r="G328" t="inlineStr">
        <is>
          <t>SANDVIKEN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46271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45670</v>
      </c>
      <c r="E330" s="1" t="n">
        <v>46271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46271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46271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46058</v>
      </c>
      <c r="E333" s="1" t="n">
        <v>46271</v>
      </c>
      <c r="F333" t="inlineStr">
        <is>
          <t>GÄVLEBORGS LÄN</t>
        </is>
      </c>
      <c r="G333" t="inlineStr">
        <is>
          <t>SANDVIKEN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46271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46271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46271</v>
      </c>
      <c r="F336" t="inlineStr">
        <is>
          <t>GÄVLEBORGS LÄN</t>
        </is>
      </c>
      <c r="G336" t="inlineStr">
        <is>
          <t>SANDVIKEN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46271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46271</v>
      </c>
      <c r="F338" t="inlineStr">
        <is>
          <t>GÄVLEBORGS LÄN</t>
        </is>
      </c>
      <c r="G338" t="inlineStr">
        <is>
          <t>SANDVIKEN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46271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46271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46271</v>
      </c>
      <c r="F341" t="inlineStr">
        <is>
          <t>GÄVLEBORGS LÄN</t>
        </is>
      </c>
      <c r="G341" t="inlineStr">
        <is>
          <t>SANDVIKEN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46271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46271</v>
      </c>
      <c r="F343" t="inlineStr">
        <is>
          <t>GÄVLEBORGS LÄN</t>
        </is>
      </c>
      <c r="G343" t="inlineStr">
        <is>
          <t>SANDVIKEN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46271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46271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46271</v>
      </c>
      <c r="F346" t="inlineStr">
        <is>
          <t>GÄVLEBORGS LÄN</t>
        </is>
      </c>
      <c r="G346" t="inlineStr">
        <is>
          <t>SANDVIKEN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46271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46271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46271</v>
      </c>
      <c r="F349" t="inlineStr">
        <is>
          <t>GÄVLEBORGS LÄN</t>
        </is>
      </c>
      <c r="G349" t="inlineStr">
        <is>
          <t>SANDVIKEN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46271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46271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46271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46271</v>
      </c>
      <c r="F353" t="inlineStr">
        <is>
          <t>GÄVLEBORGS LÄN</t>
        </is>
      </c>
      <c r="G353" t="inlineStr">
        <is>
          <t>SANDVIKEN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46271</v>
      </c>
      <c r="F354" t="inlineStr">
        <is>
          <t>GÄVLEBORGS LÄN</t>
        </is>
      </c>
      <c r="G354" t="inlineStr">
        <is>
          <t>SANDVIKEN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46271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46271</v>
      </c>
      <c r="F356" t="inlineStr">
        <is>
          <t>GÄVLEBORGS LÄN</t>
        </is>
      </c>
      <c r="G356" t="inlineStr">
        <is>
          <t>SANDVIKEN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46271</v>
      </c>
      <c r="F357" t="inlineStr">
        <is>
          <t>GÄVLEBORGS LÄN</t>
        </is>
      </c>
      <c r="G357" t="inlineStr">
        <is>
          <t>SANDVIKEN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46271</v>
      </c>
      <c r="F358" t="inlineStr">
        <is>
          <t>GÄVLEBORGS LÄN</t>
        </is>
      </c>
      <c r="G358" t="inlineStr">
        <is>
          <t>SANDVIKEN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46271</v>
      </c>
      <c r="F359" t="inlineStr">
        <is>
          <t>GÄVLEBORGS LÄN</t>
        </is>
      </c>
      <c r="G359" t="inlineStr">
        <is>
          <t>SANDVIKEN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46271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46271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45977</v>
      </c>
      <c r="E362" s="1" t="n">
        <v>46271</v>
      </c>
      <c r="F362" t="inlineStr">
        <is>
          <t>GÄVLEBORGS LÄN</t>
        </is>
      </c>
      <c r="G362" t="inlineStr">
        <is>
          <t>SANDVIKEN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46271</v>
      </c>
      <c r="F363" t="inlineStr">
        <is>
          <t>GÄVLEBORGS LÄN</t>
        </is>
      </c>
      <c r="G363" t="inlineStr">
        <is>
          <t>SANDVIKEN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46271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46271</v>
      </c>
      <c r="F365" t="inlineStr">
        <is>
          <t>GÄVLEBORGS LÄN</t>
        </is>
      </c>
      <c r="G365" t="inlineStr">
        <is>
          <t>SANDVIKEN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46271</v>
      </c>
      <c r="F366" t="inlineStr">
        <is>
          <t>GÄVLEBORGS LÄN</t>
        </is>
      </c>
      <c r="G366" t="inlineStr">
        <is>
          <t>SANDVIKEN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44586</v>
      </c>
      <c r="E367" s="1" t="n">
        <v>46271</v>
      </c>
      <c r="F367" t="inlineStr">
        <is>
          <t>GÄVLEBORGS LÄN</t>
        </is>
      </c>
      <c r="G367" t="inlineStr">
        <is>
          <t>SANDVIKEN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46271</v>
      </c>
      <c r="F368" t="inlineStr">
        <is>
          <t>GÄVLEBORGS LÄN</t>
        </is>
      </c>
      <c r="G368" t="inlineStr">
        <is>
          <t>SANDVIKEN</t>
        </is>
      </c>
      <c r="H368" t="inlineStr">
        <is>
          <t>Naturvårdsverket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46271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46271</v>
      </c>
      <c r="F370" t="inlineStr">
        <is>
          <t>GÄVLEBORGS LÄN</t>
        </is>
      </c>
      <c r="G370" t="inlineStr">
        <is>
          <t>SANDVIKEN</t>
        </is>
      </c>
      <c r="H370" t="inlineStr">
        <is>
          <t>Kommuner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46271</v>
      </c>
      <c r="F371" t="inlineStr">
        <is>
          <t>GÄVLEBORGS LÄN</t>
        </is>
      </c>
      <c r="G371" t="inlineStr">
        <is>
          <t>SANDVIKEN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46271</v>
      </c>
      <c r="F372" t="inlineStr">
        <is>
          <t>GÄVLEBORGS LÄN</t>
        </is>
      </c>
      <c r="G372" t="inlineStr">
        <is>
          <t>SANDVIKEN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45983</v>
      </c>
      <c r="E373" s="1" t="n">
        <v>46271</v>
      </c>
      <c r="F373" t="inlineStr">
        <is>
          <t>GÄVLEBORGS LÄN</t>
        </is>
      </c>
      <c r="G373" t="inlineStr">
        <is>
          <t>SANDVIKEN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46271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46271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46271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46271</v>
      </c>
      <c r="F377" t="inlineStr">
        <is>
          <t>GÄVLEBORGS LÄN</t>
        </is>
      </c>
      <c r="G377" t="inlineStr">
        <is>
          <t>SANDVIKEN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46271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46271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46271</v>
      </c>
      <c r="F380" t="inlineStr">
        <is>
          <t>GÄVLEBORGS LÄN</t>
        </is>
      </c>
      <c r="G380" t="inlineStr">
        <is>
          <t>SANDVIKEN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46074</v>
      </c>
      <c r="E381" s="1" t="n">
        <v>46271</v>
      </c>
      <c r="F381" t="inlineStr">
        <is>
          <t>GÄVLEBORGS LÄN</t>
        </is>
      </c>
      <c r="G381" t="inlineStr">
        <is>
          <t>SANDVIKEN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46271</v>
      </c>
      <c r="F382" t="inlineStr">
        <is>
          <t>GÄVLEBORGS LÄN</t>
        </is>
      </c>
      <c r="G382" t="inlineStr">
        <is>
          <t>SANDVIKEN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46271</v>
      </c>
      <c r="F383" t="inlineStr">
        <is>
          <t>GÄVLEBORGS LÄN</t>
        </is>
      </c>
      <c r="G383" t="inlineStr">
        <is>
          <t>SANDVIKEN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46271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46271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46271</v>
      </c>
      <c r="F386" t="inlineStr">
        <is>
          <t>GÄVLEBORGS LÄN</t>
        </is>
      </c>
      <c r="G386" t="inlineStr">
        <is>
          <t>SANDVIKEN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46271</v>
      </c>
      <c r="F387" t="inlineStr">
        <is>
          <t>GÄVLEBORGS LÄN</t>
        </is>
      </c>
      <c r="G387" t="inlineStr">
        <is>
          <t>SANDVIKEN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45087</v>
      </c>
      <c r="E388" s="1" t="n">
        <v>46271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46271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46271</v>
      </c>
      <c r="F390" t="inlineStr">
        <is>
          <t>GÄVLEBORGS LÄN</t>
        </is>
      </c>
      <c r="G390" t="inlineStr">
        <is>
          <t>SANDVIKEN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46271</v>
      </c>
      <c r="F391" t="inlineStr">
        <is>
          <t>GÄVLEBORGS LÄN</t>
        </is>
      </c>
      <c r="G391" t="inlineStr">
        <is>
          <t>SANDVIKEN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46271</v>
      </c>
      <c r="F392" t="inlineStr">
        <is>
          <t>GÄVLEBORGS LÄN</t>
        </is>
      </c>
      <c r="G392" t="inlineStr">
        <is>
          <t>SANDVIKEN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45512</v>
      </c>
      <c r="E393" s="1" t="n">
        <v>46271</v>
      </c>
      <c r="F393" t="inlineStr">
        <is>
          <t>GÄVLEBORGS LÄN</t>
        </is>
      </c>
      <c r="G393" t="inlineStr">
        <is>
          <t>SANDVIKEN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46271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45460</v>
      </c>
      <c r="E395" s="1" t="n">
        <v>46271</v>
      </c>
      <c r="F395" t="inlineStr">
        <is>
          <t>GÄVLEBORGS LÄN</t>
        </is>
      </c>
      <c r="G395" t="inlineStr">
        <is>
          <t>SANDVIKEN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46271</v>
      </c>
      <c r="F396" t="inlineStr">
        <is>
          <t>GÄVLEBORGS LÄN</t>
        </is>
      </c>
      <c r="G396" t="inlineStr">
        <is>
          <t>SANDVIKEN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59755-2025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46271</v>
      </c>
      <c r="F397" t="inlineStr">
        <is>
          <t>GÄVLEBORGS LÄN</t>
        </is>
      </c>
      <c r="G397" t="inlineStr">
        <is>
          <t>SANDVIKEN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46271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46271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46271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46271</v>
      </c>
      <c r="F401" t="inlineStr">
        <is>
          <t>GÄVLEBORGS LÄN</t>
        </is>
      </c>
      <c r="G401" t="inlineStr">
        <is>
          <t>SANDVIKEN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46271</v>
      </c>
      <c r="F402" t="inlineStr">
        <is>
          <t>GÄVLEBORGS LÄN</t>
        </is>
      </c>
      <c r="G402" t="inlineStr">
        <is>
          <t>SANDVIKEN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44918</v>
      </c>
      <c r="E403" s="1" t="n">
        <v>46271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46080</v>
      </c>
      <c r="E404" s="1" t="n">
        <v>46271</v>
      </c>
      <c r="F404" t="inlineStr">
        <is>
          <t>GÄVLEBORGS LÄN</t>
        </is>
      </c>
      <c r="G404" t="inlineStr">
        <is>
          <t>SANDVIKEN</t>
        </is>
      </c>
      <c r="I404" t="n">
        <v>14.5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45576</v>
      </c>
      <c r="E405" s="1" t="n">
        <v>46271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46271</v>
      </c>
      <c r="F406" t="inlineStr">
        <is>
          <t>GÄVLEBORGS LÄN</t>
        </is>
      </c>
      <c r="G406" t="inlineStr">
        <is>
          <t>SANDVIKEN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46271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46271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62056-2022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44918</v>
      </c>
      <c r="E409" s="1" t="n">
        <v>46271</v>
      </c>
      <c r="F409" t="inlineStr">
        <is>
          <t>GÄVLEBORGS LÄN</t>
        </is>
      </c>
      <c r="G409" t="inlineStr">
        <is>
          <t>SANDVIKEN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46271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46271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46271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46271</v>
      </c>
      <c r="F413" t="inlineStr">
        <is>
          <t>GÄVLEBORGS LÄN</t>
        </is>
      </c>
      <c r="G413" t="inlineStr">
        <is>
          <t>SANDVIKEN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45984</v>
      </c>
      <c r="E414" s="1" t="n">
        <v>46271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46271</v>
      </c>
      <c r="F415" t="inlineStr">
        <is>
          <t>GÄVLEBORGS LÄN</t>
        </is>
      </c>
      <c r="G415" t="inlineStr">
        <is>
          <t>SANDVIKEN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46271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46271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46271</v>
      </c>
      <c r="F418" t="inlineStr">
        <is>
          <t>GÄVLEBORGS LÄN</t>
        </is>
      </c>
      <c r="G418" t="inlineStr">
        <is>
          <t>SANDVIKEN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46271</v>
      </c>
      <c r="F419" t="inlineStr">
        <is>
          <t>GÄVLEBORGS LÄN</t>
        </is>
      </c>
      <c r="G419" t="inlineStr">
        <is>
          <t>SANDVIKEN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46271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46271</v>
      </c>
      <c r="F421" t="inlineStr">
        <is>
          <t>GÄVLEBORGS LÄN</t>
        </is>
      </c>
      <c r="G421" t="inlineStr">
        <is>
          <t>SANDVIKEN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46271</v>
      </c>
      <c r="F422" t="inlineStr">
        <is>
          <t>GÄVLEBORGS LÄN</t>
        </is>
      </c>
      <c r="G422" t="inlineStr">
        <is>
          <t>SANDVIKEN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46271</v>
      </c>
      <c r="F423" t="inlineStr">
        <is>
          <t>GÄVLEBORGS LÄN</t>
        </is>
      </c>
      <c r="G423" t="inlineStr">
        <is>
          <t>SANDVIKEN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46271</v>
      </c>
      <c r="F424" t="inlineStr">
        <is>
          <t>GÄVLEBORGS LÄN</t>
        </is>
      </c>
      <c r="G424" t="inlineStr">
        <is>
          <t>SANDVIKEN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46271</v>
      </c>
      <c r="F425" t="inlineStr">
        <is>
          <t>GÄVLEBORGS LÄN</t>
        </is>
      </c>
      <c r="G425" t="inlineStr">
        <is>
          <t>SANDVIKEN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46086</v>
      </c>
      <c r="E426" s="1" t="n">
        <v>46271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46271</v>
      </c>
      <c r="F427" t="inlineStr">
        <is>
          <t>GÄVLEBORGS LÄN</t>
        </is>
      </c>
      <c r="G427" t="inlineStr">
        <is>
          <t>SANDVIKEN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46271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46086</v>
      </c>
      <c r="E429" s="1" t="n">
        <v>46271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46271</v>
      </c>
      <c r="F430" t="inlineStr">
        <is>
          <t>GÄVLEBORGS LÄN</t>
        </is>
      </c>
      <c r="G430" t="inlineStr">
        <is>
          <t>SANDVIKEN</t>
        </is>
      </c>
      <c r="H430" t="inlineStr">
        <is>
          <t>Naturvårdsverket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46271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46271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46271</v>
      </c>
      <c r="F433" t="inlineStr">
        <is>
          <t>GÄVLEBORGS LÄN</t>
        </is>
      </c>
      <c r="G433" t="inlineStr">
        <is>
          <t>SANDVIKEN</t>
        </is>
      </c>
      <c r="H433" t="inlineStr">
        <is>
          <t>Naturvårdsverket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46271</v>
      </c>
      <c r="F434" t="inlineStr">
        <is>
          <t>GÄVLEBORGS LÄN</t>
        </is>
      </c>
      <c r="G434" t="inlineStr">
        <is>
          <t>SANDVIKEN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46271</v>
      </c>
      <c r="F435" t="inlineStr">
        <is>
          <t>GÄVLEBORGS LÄN</t>
        </is>
      </c>
      <c r="G435" t="inlineStr">
        <is>
          <t>SANDVIKEN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45984</v>
      </c>
      <c r="E436" s="1" t="n">
        <v>46271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46271</v>
      </c>
      <c r="F437" t="inlineStr">
        <is>
          <t>GÄVLEBORGS LÄN</t>
        </is>
      </c>
      <c r="G437" t="inlineStr">
        <is>
          <t>SANDVIKEN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46271</v>
      </c>
      <c r="F438" t="inlineStr">
        <is>
          <t>GÄVLEBORGS LÄN</t>
        </is>
      </c>
      <c r="G438" t="inlineStr">
        <is>
          <t>SANDVIKEN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46271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46271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46271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45414</v>
      </c>
      <c r="E442" s="1" t="n">
        <v>46271</v>
      </c>
      <c r="F442" t="inlineStr">
        <is>
          <t>GÄVLEBORGS LÄN</t>
        </is>
      </c>
      <c r="G442" t="inlineStr">
        <is>
          <t>SANDVIKEN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45649</v>
      </c>
      <c r="E443" s="1" t="n">
        <v>46271</v>
      </c>
      <c r="F443" t="inlineStr">
        <is>
          <t>GÄVLEBORGS LÄN</t>
        </is>
      </c>
      <c r="G443" t="inlineStr">
        <is>
          <t>SANDVIKEN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46271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46271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46271</v>
      </c>
      <c r="F446" t="inlineStr">
        <is>
          <t>GÄVLEBORGS LÄN</t>
        </is>
      </c>
      <c r="G446" t="inlineStr">
        <is>
          <t>SANDVIKEN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46271</v>
      </c>
      <c r="F447" t="inlineStr">
        <is>
          <t>GÄVLEBORGS LÄN</t>
        </is>
      </c>
      <c r="G447" t="inlineStr">
        <is>
          <t>SANDVIKEN</t>
        </is>
      </c>
      <c r="I447" t="n">
        <v>9.4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46271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46271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46271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46271</v>
      </c>
      <c r="F451" t="inlineStr">
        <is>
          <t>GÄVLEBORGS LÄN</t>
        </is>
      </c>
      <c r="G451" t="inlineStr">
        <is>
          <t>SANDVIKEN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46271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46271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45730</v>
      </c>
      <c r="E454" s="1" t="n">
        <v>46271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45730</v>
      </c>
      <c r="E455" s="1" t="n">
        <v>46271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46271</v>
      </c>
      <c r="F456" t="inlineStr">
        <is>
          <t>GÄVLEBORGS LÄN</t>
        </is>
      </c>
      <c r="G456" t="inlineStr">
        <is>
          <t>SANDVIKEN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46271</v>
      </c>
      <c r="F457" t="inlineStr">
        <is>
          <t>GÄVLEBORGS LÄN</t>
        </is>
      </c>
      <c r="G457" t="inlineStr">
        <is>
          <t>SANDVIKEN</t>
        </is>
      </c>
      <c r="H457" t="inlineStr">
        <is>
          <t>Naturvårdsverket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46271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46271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46271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46271</v>
      </c>
      <c r="F461" t="inlineStr">
        <is>
          <t>GÄVLEBORGS LÄN</t>
        </is>
      </c>
      <c r="G461" t="inlineStr">
        <is>
          <t>SANDVIKEN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46271</v>
      </c>
      <c r="F462" t="inlineStr">
        <is>
          <t>GÄVLEBORGS LÄN</t>
        </is>
      </c>
      <c r="G462" t="inlineStr">
        <is>
          <t>SANDVIKEN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60891-2023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46271</v>
      </c>
      <c r="F463" t="inlineStr">
        <is>
          <t>GÄVLEBORGS LÄN</t>
        </is>
      </c>
      <c r="G463" t="inlineStr">
        <is>
          <t>SANDVIKEN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46271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46271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46271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45293</v>
      </c>
      <c r="E467" s="1" t="n">
        <v>46271</v>
      </c>
      <c r="F467" t="inlineStr">
        <is>
          <t>GÄVLEBORGS LÄN</t>
        </is>
      </c>
      <c r="G467" t="inlineStr">
        <is>
          <t>SANDVIKEN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45293</v>
      </c>
      <c r="E468" s="1" t="n">
        <v>46271</v>
      </c>
      <c r="F468" t="inlineStr">
        <is>
          <t>GÄVLEBORGS LÄN</t>
        </is>
      </c>
      <c r="G468" t="inlineStr">
        <is>
          <t>SANDVIKEN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46271</v>
      </c>
      <c r="F469" t="inlineStr">
        <is>
          <t>GÄVLEBORGS LÄN</t>
        </is>
      </c>
      <c r="G469" t="inlineStr">
        <is>
          <t>SANDVIKEN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46271</v>
      </c>
      <c r="F470" t="inlineStr">
        <is>
          <t>GÄVLEBORGS LÄN</t>
        </is>
      </c>
      <c r="G470" t="inlineStr">
        <is>
          <t>SANDVIKEN</t>
        </is>
      </c>
      <c r="I470" t="n">
        <v>22.5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46271</v>
      </c>
      <c r="F471" t="inlineStr">
        <is>
          <t>GÄVLEBORGS LÄN</t>
        </is>
      </c>
      <c r="G471" t="inlineStr">
        <is>
          <t>SANDVIKEN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46271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46097</v>
      </c>
      <c r="E473" s="1" t="n">
        <v>46271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46271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46095</v>
      </c>
      <c r="E475" s="1" t="n">
        <v>46271</v>
      </c>
      <c r="F475" t="inlineStr">
        <is>
          <t>GÄVLEBORGS LÄN</t>
        </is>
      </c>
      <c r="G475" t="inlineStr">
        <is>
          <t>SANDVIKEN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46271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46095</v>
      </c>
      <c r="E477" s="1" t="n">
        <v>46271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46271</v>
      </c>
      <c r="F478" t="inlineStr">
        <is>
          <t>GÄVLEBORGS LÄN</t>
        </is>
      </c>
      <c r="G478" t="inlineStr">
        <is>
          <t>SANDVIKEN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46095</v>
      </c>
      <c r="E479" s="1" t="n">
        <v>46271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46095</v>
      </c>
      <c r="E480" s="1" t="n">
        <v>46271</v>
      </c>
      <c r="F480" t="inlineStr">
        <is>
          <t>GÄVLEBORGS LÄN</t>
        </is>
      </c>
      <c r="G480" t="inlineStr">
        <is>
          <t>SANDVIKEN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46095</v>
      </c>
      <c r="E481" s="1" t="n">
        <v>46271</v>
      </c>
      <c r="F481" t="inlineStr">
        <is>
          <t>GÄVLEBORGS LÄN</t>
        </is>
      </c>
      <c r="G481" t="inlineStr">
        <is>
          <t>SANDVIKEN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46271</v>
      </c>
      <c r="F482" t="inlineStr">
        <is>
          <t>GÄVLEBORGS LÄN</t>
        </is>
      </c>
      <c r="G482" t="inlineStr">
        <is>
          <t>SANDVIKEN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46271</v>
      </c>
      <c r="F483" t="inlineStr">
        <is>
          <t>GÄVLEBORGS LÄN</t>
        </is>
      </c>
      <c r="G483" t="inlineStr">
        <is>
          <t>SANDVIKEN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46271</v>
      </c>
      <c r="F484" t="inlineStr">
        <is>
          <t>GÄVLEBORGS LÄN</t>
        </is>
      </c>
      <c r="G484" t="inlineStr">
        <is>
          <t>SANDVIKEN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46271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46271</v>
      </c>
      <c r="F486" t="inlineStr">
        <is>
          <t>GÄVLEBORGS LÄN</t>
        </is>
      </c>
      <c r="G486" t="inlineStr">
        <is>
          <t>SANDVIKEN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46271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46271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46271</v>
      </c>
      <c r="F489" t="inlineStr">
        <is>
          <t>GÄVLEBORGS LÄN</t>
        </is>
      </c>
      <c r="G489" t="inlineStr">
        <is>
          <t>SANDVIKEN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46271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46271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46271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46271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46271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46271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46271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45268</v>
      </c>
      <c r="E497" s="1" t="n">
        <v>46271</v>
      </c>
      <c r="F497" t="inlineStr">
        <is>
          <t>GÄVLEBORGS LÄN</t>
        </is>
      </c>
      <c r="G497" t="inlineStr">
        <is>
          <t>SANDVIKEN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46271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46271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46271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46271</v>
      </c>
      <c r="F501" t="inlineStr">
        <is>
          <t>GÄVLEBORGS LÄN</t>
        </is>
      </c>
      <c r="G501" t="inlineStr">
        <is>
          <t>SANDVIKEN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46271</v>
      </c>
      <c r="F502" t="inlineStr">
        <is>
          <t>GÄVLEBORGS LÄN</t>
        </is>
      </c>
      <c r="G502" t="inlineStr">
        <is>
          <t>SANDVIKEN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46271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46271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46271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46271</v>
      </c>
      <c r="F506" t="inlineStr">
        <is>
          <t>GÄVLEBORGS LÄN</t>
        </is>
      </c>
      <c r="G506" t="inlineStr">
        <is>
          <t>SANDVIKEN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46271</v>
      </c>
      <c r="F507" t="inlineStr">
        <is>
          <t>GÄVLEBORGS LÄN</t>
        </is>
      </c>
      <c r="G507" t="inlineStr">
        <is>
          <t>SANDVIKEN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46271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46271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46271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46271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46271</v>
      </c>
      <c r="F512" t="inlineStr">
        <is>
          <t>GÄVLEBORGS LÄN</t>
        </is>
      </c>
      <c r="G512" t="inlineStr">
        <is>
          <t>SANDVIKEN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16569-2026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46271</v>
      </c>
      <c r="F513" t="inlineStr">
        <is>
          <t>GÄVLEBORGS LÄN</t>
        </is>
      </c>
      <c r="G513" t="inlineStr">
        <is>
          <t>SANDVIKEN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45989-2023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46271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46271</v>
      </c>
      <c r="F515" t="inlineStr">
        <is>
          <t>GÄVLEBORGS LÄN</t>
        </is>
      </c>
      <c r="G515" t="inlineStr">
        <is>
          <t>SANDVIKEN</t>
        </is>
      </c>
      <c r="I515" t="n">
        <v>10.3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46115</v>
      </c>
      <c r="E516" s="1" t="n">
        <v>46271</v>
      </c>
      <c r="F516" t="inlineStr">
        <is>
          <t>GÄVLEBORGS LÄN</t>
        </is>
      </c>
      <c r="G516" t="inlineStr">
        <is>
          <t>SANDVIKEN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46116</v>
      </c>
      <c r="E517" s="1" t="n">
        <v>46271</v>
      </c>
      <c r="F517" t="inlineStr">
        <is>
          <t>GÄVLEBORGS LÄN</t>
        </is>
      </c>
      <c r="G517" t="inlineStr">
        <is>
          <t>SANDVIKEN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46115</v>
      </c>
      <c r="E518" s="1" t="n">
        <v>46271</v>
      </c>
      <c r="F518" t="inlineStr">
        <is>
          <t>GÄVLEBORGS LÄN</t>
        </is>
      </c>
      <c r="G518" t="inlineStr">
        <is>
          <t>SANDVIKEN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46115</v>
      </c>
      <c r="E519" s="1" t="n">
        <v>46271</v>
      </c>
      <c r="F519" t="inlineStr">
        <is>
          <t>GÄVLEBORGS LÄN</t>
        </is>
      </c>
      <c r="G519" t="inlineStr">
        <is>
          <t>SANDVIKEN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46116</v>
      </c>
      <c r="E520" s="1" t="n">
        <v>46271</v>
      </c>
      <c r="F520" t="inlineStr">
        <is>
          <t>GÄVLEBORGS LÄN</t>
        </is>
      </c>
      <c r="G520" t="inlineStr">
        <is>
          <t>SANDVIKEN</t>
        </is>
      </c>
      <c r="I520" t="n">
        <v>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46115</v>
      </c>
      <c r="E521" s="1" t="n">
        <v>46271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46116</v>
      </c>
      <c r="E522" s="1" t="n">
        <v>46271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46115</v>
      </c>
      <c r="E523" s="1" t="n">
        <v>46271</v>
      </c>
      <c r="F523" t="inlineStr">
        <is>
          <t>GÄVLEBORGS LÄN</t>
        </is>
      </c>
      <c r="G523" t="inlineStr">
        <is>
          <t>SANDVIKEN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46115</v>
      </c>
      <c r="E524" s="1" t="n">
        <v>46271</v>
      </c>
      <c r="F524" t="inlineStr">
        <is>
          <t>GÄVLEBORGS LÄN</t>
        </is>
      </c>
      <c r="G524" t="inlineStr">
        <is>
          <t>SANDVIKEN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65098-2023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45288</v>
      </c>
      <c r="E525" s="1" t="n">
        <v>46271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46271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46271</v>
      </c>
      <c r="F527" t="inlineStr">
        <is>
          <t>GÄVLEBORGS LÄN</t>
        </is>
      </c>
      <c r="G527" t="inlineStr">
        <is>
          <t>SANDVIKEN</t>
        </is>
      </c>
      <c r="H527" t="inlineStr">
        <is>
          <t>Naturvårdsverket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46271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46271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46271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46271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46271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46271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46271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46271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45701</v>
      </c>
      <c r="E536" s="1" t="n">
        <v>46271</v>
      </c>
      <c r="F536" t="inlineStr">
        <is>
          <t>GÄVLEBORGS LÄN</t>
        </is>
      </c>
      <c r="G536" t="inlineStr">
        <is>
          <t>SANDVIKEN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46121</v>
      </c>
      <c r="E537" s="1" t="n">
        <v>46271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71995-2021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44544</v>
      </c>
      <c r="E538" s="1" t="n">
        <v>46271</v>
      </c>
      <c r="F538" t="inlineStr">
        <is>
          <t>GÄVLEBORGS LÄN</t>
        </is>
      </c>
      <c r="G538" t="inlineStr">
        <is>
          <t>SANDVIKEN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46121</v>
      </c>
      <c r="E539" s="1" t="n">
        <v>46271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23539-2026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46163</v>
      </c>
      <c r="E540" s="1" t="n">
        <v>46271</v>
      </c>
      <c r="F540" t="inlineStr">
        <is>
          <t>GÄVLEBORGS LÄN</t>
        </is>
      </c>
      <c r="G540" t="inlineStr">
        <is>
          <t>SANDVIKEN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46271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46271</v>
      </c>
      <c r="F542" t="inlineStr">
        <is>
          <t>GÄVLEBORGS LÄN</t>
        </is>
      </c>
      <c r="G542" t="inlineStr">
        <is>
          <t>SANDVIKEN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46271</v>
      </c>
      <c r="F543" t="inlineStr">
        <is>
          <t>GÄVLEBORGS LÄN</t>
        </is>
      </c>
      <c r="G543" t="inlineStr">
        <is>
          <t>SANDVIKEN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46271</v>
      </c>
      <c r="F544" t="inlineStr">
        <is>
          <t>GÄVLEBORGS LÄN</t>
        </is>
      </c>
      <c r="G544" t="inlineStr">
        <is>
          <t>SANDVIKEN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46271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45209</v>
      </c>
      <c r="E546" s="1" t="n">
        <v>46271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46126</v>
      </c>
      <c r="E547" s="1" t="n">
        <v>46271</v>
      </c>
      <c r="F547" t="inlineStr">
        <is>
          <t>GÄVLEBORGS LÄN</t>
        </is>
      </c>
      <c r="G547" t="inlineStr">
        <is>
          <t>SANDVIKEN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46129</v>
      </c>
      <c r="E548" s="1" t="n">
        <v>46271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46129</v>
      </c>
      <c r="E549" s="1" t="n">
        <v>46271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46129</v>
      </c>
      <c r="E550" s="1" t="n">
        <v>46271</v>
      </c>
      <c r="F550" t="inlineStr">
        <is>
          <t>GÄVLEBORGS LÄN</t>
        </is>
      </c>
      <c r="G550" t="inlineStr">
        <is>
          <t>SANDVIKEN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46271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46271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46271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46271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46271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46271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46271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46271</v>
      </c>
      <c r="F558" t="inlineStr">
        <is>
          <t>GÄVLEBORGS LÄN</t>
        </is>
      </c>
      <c r="G558" t="inlineStr">
        <is>
          <t>SANDVIKEN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46271</v>
      </c>
      <c r="F559" t="inlineStr">
        <is>
          <t>GÄVLEBORGS LÄN</t>
        </is>
      </c>
      <c r="G559" t="inlineStr">
        <is>
          <t>SANDVIKEN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44949</v>
      </c>
      <c r="E560" s="1" t="n">
        <v>46271</v>
      </c>
      <c r="F560" t="inlineStr">
        <is>
          <t>GÄVLEBORGS LÄN</t>
        </is>
      </c>
      <c r="G560" t="inlineStr">
        <is>
          <t>SANDVIKEN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46271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46271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46271</v>
      </c>
      <c r="F563" t="inlineStr">
        <is>
          <t>GÄVLEBORGS LÄN</t>
        </is>
      </c>
      <c r="G563" t="inlineStr">
        <is>
          <t>SANDVIKEN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46130</v>
      </c>
      <c r="E564" s="1" t="n">
        <v>46271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46271</v>
      </c>
      <c r="F565" t="inlineStr">
        <is>
          <t>GÄVLEBORGS LÄN</t>
        </is>
      </c>
      <c r="G565" t="inlineStr">
        <is>
          <t>SANDVIKEN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46271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46132</v>
      </c>
      <c r="E567" s="1" t="n">
        <v>46271</v>
      </c>
      <c r="F567" t="inlineStr">
        <is>
          <t>GÄVLEBORGS LÄN</t>
        </is>
      </c>
      <c r="G567" t="inlineStr">
        <is>
          <t>SANDVIKEN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46271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46271</v>
      </c>
      <c r="F569" t="inlineStr">
        <is>
          <t>GÄVLEBORGS LÄN</t>
        </is>
      </c>
      <c r="G569" t="inlineStr">
        <is>
          <t>SANDVIKEN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46091</v>
      </c>
      <c r="E570" s="1" t="n">
        <v>46271</v>
      </c>
      <c r="F570" t="inlineStr">
        <is>
          <t>GÄVLEBORGS LÄN</t>
        </is>
      </c>
      <c r="G570" t="inlineStr">
        <is>
          <t>SANDVIKEN</t>
        </is>
      </c>
      <c r="H570" t="inlineStr">
        <is>
          <t>Naturvårdsverket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46271</v>
      </c>
      <c r="F571" t="inlineStr">
        <is>
          <t>GÄVLEBORGS LÄN</t>
        </is>
      </c>
      <c r="G571" t="inlineStr">
        <is>
          <t>SANDVIKEN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46135</v>
      </c>
      <c r="E572" s="1" t="n">
        <v>46271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46271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16.4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46271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46271</v>
      </c>
      <c r="F575" t="inlineStr">
        <is>
          <t>GÄVLEBORGS LÄN</t>
        </is>
      </c>
      <c r="G575" t="inlineStr">
        <is>
          <t>SANDVIKEN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10895-2025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45722</v>
      </c>
      <c r="E576" s="1" t="n">
        <v>46271</v>
      </c>
      <c r="F576" t="inlineStr">
        <is>
          <t>GÄVLEBORGS LÄN</t>
        </is>
      </c>
      <c r="G576" t="inlineStr">
        <is>
          <t>SANDVIKEN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45617</v>
      </c>
      <c r="E577" s="1" t="n">
        <v>46271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46271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12776-2026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46271</v>
      </c>
      <c r="F579" t="inlineStr">
        <is>
          <t>GÄVLEBORGS LÄN</t>
        </is>
      </c>
      <c r="G579" t="inlineStr">
        <is>
          <t>SANDVIKEN</t>
        </is>
      </c>
      <c r="H579" t="inlineStr">
        <is>
          <t>Naturvårdsverket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45867</v>
      </c>
      <c r="E580" s="1" t="n">
        <v>46271</v>
      </c>
      <c r="F580" t="inlineStr">
        <is>
          <t>GÄVLEBORGS LÄN</t>
        </is>
      </c>
      <c r="G580" t="inlineStr">
        <is>
          <t>SANDVIKEN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46271</v>
      </c>
      <c r="F581" t="inlineStr">
        <is>
          <t>GÄVLEBORGS LÄN</t>
        </is>
      </c>
      <c r="G581" t="inlineStr">
        <is>
          <t>SANDVIKEN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46271</v>
      </c>
      <c r="F582" t="inlineStr">
        <is>
          <t>GÄVLEBORGS LÄN</t>
        </is>
      </c>
      <c r="G582" t="inlineStr">
        <is>
          <t>SANDVIKEN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46271</v>
      </c>
      <c r="F583" t="inlineStr">
        <is>
          <t>GÄVLEBORGS LÄN</t>
        </is>
      </c>
      <c r="G583" t="inlineStr">
        <is>
          <t>SANDVIKEN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45303</v>
      </c>
      <c r="E584" s="1" t="n">
        <v>46271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7624-2023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44972</v>
      </c>
      <c r="E585" s="1" t="n">
        <v>46271</v>
      </c>
      <c r="F585" t="inlineStr">
        <is>
          <t>GÄVLEBORGS LÄN</t>
        </is>
      </c>
      <c r="G585" t="inlineStr">
        <is>
          <t>SANDVIKEN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49706-2023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45212</v>
      </c>
      <c r="E586" s="1" t="n">
        <v>46271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56734-2021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44481</v>
      </c>
      <c r="E587" s="1" t="n">
        <v>46271</v>
      </c>
      <c r="F587" t="inlineStr">
        <is>
          <t>GÄVLEBORGS LÄN</t>
        </is>
      </c>
      <c r="G587" t="inlineStr">
        <is>
          <t>SANDVIKEN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46271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46271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46271</v>
      </c>
      <c r="F590" t="inlineStr">
        <is>
          <t>GÄVLEBORGS LÄN</t>
        </is>
      </c>
      <c r="G590" t="inlineStr">
        <is>
          <t>SANDVIKEN</t>
        </is>
      </c>
      <c r="H590" t="inlineStr">
        <is>
          <t>Sveaskog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46271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46271</v>
      </c>
      <c r="F592" t="inlineStr">
        <is>
          <t>GÄVLEBORGS LÄN</t>
        </is>
      </c>
      <c r="G592" t="inlineStr">
        <is>
          <t>SANDVIKEN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46271</v>
      </c>
      <c r="F593" t="inlineStr">
        <is>
          <t>GÄVLEBORGS LÄN</t>
        </is>
      </c>
      <c r="G593" t="inlineStr">
        <is>
          <t>SANDVIKEN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46271</v>
      </c>
      <c r="F594" t="inlineStr">
        <is>
          <t>GÄVLEBORGS LÄN</t>
        </is>
      </c>
      <c r="G594" t="inlineStr">
        <is>
          <t>SANDVIKEN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46271</v>
      </c>
      <c r="F595" t="inlineStr">
        <is>
          <t>GÄVLEBORGS LÄN</t>
        </is>
      </c>
      <c r="G595" t="inlineStr">
        <is>
          <t>SANDVIKEN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46271</v>
      </c>
      <c r="F596" t="inlineStr">
        <is>
          <t>GÄVLEBORGS LÄN</t>
        </is>
      </c>
      <c r="G596" t="inlineStr">
        <is>
          <t>SANDVIKEN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46271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45075</v>
      </c>
      <c r="E598" s="1" t="n">
        <v>46271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46271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46271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46271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45238</v>
      </c>
      <c r="E602" s="1" t="n">
        <v>46271</v>
      </c>
      <c r="F602" t="inlineStr">
        <is>
          <t>GÄVLEBORGS LÄN</t>
        </is>
      </c>
      <c r="G602" t="inlineStr">
        <is>
          <t>SANDVIKEN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46061</v>
      </c>
      <c r="E603" s="1" t="n">
        <v>46271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46271</v>
      </c>
      <c r="F604" t="inlineStr">
        <is>
          <t>GÄVLEBORGS LÄN</t>
        </is>
      </c>
      <c r="G604" t="inlineStr">
        <is>
          <t>SANDVIKEN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46271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46271</v>
      </c>
      <c r="F606" t="inlineStr">
        <is>
          <t>GÄVLEBORGS LÄN</t>
        </is>
      </c>
      <c r="G606" t="inlineStr">
        <is>
          <t>SANDVIKEN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45182</v>
      </c>
      <c r="E607" s="1" t="n">
        <v>46271</v>
      </c>
      <c r="F607" t="inlineStr">
        <is>
          <t>GÄVLEBORGS LÄN</t>
        </is>
      </c>
      <c r="G607" t="inlineStr">
        <is>
          <t>SANDVIKEN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46271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46271</v>
      </c>
      <c r="F609" t="inlineStr">
        <is>
          <t>GÄVLEBORGS LÄN</t>
        </is>
      </c>
      <c r="G609" t="inlineStr">
        <is>
          <t>SANDVIKEN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46271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46271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8698-2024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46271</v>
      </c>
      <c r="F612" t="inlineStr">
        <is>
          <t>GÄVLEBORGS LÄN</t>
        </is>
      </c>
      <c r="G612" t="inlineStr">
        <is>
          <t>SANDVIKEN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45102-2022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44843</v>
      </c>
      <c r="E613" s="1" t="n">
        <v>46271</v>
      </c>
      <c r="F613" t="inlineStr">
        <is>
          <t>GÄVLEBORGS LÄN</t>
        </is>
      </c>
      <c r="G613" t="inlineStr">
        <is>
          <t>SANDVIKEN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46046</v>
      </c>
      <c r="E614" s="1" t="n">
        <v>46271</v>
      </c>
      <c r="F614" t="inlineStr">
        <is>
          <t>GÄVLEBORGS LÄN</t>
        </is>
      </c>
      <c r="G614" t="inlineStr">
        <is>
          <t>SANDVIKEN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45327</v>
      </c>
      <c r="E615" s="1" t="n">
        <v>46271</v>
      </c>
      <c r="F615" t="inlineStr">
        <is>
          <t>GÄVLEBORGS LÄN</t>
        </is>
      </c>
      <c r="G615" t="inlineStr">
        <is>
          <t>SANDVIKEN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45558</v>
      </c>
      <c r="E616" s="1" t="n">
        <v>46271</v>
      </c>
      <c r="F616" t="inlineStr">
        <is>
          <t>GÄVLEBORGS LÄN</t>
        </is>
      </c>
      <c r="G616" t="inlineStr">
        <is>
          <t>SANDVIKEN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50900-2024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46271</v>
      </c>
      <c r="F617" t="inlineStr">
        <is>
          <t>GÄVLEBORGS LÄN</t>
        </is>
      </c>
      <c r="G617" t="inlineStr">
        <is>
          <t>SANDVIKEN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45735</v>
      </c>
      <c r="E618" s="1" t="n">
        <v>46271</v>
      </c>
      <c r="F618" t="inlineStr">
        <is>
          <t>GÄVLEBORGS LÄN</t>
        </is>
      </c>
      <c r="G618" t="inlineStr">
        <is>
          <t>SANDVIKEN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46271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19904-2026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46136</v>
      </c>
      <c r="E620" s="1" t="n">
        <v>46271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9139-2026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46271</v>
      </c>
      <c r="F621" t="inlineStr">
        <is>
          <t>GÄVLEBORGS LÄN</t>
        </is>
      </c>
      <c r="G621" t="inlineStr">
        <is>
          <t>SANDVIKEN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44717-2025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45917</v>
      </c>
      <c r="E622" s="1" t="n">
        <v>46271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44810</v>
      </c>
      <c r="E623" s="1" t="n">
        <v>46271</v>
      </c>
      <c r="F623" t="inlineStr">
        <is>
          <t>GÄVLEBORGS LÄN</t>
        </is>
      </c>
      <c r="G623" t="inlineStr">
        <is>
          <t>SANDVIKEN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46271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36656-2024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45537</v>
      </c>
      <c r="E625" s="1" t="n">
        <v>46271</v>
      </c>
      <c r="F625" t="inlineStr">
        <is>
          <t>GÄVLEBORGS LÄN</t>
        </is>
      </c>
      <c r="G625" t="inlineStr">
        <is>
          <t>SANDVIKEN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21178-2025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45779</v>
      </c>
      <c r="E626" s="1" t="n">
        <v>46271</v>
      </c>
      <c r="F626" t="inlineStr">
        <is>
          <t>GÄVLEBORGS LÄN</t>
        </is>
      </c>
      <c r="G626" t="inlineStr">
        <is>
          <t>SANDVIKEN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46271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45698</v>
      </c>
      <c r="E628" s="1" t="n">
        <v>46271</v>
      </c>
      <c r="F628" t="inlineStr">
        <is>
          <t>GÄVLEBORGS LÄN</t>
        </is>
      </c>
      <c r="G628" t="inlineStr">
        <is>
          <t>SANDVIKEN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46271</v>
      </c>
      <c r="F629" t="inlineStr">
        <is>
          <t>GÄVLEBORGS LÄN</t>
        </is>
      </c>
      <c r="G629" t="inlineStr">
        <is>
          <t>SANDVIKEN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46271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46271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49211-2023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45210</v>
      </c>
      <c r="E632" s="1" t="n">
        <v>46271</v>
      </c>
      <c r="F632" t="inlineStr">
        <is>
          <t>GÄVLEBORGS LÄN</t>
        </is>
      </c>
      <c r="G632" t="inlineStr">
        <is>
          <t>SANDVIKEN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46271</v>
      </c>
      <c r="F633" t="inlineStr">
        <is>
          <t>GÄVLEBORGS LÄN</t>
        </is>
      </c>
      <c r="G633" t="inlineStr">
        <is>
          <t>SANDVIKEN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61537-2023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45265</v>
      </c>
      <c r="E634" s="1" t="n">
        <v>46271</v>
      </c>
      <c r="F634" t="inlineStr">
        <is>
          <t>GÄVLEBORGS LÄN</t>
        </is>
      </c>
      <c r="G634" t="inlineStr">
        <is>
          <t>SANDVIKEN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46271</v>
      </c>
      <c r="F635" t="inlineStr">
        <is>
          <t>GÄVLEBORGS LÄN</t>
        </is>
      </c>
      <c r="G635" t="inlineStr">
        <is>
          <t>SANDVIKEN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44586</v>
      </c>
      <c r="E636" s="1" t="n">
        <v>46271</v>
      </c>
      <c r="F636" t="inlineStr">
        <is>
          <t>GÄVLEBORGS LÄN</t>
        </is>
      </c>
      <c r="G636" t="inlineStr">
        <is>
          <t>SANDVIKEN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46271</v>
      </c>
      <c r="F637" t="inlineStr">
        <is>
          <t>GÄVLEBORGS LÄN</t>
        </is>
      </c>
      <c r="G637" t="inlineStr">
        <is>
          <t>SANDVIKEN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46271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46271</v>
      </c>
      <c r="F639" t="inlineStr">
        <is>
          <t>GÄVLEBORGS LÄN</t>
        </is>
      </c>
      <c r="G639" t="inlineStr">
        <is>
          <t>SANDVIKEN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46271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46271</v>
      </c>
      <c r="F641" t="inlineStr">
        <is>
          <t>GÄVLEBORGS LÄN</t>
        </is>
      </c>
      <c r="G641" t="inlineStr">
        <is>
          <t>SANDVIKEN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46271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46271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58911-2023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45250</v>
      </c>
      <c r="E644" s="1" t="n">
        <v>46271</v>
      </c>
      <c r="F644" t="inlineStr">
        <is>
          <t>GÄVLEBORGS LÄN</t>
        </is>
      </c>
      <c r="G644" t="inlineStr">
        <is>
          <t>SANDVIKEN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46140</v>
      </c>
      <c r="E645" s="1" t="n">
        <v>46271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46271</v>
      </c>
      <c r="F646" t="inlineStr">
        <is>
          <t>GÄVLEBORGS LÄN</t>
        </is>
      </c>
      <c r="G646" t="inlineStr">
        <is>
          <t>SANDVIKEN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46271</v>
      </c>
      <c r="F647" t="inlineStr">
        <is>
          <t>GÄVLEBORGS LÄN</t>
        </is>
      </c>
      <c r="G647" t="inlineStr">
        <is>
          <t>SANDVIKEN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46141</v>
      </c>
      <c r="E648" s="1" t="n">
        <v>46271</v>
      </c>
      <c r="F648" t="inlineStr">
        <is>
          <t>GÄVLEBORGS LÄN</t>
        </is>
      </c>
      <c r="G648" t="inlineStr">
        <is>
          <t>SANDVIKEN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46271</v>
      </c>
      <c r="F649" t="inlineStr">
        <is>
          <t>GÄVLEBORGS LÄN</t>
        </is>
      </c>
      <c r="G649" t="inlineStr">
        <is>
          <t>SANDVIKEN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38319-2025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45883</v>
      </c>
      <c r="E650" s="1" t="n">
        <v>46271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46271</v>
      </c>
      <c r="F651" t="inlineStr">
        <is>
          <t>GÄVLEBORGS LÄN</t>
        </is>
      </c>
      <c r="G651" t="inlineStr">
        <is>
          <t>SANDVIKEN</t>
        </is>
      </c>
      <c r="I651" t="n">
        <v>8.199999999999999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46271</v>
      </c>
      <c r="F652" t="inlineStr">
        <is>
          <t>GÄVLEBORGS LÄN</t>
        </is>
      </c>
      <c r="G652" t="inlineStr">
        <is>
          <t>SANDVIKEN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46271</v>
      </c>
      <c r="F653" t="inlineStr">
        <is>
          <t>GÄVLEBORGS LÄN</t>
        </is>
      </c>
      <c r="G653" t="inlineStr">
        <is>
          <t>SANDVIKEN</t>
        </is>
      </c>
      <c r="I653" t="n">
        <v>11.2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46271</v>
      </c>
      <c r="F654" t="inlineStr">
        <is>
          <t>GÄVLEBORGS LÄN</t>
        </is>
      </c>
      <c r="G654" t="inlineStr">
        <is>
          <t>SANDVIKEN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46271</v>
      </c>
      <c r="F655" t="inlineStr">
        <is>
          <t>GÄVLEBORGS LÄN</t>
        </is>
      </c>
      <c r="G655" t="inlineStr">
        <is>
          <t>SANDVIKEN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45274</v>
      </c>
      <c r="E656" s="1" t="n">
        <v>46271</v>
      </c>
      <c r="F656" t="inlineStr">
        <is>
          <t>GÄVLEBORGS LÄN</t>
        </is>
      </c>
      <c r="G656" t="inlineStr">
        <is>
          <t>SANDVIKEN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46038</v>
      </c>
      <c r="E657" s="1" t="n">
        <v>46271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46271</v>
      </c>
      <c r="F658" t="inlineStr">
        <is>
          <t>GÄVLEBORGS LÄN</t>
        </is>
      </c>
      <c r="G658" t="inlineStr">
        <is>
          <t>SANDVIKEN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46271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46271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46271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46271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8600-2026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46271</v>
      </c>
      <c r="F663" t="inlineStr">
        <is>
          <t>GÄVLEBORGS LÄN</t>
        </is>
      </c>
      <c r="G663" t="inlineStr">
        <is>
          <t>SANDVIKEN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46271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46271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46271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46115</v>
      </c>
      <c r="E667" s="1" t="n">
        <v>46271</v>
      </c>
      <c r="F667" t="inlineStr">
        <is>
          <t>GÄVLEBORGS LÄN</t>
        </is>
      </c>
      <c r="G667" t="inlineStr">
        <is>
          <t>SANDVIKEN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46271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46271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46271</v>
      </c>
      <c r="F670" t="inlineStr">
        <is>
          <t>GÄVLEBORGS LÄN</t>
        </is>
      </c>
      <c r="G670" t="inlineStr">
        <is>
          <t>SANDVIKEN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46271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46271</v>
      </c>
      <c r="F672" t="inlineStr">
        <is>
          <t>GÄVLEBORGS LÄN</t>
        </is>
      </c>
      <c r="G672" t="inlineStr">
        <is>
          <t>SANDVIKEN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45376</v>
      </c>
      <c r="E673" s="1" t="n">
        <v>46271</v>
      </c>
      <c r="F673" t="inlineStr">
        <is>
          <t>GÄVLEBORGS LÄN</t>
        </is>
      </c>
      <c r="G673" t="inlineStr">
        <is>
          <t>SANDVIKEN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46151</v>
      </c>
      <c r="E674" s="1" t="n">
        <v>46271</v>
      </c>
      <c r="F674" t="inlineStr">
        <is>
          <t>GÄVLEBORGS LÄN</t>
        </is>
      </c>
      <c r="G674" t="inlineStr">
        <is>
          <t>SANDVIKEN</t>
        </is>
      </c>
      <c r="I674" t="n">
        <v>11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46271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46035</v>
      </c>
      <c r="E676" s="1" t="n">
        <v>46271</v>
      </c>
      <c r="F676" t="inlineStr">
        <is>
          <t>GÄVLEBORGS LÄN</t>
        </is>
      </c>
      <c r="G676" t="inlineStr">
        <is>
          <t>SANDVIKEN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23217-2023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45075</v>
      </c>
      <c r="E677" s="1" t="n">
        <v>46271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46271</v>
      </c>
      <c r="F678" t="inlineStr">
        <is>
          <t>GÄVLEBORGS LÄN</t>
        </is>
      </c>
      <c r="G678" t="inlineStr">
        <is>
          <t>SANDVIKEN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46043</v>
      </c>
      <c r="E679" s="1" t="n">
        <v>46271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46271</v>
      </c>
      <c r="F680" t="inlineStr">
        <is>
          <t>GÄVLEBORGS LÄN</t>
        </is>
      </c>
      <c r="G680" t="inlineStr">
        <is>
          <t>SANDVIKEN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48765-2021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44452</v>
      </c>
      <c r="E681" s="1" t="n">
        <v>46271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46271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22070-2023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45069</v>
      </c>
      <c r="E683" s="1" t="n">
        <v>46271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46271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46271</v>
      </c>
      <c r="F685" t="inlineStr">
        <is>
          <t>GÄVLEBORGS LÄN</t>
        </is>
      </c>
      <c r="G685" t="inlineStr">
        <is>
          <t>SANDVIKEN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46271</v>
      </c>
      <c r="F686" t="inlineStr">
        <is>
          <t>GÄVLEBORGS LÄN</t>
        </is>
      </c>
      <c r="G686" t="inlineStr">
        <is>
          <t>SANDVIKEN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46271</v>
      </c>
      <c r="F687" t="inlineStr">
        <is>
          <t>GÄVLEBORGS LÄN</t>
        </is>
      </c>
      <c r="G687" t="inlineStr">
        <is>
          <t>SANDVIKEN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36833-2022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44805</v>
      </c>
      <c r="E688" s="1" t="n">
        <v>46271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46086</v>
      </c>
      <c r="E689" s="1" t="n">
        <v>46271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46086</v>
      </c>
      <c r="E690" s="1" t="n">
        <v>46271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28063-2023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46271</v>
      </c>
      <c r="F691" t="inlineStr">
        <is>
          <t>GÄVLEBORGS LÄN</t>
        </is>
      </c>
      <c r="G691" t="inlineStr">
        <is>
          <t>SANDVIKEN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46271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46271</v>
      </c>
      <c r="F693" t="inlineStr">
        <is>
          <t>GÄVLEBORGS LÄN</t>
        </is>
      </c>
      <c r="G693" t="inlineStr">
        <is>
          <t>SANDVIKEN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46271</v>
      </c>
      <c r="F694" t="inlineStr">
        <is>
          <t>GÄVLEBORGS LÄN</t>
        </is>
      </c>
      <c r="G694" t="inlineStr">
        <is>
          <t>SANDVIKEN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46271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46108</v>
      </c>
      <c r="E696" s="1" t="n">
        <v>46271</v>
      </c>
      <c r="F696" t="inlineStr">
        <is>
          <t>GÄVLEBORGS LÄN</t>
        </is>
      </c>
      <c r="G696" t="inlineStr">
        <is>
          <t>SANDVIKEN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45639</v>
      </c>
      <c r="E697" s="1" t="n">
        <v>46271</v>
      </c>
      <c r="F697" t="inlineStr">
        <is>
          <t>GÄVLEBORGS LÄN</t>
        </is>
      </c>
      <c r="G697" t="inlineStr">
        <is>
          <t>SANDVIKEN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46271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45320</v>
      </c>
      <c r="E699" s="1" t="n">
        <v>46271</v>
      </c>
      <c r="F699" t="inlineStr">
        <is>
          <t>GÄVLEBORGS LÄN</t>
        </is>
      </c>
      <c r="G699" t="inlineStr">
        <is>
          <t>SANDVIKEN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46271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17164-2026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46115</v>
      </c>
      <c r="E701" s="1" t="n">
        <v>46271</v>
      </c>
      <c r="F701" t="inlineStr">
        <is>
          <t>GÄVLEBORGS LÄN</t>
        </is>
      </c>
      <c r="G701" t="inlineStr">
        <is>
          <t>SANDVIKEN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46271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46271</v>
      </c>
      <c r="F703" t="inlineStr">
        <is>
          <t>GÄVLEBORGS LÄN</t>
        </is>
      </c>
      <c r="G703" t="inlineStr">
        <is>
          <t>SANDVIKEN</t>
        </is>
      </c>
      <c r="H703" t="inlineStr">
        <is>
          <t>Övriga statliga verk och myndigheter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46163</v>
      </c>
      <c r="E704" s="1" t="n">
        <v>46271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46271</v>
      </c>
      <c r="F705" t="inlineStr">
        <is>
          <t>GÄVLEBORGS LÄN</t>
        </is>
      </c>
      <c r="G705" t="inlineStr">
        <is>
          <t>SANDVIKEN</t>
        </is>
      </c>
      <c r="H705" t="inlineStr">
        <is>
          <t>Övriga statliga verk och myndigheter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46271</v>
      </c>
      <c r="F706" t="inlineStr">
        <is>
          <t>GÄVLEBORGS LÄN</t>
        </is>
      </c>
      <c r="G706" t="inlineStr">
        <is>
          <t>SANDVIKEN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46163</v>
      </c>
      <c r="E707" s="1" t="n">
        <v>46271</v>
      </c>
      <c r="F707" t="inlineStr">
        <is>
          <t>GÄVLEBORGS LÄN</t>
        </is>
      </c>
      <c r="G707" t="inlineStr">
        <is>
          <t>SANDVIKEN</t>
        </is>
      </c>
      <c r="H707" t="inlineStr">
        <is>
          <t>Övriga statliga verk och myndigheter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11778-2024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45374</v>
      </c>
      <c r="E708" s="1" t="n">
        <v>46271</v>
      </c>
      <c r="F708" t="inlineStr">
        <is>
          <t>GÄVLEBORGS LÄN</t>
        </is>
      </c>
      <c r="G708" t="inlineStr">
        <is>
          <t>SANDVIKEN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23471-2026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46271</v>
      </c>
      <c r="F709" t="inlineStr">
        <is>
          <t>GÄVLEBORGS LÄN</t>
        </is>
      </c>
      <c r="G709" t="inlineStr">
        <is>
          <t>SANDVIKEN</t>
        </is>
      </c>
      <c r="H709" t="inlineStr">
        <is>
          <t>Övriga statliga verk och myndigheter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47710-2022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44854</v>
      </c>
      <c r="E710" s="1" t="n">
        <v>46271</v>
      </c>
      <c r="F710" t="inlineStr">
        <is>
          <t>GÄVLEBORGS LÄN</t>
        </is>
      </c>
      <c r="G710" t="inlineStr">
        <is>
          <t>SANDVIKEN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46271</v>
      </c>
      <c r="F711" t="inlineStr">
        <is>
          <t>GÄVLEBORGS LÄN</t>
        </is>
      </c>
      <c r="G711" t="inlineStr">
        <is>
          <t>SANDVIKEN</t>
        </is>
      </c>
      <c r="H711" t="inlineStr">
        <is>
          <t>Övriga statliga verk och myndigheter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46165</v>
      </c>
      <c r="E712" s="1" t="n">
        <v>46271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48300-2023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45205</v>
      </c>
      <c r="E713" s="1" t="n">
        <v>46271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46271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23848-2026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46167</v>
      </c>
      <c r="E715" s="1" t="n">
        <v>46271</v>
      </c>
      <c r="F715" t="inlineStr">
        <is>
          <t>GÄVLEBORGS LÄN</t>
        </is>
      </c>
      <c r="G715" t="inlineStr">
        <is>
          <t>SANDVIKEN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46165</v>
      </c>
      <c r="E716" s="1" t="n">
        <v>46271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46165</v>
      </c>
      <c r="E717" s="1" t="n">
        <v>46271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23823-2026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46165</v>
      </c>
      <c r="E718" s="1" t="n">
        <v>46271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44101-2023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46271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46165</v>
      </c>
      <c r="E720" s="1" t="n">
        <v>46271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29297-2024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45483</v>
      </c>
      <c r="E721" s="1" t="n">
        <v>46271</v>
      </c>
      <c r="F721" t="inlineStr">
        <is>
          <t>GÄVLEBORGS LÄN</t>
        </is>
      </c>
      <c r="G721" t="inlineStr">
        <is>
          <t>SANDVIKEN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53007-2023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45226</v>
      </c>
      <c r="E722" s="1" t="n">
        <v>46271</v>
      </c>
      <c r="F722" t="inlineStr">
        <is>
          <t>GÄVLEBORGS LÄN</t>
        </is>
      </c>
      <c r="G722" t="inlineStr">
        <is>
          <t>SANDVIKEN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44818</v>
      </c>
      <c r="E723" s="1" t="n">
        <v>46271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24261-2026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46271</v>
      </c>
      <c r="F724" t="inlineStr">
        <is>
          <t>GÄVLEBORGS LÄN</t>
        </is>
      </c>
      <c r="G724" t="inlineStr">
        <is>
          <t>SANDVIKEN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46271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44988</v>
      </c>
      <c r="E726" s="1" t="n">
        <v>46271</v>
      </c>
      <c r="F726" t="inlineStr">
        <is>
          <t>GÄVLEBORGS LÄN</t>
        </is>
      </c>
      <c r="G726" t="inlineStr">
        <is>
          <t>SANDVIKEN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46271</v>
      </c>
      <c r="F727" t="inlineStr">
        <is>
          <t>GÄVLEBORGS LÄN</t>
        </is>
      </c>
      <c r="G727" t="inlineStr">
        <is>
          <t>SANDVIKEN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46271</v>
      </c>
      <c r="F728" t="inlineStr">
        <is>
          <t>GÄVLEBORGS LÄN</t>
        </is>
      </c>
      <c r="G728" t="inlineStr">
        <is>
          <t>SANDVIKEN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46271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8.9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46271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46271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46271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52932-2022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44875</v>
      </c>
      <c r="E733" s="1" t="n">
        <v>46271</v>
      </c>
      <c r="F733" t="inlineStr">
        <is>
          <t>GÄVLEBORGS LÄN</t>
        </is>
      </c>
      <c r="G733" t="inlineStr">
        <is>
          <t>SANDVIKEN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18752-2026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46271</v>
      </c>
      <c r="F734" t="inlineStr">
        <is>
          <t>GÄVLEBORGS LÄN</t>
        </is>
      </c>
      <c r="G734" t="inlineStr">
        <is>
          <t>SANDVIKEN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46271</v>
      </c>
      <c r="F735" t="inlineStr">
        <is>
          <t>GÄVLEBORGS LÄN</t>
        </is>
      </c>
      <c r="G735" t="inlineStr">
        <is>
          <t>SANDVIKEN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46171</v>
      </c>
      <c r="E736" s="1" t="n">
        <v>46271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46271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45112</v>
      </c>
      <c r="E738" s="1" t="n">
        <v>46271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46045</v>
      </c>
      <c r="E739" s="1" t="n">
        <v>46271</v>
      </c>
      <c r="F739" t="inlineStr">
        <is>
          <t>GÄVLEBORGS LÄN</t>
        </is>
      </c>
      <c r="G739" t="inlineStr">
        <is>
          <t>SANDVIKEN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34946-2022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44796</v>
      </c>
      <c r="E740" s="1" t="n">
        <v>46271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46052</v>
      </c>
      <c r="E741" s="1" t="n">
        <v>46271</v>
      </c>
      <c r="F741" t="inlineStr">
        <is>
          <t>GÄVLEBORGS LÄN</t>
        </is>
      </c>
      <c r="G741" t="inlineStr">
        <is>
          <t>SANDVIKEN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45545</v>
      </c>
      <c r="E742" s="1" t="n">
        <v>46271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46175</v>
      </c>
      <c r="E743" s="1" t="n">
        <v>46271</v>
      </c>
      <c r="F743" t="inlineStr">
        <is>
          <t>GÄVLEBORGS LÄN</t>
        </is>
      </c>
      <c r="G743" t="inlineStr">
        <is>
          <t>SANDVIKEN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25220-2026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46175</v>
      </c>
      <c r="E744" s="1" t="n">
        <v>46271</v>
      </c>
      <c r="F744" t="inlineStr">
        <is>
          <t>GÄVLEBORGS LÄN</t>
        </is>
      </c>
      <c r="G744" t="inlineStr">
        <is>
          <t>SANDVIKEN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46176</v>
      </c>
      <c r="E745" s="1" t="n">
        <v>46271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25413-2026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46271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22238-2023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45070</v>
      </c>
      <c r="E747" s="1" t="n">
        <v>46271</v>
      </c>
      <c r="F747" t="inlineStr">
        <is>
          <t>GÄVLEBORGS LÄN</t>
        </is>
      </c>
      <c r="G747" t="inlineStr">
        <is>
          <t>SANDVIKEN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46271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46271</v>
      </c>
      <c r="F749" t="inlineStr">
        <is>
          <t>GÄVLEBORGS LÄN</t>
        </is>
      </c>
      <c r="G749" t="inlineStr">
        <is>
          <t>SANDVIKEN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4461-2023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44956</v>
      </c>
      <c r="E750" s="1" t="n">
        <v>46271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46271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25826-2026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46271</v>
      </c>
      <c r="F752" t="inlineStr">
        <is>
          <t>GÄVLEBORGS LÄN</t>
        </is>
      </c>
      <c r="G752" t="inlineStr">
        <is>
          <t>SANDVIKEN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46271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46271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46271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64801-2023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45282</v>
      </c>
      <c r="E756" s="1" t="n">
        <v>46271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46271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46271</v>
      </c>
      <c r="F758" t="inlineStr">
        <is>
          <t>GÄVLEBORGS LÄN</t>
        </is>
      </c>
      <c r="G758" t="inlineStr">
        <is>
          <t>SANDVIKEN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25835-2026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46271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46271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46271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46271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46271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46271</v>
      </c>
      <c r="F764" t="inlineStr">
        <is>
          <t>GÄVLEBORGS LÄN</t>
        </is>
      </c>
      <c r="G764" t="inlineStr">
        <is>
          <t>SANDVIKEN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50765-2024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46271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58363-2022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46271</v>
      </c>
      <c r="F766" t="inlineStr">
        <is>
          <t>GÄVLEBORGS LÄN</t>
        </is>
      </c>
      <c r="G766" t="inlineStr">
        <is>
          <t>SANDVIKEN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46271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46271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45673</v>
      </c>
      <c r="E769" s="1" t="n">
        <v>46271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26763-2026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46271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26780-2026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46184</v>
      </c>
      <c r="E771" s="1" t="n">
        <v>46271</v>
      </c>
      <c r="F771" t="inlineStr">
        <is>
          <t>GÄVLEBORGS LÄN</t>
        </is>
      </c>
      <c r="G771" t="inlineStr">
        <is>
          <t>SANDVIKEN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26601-2026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46271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45668</v>
      </c>
      <c r="E773" s="1" t="n">
        <v>46271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46271</v>
      </c>
      <c r="F774" t="inlineStr">
        <is>
          <t>GÄVLEBORGS LÄN</t>
        </is>
      </c>
      <c r="G774" t="inlineStr">
        <is>
          <t>SANDVIKEN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31802-2026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46230</v>
      </c>
      <c r="E775" s="1" t="n">
        <v>46271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46230</v>
      </c>
      <c r="E776" s="1" t="n">
        <v>46271</v>
      </c>
      <c r="F776" t="inlineStr">
        <is>
          <t>GÄVLEBORGS LÄN</t>
        </is>
      </c>
      <c r="G776" t="inlineStr">
        <is>
          <t>SANDVIKEN</t>
        </is>
      </c>
      <c r="H776" t="inlineStr">
        <is>
          <t>Kommuner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60908-2022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44914</v>
      </c>
      <c r="E777" s="1" t="n">
        <v>46271</v>
      </c>
      <c r="F777" t="inlineStr">
        <is>
          <t>GÄVLEBORGS LÄN</t>
        </is>
      </c>
      <c r="G777" t="inlineStr">
        <is>
          <t>SANDVIKEN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46271</v>
      </c>
      <c r="F778" t="inlineStr">
        <is>
          <t>GÄVLEBORGS LÄN</t>
        </is>
      </c>
      <c r="G778" t="inlineStr">
        <is>
          <t>SANDVIKEN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46271</v>
      </c>
      <c r="F779" t="inlineStr">
        <is>
          <t>GÄVLEBORGS LÄN</t>
        </is>
      </c>
      <c r="G779" t="inlineStr">
        <is>
          <t>SANDVIKEN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46271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59841-2023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45257</v>
      </c>
      <c r="E781" s="1" t="n">
        <v>46271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45688</v>
      </c>
      <c r="E782" s="1" t="n">
        <v>46271</v>
      </c>
      <c r="F782" t="inlineStr">
        <is>
          <t>GÄVLEBORGS LÄN</t>
        </is>
      </c>
      <c r="G782" t="inlineStr">
        <is>
          <t>SANDVIKEN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27006-2023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45094</v>
      </c>
      <c r="E783" s="1" t="n">
        <v>46271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46177-2022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44847</v>
      </c>
      <c r="E784" s="1" t="n">
        <v>46271</v>
      </c>
      <c r="F784" t="inlineStr">
        <is>
          <t>GÄVLEBORGS LÄN</t>
        </is>
      </c>
      <c r="G784" t="inlineStr">
        <is>
          <t>SANDVIKEN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19346-2023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45049</v>
      </c>
      <c r="E785" s="1" t="n">
        <v>46271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27533-2026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46190</v>
      </c>
      <c r="E786" s="1" t="n">
        <v>46271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45264</v>
      </c>
      <c r="E787" s="1" t="n">
        <v>46271</v>
      </c>
      <c r="F787" t="inlineStr">
        <is>
          <t>GÄVLEBORGS LÄN</t>
        </is>
      </c>
      <c r="G787" t="inlineStr">
        <is>
          <t>SANDVIKEN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27588-2026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46271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46101</v>
      </c>
      <c r="E789" s="1" t="n">
        <v>46271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46482-2023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45197</v>
      </c>
      <c r="E790" s="1" t="n">
        <v>46271</v>
      </c>
      <c r="F790" t="inlineStr">
        <is>
          <t>GÄVLEBORGS LÄN</t>
        </is>
      </c>
      <c r="G790" t="inlineStr">
        <is>
          <t>SANDVIKEN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46271</v>
      </c>
      <c r="F791" t="inlineStr">
        <is>
          <t>GÄVLEBORGS LÄN</t>
        </is>
      </c>
      <c r="G791" t="inlineStr">
        <is>
          <t>SANDVIKEN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27743-2026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46191</v>
      </c>
      <c r="E792" s="1" t="n">
        <v>46271</v>
      </c>
      <c r="F792" t="inlineStr">
        <is>
          <t>GÄVLEBORGS LÄN</t>
        </is>
      </c>
      <c r="G792" t="inlineStr">
        <is>
          <t>SANDVIKEN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28845-2026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46195</v>
      </c>
      <c r="E793" s="1" t="n">
        <v>46271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32158-2026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46236</v>
      </c>
      <c r="E794" s="1" t="n">
        <v>46271</v>
      </c>
      <c r="F794" t="inlineStr">
        <is>
          <t>GÄVLEBORGS LÄN</t>
        </is>
      </c>
      <c r="G794" t="inlineStr">
        <is>
          <t>SANDVIKEN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46162</v>
      </c>
      <c r="E795" s="1" t="n">
        <v>46271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50797-2023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46271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28369-2026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46271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46271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44564</v>
      </c>
      <c r="E799" s="1" t="n">
        <v>46271</v>
      </c>
      <c r="F799" t="inlineStr">
        <is>
          <t>GÄVLEBORGS LÄN</t>
        </is>
      </c>
      <c r="G799" t="inlineStr">
        <is>
          <t>SANDVIKEN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46271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46271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46271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73331-2021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44551</v>
      </c>
      <c r="E803" s="1" t="n">
        <v>46271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45561</v>
      </c>
      <c r="E804" s="1" t="n">
        <v>46271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28728-2026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46198</v>
      </c>
      <c r="E805" s="1" t="n">
        <v>46271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46271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46271</v>
      </c>
      <c r="F807" t="inlineStr">
        <is>
          <t>GÄVLEBORGS LÄN</t>
        </is>
      </c>
      <c r="G807" t="inlineStr">
        <is>
          <t>SANDVIKEN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46271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29115-2026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46201</v>
      </c>
      <c r="E809" s="1" t="n">
        <v>46271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46271</v>
      </c>
      <c r="F810" t="inlineStr">
        <is>
          <t>GÄVLEBORGS LÄN</t>
        </is>
      </c>
      <c r="G810" t="inlineStr">
        <is>
          <t>SANDVIKEN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46271</v>
      </c>
      <c r="F811" t="inlineStr">
        <is>
          <t>GÄVLEBORGS LÄN</t>
        </is>
      </c>
      <c r="G811" t="inlineStr">
        <is>
          <t>SANDVIKEN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46271</v>
      </c>
      <c r="F812" t="inlineStr">
        <is>
          <t>GÄVLEBORGS LÄN</t>
        </is>
      </c>
      <c r="G812" t="inlineStr">
        <is>
          <t>SANDVIKEN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46271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8.6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32998-2026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46244</v>
      </c>
      <c r="E814" s="1" t="n">
        <v>46271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46271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46271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46271</v>
      </c>
      <c r="F817" t="inlineStr">
        <is>
          <t>GÄVLEBORGS LÄN</t>
        </is>
      </c>
      <c r="G817" t="inlineStr">
        <is>
          <t>SANDVIKEN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29572-2026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46271</v>
      </c>
      <c r="F818" t="inlineStr">
        <is>
          <t>GÄVLEBORGS LÄN</t>
        </is>
      </c>
      <c r="G818" t="inlineStr">
        <is>
          <t>SANDVIKEN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46271</v>
      </c>
      <c r="F819" t="inlineStr">
        <is>
          <t>GÄVLEBORGS LÄN</t>
        </is>
      </c>
      <c r="G819" t="inlineStr">
        <is>
          <t>SANDVIKEN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45700</v>
      </c>
      <c r="E820" s="1" t="n">
        <v>46271</v>
      </c>
      <c r="F820" t="inlineStr">
        <is>
          <t>GÄVLEBORGS LÄN</t>
        </is>
      </c>
      <c r="G820" t="inlineStr">
        <is>
          <t>SANDVIKEN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46271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46271</v>
      </c>
      <c r="F822" t="inlineStr">
        <is>
          <t>GÄVLEBORGS LÄN</t>
        </is>
      </c>
      <c r="G822" t="inlineStr">
        <is>
          <t>SANDVIKEN</t>
        </is>
      </c>
      <c r="H822" t="inlineStr">
        <is>
          <t>Naturvårdsverket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47889-2022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44855</v>
      </c>
      <c r="E823" s="1" t="n">
        <v>46271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29717-2026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46271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29661-2026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46271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29972-2022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44756</v>
      </c>
      <c r="E826" s="1" t="n">
        <v>46271</v>
      </c>
      <c r="F826" t="inlineStr">
        <is>
          <t>GÄVLEBORGS LÄN</t>
        </is>
      </c>
      <c r="G826" t="inlineStr">
        <is>
          <t>SANDVIKEN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46271</v>
      </c>
      <c r="F827" t="inlineStr">
        <is>
          <t>GÄVLEBORGS LÄN</t>
        </is>
      </c>
      <c r="G827" t="inlineStr">
        <is>
          <t>SANDVIKEN</t>
        </is>
      </c>
      <c r="H827" t="inlineStr">
        <is>
          <t>Bergvik skog öst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46271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16385-2023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45022</v>
      </c>
      <c r="E829" s="1" t="n">
        <v>46271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29613-2026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46271</v>
      </c>
      <c r="F830" t="inlineStr">
        <is>
          <t>GÄVLEBORGS LÄN</t>
        </is>
      </c>
      <c r="G830" t="inlineStr">
        <is>
          <t>SANDVIKEN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46247</v>
      </c>
      <c r="E831" s="1" t="n">
        <v>46271</v>
      </c>
      <c r="F831" t="inlineStr">
        <is>
          <t>GÄVLEBORGS LÄN</t>
        </is>
      </c>
      <c r="G831" t="inlineStr">
        <is>
          <t>SANDVIKEN</t>
        </is>
      </c>
      <c r="H831" t="inlineStr">
        <is>
          <t>Kommuner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46271</v>
      </c>
      <c r="F832" t="inlineStr">
        <is>
          <t>GÄVLEBORGS LÄN</t>
        </is>
      </c>
      <c r="G832" t="inlineStr">
        <is>
          <t>SANDVIKEN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46271</v>
      </c>
      <c r="F833" t="inlineStr">
        <is>
          <t>GÄVLEBORGS LÄN</t>
        </is>
      </c>
      <c r="G833" t="inlineStr">
        <is>
          <t>SANDVIKEN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25544-2024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45463</v>
      </c>
      <c r="E834" s="1" t="n">
        <v>46271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45541</v>
      </c>
      <c r="E835" s="1" t="n">
        <v>46271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37643-2024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45541</v>
      </c>
      <c r="E836" s="1" t="n">
        <v>46271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46271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33877-2026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46251</v>
      </c>
      <c r="E838" s="1" t="n">
        <v>46271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46271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22851-2026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46271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44587</v>
      </c>
      <c r="E841" s="1" t="n">
        <v>46271</v>
      </c>
      <c r="F841" t="inlineStr">
        <is>
          <t>GÄVLEBORGS LÄN</t>
        </is>
      </c>
      <c r="G841" t="inlineStr">
        <is>
          <t>SANDVIKEN</t>
        </is>
      </c>
      <c r="H841" t="inlineStr">
        <is>
          <t>Kyrkan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46205</v>
      </c>
      <c r="E842" s="1" t="n">
        <v>46271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46205</v>
      </c>
      <c r="E843" s="1" t="n">
        <v>46271</v>
      </c>
      <c r="F843" t="inlineStr">
        <is>
          <t>GÄVLEBORGS LÄN</t>
        </is>
      </c>
      <c r="G843" t="inlineStr">
        <is>
          <t>SANDVIKEN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45327</v>
      </c>
      <c r="E844" s="1" t="n">
        <v>46271</v>
      </c>
      <c r="F844" t="inlineStr">
        <is>
          <t>GÄVLEBORGS LÄN</t>
        </is>
      </c>
      <c r="G844" t="inlineStr">
        <is>
          <t>SANDVIKEN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46271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45769</v>
      </c>
      <c r="E846" s="1" t="n">
        <v>46271</v>
      </c>
      <c r="F846" t="inlineStr">
        <is>
          <t>GÄVLEBORGS LÄN</t>
        </is>
      </c>
      <c r="G846" t="inlineStr">
        <is>
          <t>SANDVIKEN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15671-2024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45404</v>
      </c>
      <c r="E847" s="1" t="n">
        <v>46271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48435-2024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46271</v>
      </c>
      <c r="F848" t="inlineStr">
        <is>
          <t>GÄVLEBORGS LÄN</t>
        </is>
      </c>
      <c r="G848" t="inlineStr">
        <is>
          <t>SANDVIKEN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34036-2026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46271</v>
      </c>
      <c r="F849" t="inlineStr">
        <is>
          <t>GÄVLEBORGS LÄN</t>
        </is>
      </c>
      <c r="G849" t="inlineStr">
        <is>
          <t>SANDVIKEN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45672</v>
      </c>
      <c r="E850" s="1" t="n">
        <v>46271</v>
      </c>
      <c r="F850" t="inlineStr">
        <is>
          <t>GÄVLEBORGS LÄN</t>
        </is>
      </c>
      <c r="G850" t="inlineStr">
        <is>
          <t>SANDVIKEN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34253-2026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46271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49518-2023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45211</v>
      </c>
      <c r="E852" s="1" t="n">
        <v>46271</v>
      </c>
      <c r="F852" t="inlineStr">
        <is>
          <t>GÄVLEBORGS LÄN</t>
        </is>
      </c>
      <c r="G852" t="inlineStr">
        <is>
          <t>SANDVIKEN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44566</v>
      </c>
      <c r="E853" s="1" t="n">
        <v>46271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36656-2023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45153</v>
      </c>
      <c r="E854" s="1" t="n">
        <v>46271</v>
      </c>
      <c r="F854" t="inlineStr">
        <is>
          <t>GÄVLEBORGS LÄN</t>
        </is>
      </c>
      <c r="G854" t="inlineStr">
        <is>
          <t>SANDVIKEN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25498-2026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46271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16258-2023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45022</v>
      </c>
      <c r="E856" s="1" t="n">
        <v>46271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väst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46271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21182-2025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45779</v>
      </c>
      <c r="E858" s="1" t="n">
        <v>46271</v>
      </c>
      <c r="F858" t="inlineStr">
        <is>
          <t>GÄVLEBORGS LÄN</t>
        </is>
      </c>
      <c r="G858" t="inlineStr">
        <is>
          <t>SANDVIKEN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46255</v>
      </c>
      <c r="E859" s="1" t="n">
        <v>46271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45540</v>
      </c>
      <c r="E860" s="1" t="n">
        <v>46271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45205</v>
      </c>
      <c r="E861" s="1" t="n">
        <v>46271</v>
      </c>
      <c r="F861" t="inlineStr">
        <is>
          <t>GÄVLEBORGS LÄN</t>
        </is>
      </c>
      <c r="G861" t="inlineStr">
        <is>
          <t>SANDVIKEN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55446-2024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45622</v>
      </c>
      <c r="E862" s="1" t="n">
        <v>46271</v>
      </c>
      <c r="F862" t="inlineStr">
        <is>
          <t>GÄVLEBORGS LÄN</t>
        </is>
      </c>
      <c r="G862" t="inlineStr">
        <is>
          <t>SANDVIKEN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3256-2025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45679</v>
      </c>
      <c r="E863" s="1" t="n">
        <v>46271</v>
      </c>
      <c r="F863" t="inlineStr">
        <is>
          <t>GÄVLEBORGS LÄN</t>
        </is>
      </c>
      <c r="G863" t="inlineStr">
        <is>
          <t>SANDVIKEN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40460-2024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46271</v>
      </c>
      <c r="F864" t="inlineStr">
        <is>
          <t>GÄVLEBORGS LÄN</t>
        </is>
      </c>
      <c r="G864" t="inlineStr">
        <is>
          <t>SANDVIKEN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41284-2023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45174</v>
      </c>
      <c r="E865" s="1" t="n">
        <v>46271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69521-2021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44531</v>
      </c>
      <c r="E866" s="1" t="n">
        <v>46271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56019-2023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45240</v>
      </c>
      <c r="E867" s="1" t="n">
        <v>46271</v>
      </c>
      <c r="F867" t="inlineStr">
        <is>
          <t>GÄVLEBORGS LÄN</t>
        </is>
      </c>
      <c r="G867" t="inlineStr">
        <is>
          <t>SANDVIKEN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34606-2026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46255</v>
      </c>
      <c r="E868" s="1" t="n">
        <v>46271</v>
      </c>
      <c r="F868" t="inlineStr">
        <is>
          <t>GÄVLEBORGS LÄN</t>
        </is>
      </c>
      <c r="G868" t="inlineStr">
        <is>
          <t>SANDVIKEN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42950-2023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45178</v>
      </c>
      <c r="E869" s="1" t="n">
        <v>46271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väst AB</t>
        </is>
      </c>
      <c r="I869" t="n">
        <v>16.5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34879-2026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46258</v>
      </c>
      <c r="E870" s="1" t="n">
        <v>46271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33623-2024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46271</v>
      </c>
      <c r="F871" t="inlineStr">
        <is>
          <t>GÄVLEBORGS LÄN</t>
        </is>
      </c>
      <c r="G871" t="inlineStr">
        <is>
          <t>SANDVIKEN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34608-2026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46255</v>
      </c>
      <c r="E872" s="1" t="n">
        <v>46271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34429-2024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45525</v>
      </c>
      <c r="E873" s="1" t="n">
        <v>46271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1062-2026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46271</v>
      </c>
      <c r="F874" t="inlineStr">
        <is>
          <t>GÄVLEBORGS LÄN</t>
        </is>
      </c>
      <c r="G874" t="inlineStr">
        <is>
          <t>SANDVIKEN</t>
        </is>
      </c>
      <c r="I874" t="n">
        <v>10.2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34997-2026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46259</v>
      </c>
      <c r="E875" s="1" t="n">
        <v>46271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35107-2026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46260</v>
      </c>
      <c r="E876" s="1" t="n">
        <v>46271</v>
      </c>
      <c r="F876" t="inlineStr">
        <is>
          <t>GÄVLEBORGS LÄN</t>
        </is>
      </c>
      <c r="G876" t="inlineStr">
        <is>
          <t>SANDVIKEN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46271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46271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35345-2026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46271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46271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46271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35324-2026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46271</v>
      </c>
      <c r="F882" t="inlineStr">
        <is>
          <t>GÄVLEBORGS LÄN</t>
        </is>
      </c>
      <c r="G882" t="inlineStr">
        <is>
          <t>SANDVIKEN</t>
        </is>
      </c>
      <c r="H882" t="inlineStr">
        <is>
          <t>Naturvårdsverket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35325-2026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46271</v>
      </c>
      <c r="F883" t="inlineStr">
        <is>
          <t>GÄVLEBORGS LÄN</t>
        </is>
      </c>
      <c r="G883" t="inlineStr">
        <is>
          <t>SANDVIKEN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35320-2026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46271</v>
      </c>
      <c r="F884" t="inlineStr">
        <is>
          <t>GÄVLEBORGS LÄN</t>
        </is>
      </c>
      <c r="G884" t="inlineStr">
        <is>
          <t>SANDVIKEN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15682-2024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45404</v>
      </c>
      <c r="E885" s="1" t="n">
        <v>46271</v>
      </c>
      <c r="F885" t="inlineStr">
        <is>
          <t>GÄVLEBORGS LÄN</t>
        </is>
      </c>
      <c r="G885" t="inlineStr">
        <is>
          <t>SANDVIKEN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46271</v>
      </c>
      <c r="F886" t="inlineStr">
        <is>
          <t>GÄVLEBORGS LÄN</t>
        </is>
      </c>
      <c r="G886" t="inlineStr">
        <is>
          <t>SANDVIKEN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35376-2026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46271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35414-2026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46271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44289-2023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45188</v>
      </c>
      <c r="E889" s="1" t="n">
        <v>46271</v>
      </c>
      <c r="F889" t="inlineStr">
        <is>
          <t>GÄVLEBORGS LÄN</t>
        </is>
      </c>
      <c r="G889" t="inlineStr">
        <is>
          <t>SANDVIKEN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27872-2024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45475</v>
      </c>
      <c r="E890" s="1" t="n">
        <v>46271</v>
      </c>
      <c r="F890" t="inlineStr">
        <is>
          <t>GÄVLEBORGS LÄN</t>
        </is>
      </c>
      <c r="G890" t="inlineStr">
        <is>
          <t>SANDVIKEN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46271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46271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35420-2026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46271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46271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46271</v>
      </c>
      <c r="F895" t="inlineStr">
        <is>
          <t>GÄVLEBORGS LÄN</t>
        </is>
      </c>
      <c r="G895" t="inlineStr">
        <is>
          <t>SANDVIKEN</t>
        </is>
      </c>
      <c r="H895" t="inlineStr">
        <is>
          <t>Naturvårdsverket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45673</v>
      </c>
      <c r="E896" s="1" t="n">
        <v>46271</v>
      </c>
      <c r="F896" t="inlineStr">
        <is>
          <t>GÄVLEBORGS LÄN</t>
        </is>
      </c>
      <c r="G896" t="inlineStr">
        <is>
          <t>SANDVIKEN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35432-2026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46262</v>
      </c>
      <c r="E897" s="1" t="n">
        <v>46271</v>
      </c>
      <c r="F897" t="inlineStr">
        <is>
          <t>GÄVLEBORGS LÄN</t>
        </is>
      </c>
      <c r="G897" t="inlineStr">
        <is>
          <t>SANDVIKEN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18725-2025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45763</v>
      </c>
      <c r="E898" s="1" t="n">
        <v>46271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45278</v>
      </c>
      <c r="E899" s="1" t="n">
        <v>46271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35434-2026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46271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35575-2026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46262</v>
      </c>
      <c r="E901" s="1" t="n">
        <v>46271</v>
      </c>
      <c r="F901" t="inlineStr">
        <is>
          <t>GÄVLEBORGS LÄN</t>
        </is>
      </c>
      <c r="G901" t="inlineStr">
        <is>
          <t>SANDVIKEN</t>
        </is>
      </c>
      <c r="H901" t="inlineStr">
        <is>
          <t>Naturvårdsverket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31314-2026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46219</v>
      </c>
      <c r="E902" s="1" t="n">
        <v>46271</v>
      </c>
      <c r="F902" t="inlineStr">
        <is>
          <t>GÄVLEBORGS LÄN</t>
        </is>
      </c>
      <c r="G902" t="inlineStr">
        <is>
          <t>SANDVIKEN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35481-2026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46271</v>
      </c>
      <c r="F903" t="inlineStr">
        <is>
          <t>GÄVLEBORGS LÄN</t>
        </is>
      </c>
      <c r="G903" t="inlineStr">
        <is>
          <t>SANDVIKEN</t>
        </is>
      </c>
      <c r="H903" t="inlineStr">
        <is>
          <t>Kommuner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35492-2026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46262</v>
      </c>
      <c r="E904" s="1" t="n">
        <v>46271</v>
      </c>
      <c r="F904" t="inlineStr">
        <is>
          <t>GÄVLEBORGS LÄN</t>
        </is>
      </c>
      <c r="G904" t="inlineStr">
        <is>
          <t>SANDVIKEN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46271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35576-2026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46271</v>
      </c>
      <c r="F906" t="inlineStr">
        <is>
          <t>GÄVLEBORGS LÄN</t>
        </is>
      </c>
      <c r="G906" t="inlineStr">
        <is>
          <t>SANDVIKEN</t>
        </is>
      </c>
      <c r="H906" t="inlineStr">
        <is>
          <t>Naturvårdsverket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35865-2026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46266</v>
      </c>
      <c r="E907" s="1" t="n">
        <v>46271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35863-2026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46266</v>
      </c>
      <c r="E908" s="1" t="n">
        <v>46271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46271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15340-2026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46105</v>
      </c>
      <c r="E910" s="1" t="n">
        <v>46271</v>
      </c>
      <c r="F910" t="inlineStr">
        <is>
          <t>GÄVLEBORGS LÄN</t>
        </is>
      </c>
      <c r="G910" t="inlineStr">
        <is>
          <t>SANDVIKEN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61100-2025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46000</v>
      </c>
      <c r="E911" s="1" t="n">
        <v>46271</v>
      </c>
      <c r="F911" t="inlineStr">
        <is>
          <t>GÄVLEBORGS LÄN</t>
        </is>
      </c>
      <c r="G911" t="inlineStr">
        <is>
          <t>SANDVIKEN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46271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46271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46271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7975-2021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44484</v>
      </c>
      <c r="E915" s="1" t="n">
        <v>46271</v>
      </c>
      <c r="F915" t="inlineStr">
        <is>
          <t>GÄVLEBORGS LÄN</t>
        </is>
      </c>
      <c r="G915" t="inlineStr">
        <is>
          <t>SANDVIKEN</t>
        </is>
      </c>
      <c r="H915" t="inlineStr">
        <is>
          <t>Kommuner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2574-2023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45142</v>
      </c>
      <c r="E916" s="1" t="n">
        <v>46271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31.8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10363-2021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44550</v>
      </c>
      <c r="E917" s="1" t="n">
        <v>46271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73.3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513-2025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45706</v>
      </c>
      <c r="E918" s="1" t="n">
        <v>46271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46271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46271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46271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46271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46271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46271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46271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2026-09-06T02:05:11Z</dcterms:created>
  <dcterms:modified xmlns:dcterms="http://purl.org/dc/terms/" xmlns:xsi="http://www.w3.org/2001/XMLSchema-instance" xsi:type="dcterms:W3CDTF">2026-09-06T02:05:12Z</dcterms:modified>
</cp:coreProperties>
</file>