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46227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46227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46227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1.6</v>
      </c>
      <c r="J11" t="n">
        <v>1</v>
      </c>
      <c r="K11" t="n">
        <v>1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4</v>
      </c>
      <c r="T11" t="n">
        <v>6</v>
      </c>
      <c r="U11" t="n">
        <v>6</v>
      </c>
      <c r="V11" s="2" t="inlineStr">
        <is>
          <t>Garnlav
Knärot
Dropptaggsvamp
Bronshjon</t>
        </is>
      </c>
      <c r="W11">
        <f>HYPERLINK("https://klasma.github.io/Logging_2181/artfynd/A 52784-2025 artfynd.xlsx", "A 52784-2025")</f>
        <v/>
      </c>
      <c r="X11">
        <f>HYPERLINK("https://klasma.github.io/Logging_2181/kartor/A 52784-2025 karta.png", "A 52784-2025")</f>
        <v/>
      </c>
      <c r="Y11">
        <f>HYPERLINK("https://klasma.github.io/Logging_2181/kartor_geotiff/A 52784-2025 georefererad karta.tif", "A 52784-2025")</f>
        <v/>
      </c>
      <c r="Z11">
        <f>HYPERLINK("https://klasma.github.io/Logging_2181/knärot/A 52784-2025 karta knärot.png", "A 52784-2025")</f>
        <v/>
      </c>
      <c r="AA11">
        <f>HYPERLINK("https://klasma.github.io/Logging_2181/klagomål/A 52784-2025 FSC-klagomål.docx", "A 52784-2025")</f>
        <v/>
      </c>
      <c r="AB11">
        <f>HYPERLINK("https://klasma.github.io/Logging_2181/klagomålsmail/A 52784-2025 FSC-klagomål mail.docx", "A 52784-2025")</f>
        <v/>
      </c>
      <c r="AC11">
        <f>HYPERLINK("https://klasma.github.io/Logging_2181/tillsyn/A 52784-2025 tillsynsbegäran.docx", "A 52784-2025")</f>
        <v/>
      </c>
      <c r="AD11">
        <f>HYPERLINK("https://klasma.github.io/Logging_2181/tillsynsmail/A 52784-2025 tillsynsbegäran mail.docx", "A 52784-2025")</f>
        <v/>
      </c>
    </row>
    <row r="12" ht="15" customHeight="1">
      <c r="A12" t="inlineStr">
        <is>
          <t>A 52785-2025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46227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52785-2025 artfynd.xlsx", "A 52785-2025")</f>
        <v/>
      </c>
      <c r="X12">
        <f>HYPERLINK("https://klasma.github.io/Logging_2181/kartor/A 52785-2025 karta.png", "A 52785-2025")</f>
        <v/>
      </c>
      <c r="Y12">
        <f>HYPERLINK("https://klasma.github.io/Logging_2181/kartor_geotiff/A 52785-2025 georefererad karta.tif", "A 52785-2025")</f>
        <v/>
      </c>
      <c r="Z12">
        <f>HYPERLINK("https://klasma.github.io/Logging_2181/knärot/A 52785-2025 karta knärot.png", "A 52785-2025")</f>
        <v/>
      </c>
      <c r="AA12">
        <f>HYPERLINK("https://klasma.github.io/Logging_2181/klagomål/A 52785-2025 FSC-klagomål.docx", "A 52785-2025")</f>
        <v/>
      </c>
      <c r="AB12">
        <f>HYPERLINK("https://klasma.github.io/Logging_2181/klagomålsmail/A 52785-2025 FSC-klagomål mail.docx", "A 52785-2025")</f>
        <v/>
      </c>
      <c r="AC12">
        <f>HYPERLINK("https://klasma.github.io/Logging_2181/tillsyn/A 52785-2025 tillsynsbegäran.docx", "A 52785-2025")</f>
        <v/>
      </c>
      <c r="AD12">
        <f>HYPERLINK("https://klasma.github.io/Logging_2181/tillsynsmail/A 52785-2025 tillsynsbegäran mail.docx", "A 52785-2025")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46227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37635-2024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46227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25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Talltita
Tjäder
Kungsfågel
Revlummer</t>
        </is>
      </c>
      <c r="W14">
        <f>HYPERLINK("https://klasma.github.io/Logging_2181/artfynd/A 37635-2024 artfynd.xlsx", "A 37635-2024")</f>
        <v/>
      </c>
      <c r="X14">
        <f>HYPERLINK("https://klasma.github.io/Logging_2181/kartor/A 37635-2024 karta.png", "A 37635-2024")</f>
        <v/>
      </c>
      <c r="Y14">
        <f>HYPERLINK("https://klasma.github.io/Logging_2181/kartor_geotiff/A 37635-2024 georefererad karta.tif", "A 37635-2024")</f>
        <v/>
      </c>
      <c r="AA14">
        <f>HYPERLINK("https://klasma.github.io/Logging_2181/klagomål/A 37635-2024 FSC-klagomål.docx", "A 37635-2024")</f>
        <v/>
      </c>
      <c r="AB14">
        <f>HYPERLINK("https://klasma.github.io/Logging_2181/klagomålsmail/A 37635-2024 FSC-klagomål mail.docx", "A 37635-2024")</f>
        <v/>
      </c>
      <c r="AC14">
        <f>HYPERLINK("https://klasma.github.io/Logging_2181/tillsyn/A 37635-2024 tillsynsbegäran.docx", "A 37635-2024")</f>
        <v/>
      </c>
      <c r="AD14">
        <f>HYPERLINK("https://klasma.github.io/Logging_2181/tillsynsmail/A 37635-2024 tillsynsbegäran mail.docx", "A 37635-2024")</f>
        <v/>
      </c>
      <c r="AE14">
        <f>HYPERLINK("https://klasma.github.io/Logging_2181/fåglar/A 37635-2024 prioriterade fågelarter.docx", "A 37635-2024")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46227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46227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46227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46227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46227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46227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46227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46227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46227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46227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46227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46227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46227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46227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46227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46227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46227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46227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46227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46227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46227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46227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46227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46227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46227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46227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46227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46227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46227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Strutbräken
Revlummer</t>
        </is>
      </c>
      <c r="W45">
        <f>HYPERLINK("https://klasma.github.io/Logging_2181/artfynd/A 1179-2026 artfynd.xlsx", "A 1179-2026")</f>
        <v/>
      </c>
      <c r="X45">
        <f>HYPERLINK("https://klasma.github.io/Logging_2181/kartor/A 1179-2026 karta.png", "A 1179-2026")</f>
        <v/>
      </c>
      <c r="Y45">
        <f>HYPERLINK("https://klasma.github.io/Logging_2181/kartor_geotiff/A 1179-2026 georefererad karta.tif", "A 1179-2026")</f>
        <v/>
      </c>
      <c r="AA45">
        <f>HYPERLINK("https://klasma.github.io/Logging_2181/klagomål/A 1179-2026 FSC-klagomål.docx", "A 1179-2026")</f>
        <v/>
      </c>
      <c r="AB45">
        <f>HYPERLINK("https://klasma.github.io/Logging_2181/klagomålsmail/A 1179-2026 FSC-klagomål mail.docx", "A 1179-2026")</f>
        <v/>
      </c>
      <c r="AC45">
        <f>HYPERLINK("https://klasma.github.io/Logging_2181/tillsyn/A 1179-2026 tillsynsbegäran.docx", "A 1179-2026")</f>
        <v/>
      </c>
      <c r="AD45">
        <f>HYPERLINK("https://klasma.github.io/Logging_2181/tillsynsmail/A 1179-2026 tillsynsbegäran mail.docx", "A 1179-2026")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46227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46227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46227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46227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46227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46227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46227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46227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46227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Sångsvan</t>
        </is>
      </c>
      <c r="W54">
        <f>HYPERLINK("https://klasma.github.io/Logging_2181/artfynd/A 4384-2023 artfynd.xlsx", "A 4384-2023")</f>
        <v/>
      </c>
      <c r="X54">
        <f>HYPERLINK("https://klasma.github.io/Logging_2181/kartor/A 4384-2023 karta.png", "A 4384-2023")</f>
        <v/>
      </c>
      <c r="Y54">
        <f>HYPERLINK("https://klasma.github.io/Logging_2181/kartor_geotiff/A 4384-2023 georefererad karta.tif", "A 4384-2023")</f>
        <v/>
      </c>
      <c r="AA54">
        <f>HYPERLINK("https://klasma.github.io/Logging_2181/klagomål/A 4384-2023 FSC-klagomål.docx", "A 4384-2023")</f>
        <v/>
      </c>
      <c r="AB54">
        <f>HYPERLINK("https://klasma.github.io/Logging_2181/klagomålsmail/A 4384-2023 FSC-klagomål mail.docx", "A 4384-2023")</f>
        <v/>
      </c>
      <c r="AC54">
        <f>HYPERLINK("https://klasma.github.io/Logging_2181/tillsyn/A 4384-2023 tillsynsbegäran.docx", "A 4384-2023")</f>
        <v/>
      </c>
      <c r="AD54">
        <f>HYPERLINK("https://klasma.github.io/Logging_2181/tillsynsmail/A 4384-2023 tillsynsbegäran mail.docx", "A 4384-2023")</f>
        <v/>
      </c>
      <c r="AE54">
        <f>HYPERLINK("https://klasma.github.io/Logging_2181/fåglar/A 4384-2023 prioriterade fågelarter.docx", "A 4384-2023")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46227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Plattlummer</t>
        </is>
      </c>
      <c r="W55">
        <f>HYPERLINK("https://klasma.github.io/Logging_2181/artfynd/A 39872-2025 artfynd.xlsx", "A 39872-2025")</f>
        <v/>
      </c>
      <c r="X55">
        <f>HYPERLINK("https://klasma.github.io/Logging_2181/kartor/A 39872-2025 karta.png", "A 39872-2025")</f>
        <v/>
      </c>
      <c r="Y55">
        <f>HYPERLINK("https://klasma.github.io/Logging_2181/kartor_geotiff/A 39872-2025 georefererad karta.tif", "A 39872-2025")</f>
        <v/>
      </c>
      <c r="AA55">
        <f>HYPERLINK("https://klasma.github.io/Logging_2181/klagomål/A 39872-2025 FSC-klagomål.docx", "A 39872-2025")</f>
        <v/>
      </c>
      <c r="AB55">
        <f>HYPERLINK("https://klasma.github.io/Logging_2181/klagomålsmail/A 39872-2025 FSC-klagomål mail.docx", "A 39872-2025")</f>
        <v/>
      </c>
      <c r="AC55">
        <f>HYPERLINK("https://klasma.github.io/Logging_2181/tillsyn/A 39872-2025 tillsynsbegäran.docx", "A 39872-2025")</f>
        <v/>
      </c>
      <c r="AD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46227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HYPERLINK("https://klasma.github.io/Logging_2181/artfynd/A 39873-2025 artfynd.xlsx", "A 39873-2025")</f>
        <v/>
      </c>
      <c r="X56">
        <f>HYPERLINK("https://klasma.github.io/Logging_2181/kartor/A 39873-2025 karta.png", "A 39873-2025")</f>
        <v/>
      </c>
      <c r="Y56">
        <f>HYPERLINK("https://klasma.github.io/Logging_2181/kartor_geotiff/A 39873-2025 georefererad karta.tif", "A 39873-2025")</f>
        <v/>
      </c>
      <c r="AA56">
        <f>HYPERLINK("https://klasma.github.io/Logging_2181/klagomål/A 39873-2025 FSC-klagomål.docx", "A 39873-2025")</f>
        <v/>
      </c>
      <c r="AB56">
        <f>HYPERLINK("https://klasma.github.io/Logging_2181/klagomålsmail/A 39873-2025 FSC-klagomål mail.docx", "A 39873-2025")</f>
        <v/>
      </c>
      <c r="AC56">
        <f>HYPERLINK("https://klasma.github.io/Logging_2181/tillsyn/A 39873-2025 tillsynsbegäran.docx", "A 39873-2025")</f>
        <v/>
      </c>
      <c r="AD56">
        <f>HYPERLINK("https://klasma.github.io/Logging_2181/tillsynsmail/A 39873-2025 tillsynsbegäran mail.docx", "A 39873-2025")</f>
        <v/>
      </c>
    </row>
    <row r="57" ht="15" customHeight="1">
      <c r="A57" t="inlineStr">
        <is>
          <t>A 25323-2025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46227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Plattlummer</t>
        </is>
      </c>
      <c r="W57">
        <f>HYPERLINK("https://klasma.github.io/Logging_2181/artfynd/A 25323-2025 artfynd.xlsx", "A 25323-2025")</f>
        <v/>
      </c>
      <c r="X57">
        <f>HYPERLINK("https://klasma.github.io/Logging_2181/kartor/A 25323-2025 karta.png", "A 25323-2025")</f>
        <v/>
      </c>
      <c r="Y57">
        <f>HYPERLINK("https://klasma.github.io/Logging_2181/kartor_geotiff/A 25323-2025 georefererad karta.tif", "A 25323-2025")</f>
        <v/>
      </c>
      <c r="AA57">
        <f>HYPERLINK("https://klasma.github.io/Logging_2181/klagomål/A 25323-2025 FSC-klagomål.docx", "A 25323-2025")</f>
        <v/>
      </c>
      <c r="AB57">
        <f>HYPERLINK("https://klasma.github.io/Logging_2181/klagomålsmail/A 25323-2025 FSC-klagomål mail.docx", "A 25323-2025")</f>
        <v/>
      </c>
      <c r="AC57">
        <f>HYPERLINK("https://klasma.github.io/Logging_2181/tillsyn/A 25323-2025 tillsynsbegäran.docx", "A 25323-2025")</f>
        <v/>
      </c>
      <c r="AD57">
        <f>HYPERLINK("https://klasma.github.io/Logging_2181/tillsynsmail/A 25323-2025 tillsynsbegäran mail.docx", "A 25323-2025")</f>
        <v/>
      </c>
    </row>
    <row r="58" ht="15" customHeight="1">
      <c r="A58" t="inlineStr">
        <is>
          <t>A 25314-2025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46227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Garnlav</t>
        </is>
      </c>
      <c r="W58">
        <f>HYPERLINK("https://klasma.github.io/Logging_2181/artfynd/A 25314-2025 artfynd.xlsx", "A 25314-2025")</f>
        <v/>
      </c>
      <c r="X58">
        <f>HYPERLINK("https://klasma.github.io/Logging_2181/kartor/A 25314-2025 karta.png", "A 25314-2025")</f>
        <v/>
      </c>
      <c r="Y58">
        <f>HYPERLINK("https://klasma.github.io/Logging_2181/kartor_geotiff/A 25314-2025 georefererad karta.tif", "A 25314-2025")</f>
        <v/>
      </c>
      <c r="AA58">
        <f>HYPERLINK("https://klasma.github.io/Logging_2181/klagomål/A 25314-2025 FSC-klagomål.docx", "A 25314-2025")</f>
        <v/>
      </c>
      <c r="AB58">
        <f>HYPERLINK("https://klasma.github.io/Logging_2181/klagomålsmail/A 25314-2025 FSC-klagomål mail.docx", "A 25314-2025")</f>
        <v/>
      </c>
      <c r="AC58">
        <f>HYPERLINK("https://klasma.github.io/Logging_2181/tillsyn/A 25314-2025 tillsynsbegäran.docx", "A 25314-2025")</f>
        <v/>
      </c>
      <c r="AD58">
        <f>HYPERLINK("https://klasma.github.io/Logging_2181/tillsynsmail/A 25314-2025 tillsynsbegäran mail.docx", "A 25314-2025")</f>
        <v/>
      </c>
    </row>
    <row r="59" ht="15" customHeight="1">
      <c r="A59" t="inlineStr">
        <is>
          <t>A 57934-2025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45981</v>
      </c>
      <c r="E59" s="1" t="n">
        <v>46227</v>
      </c>
      <c r="F59" t="inlineStr">
        <is>
          <t>GÄVLEBORGS LÄN</t>
        </is>
      </c>
      <c r="G59" t="inlineStr">
        <is>
          <t>SANDVIKEN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Grönsiska</t>
        </is>
      </c>
      <c r="W59">
        <f>HYPERLINK("https://klasma.github.io/Logging_2181/artfynd/A 57934-2025 artfynd.xlsx", "A 57934-2025")</f>
        <v/>
      </c>
      <c r="X59">
        <f>HYPERLINK("https://klasma.github.io/Logging_2181/kartor/A 57934-2025 karta.png", "A 57934-2025")</f>
        <v/>
      </c>
      <c r="Y59">
        <f>HYPERLINK("https://klasma.github.io/Logging_2181/kartor_geotiff/A 57934-2025 georefererad karta.tif", "A 57934-2025")</f>
        <v/>
      </c>
      <c r="AA59">
        <f>HYPERLINK("https://klasma.github.io/Logging_2181/klagomål/A 57934-2025 FSC-klagomål.docx", "A 57934-2025")</f>
        <v/>
      </c>
      <c r="AB59">
        <f>HYPERLINK("https://klasma.github.io/Logging_2181/klagomålsmail/A 57934-2025 FSC-klagomål mail.docx", "A 57934-2025")</f>
        <v/>
      </c>
      <c r="AC59">
        <f>HYPERLINK("https://klasma.github.io/Logging_2181/tillsyn/A 57934-2025 tillsynsbegäran.docx", "A 57934-2025")</f>
        <v/>
      </c>
      <c r="AD59">
        <f>HYPERLINK("https://klasma.github.io/Logging_2181/tillsynsmail/A 57934-2025 tillsynsbegäran mail.docx", "A 57934-2025")</f>
        <v/>
      </c>
    </row>
    <row r="60" ht="15" customHeight="1">
      <c r="A60" t="inlineStr">
        <is>
          <t>A 23289-2024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45453</v>
      </c>
      <c r="E60" s="1" t="n">
        <v>46227</v>
      </c>
      <c r="F60" t="inlineStr">
        <is>
          <t>GÄVLEBORGS LÄN</t>
        </is>
      </c>
      <c r="G60" t="inlineStr">
        <is>
          <t>SANDVIKEN</t>
        </is>
      </c>
      <c r="H60" t="inlineStr">
        <is>
          <t>Kyrkan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Skogsödla</t>
        </is>
      </c>
      <c r="W60">
        <f>HYPERLINK("https://klasma.github.io/Logging_2181/artfynd/A 23289-2024 artfynd.xlsx", "A 23289-2024")</f>
        <v/>
      </c>
      <c r="X60">
        <f>HYPERLINK("https://klasma.github.io/Logging_2181/kartor/A 23289-2024 karta.png", "A 23289-2024")</f>
        <v/>
      </c>
      <c r="Y60">
        <f>HYPERLINK("https://klasma.github.io/Logging_2181/kartor_geotiff/A 23289-2024 georefererad karta.tif", "A 23289-2024")</f>
        <v/>
      </c>
      <c r="AA60">
        <f>HYPERLINK("https://klasma.github.io/Logging_2181/klagomål/A 23289-2024 FSC-klagomål.docx", "A 23289-2024")</f>
        <v/>
      </c>
      <c r="AB60">
        <f>HYPERLINK("https://klasma.github.io/Logging_2181/klagomålsmail/A 23289-2024 FSC-klagomål mail.docx", "A 23289-2024")</f>
        <v/>
      </c>
      <c r="AC60">
        <f>HYPERLINK("https://klasma.github.io/Logging_2181/tillsyn/A 23289-2024 tillsynsbegäran.docx", "A 23289-2024")</f>
        <v/>
      </c>
      <c r="AD60">
        <f>HYPERLINK("https://klasma.github.io/Logging_2181/tillsynsmail/A 23289-2024 tillsynsbegäran mail.docx", "A 23289-2024")</f>
        <v/>
      </c>
    </row>
    <row r="61" ht="15" customHeight="1">
      <c r="A61" t="inlineStr">
        <is>
          <t>A 36417-2025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45868</v>
      </c>
      <c r="E61" s="1" t="n">
        <v>46227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HYPERLINK("https://klasma.github.io/Logging_2181/artfynd/A 36417-2025 artfynd.xlsx", "A 36417-2025")</f>
        <v/>
      </c>
      <c r="X61">
        <f>HYPERLINK("https://klasma.github.io/Logging_2181/kartor/A 36417-2025 karta.png", "A 36417-2025")</f>
        <v/>
      </c>
      <c r="Y61">
        <f>HYPERLINK("https://klasma.github.io/Logging_2181/kartor_geotiff/A 36417-2025 georefererad karta.tif", "A 36417-2025")</f>
        <v/>
      </c>
      <c r="Z61">
        <f>HYPERLINK("https://klasma.github.io/Logging_2181/knärot/A 36417-2025 karta knärot.png", "A 36417-2025")</f>
        <v/>
      </c>
      <c r="AA61">
        <f>HYPERLINK("https://klasma.github.io/Logging_2181/klagomål/A 36417-2025 FSC-klagomål.docx", "A 36417-2025")</f>
        <v/>
      </c>
      <c r="AB61">
        <f>HYPERLINK("https://klasma.github.io/Logging_2181/klagomålsmail/A 36417-2025 FSC-klagomål mail.docx", "A 36417-2025")</f>
        <v/>
      </c>
      <c r="AC61">
        <f>HYPERLINK("https://klasma.github.io/Logging_2181/tillsyn/A 36417-2025 tillsynsbegäran.docx", "A 36417-2025")</f>
        <v/>
      </c>
      <c r="AD61">
        <f>HYPERLINK("https://klasma.github.io/Logging_2181/tillsynsmail/A 36417-2025 tillsynsbegäran mail.docx", "A 36417-2025")</f>
        <v/>
      </c>
    </row>
    <row r="62" ht="15" customHeight="1">
      <c r="A62" t="inlineStr">
        <is>
          <t>A 46610-2025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46227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16.3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HYPERLINK("https://klasma.github.io/Logging_2181/artfynd/A 46610-2025 artfynd.xlsx", "A 46610-2025")</f>
        <v/>
      </c>
      <c r="X62">
        <f>HYPERLINK("https://klasma.github.io/Logging_2181/kartor/A 46610-2025 karta.png", "A 46610-2025")</f>
        <v/>
      </c>
      <c r="Y62">
        <f>HYPERLINK("https://klasma.github.io/Logging_2181/kartor_geotiff/A 46610-2025 georefererad karta.tif", "A 46610-2025")</f>
        <v/>
      </c>
      <c r="AA62">
        <f>HYPERLINK("https://klasma.github.io/Logging_2181/klagomål/A 46610-2025 FSC-klagomål.docx", "A 46610-2025")</f>
        <v/>
      </c>
      <c r="AB62">
        <f>HYPERLINK("https://klasma.github.io/Logging_2181/klagomålsmail/A 46610-2025 FSC-klagomål mail.docx", "A 46610-2025")</f>
        <v/>
      </c>
      <c r="AC62">
        <f>HYPERLINK("https://klasma.github.io/Logging_2181/tillsyn/A 46610-2025 tillsynsbegäran.docx", "A 46610-2025")</f>
        <v/>
      </c>
      <c r="AD62">
        <f>HYPERLINK("https://klasma.github.io/Logging_2181/tillsynsmail/A 46610-2025 tillsynsbegäran mail.docx", "A 46610-2025")</f>
        <v/>
      </c>
    </row>
    <row r="63" ht="15" customHeight="1">
      <c r="A63" t="inlineStr">
        <is>
          <t>A 47174-2025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46227</v>
      </c>
      <c r="F63" t="inlineStr">
        <is>
          <t>GÄVLEBORGS LÄN</t>
        </is>
      </c>
      <c r="G63" t="inlineStr">
        <is>
          <t>SANDVIKEN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Garnlav</t>
        </is>
      </c>
      <c r="W63">
        <f>HYPERLINK("https://klasma.github.io/Logging_2181/artfynd/A 47174-2025 artfynd.xlsx", "A 47174-2025")</f>
        <v/>
      </c>
      <c r="X63">
        <f>HYPERLINK("https://klasma.github.io/Logging_2181/kartor/A 47174-2025 karta.png", "A 47174-2025")</f>
        <v/>
      </c>
      <c r="Y63">
        <f>HYPERLINK("https://klasma.github.io/Logging_2181/kartor_geotiff/A 47174-2025 georefererad karta.tif", "A 47174-2025")</f>
        <v/>
      </c>
      <c r="AA63">
        <f>HYPERLINK("https://klasma.github.io/Logging_2181/klagomål/A 47174-2025 FSC-klagomål.docx", "A 47174-2025")</f>
        <v/>
      </c>
      <c r="AB63">
        <f>HYPERLINK("https://klasma.github.io/Logging_2181/klagomålsmail/A 47174-2025 FSC-klagomål mail.docx", "A 47174-2025")</f>
        <v/>
      </c>
      <c r="AC63">
        <f>HYPERLINK("https://klasma.github.io/Logging_2181/tillsyn/A 47174-2025 tillsynsbegäran.docx", "A 47174-2025")</f>
        <v/>
      </c>
      <c r="AD63">
        <f>HYPERLINK("https://klasma.github.io/Logging_2181/tillsynsmail/A 47174-2025 tillsynsbegäran mail.docx", "A 47174-2025")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46227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Brandticka</t>
        </is>
      </c>
      <c r="W64">
        <f>HYPERLINK("https://klasma.github.io/Logging_2181/artfynd/A 38350-2025 artfynd.xlsx", "A 38350-2025")</f>
        <v/>
      </c>
      <c r="X64">
        <f>HYPERLINK("https://klasma.github.io/Logging_2181/kartor/A 38350-2025 karta.png", "A 38350-2025")</f>
        <v/>
      </c>
      <c r="Y64">
        <f>HYPERLINK("https://klasma.github.io/Logging_2181/kartor_geotiff/A 38350-2025 georefererad karta.tif", "A 38350-2025")</f>
        <v/>
      </c>
      <c r="AA64">
        <f>HYPERLINK("https://klasma.github.io/Logging_2181/klagomål/A 38350-2025 FSC-klagomål.docx", "A 38350-2025")</f>
        <v/>
      </c>
      <c r="AB64">
        <f>HYPERLINK("https://klasma.github.io/Logging_2181/klagomålsmail/A 38350-2025 FSC-klagomål mail.docx", "A 38350-2025")</f>
        <v/>
      </c>
      <c r="AC64">
        <f>HYPERLINK("https://klasma.github.io/Logging_2181/tillsyn/A 38350-2025 tillsynsbegäran.docx", "A 38350-2025")</f>
        <v/>
      </c>
      <c r="AD64">
        <f>HYPERLINK("https://klasma.github.io/Logging_2181/tillsynsmail/A 38350-2025 tillsynsbegäran mail.docx", "A 38350-2025")</f>
        <v/>
      </c>
    </row>
    <row r="65" ht="15" customHeight="1">
      <c r="A65" t="inlineStr">
        <is>
          <t>A 448-2026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46227</v>
      </c>
      <c r="F65" t="inlineStr">
        <is>
          <t>GÄVLEBORGS LÄN</t>
        </is>
      </c>
      <c r="G65" t="inlineStr">
        <is>
          <t>SANDVIKEN</t>
        </is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Dvärghäxört</t>
        </is>
      </c>
      <c r="W65">
        <f>HYPERLINK("https://klasma.github.io/Logging_2181/artfynd/A 448-2026 artfynd.xlsx", "A 448-2026")</f>
        <v/>
      </c>
      <c r="X65">
        <f>HYPERLINK("https://klasma.github.io/Logging_2181/kartor/A 448-2026 karta.png", "A 448-2026")</f>
        <v/>
      </c>
      <c r="Y65">
        <f>HYPERLINK("https://klasma.github.io/Logging_2181/kartor_geotiff/A 448-2026 georefererad karta.tif", "A 448-2026")</f>
        <v/>
      </c>
      <c r="AA65">
        <f>HYPERLINK("https://klasma.github.io/Logging_2181/klagomål/A 448-2026 FSC-klagomål.docx", "A 448-2026")</f>
        <v/>
      </c>
      <c r="AB65">
        <f>HYPERLINK("https://klasma.github.io/Logging_2181/klagomålsmail/A 448-2026 FSC-klagomål mail.docx", "A 448-2026")</f>
        <v/>
      </c>
      <c r="AC65">
        <f>HYPERLINK("https://klasma.github.io/Logging_2181/tillsyn/A 448-2026 tillsynsbegäran.docx", "A 448-2026")</f>
        <v/>
      </c>
      <c r="AD65">
        <f>HYPERLINK("https://klasma.github.io/Logging_2181/tillsynsmail/A 448-2026 tillsynsbegäran mail.docx", "A 448-2026")</f>
        <v/>
      </c>
    </row>
    <row r="66" ht="15" customHeight="1">
      <c r="A66" t="inlineStr">
        <is>
          <t>A 1083-2026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46227</v>
      </c>
      <c r="F66" t="inlineStr">
        <is>
          <t>GÄVLEBORGS LÄN</t>
        </is>
      </c>
      <c r="G66" t="inlineStr">
        <is>
          <t>SANDVIKEN</t>
        </is>
      </c>
      <c r="I66" t="n">
        <v>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HYPERLINK("https://klasma.github.io/Logging_2181/artfynd/A 1083-2026 artfynd.xlsx", "A 1083-2026")</f>
        <v/>
      </c>
      <c r="X66">
        <f>HYPERLINK("https://klasma.github.io/Logging_2181/kartor/A 1083-2026 karta.png", "A 1083-2026")</f>
        <v/>
      </c>
      <c r="Y66">
        <f>HYPERLINK("https://klasma.github.io/Logging_2181/kartor_geotiff/A 1083-2026 georefererad karta.tif", "A 1083-2026")</f>
        <v/>
      </c>
      <c r="AA66">
        <f>HYPERLINK("https://klasma.github.io/Logging_2181/klagomål/A 1083-2026 FSC-klagomål.docx", "A 1083-2026")</f>
        <v/>
      </c>
      <c r="AB66">
        <f>HYPERLINK("https://klasma.github.io/Logging_2181/klagomålsmail/A 1083-2026 FSC-klagomål mail.docx", "A 1083-2026")</f>
        <v/>
      </c>
      <c r="AC66">
        <f>HYPERLINK("https://klasma.github.io/Logging_2181/tillsyn/A 1083-2026 tillsynsbegäran.docx", "A 1083-2026")</f>
        <v/>
      </c>
      <c r="AD66">
        <f>HYPERLINK("https://klasma.github.io/Logging_2181/tillsynsmail/A 1083-2026 tillsynsbegäran mail.docx", "A 1083-2026")</f>
        <v/>
      </c>
    </row>
    <row r="67" ht="15" customHeight="1">
      <c r="A67" t="inlineStr">
        <is>
          <t>A 48188-2025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46227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4.6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HYPERLINK("https://klasma.github.io/Logging_2181/artfynd/A 48188-2025 artfynd.xlsx", "A 48188-2025")</f>
        <v/>
      </c>
      <c r="X67">
        <f>HYPERLINK("https://klasma.github.io/Logging_2181/kartor/A 48188-2025 karta.png", "A 48188-2025")</f>
        <v/>
      </c>
      <c r="Y67">
        <f>HYPERLINK("https://klasma.github.io/Logging_2181/kartor_geotiff/A 48188-2025 georefererad karta.tif", "A 48188-2025")</f>
        <v/>
      </c>
      <c r="AA67">
        <f>HYPERLINK("https://klasma.github.io/Logging_2181/klagomål/A 48188-2025 FSC-klagomål.docx", "A 48188-2025")</f>
        <v/>
      </c>
      <c r="AB67">
        <f>HYPERLINK("https://klasma.github.io/Logging_2181/klagomålsmail/A 48188-2025 FSC-klagomål mail.docx", "A 48188-2025")</f>
        <v/>
      </c>
      <c r="AC67">
        <f>HYPERLINK("https://klasma.github.io/Logging_2181/tillsyn/A 48188-2025 tillsynsbegäran.docx", "A 48188-2025")</f>
        <v/>
      </c>
      <c r="AD67">
        <f>HYPERLINK("https://klasma.github.io/Logging_2181/tillsynsmail/A 48188-2025 tillsynsbegäran mail.docx", "A 48188-2025")</f>
        <v/>
      </c>
      <c r="AE67">
        <f>HYPERLINK("https://klasma.github.io/Logging_2181/fåglar/A 48188-2025 prioriterade fågelarter.docx", "A 48188-2025")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46227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7393-2026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46227</v>
      </c>
      <c r="F69" t="inlineStr">
        <is>
          <t>GÄVLEBORGS LÄN</t>
        </is>
      </c>
      <c r="G69" t="inlineStr">
        <is>
          <t>SANDVIKEN</t>
        </is>
      </c>
      <c r="I69" t="n">
        <v>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Brunklöver</t>
        </is>
      </c>
      <c r="W69">
        <f>HYPERLINK("https://klasma.github.io/Logging_2181/artfynd/A 7393-2026 artfynd.xlsx", "A 7393-2026")</f>
        <v/>
      </c>
      <c r="X69">
        <f>HYPERLINK("https://klasma.github.io/Logging_2181/kartor/A 7393-2026 karta.png", "A 7393-2026")</f>
        <v/>
      </c>
      <c r="Y69">
        <f>HYPERLINK("https://klasma.github.io/Logging_2181/kartor_geotiff/A 7393-2026 georefererad karta.tif", "A 7393-2026")</f>
        <v/>
      </c>
      <c r="AA69">
        <f>HYPERLINK("https://klasma.github.io/Logging_2181/klagomål/A 7393-2026 FSC-klagomål.docx", "A 7393-2026")</f>
        <v/>
      </c>
      <c r="AB69">
        <f>HYPERLINK("https://klasma.github.io/Logging_2181/klagomålsmail/A 7393-2026 FSC-klagomål mail.docx", "A 7393-2026")</f>
        <v/>
      </c>
      <c r="AC69">
        <f>HYPERLINK("https://klasma.github.io/Logging_2181/tillsyn/A 7393-2026 tillsynsbegäran.docx", "A 7393-2026")</f>
        <v/>
      </c>
      <c r="AD69">
        <f>HYPERLINK("https://klasma.github.io/Logging_2181/tillsynsmail/A 7393-2026 tillsynsbegäran mail.docx", "A 7393-2026")</f>
        <v/>
      </c>
    </row>
    <row r="70" ht="15" customHeight="1">
      <c r="A70" t="inlineStr">
        <is>
          <t>A 9267-2026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46227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Gullpudra</t>
        </is>
      </c>
      <c r="W70">
        <f>HYPERLINK("https://klasma.github.io/Logging_2181/artfynd/A 9267-2026 artfynd.xlsx", "A 9267-2026")</f>
        <v/>
      </c>
      <c r="X70">
        <f>HYPERLINK("https://klasma.github.io/Logging_2181/kartor/A 9267-2026 karta.png", "A 9267-2026")</f>
        <v/>
      </c>
      <c r="Y70">
        <f>HYPERLINK("https://klasma.github.io/Logging_2181/kartor_geotiff/A 9267-2026 georefererad karta.tif", "A 9267-2026")</f>
        <v/>
      </c>
      <c r="AA70">
        <f>HYPERLINK("https://klasma.github.io/Logging_2181/klagomål/A 9267-2026 FSC-klagomål.docx", "A 9267-2026")</f>
        <v/>
      </c>
      <c r="AB70">
        <f>HYPERLINK("https://klasma.github.io/Logging_2181/klagomålsmail/A 9267-2026 FSC-klagomål mail.docx", "A 9267-2026")</f>
        <v/>
      </c>
      <c r="AC70">
        <f>HYPERLINK("https://klasma.github.io/Logging_2181/tillsyn/A 9267-2026 tillsynsbegäran.docx", "A 9267-2026")</f>
        <v/>
      </c>
      <c r="AD70">
        <f>HYPERLINK("https://klasma.github.io/Logging_2181/tillsynsmail/A 9267-2026 tillsynsbegäran mail.docx", "A 9267-2026")</f>
        <v/>
      </c>
    </row>
    <row r="71" ht="15" customHeight="1">
      <c r="A71" t="inlineStr">
        <is>
          <t>A 11784-2026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46227</v>
      </c>
      <c r="F71" t="inlineStr">
        <is>
          <t>GÄVLEBORGS LÄN</t>
        </is>
      </c>
      <c r="G71" t="inlineStr">
        <is>
          <t>SANDVIKEN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HYPERLINK("https://klasma.github.io/Logging_2181/artfynd/A 11784-2026 artfynd.xlsx", "A 11784-2026")</f>
        <v/>
      </c>
      <c r="X71">
        <f>HYPERLINK("https://klasma.github.io/Logging_2181/kartor/A 11784-2026 karta.png", "A 11784-2026")</f>
        <v/>
      </c>
      <c r="Y71">
        <f>HYPERLINK("https://klasma.github.io/Logging_2181/kartor_geotiff/A 11784-2026 georefererad karta.tif", "A 11784-2026")</f>
        <v/>
      </c>
      <c r="AA71">
        <f>HYPERLINK("https://klasma.github.io/Logging_2181/klagomål/A 11784-2026 FSC-klagomål.docx", "A 11784-2026")</f>
        <v/>
      </c>
      <c r="AB71">
        <f>HYPERLINK("https://klasma.github.io/Logging_2181/klagomålsmail/A 11784-2026 FSC-klagomål mail.docx", "A 11784-2026")</f>
        <v/>
      </c>
      <c r="AC71">
        <f>HYPERLINK("https://klasma.github.io/Logging_2181/tillsyn/A 11784-2026 tillsynsbegäran.docx", "A 11784-2026")</f>
        <v/>
      </c>
      <c r="AD71">
        <f>HYPERLINK("https://klasma.github.io/Logging_2181/tillsynsmail/A 11784-2026 tillsynsbegäran mail.docx", "A 11784-2026")</f>
        <v/>
      </c>
    </row>
    <row r="72" ht="15" customHeight="1">
      <c r="A72" t="inlineStr">
        <is>
          <t>A 13135-2026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46227</v>
      </c>
      <c r="F72" t="inlineStr">
        <is>
          <t>GÄVLEBORGS LÄN</t>
        </is>
      </c>
      <c r="G72" t="inlineStr">
        <is>
          <t>SANDVIKEN</t>
        </is>
      </c>
      <c r="I72" t="n">
        <v>2.4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HYPERLINK("https://klasma.github.io/Logging_2181/artfynd/A 13135-2026 artfynd.xlsx", "A 13135-2026")</f>
        <v/>
      </c>
      <c r="X72">
        <f>HYPERLINK("https://klasma.github.io/Logging_2181/kartor/A 13135-2026 karta.png", "A 13135-2026")</f>
        <v/>
      </c>
      <c r="Y72">
        <f>HYPERLINK("https://klasma.github.io/Logging_2181/kartor_geotiff/A 13135-2026 georefererad karta.tif", "A 13135-2026")</f>
        <v/>
      </c>
      <c r="AA72">
        <f>HYPERLINK("https://klasma.github.io/Logging_2181/klagomål/A 13135-2026 FSC-klagomål.docx", "A 13135-2026")</f>
        <v/>
      </c>
      <c r="AB72">
        <f>HYPERLINK("https://klasma.github.io/Logging_2181/klagomålsmail/A 13135-2026 FSC-klagomål mail.docx", "A 13135-2026")</f>
        <v/>
      </c>
      <c r="AC72">
        <f>HYPERLINK("https://klasma.github.io/Logging_2181/tillsyn/A 13135-2026 tillsynsbegäran.docx", "A 13135-2026")</f>
        <v/>
      </c>
      <c r="AD72">
        <f>HYPERLINK("https://klasma.github.io/Logging_2181/tillsynsmail/A 13135-2026 tillsynsbegäran mail.docx", "A 13135-2026")</f>
        <v/>
      </c>
    </row>
    <row r="73" ht="15" customHeight="1">
      <c r="A73" t="inlineStr">
        <is>
          <t>A 13645-2026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46227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HYPERLINK("https://klasma.github.io/Logging_2181/artfynd/A 13645-2026 artfynd.xlsx", "A 13645-2026")</f>
        <v/>
      </c>
      <c r="X73">
        <f>HYPERLINK("https://klasma.github.io/Logging_2181/kartor/A 13645-2026 karta.png", "A 13645-2026")</f>
        <v/>
      </c>
      <c r="Y73">
        <f>HYPERLINK("https://klasma.github.io/Logging_2181/kartor_geotiff/A 13645-2026 georefererad karta.tif", "A 13645-2026")</f>
        <v/>
      </c>
      <c r="AA73">
        <f>HYPERLINK("https://klasma.github.io/Logging_2181/klagomål/A 13645-2026 FSC-klagomål.docx", "A 13645-2026")</f>
        <v/>
      </c>
      <c r="AB73">
        <f>HYPERLINK("https://klasma.github.io/Logging_2181/klagomålsmail/A 13645-2026 FSC-klagomål mail.docx", "A 13645-2026")</f>
        <v/>
      </c>
      <c r="AC73">
        <f>HYPERLINK("https://klasma.github.io/Logging_2181/tillsyn/A 13645-2026 tillsynsbegäran.docx", "A 13645-2026")</f>
        <v/>
      </c>
      <c r="AD73">
        <f>HYPERLINK("https://klasma.github.io/Logging_2181/tillsynsmail/A 13645-2026 tillsynsbegäran mail.docx", "A 13645-2026")</f>
        <v/>
      </c>
      <c r="AE73">
        <f>HYPERLINK("https://klasma.github.io/Logging_2181/fåglar/A 13645-2026 prioriterade fågelarter.docx", "A 13645-2026")</f>
        <v/>
      </c>
    </row>
    <row r="74" ht="15" customHeight="1">
      <c r="A74" t="inlineStr">
        <is>
          <t>A 3316-2023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44949</v>
      </c>
      <c r="E74" s="1" t="n">
        <v>46227</v>
      </c>
      <c r="F74" t="inlineStr">
        <is>
          <t>GÄVLEBORGS LÄN</t>
        </is>
      </c>
      <c r="G74" t="inlineStr">
        <is>
          <t>SANDVIKEN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HYPERLINK("https://klasma.github.io/Logging_2181/artfynd/A 3316-2023 artfynd.xlsx", "A 3316-2023")</f>
        <v/>
      </c>
      <c r="X74">
        <f>HYPERLINK("https://klasma.github.io/Logging_2181/kartor/A 3316-2023 karta.png", "A 3316-2023")</f>
        <v/>
      </c>
      <c r="Y74">
        <f>HYPERLINK("https://klasma.github.io/Logging_2181/kartor_geotiff/A 3316-2023 georefererad karta.tif", "A 3316-2023")</f>
        <v/>
      </c>
      <c r="AA74">
        <f>HYPERLINK("https://klasma.github.io/Logging_2181/klagomål/A 3316-2023 FSC-klagomål.docx", "A 3316-2023")</f>
        <v/>
      </c>
      <c r="AB74">
        <f>HYPERLINK("https://klasma.github.io/Logging_2181/klagomålsmail/A 3316-2023 FSC-klagomål mail.docx", "A 3316-2023")</f>
        <v/>
      </c>
      <c r="AC74">
        <f>HYPERLINK("https://klasma.github.io/Logging_2181/tillsyn/A 3316-2023 tillsynsbegäran.docx", "A 3316-2023")</f>
        <v/>
      </c>
      <c r="AD74">
        <f>HYPERLINK("https://klasma.github.io/Logging_2181/tillsynsmail/A 3316-2023 tillsynsbegäran mail.docx", "A 3316-2023")</f>
        <v/>
      </c>
      <c r="AE74">
        <f>HYPERLINK("https://klasma.github.io/Logging_2181/fåglar/A 3316-2023 prioriterade fågelarter.docx", "A 3316-2023")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46227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Ekorrbär</t>
        </is>
      </c>
      <c r="W75">
        <f>HYPERLINK("https://klasma.github.io/Logging_2181/artfynd/A 22275-2024 artfynd.xlsx", "A 22275-2024")</f>
        <v/>
      </c>
      <c r="X75">
        <f>HYPERLINK("https://klasma.github.io/Logging_2181/kartor/A 22275-2024 karta.png", "A 22275-2024")</f>
        <v/>
      </c>
      <c r="Y75">
        <f>HYPERLINK("https://klasma.github.io/Logging_2181/kartor_geotiff/A 22275-2024 georefererad karta.tif", "A 22275-2024")</f>
        <v/>
      </c>
      <c r="AA75">
        <f>HYPERLINK("https://klasma.github.io/Logging_2181/klagomål/A 22275-2024 FSC-klagomål.docx", "A 22275-2024")</f>
        <v/>
      </c>
      <c r="AB75">
        <f>HYPERLINK("https://klasma.github.io/Logging_2181/klagomålsmail/A 22275-2024 FSC-klagomål mail.docx", "A 22275-2024")</f>
        <v/>
      </c>
      <c r="AC75">
        <f>HYPERLINK("https://klasma.github.io/Logging_2181/tillsyn/A 22275-2024 tillsynsbegäran.docx", "A 22275-2024")</f>
        <v/>
      </c>
      <c r="AD75">
        <f>HYPERLINK("https://klasma.github.io/Logging_2181/tillsynsmail/A 22275-2024 tillsynsbegäran mail.docx", "A 22275-2024")</f>
        <v/>
      </c>
    </row>
    <row r="76" ht="15" customHeight="1">
      <c r="A76" t="inlineStr">
        <is>
          <t>A 15121-2026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46227</v>
      </c>
      <c r="F76" t="inlineStr">
        <is>
          <t>GÄVLEBORGS LÄN</t>
        </is>
      </c>
      <c r="G76" t="inlineStr">
        <is>
          <t>SANDVIKEN</t>
        </is>
      </c>
      <c r="I76" t="n">
        <v>2.7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Brandticka</t>
        </is>
      </c>
      <c r="W76">
        <f>HYPERLINK("https://klasma.github.io/Logging_2181/artfynd/A 15121-2026 artfynd.xlsx", "A 15121-2026")</f>
        <v/>
      </c>
      <c r="X76">
        <f>HYPERLINK("https://klasma.github.io/Logging_2181/kartor/A 15121-2026 karta.png", "A 15121-2026")</f>
        <v/>
      </c>
      <c r="Y76">
        <f>HYPERLINK("https://klasma.github.io/Logging_2181/kartor_geotiff/A 15121-2026 georefererad karta.tif", "A 15121-2026")</f>
        <v/>
      </c>
      <c r="AA76">
        <f>HYPERLINK("https://klasma.github.io/Logging_2181/klagomål/A 15121-2026 FSC-klagomål.docx", "A 15121-2026")</f>
        <v/>
      </c>
      <c r="AB76">
        <f>HYPERLINK("https://klasma.github.io/Logging_2181/klagomålsmail/A 15121-2026 FSC-klagomål mail.docx", "A 15121-2026")</f>
        <v/>
      </c>
      <c r="AC76">
        <f>HYPERLINK("https://klasma.github.io/Logging_2181/tillsyn/A 15121-2026 tillsynsbegäran.docx", "A 15121-2026")</f>
        <v/>
      </c>
      <c r="AD76">
        <f>HYPERLINK("https://klasma.github.io/Logging_2181/tillsynsmail/A 15121-2026 tillsynsbegäran mail.docx", "A 15121-2026")</f>
        <v/>
      </c>
    </row>
    <row r="77" ht="15" customHeight="1">
      <c r="A77" t="inlineStr">
        <is>
          <t>A 14835-2026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46227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14835-2026 artfynd.xlsx", "A 14835-2026")</f>
        <v/>
      </c>
      <c r="X77">
        <f>HYPERLINK("https://klasma.github.io/Logging_2181/kartor/A 14835-2026 karta.png", "A 14835-2026")</f>
        <v/>
      </c>
      <c r="Y77">
        <f>HYPERLINK("https://klasma.github.io/Logging_2181/kartor_geotiff/A 14835-2026 georefererad karta.tif", "A 14835-2026")</f>
        <v/>
      </c>
      <c r="AA77">
        <f>HYPERLINK("https://klasma.github.io/Logging_2181/klagomål/A 14835-2026 FSC-klagomål.docx", "A 14835-2026")</f>
        <v/>
      </c>
      <c r="AB77">
        <f>HYPERLINK("https://klasma.github.io/Logging_2181/klagomålsmail/A 14835-2026 FSC-klagomål mail.docx", "A 14835-2026")</f>
        <v/>
      </c>
      <c r="AC77">
        <f>HYPERLINK("https://klasma.github.io/Logging_2181/tillsyn/A 14835-2026 tillsynsbegäran.docx", "A 14835-2026")</f>
        <v/>
      </c>
      <c r="AD77">
        <f>HYPERLINK("https://klasma.github.io/Logging_2181/tillsynsmail/A 14835-2026 tillsynsbegäran mail.docx", "A 14835-2026")</f>
        <v/>
      </c>
    </row>
    <row r="78" ht="15" customHeight="1">
      <c r="A78" t="inlineStr">
        <is>
          <t>A 58845-2023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46227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0</v>
      </c>
      <c r="V78" s="2" t="inlineStr">
        <is>
          <t>Vanlig padda</t>
        </is>
      </c>
      <c r="W78">
        <f>HYPERLINK("https://klasma.github.io/Logging_2181/artfynd/A 58845-2023 artfynd.xlsx", "A 58845-2023")</f>
        <v/>
      </c>
      <c r="X78">
        <f>HYPERLINK("https://klasma.github.io/Logging_2181/kartor/A 58845-2023 karta.png", "A 58845-2023")</f>
        <v/>
      </c>
      <c r="Y78">
        <f>HYPERLINK("https://klasma.github.io/Logging_2181/kartor_geotiff/A 58845-2023 georefererad karta.tif", "A 58845-2023")</f>
        <v/>
      </c>
      <c r="AA78">
        <f>HYPERLINK("https://klasma.github.io/Logging_2181/klagomål/A 58845-2023 FSC-klagomål.docx", "A 58845-2023")</f>
        <v/>
      </c>
      <c r="AB78">
        <f>HYPERLINK("https://klasma.github.io/Logging_2181/klagomålsmail/A 58845-2023 FSC-klagomål mail.docx", "A 58845-2023")</f>
        <v/>
      </c>
      <c r="AC78">
        <f>HYPERLINK("https://klasma.github.io/Logging_2181/tillsyn/A 58845-2023 tillsynsbegäran.docx", "A 58845-2023")</f>
        <v/>
      </c>
      <c r="AD78">
        <f>HYPERLINK("https://klasma.github.io/Logging_2181/tillsynsmail/A 58845-2023 tillsynsbegäran mail.docx", "A 58845-2023")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46227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46227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46227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42115-2023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46227</v>
      </c>
      <c r="F82" t="inlineStr">
        <is>
          <t>GÄVLEBORGS LÄN</t>
        </is>
      </c>
      <c r="G82" t="inlineStr">
        <is>
          <t>SANDVIKEN</t>
        </is>
      </c>
      <c r="H82" t="inlineStr">
        <is>
          <t>Sveaskog</t>
        </is>
      </c>
      <c r="I82" t="n">
        <v>2.4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HYPERLINK("https://klasma.github.io/Logging_2181/artfynd/A 42115-2023 artfynd.xlsx", "A 42115-2023")</f>
        <v/>
      </c>
      <c r="X82">
        <f>HYPERLINK("https://klasma.github.io/Logging_2181/kartor/A 42115-2023 karta.png", "A 42115-2023")</f>
        <v/>
      </c>
      <c r="Y82">
        <f>HYPERLINK("https://klasma.github.io/Logging_2181/kartor_geotiff/A 42115-2023 georefererad karta.tif", "A 42115-2023")</f>
        <v/>
      </c>
      <c r="AA82">
        <f>HYPERLINK("https://klasma.github.io/Logging_2181/klagomål/A 42115-2023 FSC-klagomål.docx", "A 42115-2023")</f>
        <v/>
      </c>
      <c r="AB82">
        <f>HYPERLINK("https://klasma.github.io/Logging_2181/klagomålsmail/A 42115-2023 FSC-klagomål mail.docx", "A 42115-2023")</f>
        <v/>
      </c>
      <c r="AC82">
        <f>HYPERLINK("https://klasma.github.io/Logging_2181/tillsyn/A 42115-2023 tillsynsbegäran.docx", "A 42115-2023")</f>
        <v/>
      </c>
      <c r="AD82">
        <f>HYPERLINK("https://klasma.github.io/Logging_2181/tillsynsmail/A 42115-2023 tillsynsbegäran mail.docx", "A 42115-2023")</f>
        <v/>
      </c>
      <c r="AE82">
        <f>HYPERLINK("https://klasma.github.io/Logging_2181/fåglar/A 42115-2023 prioriterade fågelarter.docx", "A 42115-2023")</f>
        <v/>
      </c>
    </row>
    <row r="83" ht="15" customHeight="1">
      <c r="A83" t="inlineStr">
        <is>
          <t>A 45427-2023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46227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HYPERLINK("https://klasma.github.io/Logging_2181/artfynd/A 45427-2023 artfynd.xlsx", "A 45427-2023")</f>
        <v/>
      </c>
      <c r="X83">
        <f>HYPERLINK("https://klasma.github.io/Logging_2181/kartor/A 45427-2023 karta.png", "A 45427-2023")</f>
        <v/>
      </c>
      <c r="Y83">
        <f>HYPERLINK("https://klasma.github.io/Logging_2181/kartor_geotiff/A 45427-2023 georefererad karta.tif", "A 45427-2023")</f>
        <v/>
      </c>
      <c r="AA83">
        <f>HYPERLINK("https://klasma.github.io/Logging_2181/klagomål/A 45427-2023 FSC-klagomål.docx", "A 45427-2023")</f>
        <v/>
      </c>
      <c r="AB83">
        <f>HYPERLINK("https://klasma.github.io/Logging_2181/klagomålsmail/A 45427-2023 FSC-klagomål mail.docx", "A 45427-2023")</f>
        <v/>
      </c>
      <c r="AC83">
        <f>HYPERLINK("https://klasma.github.io/Logging_2181/tillsyn/A 45427-2023 tillsynsbegäran.docx", "A 45427-2023")</f>
        <v/>
      </c>
      <c r="AD83">
        <f>HYPERLINK("https://klasma.github.io/Logging_2181/tillsynsmail/A 45427-2023 tillsynsbegäran mail.docx", "A 45427-2023")</f>
        <v/>
      </c>
    </row>
    <row r="84" ht="15" customHeight="1">
      <c r="A84" t="inlineStr">
        <is>
          <t>A 4324-2026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46227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11.2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Järpe</t>
        </is>
      </c>
      <c r="W84">
        <f>HYPERLINK("https://klasma.github.io/Logging_2181/artfynd/A 4324-2026 artfynd.xlsx", "A 4324-2026")</f>
        <v/>
      </c>
      <c r="X84">
        <f>HYPERLINK("https://klasma.github.io/Logging_2181/kartor/A 4324-2026 karta.png", "A 4324-2026")</f>
        <v/>
      </c>
      <c r="Y84">
        <f>HYPERLINK("https://klasma.github.io/Logging_2181/kartor_geotiff/A 4324-2026 georefererad karta.tif", "A 4324-2026")</f>
        <v/>
      </c>
      <c r="AA84">
        <f>HYPERLINK("https://klasma.github.io/Logging_2181/klagomål/A 4324-2026 FSC-klagomål.docx", "A 4324-2026")</f>
        <v/>
      </c>
      <c r="AB84">
        <f>HYPERLINK("https://klasma.github.io/Logging_2181/klagomålsmail/A 4324-2026 FSC-klagomål mail.docx", "A 4324-2026")</f>
        <v/>
      </c>
      <c r="AC84">
        <f>HYPERLINK("https://klasma.github.io/Logging_2181/tillsyn/A 4324-2026 tillsynsbegäran.docx", "A 4324-2026")</f>
        <v/>
      </c>
      <c r="AD84">
        <f>HYPERLINK("https://klasma.github.io/Logging_2181/tillsynsmail/A 4324-2026 tillsynsbegäran mail.docx", "A 4324-2026")</f>
        <v/>
      </c>
      <c r="AE84">
        <f>HYPERLINK("https://klasma.github.io/Logging_2181/fåglar/A 4324-2026 prioriterade fågelarter.docx", "A 4324-2026")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46227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6972-2026 artfynd.xlsx", "A 6972-2026")</f>
        <v/>
      </c>
      <c r="X85">
        <f>HYPERLINK("https://klasma.github.io/Logging_2181/kartor/A 6972-2026 karta.png", "A 6972-2026")</f>
        <v/>
      </c>
      <c r="Y85">
        <f>HYPERLINK("https://klasma.github.io/Logging_2181/kartor_geotiff/A 6972-2026 georefererad karta.tif", "A 6972-2026")</f>
        <v/>
      </c>
      <c r="AA85">
        <f>HYPERLINK("https://klasma.github.io/Logging_2181/klagomål/A 6972-2026 FSC-klagomål.docx", "A 6972-2026")</f>
        <v/>
      </c>
      <c r="AB85">
        <f>HYPERLINK("https://klasma.github.io/Logging_2181/klagomålsmail/A 6972-2026 FSC-klagomål mail.docx", "A 6972-2026")</f>
        <v/>
      </c>
      <c r="AC85">
        <f>HYPERLINK("https://klasma.github.io/Logging_2181/tillsyn/A 6972-2026 tillsynsbegäran.docx", "A 6972-2026")</f>
        <v/>
      </c>
      <c r="AD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46227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HYPERLINK("https://klasma.github.io/Logging_2181/artfynd/A 41349-2025 artfynd.xlsx", "A 41349-2025")</f>
        <v/>
      </c>
      <c r="X86">
        <f>HYPERLINK("https://klasma.github.io/Logging_2181/kartor/A 41349-2025 karta.png", "A 41349-2025")</f>
        <v/>
      </c>
      <c r="Y86">
        <f>HYPERLINK("https://klasma.github.io/Logging_2181/kartor_geotiff/A 41349-2025 georefererad karta.tif", "A 41349-2025")</f>
        <v/>
      </c>
      <c r="AA86">
        <f>HYPERLINK("https://klasma.github.io/Logging_2181/klagomål/A 41349-2025 FSC-klagomål.docx", "A 41349-2025")</f>
        <v/>
      </c>
      <c r="AB86">
        <f>HYPERLINK("https://klasma.github.io/Logging_2181/klagomålsmail/A 41349-2025 FSC-klagomål mail.docx", "A 41349-2025")</f>
        <v/>
      </c>
      <c r="AC86">
        <f>HYPERLINK("https://klasma.github.io/Logging_2181/tillsyn/A 41349-2025 tillsynsbegäran.docx", "A 41349-2025")</f>
        <v/>
      </c>
      <c r="AD86">
        <f>HYPERLINK("https://klasma.github.io/Logging_2181/tillsynsmail/A 41349-2025 tillsynsbegäran mail.docx", "A 41349-2025")</f>
        <v/>
      </c>
    </row>
    <row r="87" ht="15" customHeight="1">
      <c r="A87" t="inlineStr">
        <is>
          <t>A 15729-2022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46227</v>
      </c>
      <c r="F87" t="inlineStr">
        <is>
          <t>GÄVLEBORGS LÄN</t>
        </is>
      </c>
      <c r="G87" t="inlineStr">
        <is>
          <t>SANDVIKEN</t>
        </is>
      </c>
      <c r="I87" t="n">
        <v>2.1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HYPERLINK("https://klasma.github.io/Logging_2181/artfynd/A 15729-2022 artfynd.xlsx", "A 15729-2022")</f>
        <v/>
      </c>
      <c r="X87">
        <f>HYPERLINK("https://klasma.github.io/Logging_2181/kartor/A 15729-2022 karta.png", "A 15729-2022")</f>
        <v/>
      </c>
      <c r="Y87">
        <f>HYPERLINK("https://klasma.github.io/Logging_2181/kartor_geotiff/A 15729-2022 georefererad karta.tif", "A 15729-2022")</f>
        <v/>
      </c>
      <c r="Z87">
        <f>HYPERLINK("https://klasma.github.io/Logging_2181/knärot/A 15729-2022 karta knärot.png", "A 15729-2022")</f>
        <v/>
      </c>
      <c r="AA87">
        <f>HYPERLINK("https://klasma.github.io/Logging_2181/klagomål/A 15729-2022 FSC-klagomål.docx", "A 15729-2022")</f>
        <v/>
      </c>
      <c r="AB87">
        <f>HYPERLINK("https://klasma.github.io/Logging_2181/klagomålsmail/A 15729-2022 FSC-klagomål mail.docx", "A 15729-2022")</f>
        <v/>
      </c>
      <c r="AC87">
        <f>HYPERLINK("https://klasma.github.io/Logging_2181/tillsyn/A 15729-2022 tillsynsbegäran.docx", "A 15729-2022")</f>
        <v/>
      </c>
      <c r="AD87">
        <f>HYPERLINK("https://klasma.github.io/Logging_2181/tillsynsmail/A 15729-2022 tillsynsbegäran mail.docx", "A 15729-2022")</f>
        <v/>
      </c>
    </row>
    <row r="88" ht="15" customHeight="1">
      <c r="A88" t="inlineStr">
        <is>
          <t>A 27207-2026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46188</v>
      </c>
      <c r="E88" s="1" t="n">
        <v>46227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Kungsfågel</t>
        </is>
      </c>
      <c r="W88">
        <f>HYPERLINK("https://klasma.github.io/Logging_2181/artfynd/A 27207-2026 artfynd.xlsx", "A 27207-2026")</f>
        <v/>
      </c>
      <c r="X88">
        <f>HYPERLINK("https://klasma.github.io/Logging_2181/kartor/A 27207-2026 karta.png", "A 27207-2026")</f>
        <v/>
      </c>
      <c r="Y88">
        <f>HYPERLINK("https://klasma.github.io/Logging_2181/kartor_geotiff/A 27207-2026 georefererad karta.tif", "A 27207-2026")</f>
        <v/>
      </c>
      <c r="AA88">
        <f>HYPERLINK("https://klasma.github.io/Logging_2181/klagomål/A 27207-2026 FSC-klagomål.docx", "A 27207-2026")</f>
        <v/>
      </c>
      <c r="AB88">
        <f>HYPERLINK("https://klasma.github.io/Logging_2181/klagomålsmail/A 27207-2026 FSC-klagomål mail.docx", "A 27207-2026")</f>
        <v/>
      </c>
      <c r="AC88">
        <f>HYPERLINK("https://klasma.github.io/Logging_2181/tillsyn/A 27207-2026 tillsynsbegäran.docx", "A 27207-2026")</f>
        <v/>
      </c>
      <c r="AD88">
        <f>HYPERLINK("https://klasma.github.io/Logging_2181/tillsynsmail/A 27207-2026 tillsynsbegäran mail.docx", "A 27207-2026")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46227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29111-2026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46201</v>
      </c>
      <c r="E90" s="1" t="n">
        <v>46227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Tallticka</t>
        </is>
      </c>
      <c r="W90">
        <f>HYPERLINK("https://klasma.github.io/Logging_2181/artfynd/A 29111-2026 artfynd.xlsx", "A 29111-2026")</f>
        <v/>
      </c>
      <c r="X90">
        <f>HYPERLINK("https://klasma.github.io/Logging_2181/kartor/A 29111-2026 karta.png", "A 29111-2026")</f>
        <v/>
      </c>
      <c r="Y90">
        <f>HYPERLINK("https://klasma.github.io/Logging_2181/kartor_geotiff/A 29111-2026 georefererad karta.tif", "A 29111-2026")</f>
        <v/>
      </c>
      <c r="AA90">
        <f>HYPERLINK("https://klasma.github.io/Logging_2181/klagomål/A 29111-2026 FSC-klagomål.docx", "A 29111-2026")</f>
        <v/>
      </c>
      <c r="AB90">
        <f>HYPERLINK("https://klasma.github.io/Logging_2181/klagomålsmail/A 29111-2026 FSC-klagomål mail.docx", "A 29111-2026")</f>
        <v/>
      </c>
      <c r="AC90">
        <f>HYPERLINK("https://klasma.github.io/Logging_2181/tillsyn/A 29111-2026 tillsynsbegäran.docx", "A 29111-2026")</f>
        <v/>
      </c>
      <c r="AD90">
        <f>HYPERLINK("https://klasma.github.io/Logging_2181/tillsynsmail/A 29111-2026 tillsynsbegäran mail.docx", "A 29111-2026")</f>
        <v/>
      </c>
    </row>
    <row r="91" ht="15" customHeight="1">
      <c r="A91" t="inlineStr">
        <is>
          <t>A 23225-2026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46227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Rödvingetrast</t>
        </is>
      </c>
      <c r="W91">
        <f>HYPERLINK("https://klasma.github.io/Logging_2181/artfynd/A 23225-2026 artfynd.xlsx", "A 23225-2026")</f>
        <v/>
      </c>
      <c r="X91">
        <f>HYPERLINK("https://klasma.github.io/Logging_2181/kartor/A 23225-2026 karta.png", "A 23225-2026")</f>
        <v/>
      </c>
      <c r="Y91">
        <f>HYPERLINK("https://klasma.github.io/Logging_2181/kartor_geotiff/A 23225-2026 georefererad karta.tif", "A 23225-2026")</f>
        <v/>
      </c>
      <c r="AA91">
        <f>HYPERLINK("https://klasma.github.io/Logging_2181/klagomål/A 23225-2026 FSC-klagomål.docx", "A 23225-2026")</f>
        <v/>
      </c>
      <c r="AB91">
        <f>HYPERLINK("https://klasma.github.io/Logging_2181/klagomålsmail/A 23225-2026 FSC-klagomål mail.docx", "A 23225-2026")</f>
        <v/>
      </c>
      <c r="AC91">
        <f>HYPERLINK("https://klasma.github.io/Logging_2181/tillsyn/A 23225-2026 tillsynsbegäran.docx", "A 23225-2026")</f>
        <v/>
      </c>
      <c r="AD91">
        <f>HYPERLINK("https://klasma.github.io/Logging_2181/tillsynsmail/A 23225-2026 tillsynsbegäran mail.docx", "A 23225-2026")</f>
        <v/>
      </c>
      <c r="AE91">
        <f>HYPERLINK("https://klasma.github.io/Logging_2181/fåglar/A 23225-2026 prioriterade fågelarter.docx", "A 23225-2026")</f>
        <v/>
      </c>
    </row>
    <row r="92" ht="15" customHeight="1">
      <c r="A92" t="inlineStr">
        <is>
          <t>A 24171-2026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46227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Svedjenäva</t>
        </is>
      </c>
      <c r="W92">
        <f>HYPERLINK("https://klasma.github.io/Logging_2181/artfynd/A 24171-2026 artfynd.xlsx", "A 24171-2026")</f>
        <v/>
      </c>
      <c r="X92">
        <f>HYPERLINK("https://klasma.github.io/Logging_2181/kartor/A 24171-2026 karta.png", "A 24171-2026")</f>
        <v/>
      </c>
      <c r="Y92">
        <f>HYPERLINK("https://klasma.github.io/Logging_2181/kartor_geotiff/A 24171-2026 georefererad karta.tif", "A 24171-2026")</f>
        <v/>
      </c>
      <c r="AA92">
        <f>HYPERLINK("https://klasma.github.io/Logging_2181/klagomål/A 24171-2026 FSC-klagomål.docx", "A 24171-2026")</f>
        <v/>
      </c>
      <c r="AB92">
        <f>HYPERLINK("https://klasma.github.io/Logging_2181/klagomålsmail/A 24171-2026 FSC-klagomål mail.docx", "A 24171-2026")</f>
        <v/>
      </c>
      <c r="AC92">
        <f>HYPERLINK("https://klasma.github.io/Logging_2181/tillsyn/A 24171-2026 tillsynsbegäran.docx", "A 24171-2026")</f>
        <v/>
      </c>
      <c r="AD92">
        <f>HYPERLINK("https://klasma.github.io/Logging_2181/tillsynsmail/A 24171-2026 tillsynsbegäran mail.docx", "A 24171-2026")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46227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HYPERLINK("https://klasma.github.io/Logging_2181/artfynd/A 24357-2026 artfynd.xlsx", "A 24357-2026")</f>
        <v/>
      </c>
      <c r="X93">
        <f>HYPERLINK("https://klasma.github.io/Logging_2181/kartor/A 24357-2026 karta.png", "A 24357-2026")</f>
        <v/>
      </c>
      <c r="Y93">
        <f>HYPERLINK("https://klasma.github.io/Logging_2181/kartor_geotiff/A 24357-2026 georefererad karta.tif", "A 24357-2026")</f>
        <v/>
      </c>
      <c r="AA93">
        <f>HYPERLINK("https://klasma.github.io/Logging_2181/klagomål/A 24357-2026 FSC-klagomål.docx", "A 24357-2026")</f>
        <v/>
      </c>
      <c r="AB93">
        <f>HYPERLINK("https://klasma.github.io/Logging_2181/klagomålsmail/A 24357-2026 FSC-klagomål mail.docx", "A 24357-2026")</f>
        <v/>
      </c>
      <c r="AC93">
        <f>HYPERLINK("https://klasma.github.io/Logging_2181/tillsyn/A 24357-2026 tillsynsbegäran.docx", "A 24357-2026")</f>
        <v/>
      </c>
      <c r="AD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46227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46227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5015-2023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46227</v>
      </c>
      <c r="F96" t="inlineStr">
        <is>
          <t>GÄVLEBORGS LÄN</t>
        </is>
      </c>
      <c r="G96" t="inlineStr">
        <is>
          <t>SANDVIKEN</t>
        </is>
      </c>
      <c r="I96" t="n">
        <v>7.8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Slåtterfibbla</t>
        </is>
      </c>
      <c r="W96">
        <f>HYPERLINK("https://klasma.github.io/Logging_2181/artfynd/A 5015-2023 artfynd.xlsx", "A 5015-2023")</f>
        <v/>
      </c>
      <c r="X96">
        <f>HYPERLINK("https://klasma.github.io/Logging_2181/kartor/A 5015-2023 karta.png", "A 5015-2023")</f>
        <v/>
      </c>
      <c r="Y96">
        <f>HYPERLINK("https://klasma.github.io/Logging_2181/kartor_geotiff/A 5015-2023 georefererad karta.tif", "A 5015-2023")</f>
        <v/>
      </c>
      <c r="AA96">
        <f>HYPERLINK("https://klasma.github.io/Logging_2181/klagomål/A 5015-2023 FSC-klagomål.docx", "A 5015-2023")</f>
        <v/>
      </c>
      <c r="AB96">
        <f>HYPERLINK("https://klasma.github.io/Logging_2181/klagomålsmail/A 5015-2023 FSC-klagomål mail.docx", "A 5015-2023")</f>
        <v/>
      </c>
      <c r="AC96">
        <f>HYPERLINK("https://klasma.github.io/Logging_2181/tillsyn/A 5015-2023 tillsynsbegäran.docx", "A 5015-2023")</f>
        <v/>
      </c>
      <c r="AD96">
        <f>HYPERLINK("https://klasma.github.io/Logging_2181/tillsynsmail/A 5015-2023 tillsynsbegäran mail.docx", "A 5015-2023")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46227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25479-2023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46227</v>
      </c>
      <c r="F98" t="inlineStr">
        <is>
          <t>GÄVLEBORGS LÄN</t>
        </is>
      </c>
      <c r="G98" t="inlineStr">
        <is>
          <t>SANDVIKEN</t>
        </is>
      </c>
      <c r="I98" t="n">
        <v>4.1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Grönpyrola</t>
        </is>
      </c>
      <c r="W98">
        <f>HYPERLINK("https://klasma.github.io/Logging_2181/artfynd/A 25479-2023 artfynd.xlsx", "A 25479-2023")</f>
        <v/>
      </c>
      <c r="X98">
        <f>HYPERLINK("https://klasma.github.io/Logging_2181/kartor/A 25479-2023 karta.png", "A 25479-2023")</f>
        <v/>
      </c>
      <c r="Y98">
        <f>HYPERLINK("https://klasma.github.io/Logging_2181/kartor_geotiff/A 25479-2023 georefererad karta.tif", "A 25479-2023")</f>
        <v/>
      </c>
      <c r="AA98">
        <f>HYPERLINK("https://klasma.github.io/Logging_2181/klagomål/A 25479-2023 FSC-klagomål.docx", "A 25479-2023")</f>
        <v/>
      </c>
      <c r="AB98">
        <f>HYPERLINK("https://klasma.github.io/Logging_2181/klagomålsmail/A 25479-2023 FSC-klagomål mail.docx", "A 25479-2023")</f>
        <v/>
      </c>
      <c r="AC98">
        <f>HYPERLINK("https://klasma.github.io/Logging_2181/tillsyn/A 25479-2023 tillsynsbegäran.docx", "A 25479-2023")</f>
        <v/>
      </c>
      <c r="AD98">
        <f>HYPERLINK("https://klasma.github.io/Logging_2181/tillsynsmail/A 25479-2023 tillsynsbegäran mail.docx", "A 25479-2023")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46227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46227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46227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46227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46227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46227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46227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46227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46227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46227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46227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46227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46227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46227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46227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46227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46227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46227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46227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46227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46227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46227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46227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46227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46227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46227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46227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46227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46227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46227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46227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46227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46227</v>
      </c>
      <c r="F135" t="inlineStr">
        <is>
          <t>GÄVLEBORGS LÄN</t>
        </is>
      </c>
      <c r="G135" t="inlineStr">
        <is>
          <t>SANDVIKEN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46227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46227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46227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46227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45476</v>
      </c>
      <c r="E140" s="1" t="n">
        <v>46227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46227</v>
      </c>
      <c r="F141" t="inlineStr">
        <is>
          <t>GÄVLEBORGS LÄN</t>
        </is>
      </c>
      <c r="G141" t="inlineStr">
        <is>
          <t>SANDVIKEN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45365</v>
      </c>
      <c r="E142" s="1" t="n">
        <v>46227</v>
      </c>
      <c r="F142" t="inlineStr">
        <is>
          <t>GÄVLEBORGS LÄN</t>
        </is>
      </c>
      <c r="G142" t="inlineStr">
        <is>
          <t>SANDVIKEN</t>
        </is>
      </c>
      <c r="H142" t="inlineStr">
        <is>
          <t>Kommuner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46227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45544</v>
      </c>
      <c r="E144" s="1" t="n">
        <v>46227</v>
      </c>
      <c r="F144" t="inlineStr">
        <is>
          <t>GÄVLEBORGS LÄN</t>
        </is>
      </c>
      <c r="G144" t="inlineStr">
        <is>
          <t>SANDVIKEN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45649</v>
      </c>
      <c r="E145" s="1" t="n">
        <v>46227</v>
      </c>
      <c r="F145" t="inlineStr">
        <is>
          <t>GÄVLEBORGS LÄN</t>
        </is>
      </c>
      <c r="G145" t="inlineStr">
        <is>
          <t>SANDVIKEN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46227</v>
      </c>
      <c r="F146" t="inlineStr">
        <is>
          <t>GÄVLEBORGS LÄN</t>
        </is>
      </c>
      <c r="G146" t="inlineStr">
        <is>
          <t>SANDVIKEN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46227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46227</v>
      </c>
      <c r="F148" t="inlineStr">
        <is>
          <t>GÄVLEBORGS LÄN</t>
        </is>
      </c>
      <c r="G148" t="inlineStr">
        <is>
          <t>SANDVIKEN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46227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46227</v>
      </c>
      <c r="F150" t="inlineStr">
        <is>
          <t>GÄVLEBORGS LÄN</t>
        </is>
      </c>
      <c r="G150" t="inlineStr">
        <is>
          <t>SANDVIKEN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46227</v>
      </c>
      <c r="F151" t="inlineStr">
        <is>
          <t>GÄVLEBORGS LÄN</t>
        </is>
      </c>
      <c r="G151" t="inlineStr">
        <is>
          <t>SANDVIKEN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46227</v>
      </c>
      <c r="F152" t="inlineStr">
        <is>
          <t>GÄVLEBORGS LÄN</t>
        </is>
      </c>
      <c r="G152" t="inlineStr">
        <is>
          <t>SANDVIKEN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46227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45288</v>
      </c>
      <c r="E154" s="1" t="n">
        <v>46227</v>
      </c>
      <c r="F154" t="inlineStr">
        <is>
          <t>GÄVLEBORGS LÄN</t>
        </is>
      </c>
      <c r="G154" t="inlineStr">
        <is>
          <t>SANDVIKEN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45779</v>
      </c>
      <c r="E155" s="1" t="n">
        <v>46227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45460</v>
      </c>
      <c r="E156" s="1" t="n">
        <v>46227</v>
      </c>
      <c r="F156" t="inlineStr">
        <is>
          <t>GÄVLEBORGS LÄN</t>
        </is>
      </c>
      <c r="G156" t="inlineStr">
        <is>
          <t>SANDVIKEN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46227</v>
      </c>
      <c r="F157" t="inlineStr">
        <is>
          <t>GÄVLEBORGS LÄN</t>
        </is>
      </c>
      <c r="G157" t="inlineStr">
        <is>
          <t>SANDVIKEN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45552</v>
      </c>
      <c r="E158" s="1" t="n">
        <v>46227</v>
      </c>
      <c r="F158" t="inlineStr">
        <is>
          <t>GÄVLEBORGS LÄN</t>
        </is>
      </c>
      <c r="G158" t="inlineStr">
        <is>
          <t>SANDVIKEN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46227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45330</v>
      </c>
      <c r="E160" s="1" t="n">
        <v>46227</v>
      </c>
      <c r="F160" t="inlineStr">
        <is>
          <t>GÄVLEBORGS LÄN</t>
        </is>
      </c>
      <c r="G160" t="inlineStr">
        <is>
          <t>SANDVIKEN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46227</v>
      </c>
      <c r="F161" t="inlineStr">
        <is>
          <t>GÄVLEBORGS LÄN</t>
        </is>
      </c>
      <c r="G161" t="inlineStr">
        <is>
          <t>SANDVIKEN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46227</v>
      </c>
      <c r="F162" t="inlineStr">
        <is>
          <t>GÄVLEBORGS LÄN</t>
        </is>
      </c>
      <c r="G162" t="inlineStr">
        <is>
          <t>SANDVIKEN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45327</v>
      </c>
      <c r="E163" s="1" t="n">
        <v>46227</v>
      </c>
      <c r="F163" t="inlineStr">
        <is>
          <t>GÄVLEBORGS LÄN</t>
        </is>
      </c>
      <c r="G163" t="inlineStr">
        <is>
          <t>SANDVIKEN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46227</v>
      </c>
      <c r="F164" t="inlineStr">
        <is>
          <t>GÄVLEBORGS LÄN</t>
        </is>
      </c>
      <c r="G164" t="inlineStr">
        <is>
          <t>SANDVIKEN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46227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46227</v>
      </c>
      <c r="F166" t="inlineStr">
        <is>
          <t>GÄVLEBORGS LÄN</t>
        </is>
      </c>
      <c r="G166" t="inlineStr">
        <is>
          <t>SANDVIKEN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46227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45205</v>
      </c>
      <c r="E168" s="1" t="n">
        <v>46227</v>
      </c>
      <c r="F168" t="inlineStr">
        <is>
          <t>GÄVLEBORGS LÄN</t>
        </is>
      </c>
      <c r="G168" t="inlineStr">
        <is>
          <t>SANDVIKEN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46227</v>
      </c>
      <c r="F169" t="inlineStr">
        <is>
          <t>GÄVLEBORGS LÄN</t>
        </is>
      </c>
      <c r="G169" t="inlineStr">
        <is>
          <t>SANDVIKEN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42950-2023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45178</v>
      </c>
      <c r="E170" s="1" t="n">
        <v>46227</v>
      </c>
      <c r="F170" t="inlineStr">
        <is>
          <t>GÄVLEBORGS LÄN</t>
        </is>
      </c>
      <c r="G170" t="inlineStr">
        <is>
          <t>SANDVIKEN</t>
        </is>
      </c>
      <c r="H170" t="inlineStr">
        <is>
          <t>Bergvik skog väst AB</t>
        </is>
      </c>
      <c r="I170" t="n">
        <v>16.5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69521-2021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44531</v>
      </c>
      <c r="E171" s="1" t="n">
        <v>46227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45467</v>
      </c>
      <c r="E172" s="1" t="n">
        <v>46227</v>
      </c>
      <c r="F172" t="inlineStr">
        <is>
          <t>GÄVLEBORGS LÄN</t>
        </is>
      </c>
      <c r="G172" t="inlineStr">
        <is>
          <t>SANDVIKEN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45265</v>
      </c>
      <c r="E173" s="1" t="n">
        <v>46227</v>
      </c>
      <c r="F173" t="inlineStr">
        <is>
          <t>GÄVLEBORGS LÄN</t>
        </is>
      </c>
      <c r="G173" t="inlineStr">
        <is>
          <t>SANDVIKEN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46227</v>
      </c>
      <c r="F174" t="inlineStr">
        <is>
          <t>GÄVLEBORGS LÄN</t>
        </is>
      </c>
      <c r="G174" t="inlineStr">
        <is>
          <t>SANDVIKEN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46227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46227</v>
      </c>
      <c r="F176" t="inlineStr">
        <is>
          <t>GÄVLEBORGS LÄN</t>
        </is>
      </c>
      <c r="G176" t="inlineStr">
        <is>
          <t>SANDVIKEN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46227</v>
      </c>
      <c r="F177" t="inlineStr">
        <is>
          <t>GÄVLEBORGS LÄN</t>
        </is>
      </c>
      <c r="G177" t="inlineStr">
        <is>
          <t>SANDVIKEN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46227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  <c r="Z178">
        <f>HYPERLINK("https://klasma.github.io/Logging_2181/knärot/A 52786-2025 karta knärot.png", "A 52786-2025")</f>
        <v/>
      </c>
      <c r="AA178">
        <f>HYPERLINK("https://klasma.github.io/Logging_2181/klagomål/A 52786-2025 FSC-klagomål.docx", "A 52786-2025")</f>
        <v/>
      </c>
      <c r="AB178">
        <f>HYPERLINK("https://klasma.github.io/Logging_2181/klagomålsmail/A 52786-2025 FSC-klagomål mail.docx", "A 52786-2025")</f>
        <v/>
      </c>
      <c r="AC178">
        <f>HYPERLINK("https://klasma.github.io/Logging_2181/tillsyn/A 52786-2025 tillsynsbegäran.docx", "A 52786-2025")</f>
        <v/>
      </c>
      <c r="AD178">
        <f>HYPERLINK("https://klasma.github.io/Logging_2181/tillsynsmail/A 52786-2025 tillsynsbegäran mail.docx", "A 52786-2025")</f>
        <v/>
      </c>
    </row>
    <row r="179" ht="15" customHeight="1">
      <c r="A179" t="inlineStr">
        <is>
          <t>A 60908-2022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44914</v>
      </c>
      <c r="E179" s="1" t="n">
        <v>46227</v>
      </c>
      <c r="F179" t="inlineStr">
        <is>
          <t>GÄVLEBORGS LÄN</t>
        </is>
      </c>
      <c r="G179" t="inlineStr">
        <is>
          <t>SANDVIKEN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45525</v>
      </c>
      <c r="E180" s="1" t="n">
        <v>46227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44854</v>
      </c>
      <c r="E181" s="1" t="n">
        <v>46227</v>
      </c>
      <c r="F181" t="inlineStr">
        <is>
          <t>GÄVLEBORGS LÄN</t>
        </is>
      </c>
      <c r="G181" t="inlineStr">
        <is>
          <t>SANDVIKEN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46227</v>
      </c>
      <c r="F182" t="inlineStr">
        <is>
          <t>GÄVLEBORGS LÄN</t>
        </is>
      </c>
      <c r="G182" t="inlineStr">
        <is>
          <t>SANDVIKEN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46227</v>
      </c>
      <c r="F183" t="inlineStr">
        <is>
          <t>GÄVLEBORGS LÄN</t>
        </is>
      </c>
      <c r="G183" t="inlineStr">
        <is>
          <t>SANDVIKEN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46227</v>
      </c>
      <c r="F184" t="inlineStr">
        <is>
          <t>GÄVLEBORGS LÄN</t>
        </is>
      </c>
      <c r="G184" t="inlineStr">
        <is>
          <t>SANDVIKEN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45300</v>
      </c>
      <c r="E185" s="1" t="n">
        <v>46227</v>
      </c>
      <c r="F185" t="inlineStr">
        <is>
          <t>GÄVLEBORGS LÄN</t>
        </is>
      </c>
      <c r="G185" t="inlineStr">
        <is>
          <t>SANDVIKEN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46227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15682-2024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45404</v>
      </c>
      <c r="E187" s="1" t="n">
        <v>46227</v>
      </c>
      <c r="F187" t="inlineStr">
        <is>
          <t>GÄVLEBORGS LÄN</t>
        </is>
      </c>
      <c r="G187" t="inlineStr">
        <is>
          <t>SANDVIKEN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46227</v>
      </c>
      <c r="F188" t="inlineStr">
        <is>
          <t>GÄVLEBORGS LÄN</t>
        </is>
      </c>
      <c r="G188" t="inlineStr">
        <is>
          <t>SANDVIKEN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64000-2023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46227</v>
      </c>
      <c r="F189" t="inlineStr">
        <is>
          <t>GÄVLEBORGS LÄN</t>
        </is>
      </c>
      <c r="G189" t="inlineStr">
        <is>
          <t>SANDVIKEN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46227</v>
      </c>
      <c r="F190" t="inlineStr">
        <is>
          <t>GÄVLEBORGS LÄN</t>
        </is>
      </c>
      <c r="G190" t="inlineStr">
        <is>
          <t>SANDVIKEN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45614</v>
      </c>
      <c r="E191" s="1" t="n">
        <v>46227</v>
      </c>
      <c r="F191" t="inlineStr">
        <is>
          <t>GÄVLEBORGS LÄN</t>
        </is>
      </c>
      <c r="G191" t="inlineStr">
        <is>
          <t>SANDVIKEN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45673</v>
      </c>
      <c r="E192" s="1" t="n">
        <v>46227</v>
      </c>
      <c r="F192" t="inlineStr">
        <is>
          <t>GÄVLEBORGS LÄN</t>
        </is>
      </c>
      <c r="G192" t="inlineStr">
        <is>
          <t>SANDVIKEN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46227</v>
      </c>
      <c r="F193" t="inlineStr">
        <is>
          <t>GÄVLEBORGS LÄN</t>
        </is>
      </c>
      <c r="G193" t="inlineStr">
        <is>
          <t>SANDVIKEN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46227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46227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46227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46227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46227</v>
      </c>
      <c r="F198" t="inlineStr">
        <is>
          <t>GÄVLEBORGS LÄN</t>
        </is>
      </c>
      <c r="G198" t="inlineStr">
        <is>
          <t>SANDVIKEN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46227</v>
      </c>
      <c r="F199" t="inlineStr">
        <is>
          <t>GÄVLEBORGS LÄN</t>
        </is>
      </c>
      <c r="G199" t="inlineStr">
        <is>
          <t>SANDVIKEN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46227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46227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46227</v>
      </c>
      <c r="F202" t="inlineStr">
        <is>
          <t>GÄVLEBORGS LÄN</t>
        </is>
      </c>
      <c r="G202" t="inlineStr">
        <is>
          <t>SANDVIKEN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46227</v>
      </c>
      <c r="F203" t="inlineStr">
        <is>
          <t>GÄVLEBORGS LÄN</t>
        </is>
      </c>
      <c r="G203" t="inlineStr">
        <is>
          <t>SANDVIKEN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46227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44564</v>
      </c>
      <c r="E205" s="1" t="n">
        <v>46227</v>
      </c>
      <c r="F205" t="inlineStr">
        <is>
          <t>GÄVLEBORGS LÄN</t>
        </is>
      </c>
      <c r="G205" t="inlineStr">
        <is>
          <t>SANDVIKEN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46227</v>
      </c>
      <c r="F206" t="inlineStr">
        <is>
          <t>GÄVLEBORGS LÄN</t>
        </is>
      </c>
      <c r="G206" t="inlineStr">
        <is>
          <t>SANDVIKEN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45126</v>
      </c>
      <c r="E207" s="1" t="n">
        <v>46227</v>
      </c>
      <c r="F207" t="inlineStr">
        <is>
          <t>GÄVLEBORGS LÄN</t>
        </is>
      </c>
      <c r="G207" t="inlineStr">
        <is>
          <t>SANDVIKEN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46227</v>
      </c>
      <c r="F208" t="inlineStr">
        <is>
          <t>GÄVLEBORGS LÄN</t>
        </is>
      </c>
      <c r="G208" t="inlineStr">
        <is>
          <t>SANDVIKEN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46227</v>
      </c>
      <c r="F209" t="inlineStr">
        <is>
          <t>GÄVLEBORGS LÄN</t>
        </is>
      </c>
      <c r="G209" t="inlineStr">
        <is>
          <t>SANDVIKEN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46227</v>
      </c>
      <c r="F210" t="inlineStr">
        <is>
          <t>GÄVLEBORGS LÄN</t>
        </is>
      </c>
      <c r="G210" t="inlineStr">
        <is>
          <t>SANDVIKEN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46227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44972</v>
      </c>
      <c r="E212" s="1" t="n">
        <v>46227</v>
      </c>
      <c r="F212" t="inlineStr">
        <is>
          <t>GÄVLEBORGS LÄN</t>
        </is>
      </c>
      <c r="G212" t="inlineStr">
        <is>
          <t>SANDVIKEN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46227</v>
      </c>
      <c r="F213" t="inlineStr">
        <is>
          <t>GÄVLEBORGS LÄN</t>
        </is>
      </c>
      <c r="G213" t="inlineStr">
        <is>
          <t>SANDVIKEN</t>
        </is>
      </c>
      <c r="H213" t="inlineStr">
        <is>
          <t>Sveaskog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46227</v>
      </c>
      <c r="F214" t="inlineStr">
        <is>
          <t>GÄVLEBORGS LÄN</t>
        </is>
      </c>
      <c r="G214" t="inlineStr">
        <is>
          <t>SANDVIKEN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45810</v>
      </c>
      <c r="E215" s="1" t="n">
        <v>46227</v>
      </c>
      <c r="F215" t="inlineStr">
        <is>
          <t>GÄVLEBORGS LÄN</t>
        </is>
      </c>
      <c r="G215" t="inlineStr">
        <is>
          <t>SANDVIKEN</t>
        </is>
      </c>
      <c r="H215" t="inlineStr">
        <is>
          <t>Sveaskog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46227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44875</v>
      </c>
      <c r="E217" s="1" t="n">
        <v>46227</v>
      </c>
      <c r="F217" t="inlineStr">
        <is>
          <t>GÄVLEBORGS LÄN</t>
        </is>
      </c>
      <c r="G217" t="inlineStr">
        <is>
          <t>SANDVIKEN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46227</v>
      </c>
      <c r="F218" t="inlineStr">
        <is>
          <t>GÄVLEBORGS LÄN</t>
        </is>
      </c>
      <c r="G218" t="inlineStr">
        <is>
          <t>SANDVIKEN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46227</v>
      </c>
      <c r="F219" t="inlineStr">
        <is>
          <t>GÄVLEBORGS LÄN</t>
        </is>
      </c>
      <c r="G219" t="inlineStr">
        <is>
          <t>SANDVIKEN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46227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46227</v>
      </c>
      <c r="F221" t="inlineStr">
        <is>
          <t>GÄVLEBORGS LÄN</t>
        </is>
      </c>
      <c r="G221" t="inlineStr">
        <is>
          <t>SANDVIKEN</t>
        </is>
      </c>
      <c r="H221" t="inlineStr">
        <is>
          <t>Kyrkan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45899</v>
      </c>
      <c r="E222" s="1" t="n">
        <v>46227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46227</v>
      </c>
      <c r="F223" t="inlineStr">
        <is>
          <t>GÄVLEBORGS LÄN</t>
        </is>
      </c>
      <c r="G223" t="inlineStr">
        <is>
          <t>SANDVIKEN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46227</v>
      </c>
      <c r="F224" t="inlineStr">
        <is>
          <t>GÄVLEBORGS LÄN</t>
        </is>
      </c>
      <c r="G224" t="inlineStr">
        <is>
          <t>SANDVIKEN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46227</v>
      </c>
      <c r="F225" t="inlineStr">
        <is>
          <t>GÄVLEBORGS LÄN</t>
        </is>
      </c>
      <c r="G225" t="inlineStr">
        <is>
          <t>SANDVIKEN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46227</v>
      </c>
      <c r="F226" t="inlineStr">
        <is>
          <t>GÄVLEBORGS LÄN</t>
        </is>
      </c>
      <c r="G226" t="inlineStr">
        <is>
          <t>SANDVIKEN</t>
        </is>
      </c>
      <c r="I226" t="n">
        <v>10.4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46227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46227</v>
      </c>
      <c r="F228" t="inlineStr">
        <is>
          <t>GÄVLEBORGS LÄN</t>
        </is>
      </c>
      <c r="G228" t="inlineStr">
        <is>
          <t>SANDVIKEN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46227</v>
      </c>
      <c r="F229" t="inlineStr">
        <is>
          <t>GÄVLEBORGS LÄN</t>
        </is>
      </c>
      <c r="G229" t="inlineStr">
        <is>
          <t>SANDVIKEN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45977</v>
      </c>
      <c r="E230" s="1" t="n">
        <v>46227</v>
      </c>
      <c r="F230" t="inlineStr">
        <is>
          <t>GÄVLEBORGS LÄN</t>
        </is>
      </c>
      <c r="G230" t="inlineStr">
        <is>
          <t>SANDVIKEN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46227</v>
      </c>
      <c r="F231" t="inlineStr">
        <is>
          <t>GÄVLEBORGS LÄN</t>
        </is>
      </c>
      <c r="G231" t="inlineStr">
        <is>
          <t>SANDVIKEN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46227</v>
      </c>
      <c r="F232" t="inlineStr">
        <is>
          <t>GÄVLEBORGS LÄN</t>
        </is>
      </c>
      <c r="G232" t="inlineStr">
        <is>
          <t>SANDVIKEN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46227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30843-2025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45831</v>
      </c>
      <c r="E234" s="1" t="n">
        <v>46227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46227</v>
      </c>
      <c r="F235" t="inlineStr">
        <is>
          <t>GÄVLEBORGS LÄN</t>
        </is>
      </c>
      <c r="G235" t="inlineStr">
        <is>
          <t>SANDVIKEN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46227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46227</v>
      </c>
      <c r="F237" t="inlineStr">
        <is>
          <t>GÄVLEBORGS LÄN</t>
        </is>
      </c>
      <c r="G237" t="inlineStr">
        <is>
          <t>SANDVIKEN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46227</v>
      </c>
      <c r="F238" t="inlineStr">
        <is>
          <t>GÄVLEBORGS LÄN</t>
        </is>
      </c>
      <c r="G238" t="inlineStr">
        <is>
          <t>SANDVIKEN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46227</v>
      </c>
      <c r="F239" t="inlineStr">
        <is>
          <t>GÄVLEBORGS LÄN</t>
        </is>
      </c>
      <c r="G239" t="inlineStr">
        <is>
          <t>SANDVIKEN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46227</v>
      </c>
      <c r="F240" t="inlineStr">
        <is>
          <t>GÄVLEBORGS LÄN</t>
        </is>
      </c>
      <c r="G240" t="inlineStr">
        <is>
          <t>SANDVIKEN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15671-2024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45404</v>
      </c>
      <c r="E241" s="1" t="n">
        <v>46227</v>
      </c>
      <c r="F241" t="inlineStr">
        <is>
          <t>GÄVLEBORGS LÄN</t>
        </is>
      </c>
      <c r="G241" t="inlineStr">
        <is>
          <t>SANDVIKEN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46227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46227</v>
      </c>
      <c r="F243" t="inlineStr">
        <is>
          <t>GÄVLEBORGS LÄN</t>
        </is>
      </c>
      <c r="G243" t="inlineStr">
        <is>
          <t>SANDVIKEN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46227</v>
      </c>
      <c r="F244" t="inlineStr">
        <is>
          <t>GÄVLEBORGS LÄN</t>
        </is>
      </c>
      <c r="G244" t="inlineStr">
        <is>
          <t>SANDVIKEN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45983</v>
      </c>
      <c r="E245" s="1" t="n">
        <v>46227</v>
      </c>
      <c r="F245" t="inlineStr">
        <is>
          <t>GÄVLEBORGS LÄN</t>
        </is>
      </c>
      <c r="G245" t="inlineStr">
        <is>
          <t>SANDVIKEN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45984</v>
      </c>
      <c r="E246" s="1" t="n">
        <v>46227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45984</v>
      </c>
      <c r="E247" s="1" t="n">
        <v>46227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45984</v>
      </c>
      <c r="E248" s="1" t="n">
        <v>46227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46227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öst AB</t>
        </is>
      </c>
      <c r="I249" t="n">
        <v>27.3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46227</v>
      </c>
      <c r="F250" t="inlineStr">
        <is>
          <t>GÄVLEBORGS LÄN</t>
        </is>
      </c>
      <c r="G250" t="inlineStr">
        <is>
          <t>SANDVIKEN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46227</v>
      </c>
      <c r="F251" t="inlineStr">
        <is>
          <t>GÄVLEBORGS LÄN</t>
        </is>
      </c>
      <c r="G251" t="inlineStr">
        <is>
          <t>SANDVIKEN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46227</v>
      </c>
      <c r="F252" t="inlineStr">
        <is>
          <t>GÄVLEBORGS LÄN</t>
        </is>
      </c>
      <c r="G252" t="inlineStr">
        <is>
          <t>SANDVIKEN</t>
        </is>
      </c>
      <c r="H252" t="inlineStr">
        <is>
          <t>Kyrkan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45842</v>
      </c>
      <c r="E253" s="1" t="n">
        <v>46227</v>
      </c>
      <c r="F253" t="inlineStr">
        <is>
          <t>GÄVLEBORGS LÄN</t>
        </is>
      </c>
      <c r="G253" t="inlineStr">
        <is>
          <t>SANDVIKEN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56310-2021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44477</v>
      </c>
      <c r="E254" s="1" t="n">
        <v>46227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väst AB</t>
        </is>
      </c>
      <c r="I254" t="n">
        <v>18.5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46227</v>
      </c>
      <c r="F255" t="inlineStr">
        <is>
          <t>GÄVLEBORGS LÄN</t>
        </is>
      </c>
      <c r="G255" t="inlineStr">
        <is>
          <t>SANDVIKEN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46227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46227</v>
      </c>
      <c r="F257" t="inlineStr">
        <is>
          <t>GÄVLEBORGS LÄN</t>
        </is>
      </c>
      <c r="G257" t="inlineStr">
        <is>
          <t>SANDVIKEN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46227</v>
      </c>
      <c r="F258" t="inlineStr">
        <is>
          <t>GÄVLEBORGS LÄN</t>
        </is>
      </c>
      <c r="G258" t="inlineStr">
        <is>
          <t>SANDVIKEN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46227</v>
      </c>
      <c r="F259" t="inlineStr">
        <is>
          <t>GÄVLEBORGS LÄN</t>
        </is>
      </c>
      <c r="G259" t="inlineStr">
        <is>
          <t>SANDVIKEN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46227</v>
      </c>
      <c r="F260" t="inlineStr">
        <is>
          <t>GÄVLEBORGS LÄN</t>
        </is>
      </c>
      <c r="G260" t="inlineStr">
        <is>
          <t>SANDVIKEN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46227</v>
      </c>
      <c r="F261" t="inlineStr">
        <is>
          <t>GÄVLEBORGS LÄN</t>
        </is>
      </c>
      <c r="G261" t="inlineStr">
        <is>
          <t>SANDVIKEN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46227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50797-2023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45217</v>
      </c>
      <c r="E263" s="1" t="n">
        <v>46227</v>
      </c>
      <c r="F263" t="inlineStr">
        <is>
          <t>GÄVLEBORGS LÄN</t>
        </is>
      </c>
      <c r="G263" t="inlineStr">
        <is>
          <t>SANDVIKEN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46227</v>
      </c>
      <c r="F264" t="inlineStr">
        <is>
          <t>GÄVLEBORGS LÄN</t>
        </is>
      </c>
      <c r="G264" t="inlineStr">
        <is>
          <t>SANDVIKEN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45094</v>
      </c>
      <c r="E265" s="1" t="n">
        <v>46227</v>
      </c>
      <c r="F265" t="inlineStr">
        <is>
          <t>GÄVLEBORGS LÄN</t>
        </is>
      </c>
      <c r="G265" t="inlineStr">
        <is>
          <t>SANDVIKEN</t>
        </is>
      </c>
      <c r="H265" t="inlineStr">
        <is>
          <t>Bergvik skog öst AB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46227</v>
      </c>
      <c r="F266" t="inlineStr">
        <is>
          <t>GÄVLEBORGS LÄN</t>
        </is>
      </c>
      <c r="G266" t="inlineStr">
        <is>
          <t>SANDVIKEN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46227</v>
      </c>
      <c r="F267" t="inlineStr">
        <is>
          <t>GÄVLEBORGS LÄN</t>
        </is>
      </c>
      <c r="G267" t="inlineStr">
        <is>
          <t>SANDVIKEN</t>
        </is>
      </c>
      <c r="I267" t="n">
        <v>9.6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46227</v>
      </c>
      <c r="F268" t="inlineStr">
        <is>
          <t>GÄVLEBORGS LÄN</t>
        </is>
      </c>
      <c r="G268" t="inlineStr">
        <is>
          <t>SANDVIKEN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45919</v>
      </c>
      <c r="E269" s="1" t="n">
        <v>46227</v>
      </c>
      <c r="F269" t="inlineStr">
        <is>
          <t>GÄVLEBORGS LÄN</t>
        </is>
      </c>
      <c r="G269" t="inlineStr">
        <is>
          <t>SANDVIKEN</t>
        </is>
      </c>
      <c r="H269" t="inlineStr">
        <is>
          <t>Kyrkan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46227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45863</v>
      </c>
      <c r="E271" s="1" t="n">
        <v>46227</v>
      </c>
      <c r="F271" t="inlineStr">
        <is>
          <t>GÄVLEBORGS LÄN</t>
        </is>
      </c>
      <c r="G271" t="inlineStr">
        <is>
          <t>SANDVIKEN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46227</v>
      </c>
      <c r="F272" t="inlineStr">
        <is>
          <t>GÄVLEBORGS LÄN</t>
        </is>
      </c>
      <c r="G272" t="inlineStr">
        <is>
          <t>SANDVIKEN</t>
        </is>
      </c>
      <c r="H272" t="inlineStr">
        <is>
          <t>Kyrkan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45866</v>
      </c>
      <c r="E273" s="1" t="n">
        <v>46227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45867</v>
      </c>
      <c r="E274" s="1" t="n">
        <v>46227</v>
      </c>
      <c r="F274" t="inlineStr">
        <is>
          <t>GÄVLEBORGS LÄN</t>
        </is>
      </c>
      <c r="G274" t="inlineStr">
        <is>
          <t>SANDVIKEN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45984</v>
      </c>
      <c r="E275" s="1" t="n">
        <v>46227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öst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45261</v>
      </c>
      <c r="E276" s="1" t="n">
        <v>46227</v>
      </c>
      <c r="F276" t="inlineStr">
        <is>
          <t>GÄVLEBORGS LÄN</t>
        </is>
      </c>
      <c r="G276" t="inlineStr">
        <is>
          <t>SANDVIKEN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45261</v>
      </c>
      <c r="E277" s="1" t="n">
        <v>46227</v>
      </c>
      <c r="F277" t="inlineStr">
        <is>
          <t>GÄVLEBORGS LÄN</t>
        </is>
      </c>
      <c r="G277" t="inlineStr">
        <is>
          <t>SANDVIKEN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45870</v>
      </c>
      <c r="E278" s="1" t="n">
        <v>46227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44784</v>
      </c>
      <c r="E279" s="1" t="n">
        <v>46227</v>
      </c>
      <c r="F279" t="inlineStr">
        <is>
          <t>GÄVLEBORGS LÄN</t>
        </is>
      </c>
      <c r="G279" t="inlineStr">
        <is>
          <t>SANDVIKEN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46227</v>
      </c>
      <c r="F280" t="inlineStr">
        <is>
          <t>GÄVLEBORGS LÄN</t>
        </is>
      </c>
      <c r="G280" t="inlineStr">
        <is>
          <t>SANDVIKEN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46227</v>
      </c>
      <c r="F281" t="inlineStr">
        <is>
          <t>GÄVLEBORGS LÄN</t>
        </is>
      </c>
      <c r="G281" t="inlineStr">
        <is>
          <t>SANDVIKEN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46227</v>
      </c>
      <c r="F282" t="inlineStr">
        <is>
          <t>GÄVLEBORGS LÄN</t>
        </is>
      </c>
      <c r="G282" t="inlineStr">
        <is>
          <t>SANDVIKEN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45478</v>
      </c>
      <c r="E283" s="1" t="n">
        <v>46227</v>
      </c>
      <c r="F283" t="inlineStr">
        <is>
          <t>GÄVLEBORGS LÄN</t>
        </is>
      </c>
      <c r="G283" t="inlineStr">
        <is>
          <t>SANDVIKEN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46227</v>
      </c>
      <c r="F284" t="inlineStr">
        <is>
          <t>GÄVLEBORGS LÄN</t>
        </is>
      </c>
      <c r="G284" t="inlineStr">
        <is>
          <t>SANDVIKEN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46227</v>
      </c>
      <c r="F285" t="inlineStr">
        <is>
          <t>GÄVLEBORGS LÄN</t>
        </is>
      </c>
      <c r="G285" t="inlineStr">
        <is>
          <t>SANDVIKEN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46227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45873</v>
      </c>
      <c r="E287" s="1" t="n">
        <v>46227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44797</v>
      </c>
      <c r="E288" s="1" t="n">
        <v>46227</v>
      </c>
      <c r="F288" t="inlineStr">
        <is>
          <t>GÄVLEBORGS LÄN</t>
        </is>
      </c>
      <c r="G288" t="inlineStr">
        <is>
          <t>SANDVIKEN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46227</v>
      </c>
      <c r="F289" t="inlineStr">
        <is>
          <t>GÄVLEBORGS LÄN</t>
        </is>
      </c>
      <c r="G289" t="inlineStr">
        <is>
          <t>SANDVIKEN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46227</v>
      </c>
      <c r="F290" t="inlineStr">
        <is>
          <t>GÄVLEBORGS LÄN</t>
        </is>
      </c>
      <c r="G290" t="inlineStr">
        <is>
          <t>SANDVIKEN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46227</v>
      </c>
      <c r="F291" t="inlineStr">
        <is>
          <t>GÄVLEBORGS LÄN</t>
        </is>
      </c>
      <c r="G291" t="inlineStr">
        <is>
          <t>SANDVIKEN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36795-2025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45873</v>
      </c>
      <c r="E292" s="1" t="n">
        <v>46227</v>
      </c>
      <c r="F292" t="inlineStr">
        <is>
          <t>GÄVLEBORGS LÄN</t>
        </is>
      </c>
      <c r="G292" t="inlineStr">
        <is>
          <t>SANDVIKEN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46227</v>
      </c>
      <c r="F293" t="inlineStr">
        <is>
          <t>GÄVLEBORGS LÄN</t>
        </is>
      </c>
      <c r="G293" t="inlineStr">
        <is>
          <t>SANDVIKEN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46227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46227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46227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46227</v>
      </c>
      <c r="F297" t="inlineStr">
        <is>
          <t>GÄVLEBORGS LÄN</t>
        </is>
      </c>
      <c r="G297" t="inlineStr">
        <is>
          <t>SANDVIKEN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46227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46227</v>
      </c>
      <c r="F299" t="inlineStr">
        <is>
          <t>GÄVLEBORGS LÄN</t>
        </is>
      </c>
      <c r="G299" t="inlineStr">
        <is>
          <t>SANDVIKEN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45671</v>
      </c>
      <c r="E300" s="1" t="n">
        <v>46227</v>
      </c>
      <c r="F300" t="inlineStr">
        <is>
          <t>GÄVLEBORGS LÄN</t>
        </is>
      </c>
      <c r="G300" t="inlineStr">
        <is>
          <t>SANDVIKEN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45984</v>
      </c>
      <c r="E301" s="1" t="n">
        <v>46227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46227</v>
      </c>
      <c r="F302" t="inlineStr">
        <is>
          <t>GÄVLEBORGS LÄN</t>
        </is>
      </c>
      <c r="G302" t="inlineStr">
        <is>
          <t>SANDVIKEN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46227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46227</v>
      </c>
      <c r="F304" t="inlineStr">
        <is>
          <t>GÄVLEBORGS LÄN</t>
        </is>
      </c>
      <c r="G304" t="inlineStr">
        <is>
          <t>SANDVIKEN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46227</v>
      </c>
      <c r="F305" t="inlineStr">
        <is>
          <t>GÄVLEBORGS LÄN</t>
        </is>
      </c>
      <c r="G305" t="inlineStr">
        <is>
          <t>SANDVIKEN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46227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46227</v>
      </c>
      <c r="F307" t="inlineStr">
        <is>
          <t>GÄVLEBORGS LÄN</t>
        </is>
      </c>
      <c r="G307" t="inlineStr">
        <is>
          <t>SANDVIKEN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45615</v>
      </c>
      <c r="E308" s="1" t="n">
        <v>46227</v>
      </c>
      <c r="F308" t="inlineStr">
        <is>
          <t>GÄVLEBORGS LÄN</t>
        </is>
      </c>
      <c r="G308" t="inlineStr">
        <is>
          <t>SANDVIKEN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46227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11.9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46021</v>
      </c>
      <c r="E310" s="1" t="n">
        <v>46227</v>
      </c>
      <c r="F310" t="inlineStr">
        <is>
          <t>GÄVLEBORGS LÄN</t>
        </is>
      </c>
      <c r="G310" t="inlineStr">
        <is>
          <t>SANDVIKEN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44582</v>
      </c>
      <c r="E311" s="1" t="n">
        <v>46227</v>
      </c>
      <c r="F311" t="inlineStr">
        <is>
          <t>GÄVLEBORGS LÄN</t>
        </is>
      </c>
      <c r="G311" t="inlineStr">
        <is>
          <t>SANDVIKEN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46227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46227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46227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väst AB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46227</v>
      </c>
      <c r="F315" t="inlineStr">
        <is>
          <t>GÄVLEBORGS LÄN</t>
        </is>
      </c>
      <c r="G315" t="inlineStr">
        <is>
          <t>SANDVIKEN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46227</v>
      </c>
      <c r="F316" t="inlineStr">
        <is>
          <t>GÄVLEBORGS LÄN</t>
        </is>
      </c>
      <c r="G316" t="inlineStr">
        <is>
          <t>SANDVIKEN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48761-2025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46227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46227</v>
      </c>
      <c r="F318" t="inlineStr">
        <is>
          <t>GÄVLEBORGS LÄN</t>
        </is>
      </c>
      <c r="G318" t="inlineStr">
        <is>
          <t>SANDVIKEN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46227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49217-2025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45938</v>
      </c>
      <c r="E320" s="1" t="n">
        <v>46227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46227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46227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46227</v>
      </c>
      <c r="F323" t="inlineStr">
        <is>
          <t>GÄVLEBORGS LÄN</t>
        </is>
      </c>
      <c r="G323" t="inlineStr">
        <is>
          <t>SANDVIKEN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46227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45649</v>
      </c>
      <c r="E325" s="1" t="n">
        <v>46227</v>
      </c>
      <c r="F325" t="inlineStr">
        <is>
          <t>GÄVLEBORGS LÄN</t>
        </is>
      </c>
      <c r="G325" t="inlineStr">
        <is>
          <t>SANDVIKEN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61859-2024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45649</v>
      </c>
      <c r="E326" s="1" t="n">
        <v>46227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46227</v>
      </c>
      <c r="F327" t="inlineStr">
        <is>
          <t>GÄVLEBORGS LÄN</t>
        </is>
      </c>
      <c r="G327" t="inlineStr">
        <is>
          <t>SANDVIKEN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45226</v>
      </c>
      <c r="E328" s="1" t="n">
        <v>46227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46227</v>
      </c>
      <c r="F329" t="inlineStr">
        <is>
          <t>GÄVLEBORGS LÄN</t>
        </is>
      </c>
      <c r="G329" t="inlineStr">
        <is>
          <t>SANDVIKEN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46227</v>
      </c>
      <c r="F330" t="inlineStr">
        <is>
          <t>GÄVLEBORGS LÄN</t>
        </is>
      </c>
      <c r="G330" t="inlineStr">
        <is>
          <t>SANDVIKEN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46227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16.6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46227</v>
      </c>
      <c r="F332" t="inlineStr">
        <is>
          <t>GÄVLEBORGS LÄN</t>
        </is>
      </c>
      <c r="G332" t="inlineStr">
        <is>
          <t>SANDVIKEN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46227</v>
      </c>
      <c r="F333" t="inlineStr">
        <is>
          <t>GÄVLEBORGS LÄN</t>
        </is>
      </c>
      <c r="G333" t="inlineStr">
        <is>
          <t>SANDVIKEN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46227</v>
      </c>
      <c r="F334" t="inlineStr">
        <is>
          <t>GÄVLEBORGS LÄN</t>
        </is>
      </c>
      <c r="G334" t="inlineStr">
        <is>
          <t>SANDVIKEN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46227</v>
      </c>
      <c r="F335" t="inlineStr">
        <is>
          <t>GÄVLEBORGS LÄN</t>
        </is>
      </c>
      <c r="G335" t="inlineStr">
        <is>
          <t>SANDVIKEN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45188</v>
      </c>
      <c r="E336" s="1" t="n">
        <v>46227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46227</v>
      </c>
      <c r="F337" t="inlineStr">
        <is>
          <t>GÄVLEBORGS LÄN</t>
        </is>
      </c>
      <c r="G337" t="inlineStr">
        <is>
          <t>SANDVIKEN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46227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46227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46227</v>
      </c>
      <c r="F340" t="inlineStr">
        <is>
          <t>GÄVLEBORGS LÄN</t>
        </is>
      </c>
      <c r="G340" t="inlineStr">
        <is>
          <t>SANDVIKEN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48187-2025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46227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46227</v>
      </c>
      <c r="F342" t="inlineStr">
        <is>
          <t>GÄVLEBORGS LÄN</t>
        </is>
      </c>
      <c r="G342" t="inlineStr">
        <is>
          <t>SANDVIKEN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46227</v>
      </c>
      <c r="F343" t="inlineStr">
        <is>
          <t>GÄVLEBORGS LÄN</t>
        </is>
      </c>
      <c r="G343" t="inlineStr">
        <is>
          <t>SANDVIKEN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46227</v>
      </c>
      <c r="F344" t="inlineStr">
        <is>
          <t>GÄVLEBORGS LÄN</t>
        </is>
      </c>
      <c r="G344" t="inlineStr">
        <is>
          <t>SANDVIKEN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46227</v>
      </c>
      <c r="F345" t="inlineStr">
        <is>
          <t>GÄVLEBORGS LÄN</t>
        </is>
      </c>
      <c r="G345" t="inlineStr">
        <is>
          <t>SANDVIKEN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50851-2025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45946</v>
      </c>
      <c r="E346" s="1" t="n">
        <v>46227</v>
      </c>
      <c r="F346" t="inlineStr">
        <is>
          <t>GÄVLEBORGS LÄN</t>
        </is>
      </c>
      <c r="G346" t="inlineStr">
        <is>
          <t>SANDVIKEN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46227</v>
      </c>
      <c r="F347" t="inlineStr">
        <is>
          <t>GÄVLEBORGS LÄN</t>
        </is>
      </c>
      <c r="G347" t="inlineStr">
        <is>
          <t>SANDVIKEN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46227</v>
      </c>
      <c r="F348" t="inlineStr">
        <is>
          <t>GÄVLEBORGS LÄN</t>
        </is>
      </c>
      <c r="G348" t="inlineStr">
        <is>
          <t>SANDVIKEN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45670</v>
      </c>
      <c r="E349" s="1" t="n">
        <v>46227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44843</v>
      </c>
      <c r="E350" s="1" t="n">
        <v>46227</v>
      </c>
      <c r="F350" t="inlineStr">
        <is>
          <t>GÄVLEBORGS LÄN</t>
        </is>
      </c>
      <c r="G350" t="inlineStr">
        <is>
          <t>SANDVIKEN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46227</v>
      </c>
      <c r="F351" t="inlineStr">
        <is>
          <t>GÄVLEBORGS LÄN</t>
        </is>
      </c>
      <c r="G351" t="inlineStr">
        <is>
          <t>SANDVIKEN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45706</v>
      </c>
      <c r="E352" s="1" t="n">
        <v>46227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46227</v>
      </c>
      <c r="F353" t="inlineStr">
        <is>
          <t>GÄVLEBORGS LÄN</t>
        </is>
      </c>
      <c r="G353" t="inlineStr">
        <is>
          <t>SANDVIKEN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45191</v>
      </c>
      <c r="E354" s="1" t="n">
        <v>46227</v>
      </c>
      <c r="F354" t="inlineStr">
        <is>
          <t>GÄVLEBORGS LÄN</t>
        </is>
      </c>
      <c r="G354" t="inlineStr">
        <is>
          <t>SANDVIKEN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46227</v>
      </c>
      <c r="F355" t="inlineStr">
        <is>
          <t>GÄVLEBORGS LÄN</t>
        </is>
      </c>
      <c r="G355" t="inlineStr">
        <is>
          <t>SANDVIKEN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46227</v>
      </c>
      <c r="F356" t="inlineStr">
        <is>
          <t>GÄVLEBORGS LÄN</t>
        </is>
      </c>
      <c r="G356" t="inlineStr">
        <is>
          <t>SANDVIKEN</t>
        </is>
      </c>
      <c r="I356" t="n">
        <v>10.2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46227</v>
      </c>
      <c r="F357" t="inlineStr">
        <is>
          <t>GÄVLEBORGS LÄN</t>
        </is>
      </c>
      <c r="G357" t="inlineStr">
        <is>
          <t>SANDVIKEN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45211</v>
      </c>
      <c r="E358" s="1" t="n">
        <v>46227</v>
      </c>
      <c r="F358" t="inlineStr">
        <is>
          <t>GÄVLEBORGS LÄN</t>
        </is>
      </c>
      <c r="G358" t="inlineStr">
        <is>
          <t>SANDVIKEN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46227</v>
      </c>
      <c r="F359" t="inlineStr">
        <is>
          <t>GÄVLEBORGS LÄN</t>
        </is>
      </c>
      <c r="G359" t="inlineStr">
        <is>
          <t>SANDVIKEN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46227</v>
      </c>
      <c r="F360" t="inlineStr">
        <is>
          <t>GÄVLEBORGS LÄN</t>
        </is>
      </c>
      <c r="G360" t="inlineStr">
        <is>
          <t>SANDVIKEN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46227</v>
      </c>
      <c r="F361" t="inlineStr">
        <is>
          <t>GÄVLEBORGS LÄN</t>
        </is>
      </c>
      <c r="G361" t="inlineStr">
        <is>
          <t>SANDVIKEN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45700</v>
      </c>
      <c r="E362" s="1" t="n">
        <v>46227</v>
      </c>
      <c r="F362" t="inlineStr">
        <is>
          <t>GÄVLEBORGS LÄN</t>
        </is>
      </c>
      <c r="G362" t="inlineStr">
        <is>
          <t>SANDVIKEN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46227</v>
      </c>
      <c r="F363" t="inlineStr">
        <is>
          <t>GÄVLEBORGS LÄN</t>
        </is>
      </c>
      <c r="G363" t="inlineStr">
        <is>
          <t>SANDVIKEN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46227</v>
      </c>
      <c r="F364" t="inlineStr">
        <is>
          <t>GÄVLEBORGS LÄN</t>
        </is>
      </c>
      <c r="G364" t="inlineStr">
        <is>
          <t>SANDVIKEN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45257</v>
      </c>
      <c r="E365" s="1" t="n">
        <v>46227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46227</v>
      </c>
      <c r="F366" t="inlineStr">
        <is>
          <t>GÄVLEBORGS LÄN</t>
        </is>
      </c>
      <c r="G366" t="inlineStr">
        <is>
          <t>SANDVIKEN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46227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34013-2024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45523</v>
      </c>
      <c r="E368" s="1" t="n">
        <v>46227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46227</v>
      </c>
      <c r="F369" t="inlineStr">
        <is>
          <t>GÄVLEBORGS LÄN</t>
        </is>
      </c>
      <c r="G369" t="inlineStr">
        <is>
          <t>SANDVIKEN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46051</v>
      </c>
      <c r="E370" s="1" t="n">
        <v>46227</v>
      </c>
      <c r="F370" t="inlineStr">
        <is>
          <t>GÄVLEBORGS LÄN</t>
        </is>
      </c>
      <c r="G370" t="inlineStr">
        <is>
          <t>SANDVIKEN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46227</v>
      </c>
      <c r="F371" t="inlineStr">
        <is>
          <t>GÄVLEBORGS LÄN</t>
        </is>
      </c>
      <c r="G371" t="inlineStr">
        <is>
          <t>SANDVIKEN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46227</v>
      </c>
      <c r="F372" t="inlineStr">
        <is>
          <t>GÄVLEBORGS LÄN</t>
        </is>
      </c>
      <c r="G372" t="inlineStr">
        <is>
          <t>SANDVIKEN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46227</v>
      </c>
      <c r="F373" t="inlineStr">
        <is>
          <t>GÄVLEBORGS LÄN</t>
        </is>
      </c>
      <c r="G373" t="inlineStr">
        <is>
          <t>SANDVIKEN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46227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46227</v>
      </c>
      <c r="F375" t="inlineStr">
        <is>
          <t>GÄVLEBORGS LÄN</t>
        </is>
      </c>
      <c r="G375" t="inlineStr">
        <is>
          <t>SANDVIKEN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46227</v>
      </c>
      <c r="F376" t="inlineStr">
        <is>
          <t>GÄVLEBORGS LÄN</t>
        </is>
      </c>
      <c r="G376" t="inlineStr">
        <is>
          <t>SANDVIKEN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46227</v>
      </c>
      <c r="F377" t="inlineStr">
        <is>
          <t>GÄVLEBORGS LÄN</t>
        </is>
      </c>
      <c r="G377" t="inlineStr">
        <is>
          <t>SANDVIKEN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46227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46227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46227</v>
      </c>
      <c r="F380" t="inlineStr">
        <is>
          <t>GÄVLEBORGS LÄN</t>
        </is>
      </c>
      <c r="G380" t="inlineStr">
        <is>
          <t>SANDVIKEN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46227</v>
      </c>
      <c r="F381" t="inlineStr">
        <is>
          <t>GÄVLEBORGS LÄN</t>
        </is>
      </c>
      <c r="G381" t="inlineStr">
        <is>
          <t>SANDVIKEN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46227</v>
      </c>
      <c r="F382" t="inlineStr">
        <is>
          <t>GÄVLEBORGS LÄN</t>
        </is>
      </c>
      <c r="G382" t="inlineStr">
        <is>
          <t>SANDVIKEN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46227</v>
      </c>
      <c r="F383" t="inlineStr">
        <is>
          <t>GÄVLEBORGS LÄN</t>
        </is>
      </c>
      <c r="G383" t="inlineStr">
        <is>
          <t>SANDVIKEN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46227</v>
      </c>
      <c r="F384" t="inlineStr">
        <is>
          <t>GÄVLEBORGS LÄN</t>
        </is>
      </c>
      <c r="G384" t="inlineStr">
        <is>
          <t>SANDVIKEN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46227</v>
      </c>
      <c r="F385" t="inlineStr">
        <is>
          <t>GÄVLEBORGS LÄN</t>
        </is>
      </c>
      <c r="G385" t="inlineStr">
        <is>
          <t>SANDVIKEN</t>
        </is>
      </c>
      <c r="H385" t="inlineStr">
        <is>
          <t>Sveaskog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45721</v>
      </c>
      <c r="E386" s="1" t="n">
        <v>46227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46227</v>
      </c>
      <c r="F387" t="inlineStr">
        <is>
          <t>GÄVLEBORGS LÄN</t>
        </is>
      </c>
      <c r="G387" t="inlineStr">
        <is>
          <t>SANDVIKEN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46227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46227</v>
      </c>
      <c r="F389" t="inlineStr">
        <is>
          <t>GÄVLEBORGS LÄN</t>
        </is>
      </c>
      <c r="G389" t="inlineStr">
        <is>
          <t>SANDVIKEN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46227</v>
      </c>
      <c r="F390" t="inlineStr">
        <is>
          <t>GÄVLEBORGS LÄN</t>
        </is>
      </c>
      <c r="G390" t="inlineStr">
        <is>
          <t>SANDVIKEN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46227</v>
      </c>
      <c r="F391" t="inlineStr">
        <is>
          <t>GÄVLEBORGS LÄN</t>
        </is>
      </c>
      <c r="G391" t="inlineStr">
        <is>
          <t>SANDVIKEN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46177-2022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44847</v>
      </c>
      <c r="E392" s="1" t="n">
        <v>46227</v>
      </c>
      <c r="F392" t="inlineStr">
        <is>
          <t>GÄVLEBORGS LÄN</t>
        </is>
      </c>
      <c r="G392" t="inlineStr">
        <is>
          <t>SANDVIKEN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46227</v>
      </c>
      <c r="F393" t="inlineStr">
        <is>
          <t>GÄVLEBORGS LÄN</t>
        </is>
      </c>
      <c r="G393" t="inlineStr">
        <is>
          <t>SANDVIKEN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46227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46227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väst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46227</v>
      </c>
      <c r="F396" t="inlineStr">
        <is>
          <t>GÄVLEBORGS LÄN</t>
        </is>
      </c>
      <c r="G396" t="inlineStr">
        <is>
          <t>SANDVIKEN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46227</v>
      </c>
      <c r="F397" t="inlineStr">
        <is>
          <t>GÄVLEBORGS LÄN</t>
        </is>
      </c>
      <c r="G397" t="inlineStr">
        <is>
          <t>SANDVIKEN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46227</v>
      </c>
      <c r="F398" t="inlineStr">
        <is>
          <t>GÄVLEBORGS LÄN</t>
        </is>
      </c>
      <c r="G398" t="inlineStr">
        <is>
          <t>SANDVIKEN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46227</v>
      </c>
      <c r="F399" t="inlineStr">
        <is>
          <t>GÄVLEBORGS LÄN</t>
        </is>
      </c>
      <c r="G399" t="inlineStr">
        <is>
          <t>SANDVIKEN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46227</v>
      </c>
      <c r="F400" t="inlineStr">
        <is>
          <t>GÄVLEBORGS LÄN</t>
        </is>
      </c>
      <c r="G400" t="inlineStr">
        <is>
          <t>SANDVIKEN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46227</v>
      </c>
      <c r="F401" t="inlineStr">
        <is>
          <t>GÄVLEBORGS LÄN</t>
        </is>
      </c>
      <c r="G401" t="inlineStr">
        <is>
          <t>SANDVIKEN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46227</v>
      </c>
      <c r="F402" t="inlineStr">
        <is>
          <t>GÄVLEBORGS LÄN</t>
        </is>
      </c>
      <c r="G402" t="inlineStr">
        <is>
          <t>SANDVIKEN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46227</v>
      </c>
      <c r="F403" t="inlineStr">
        <is>
          <t>GÄVLEBORGS LÄN</t>
        </is>
      </c>
      <c r="G403" t="inlineStr">
        <is>
          <t>SANDVIKEN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46227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46227</v>
      </c>
      <c r="F405" t="inlineStr">
        <is>
          <t>GÄVLEBORGS LÄN</t>
        </is>
      </c>
      <c r="G405" t="inlineStr">
        <is>
          <t>SANDVIKEN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46227</v>
      </c>
      <c r="F406" t="inlineStr">
        <is>
          <t>GÄVLEBORGS LÄN</t>
        </is>
      </c>
      <c r="G406" t="inlineStr">
        <is>
          <t>SANDVIKEN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46227</v>
      </c>
      <c r="F407" t="inlineStr">
        <is>
          <t>GÄVLEBORGS LÄN</t>
        </is>
      </c>
      <c r="G407" t="inlineStr">
        <is>
          <t>SANDVIKEN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46065</v>
      </c>
      <c r="E408" s="1" t="n">
        <v>46227</v>
      </c>
      <c r="F408" t="inlineStr">
        <is>
          <t>GÄVLEBORGS LÄN</t>
        </is>
      </c>
      <c r="G408" t="inlineStr">
        <is>
          <t>SANDVIKEN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46227</v>
      </c>
      <c r="F409" t="inlineStr">
        <is>
          <t>GÄVLEBORGS LÄN</t>
        </is>
      </c>
      <c r="G409" t="inlineStr">
        <is>
          <t>SANDVIKEN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46227</v>
      </c>
      <c r="F410" t="inlineStr">
        <is>
          <t>GÄVLEBORGS LÄN</t>
        </is>
      </c>
      <c r="G410" t="inlineStr">
        <is>
          <t>SANDVIKEN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46227</v>
      </c>
      <c r="F411" t="inlineStr">
        <is>
          <t>GÄVLEBORGS LÄN</t>
        </is>
      </c>
      <c r="G411" t="inlineStr">
        <is>
          <t>SANDVIKEN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45649</v>
      </c>
      <c r="E412" s="1" t="n">
        <v>46227</v>
      </c>
      <c r="F412" t="inlineStr">
        <is>
          <t>GÄVLEBORGS LÄN</t>
        </is>
      </c>
      <c r="G412" t="inlineStr">
        <is>
          <t>SANDVIKEN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46227</v>
      </c>
      <c r="F413" t="inlineStr">
        <is>
          <t>GÄVLEBORGS LÄN</t>
        </is>
      </c>
      <c r="G413" t="inlineStr">
        <is>
          <t>SANDVIKEN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46227</v>
      </c>
      <c r="F414" t="inlineStr">
        <is>
          <t>GÄVLEBORGS LÄN</t>
        </is>
      </c>
      <c r="G414" t="inlineStr">
        <is>
          <t>SANDVIKEN</t>
        </is>
      </c>
      <c r="H414" t="inlineStr">
        <is>
          <t>Naturvårdsverket</t>
        </is>
      </c>
      <c r="I414" t="n">
        <v>19.5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46227</v>
      </c>
      <c r="F415" t="inlineStr">
        <is>
          <t>GÄVLEBORGS LÄN</t>
        </is>
      </c>
      <c r="G415" t="inlineStr">
        <is>
          <t>SANDVIKEN</t>
        </is>
      </c>
      <c r="H415" t="inlineStr">
        <is>
          <t>Naturvårdsverket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9651-2026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46227</v>
      </c>
      <c r="F416" t="inlineStr">
        <is>
          <t>GÄVLEBORGS LÄN</t>
        </is>
      </c>
      <c r="G416" t="inlineStr">
        <is>
          <t>SANDVIKEN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46227</v>
      </c>
      <c r="F417" t="inlineStr">
        <is>
          <t>GÄVLEBORGS LÄN</t>
        </is>
      </c>
      <c r="G417" t="inlineStr">
        <is>
          <t>SANDVIKEN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46227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46227</v>
      </c>
      <c r="F419" t="inlineStr">
        <is>
          <t>GÄVLEBORGS LÄN</t>
        </is>
      </c>
      <c r="G419" t="inlineStr">
        <is>
          <t>SANDVIKEN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46074</v>
      </c>
      <c r="E420" s="1" t="n">
        <v>46227</v>
      </c>
      <c r="F420" t="inlineStr">
        <is>
          <t>GÄVLEBORGS LÄN</t>
        </is>
      </c>
      <c r="G420" t="inlineStr">
        <is>
          <t>SANDVIKEN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44901</v>
      </c>
      <c r="E421" s="1" t="n">
        <v>46227</v>
      </c>
      <c r="F421" t="inlineStr">
        <is>
          <t>GÄVLEBORGS LÄN</t>
        </is>
      </c>
      <c r="G421" t="inlineStr">
        <is>
          <t>SANDVIKEN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46227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10025-2026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46227</v>
      </c>
      <c r="F423" t="inlineStr">
        <is>
          <t>GÄVLEBORGS LÄN</t>
        </is>
      </c>
      <c r="G423" t="inlineStr">
        <is>
          <t>SANDVIKEN</t>
        </is>
      </c>
      <c r="H423" t="inlineStr">
        <is>
          <t>Kommuner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46073</v>
      </c>
      <c r="E424" s="1" t="n">
        <v>46227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46227</v>
      </c>
      <c r="F425" t="inlineStr">
        <is>
          <t>GÄVLEBORGS LÄN</t>
        </is>
      </c>
      <c r="G425" t="inlineStr">
        <is>
          <t>SANDVIKEN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46227</v>
      </c>
      <c r="F426" t="inlineStr">
        <is>
          <t>GÄVLEBORGS LÄN</t>
        </is>
      </c>
      <c r="G426" t="inlineStr">
        <is>
          <t>SANDVIKEN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46227</v>
      </c>
      <c r="F427" t="inlineStr">
        <is>
          <t>GÄVLEBORGS LÄN</t>
        </is>
      </c>
      <c r="G427" t="inlineStr">
        <is>
          <t>SANDVIKEN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46227</v>
      </c>
      <c r="F428" t="inlineStr">
        <is>
          <t>GÄVLEBORGS LÄN</t>
        </is>
      </c>
      <c r="G428" t="inlineStr">
        <is>
          <t>SANDVIKEN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46227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46080</v>
      </c>
      <c r="E430" s="1" t="n">
        <v>46227</v>
      </c>
      <c r="F430" t="inlineStr">
        <is>
          <t>GÄVLEBORGS LÄN</t>
        </is>
      </c>
      <c r="G430" t="inlineStr">
        <is>
          <t>SANDVIKEN</t>
        </is>
      </c>
      <c r="I430" t="n">
        <v>14.5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46227</v>
      </c>
      <c r="F431" t="inlineStr">
        <is>
          <t>GÄVLEBORGS LÄN</t>
        </is>
      </c>
      <c r="G431" t="inlineStr">
        <is>
          <t>SANDVIKEN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61694-2021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46227</v>
      </c>
      <c r="F432" t="inlineStr">
        <is>
          <t>GÄVLEBORGS LÄN</t>
        </is>
      </c>
      <c r="G432" t="inlineStr">
        <is>
          <t>SANDVIKEN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46227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10.9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46227</v>
      </c>
      <c r="F434" t="inlineStr">
        <is>
          <t>GÄVLEBORGS LÄN</t>
        </is>
      </c>
      <c r="G434" t="inlineStr">
        <is>
          <t>SANDVIKEN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46227</v>
      </c>
      <c r="F435" t="inlineStr">
        <is>
          <t>GÄVLEBORGS LÄN</t>
        </is>
      </c>
      <c r="G435" t="inlineStr">
        <is>
          <t>SANDVIKEN</t>
        </is>
      </c>
      <c r="H435" t="inlineStr">
        <is>
          <t>Naturvårdsverket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45121</v>
      </c>
      <c r="E436" s="1" t="n">
        <v>46227</v>
      </c>
      <c r="F436" t="inlineStr">
        <is>
          <t>GÄVLEBORGS LÄN</t>
        </is>
      </c>
      <c r="G436" t="inlineStr">
        <is>
          <t>SANDVIKEN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46227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46227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46227</v>
      </c>
      <c r="F439" t="inlineStr">
        <is>
          <t>GÄVLEBORGS LÄN</t>
        </is>
      </c>
      <c r="G439" t="inlineStr">
        <is>
          <t>SANDVIKEN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62047-2022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44918</v>
      </c>
      <c r="E440" s="1" t="n">
        <v>46227</v>
      </c>
      <c r="F440" t="inlineStr">
        <is>
          <t>GÄVLEBORGS LÄN</t>
        </is>
      </c>
      <c r="G440" t="inlineStr">
        <is>
          <t>SANDVIKEN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46227</v>
      </c>
      <c r="F441" t="inlineStr">
        <is>
          <t>GÄVLEBORGS LÄN</t>
        </is>
      </c>
      <c r="G441" t="inlineStr">
        <is>
          <t>SANDVIKEN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46227</v>
      </c>
      <c r="F442" t="inlineStr">
        <is>
          <t>GÄVLEBORGS LÄN</t>
        </is>
      </c>
      <c r="G442" t="inlineStr">
        <is>
          <t>SANDVIKEN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46227</v>
      </c>
      <c r="F443" t="inlineStr">
        <is>
          <t>GÄVLEBORGS LÄN</t>
        </is>
      </c>
      <c r="G443" t="inlineStr">
        <is>
          <t>SANDVIKEN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46227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46227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46227</v>
      </c>
      <c r="F446" t="inlineStr">
        <is>
          <t>GÄVLEBORGS LÄN</t>
        </is>
      </c>
      <c r="G446" t="inlineStr">
        <is>
          <t>SANDVIKEN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46086</v>
      </c>
      <c r="E447" s="1" t="n">
        <v>46227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46087</v>
      </c>
      <c r="E448" s="1" t="n">
        <v>46227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27.2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46227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46227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46086</v>
      </c>
      <c r="E451" s="1" t="n">
        <v>46227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46227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46227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46227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46086</v>
      </c>
      <c r="E455" s="1" t="n">
        <v>46227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46227</v>
      </c>
      <c r="F456" t="inlineStr">
        <is>
          <t>GÄVLEBORGS LÄN</t>
        </is>
      </c>
      <c r="G456" t="inlineStr">
        <is>
          <t>SANDVIKEN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46227</v>
      </c>
      <c r="F457" t="inlineStr">
        <is>
          <t>GÄVLEBORGS LÄN</t>
        </is>
      </c>
      <c r="G457" t="inlineStr">
        <is>
          <t>SANDVIKEN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46086</v>
      </c>
      <c r="E458" s="1" t="n">
        <v>46227</v>
      </c>
      <c r="F458" t="inlineStr">
        <is>
          <t>GÄVLEBORGS LÄN</t>
        </is>
      </c>
      <c r="G458" t="inlineStr">
        <is>
          <t>SANDVIKEN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46227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46227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56217-2023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46227</v>
      </c>
      <c r="F461" t="inlineStr">
        <is>
          <t>GÄVLEBORGS LÄN</t>
        </is>
      </c>
      <c r="G461" t="inlineStr">
        <is>
          <t>SANDVIKEN</t>
        </is>
      </c>
      <c r="H461" t="inlineStr">
        <is>
          <t>Sveaskog</t>
        </is>
      </c>
      <c r="I461" t="n">
        <v>10.6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45701</v>
      </c>
      <c r="E462" s="1" t="n">
        <v>46227</v>
      </c>
      <c r="F462" t="inlineStr">
        <is>
          <t>GÄVLEBORGS LÄN</t>
        </is>
      </c>
      <c r="G462" t="inlineStr">
        <is>
          <t>SANDVIKEN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46227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46227</v>
      </c>
      <c r="F464" t="inlineStr">
        <is>
          <t>GÄVLEBORGS LÄN</t>
        </is>
      </c>
      <c r="G464" t="inlineStr">
        <is>
          <t>SANDVIKEN</t>
        </is>
      </c>
      <c r="H464" t="inlineStr">
        <is>
          <t>Naturvårdsverket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12433-2026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46090</v>
      </c>
      <c r="E465" s="1" t="n">
        <v>46227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73331-2021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44551</v>
      </c>
      <c r="E466" s="1" t="n">
        <v>46227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46227</v>
      </c>
      <c r="F467" t="inlineStr">
        <is>
          <t>GÄVLEBORGS LÄN</t>
        </is>
      </c>
      <c r="G467" t="inlineStr">
        <is>
          <t>SANDVIKEN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46227</v>
      </c>
      <c r="F468" t="inlineStr">
        <is>
          <t>GÄVLEBORGS LÄN</t>
        </is>
      </c>
      <c r="G468" t="inlineStr">
        <is>
          <t>SANDVIKEN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46227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46227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12704-2026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46227</v>
      </c>
      <c r="F471" t="inlineStr">
        <is>
          <t>GÄVLEBORGS LÄN</t>
        </is>
      </c>
      <c r="G471" t="inlineStr">
        <is>
          <t>SANDVIKEN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64225-2021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44510</v>
      </c>
      <c r="E472" s="1" t="n">
        <v>46227</v>
      </c>
      <c r="F472" t="inlineStr">
        <is>
          <t>GÄVLEBORGS LÄN</t>
        </is>
      </c>
      <c r="G472" t="inlineStr">
        <is>
          <t>SANDVIKEN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46227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46227</v>
      </c>
      <c r="F474" t="inlineStr">
        <is>
          <t>GÄVLEBORGS LÄN</t>
        </is>
      </c>
      <c r="G474" t="inlineStr">
        <is>
          <t>SANDVIKEN</t>
        </is>
      </c>
      <c r="I474" t="n">
        <v>22.5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46227</v>
      </c>
      <c r="F475" t="inlineStr">
        <is>
          <t>GÄVLEBORGS LÄN</t>
        </is>
      </c>
      <c r="G475" t="inlineStr">
        <is>
          <t>SANDVIKEN</t>
        </is>
      </c>
      <c r="H475" t="inlineStr">
        <is>
          <t>Naturvårdsverket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46227</v>
      </c>
      <c r="F476" t="inlineStr">
        <is>
          <t>GÄVLEBORGS LÄN</t>
        </is>
      </c>
      <c r="G476" t="inlineStr">
        <is>
          <t>SANDVIKEN</t>
        </is>
      </c>
      <c r="H476" t="inlineStr">
        <is>
          <t>Naturvårdsverket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46227</v>
      </c>
      <c r="F477" t="inlineStr">
        <is>
          <t>GÄVLEBORGS LÄN</t>
        </is>
      </c>
      <c r="G477" t="inlineStr">
        <is>
          <t>SANDVIKEN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46227</v>
      </c>
      <c r="F478" t="inlineStr">
        <is>
          <t>GÄVLEBORGS LÄN</t>
        </is>
      </c>
      <c r="G478" t="inlineStr">
        <is>
          <t>SANDVIKEN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46092</v>
      </c>
      <c r="E479" s="1" t="n">
        <v>46227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46227</v>
      </c>
      <c r="F480" t="inlineStr">
        <is>
          <t>GÄVLEBORGS LÄN</t>
        </is>
      </c>
      <c r="G480" t="inlineStr">
        <is>
          <t>SANDVIKEN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46227</v>
      </c>
      <c r="F481" t="inlineStr">
        <is>
          <t>GÄVLEBORGS LÄN</t>
        </is>
      </c>
      <c r="G481" t="inlineStr">
        <is>
          <t>SANDVIKEN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46095</v>
      </c>
      <c r="E482" s="1" t="n">
        <v>46227</v>
      </c>
      <c r="F482" t="inlineStr">
        <is>
          <t>GÄVLEBORGS LÄN</t>
        </is>
      </c>
      <c r="G482" t="inlineStr">
        <is>
          <t>SANDVIKEN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46227</v>
      </c>
      <c r="F483" t="inlineStr">
        <is>
          <t>GÄVLEBORGS LÄN</t>
        </is>
      </c>
      <c r="G483" t="inlineStr">
        <is>
          <t>SANDVIKEN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46227</v>
      </c>
      <c r="F484" t="inlineStr">
        <is>
          <t>GÄVLEBORGS LÄN</t>
        </is>
      </c>
      <c r="G484" t="inlineStr">
        <is>
          <t>SANDVIKEN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46095</v>
      </c>
      <c r="E485" s="1" t="n">
        <v>46227</v>
      </c>
      <c r="F485" t="inlineStr">
        <is>
          <t>GÄVLEBORGS LÄN</t>
        </is>
      </c>
      <c r="G485" t="inlineStr">
        <is>
          <t>SANDVIKEN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46227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46227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46227</v>
      </c>
      <c r="F488" t="inlineStr">
        <is>
          <t>GÄVLEBORGS LÄN</t>
        </is>
      </c>
      <c r="G488" t="inlineStr">
        <is>
          <t>SANDVIKEN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46095</v>
      </c>
      <c r="E489" s="1" t="n">
        <v>46227</v>
      </c>
      <c r="F489" t="inlineStr">
        <is>
          <t>GÄVLEBORGS LÄN</t>
        </is>
      </c>
      <c r="G489" t="inlineStr">
        <is>
          <t>SANDVIKEN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46227</v>
      </c>
      <c r="F490" t="inlineStr">
        <is>
          <t>GÄVLEBORGS LÄN</t>
        </is>
      </c>
      <c r="G490" t="inlineStr">
        <is>
          <t>SANDVIKEN</t>
        </is>
      </c>
      <c r="H490" t="inlineStr">
        <is>
          <t>Kommuner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46227</v>
      </c>
      <c r="F491" t="inlineStr">
        <is>
          <t>GÄVLEBORGS LÄN</t>
        </is>
      </c>
      <c r="G491" t="inlineStr">
        <is>
          <t>SANDVIKEN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46095</v>
      </c>
      <c r="E492" s="1" t="n">
        <v>46227</v>
      </c>
      <c r="F492" t="inlineStr">
        <is>
          <t>GÄVLEBORGS LÄN</t>
        </is>
      </c>
      <c r="G492" t="inlineStr">
        <is>
          <t>SANDVIKEN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46095</v>
      </c>
      <c r="E493" s="1" t="n">
        <v>46227</v>
      </c>
      <c r="F493" t="inlineStr">
        <is>
          <t>GÄVLEBORGS LÄN</t>
        </is>
      </c>
      <c r="G493" t="inlineStr">
        <is>
          <t>SANDVIKEN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46227</v>
      </c>
      <c r="F494" t="inlineStr">
        <is>
          <t>GÄVLEBORGS LÄN</t>
        </is>
      </c>
      <c r="G494" t="inlineStr">
        <is>
          <t>SANDVIKEN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46227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46227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46227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45545</v>
      </c>
      <c r="E498" s="1" t="n">
        <v>46227</v>
      </c>
      <c r="F498" t="inlineStr">
        <is>
          <t>GÄVLEBORGS LÄN</t>
        </is>
      </c>
      <c r="G498" t="inlineStr">
        <is>
          <t>SANDVIKEN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46227</v>
      </c>
      <c r="F499" t="inlineStr">
        <is>
          <t>GÄVLEBORGS LÄN</t>
        </is>
      </c>
      <c r="G499" t="inlineStr">
        <is>
          <t>SANDVIKEN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46227</v>
      </c>
      <c r="F500" t="inlineStr">
        <is>
          <t>GÄVLEBORGS LÄN</t>
        </is>
      </c>
      <c r="G500" t="inlineStr">
        <is>
          <t>SANDVIKEN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46227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46227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46227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46101</v>
      </c>
      <c r="E504" s="1" t="n">
        <v>46227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46100</v>
      </c>
      <c r="E505" s="1" t="n">
        <v>46227</v>
      </c>
      <c r="F505" t="inlineStr">
        <is>
          <t>GÄVLEBORGS LÄN</t>
        </is>
      </c>
      <c r="G505" t="inlineStr">
        <is>
          <t>SANDVIKEN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14676-2026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46227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46227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46227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46227</v>
      </c>
      <c r="F509" t="inlineStr">
        <is>
          <t>GÄVLEBORGS LÄN</t>
        </is>
      </c>
      <c r="G509" t="inlineStr">
        <is>
          <t>SANDVIKEN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46227</v>
      </c>
      <c r="F510" t="inlineStr">
        <is>
          <t>GÄVLEBORGS LÄN</t>
        </is>
      </c>
      <c r="G510" t="inlineStr">
        <is>
          <t>SANDVIKEN</t>
        </is>
      </c>
      <c r="H510" t="inlineStr">
        <is>
          <t>Sveaskog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15778-2026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46227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46227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45483</v>
      </c>
      <c r="E513" s="1" t="n">
        <v>46227</v>
      </c>
      <c r="F513" t="inlineStr">
        <is>
          <t>GÄVLEBORGS LÄN</t>
        </is>
      </c>
      <c r="G513" t="inlineStr">
        <is>
          <t>SANDVIKEN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46227</v>
      </c>
      <c r="F514" t="inlineStr">
        <is>
          <t>GÄVLEBORGS LÄN</t>
        </is>
      </c>
      <c r="G514" t="inlineStr">
        <is>
          <t>SANDVIKEN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46227</v>
      </c>
      <c r="F515" t="inlineStr">
        <is>
          <t>GÄVLEBORGS LÄN</t>
        </is>
      </c>
      <c r="G515" t="inlineStr">
        <is>
          <t>SANDVIKEN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45343</v>
      </c>
      <c r="E516" s="1" t="n">
        <v>46227</v>
      </c>
      <c r="F516" t="inlineStr">
        <is>
          <t>GÄVLEBORGS LÄN</t>
        </is>
      </c>
      <c r="G516" t="inlineStr">
        <is>
          <t>SANDVIKEN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46227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46227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46227</v>
      </c>
      <c r="F519" t="inlineStr">
        <is>
          <t>GÄVLEBORGS LÄN</t>
        </is>
      </c>
      <c r="G519" t="inlineStr">
        <is>
          <t>SANDVIKEN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44988</v>
      </c>
      <c r="E520" s="1" t="n">
        <v>46227</v>
      </c>
      <c r="F520" t="inlineStr">
        <is>
          <t>GÄVLEBORGS LÄN</t>
        </is>
      </c>
      <c r="G520" t="inlineStr">
        <is>
          <t>SANDVIKEN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46227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46227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46227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46227</v>
      </c>
      <c r="F524" t="inlineStr">
        <is>
          <t>GÄVLEBORGS LÄN</t>
        </is>
      </c>
      <c r="G524" t="inlineStr">
        <is>
          <t>SANDVIKEN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16060-2026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46227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46227</v>
      </c>
      <c r="F526" t="inlineStr">
        <is>
          <t>GÄVLEBORGS LÄN</t>
        </is>
      </c>
      <c r="G526" t="inlineStr">
        <is>
          <t>SANDVIKEN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46227</v>
      </c>
      <c r="F527" t="inlineStr">
        <is>
          <t>GÄVLEBORGS LÄN</t>
        </is>
      </c>
      <c r="G527" t="inlineStr">
        <is>
          <t>SANDVIKEN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46227</v>
      </c>
      <c r="F528" t="inlineStr">
        <is>
          <t>GÄVLEBORGS LÄN</t>
        </is>
      </c>
      <c r="G528" t="inlineStr">
        <is>
          <t>SANDVIKEN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46227</v>
      </c>
      <c r="F529" t="inlineStr">
        <is>
          <t>GÄVLEBORGS LÄN</t>
        </is>
      </c>
      <c r="G529" t="inlineStr">
        <is>
          <t>SANDVIKEN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45666</v>
      </c>
      <c r="E530" s="1" t="n">
        <v>46227</v>
      </c>
      <c r="F530" t="inlineStr">
        <is>
          <t>GÄVLEBORGS LÄN</t>
        </is>
      </c>
      <c r="G530" t="inlineStr">
        <is>
          <t>SANDVIKEN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17166-2026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46115</v>
      </c>
      <c r="E531" s="1" t="n">
        <v>46227</v>
      </c>
      <c r="F531" t="inlineStr">
        <is>
          <t>GÄVLEBORGS LÄN</t>
        </is>
      </c>
      <c r="G531" t="inlineStr">
        <is>
          <t>SANDVIKEN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46115</v>
      </c>
      <c r="E532" s="1" t="n">
        <v>46227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46115</v>
      </c>
      <c r="E533" s="1" t="n">
        <v>46227</v>
      </c>
      <c r="F533" t="inlineStr">
        <is>
          <t>GÄVLEBORGS LÄN</t>
        </is>
      </c>
      <c r="G533" t="inlineStr">
        <is>
          <t>SANDVIKEN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17165-2026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46115</v>
      </c>
      <c r="E534" s="1" t="n">
        <v>46227</v>
      </c>
      <c r="F534" t="inlineStr">
        <is>
          <t>GÄVLEBORGS LÄN</t>
        </is>
      </c>
      <c r="G534" t="inlineStr">
        <is>
          <t>SANDVIKEN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46227</v>
      </c>
      <c r="F535" t="inlineStr">
        <is>
          <t>GÄVLEBORGS LÄN</t>
        </is>
      </c>
      <c r="G535" t="inlineStr">
        <is>
          <t>SANDVIKEN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46115</v>
      </c>
      <c r="E536" s="1" t="n">
        <v>46227</v>
      </c>
      <c r="F536" t="inlineStr">
        <is>
          <t>GÄVLEBORGS LÄN</t>
        </is>
      </c>
      <c r="G536" t="inlineStr">
        <is>
          <t>SANDVIKEN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46227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46119</v>
      </c>
      <c r="E538" s="1" t="n">
        <v>46227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46116</v>
      </c>
      <c r="E539" s="1" t="n">
        <v>46227</v>
      </c>
      <c r="F539" t="inlineStr">
        <is>
          <t>GÄVLEBORGS LÄN</t>
        </is>
      </c>
      <c r="G539" t="inlineStr">
        <is>
          <t>SANDVIKEN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46116</v>
      </c>
      <c r="E540" s="1" t="n">
        <v>46227</v>
      </c>
      <c r="F540" t="inlineStr">
        <is>
          <t>GÄVLEBORGS LÄN</t>
        </is>
      </c>
      <c r="G540" t="inlineStr">
        <is>
          <t>SANDVIKEN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46227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46115</v>
      </c>
      <c r="E542" s="1" t="n">
        <v>46227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17183-2026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46116</v>
      </c>
      <c r="E543" s="1" t="n">
        <v>46227</v>
      </c>
      <c r="F543" t="inlineStr">
        <is>
          <t>GÄVLEBORGS LÄN</t>
        </is>
      </c>
      <c r="G543" t="inlineStr">
        <is>
          <t>SANDVIKEN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46227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17363-2026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46227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17365-2026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46227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23539-2026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46163</v>
      </c>
      <c r="E547" s="1" t="n">
        <v>46227</v>
      </c>
      <c r="F547" t="inlineStr">
        <is>
          <t>GÄVLEBORGS LÄN</t>
        </is>
      </c>
      <c r="G547" t="inlineStr">
        <is>
          <t>SANDVIKEN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46227</v>
      </c>
      <c r="F548" t="inlineStr">
        <is>
          <t>GÄVLEBORGS LÄN</t>
        </is>
      </c>
      <c r="G548" t="inlineStr">
        <is>
          <t>SANDVIKEN</t>
        </is>
      </c>
      <c r="H548" t="inlineStr">
        <is>
          <t>Sveaskog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46121</v>
      </c>
      <c r="E549" s="1" t="n">
        <v>46227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17596-2026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46227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15788-2025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45748</v>
      </c>
      <c r="E551" s="1" t="n">
        <v>46227</v>
      </c>
      <c r="F551" t="inlineStr">
        <is>
          <t>GÄVLEBORGS LÄN</t>
        </is>
      </c>
      <c r="G551" t="inlineStr">
        <is>
          <t>SANDVIKEN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17859-2026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46227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47889-2022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44855</v>
      </c>
      <c r="E553" s="1" t="n">
        <v>46227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46227</v>
      </c>
      <c r="F554" t="inlineStr">
        <is>
          <t>GÄVLEBORGS LÄN</t>
        </is>
      </c>
      <c r="G554" t="inlineStr">
        <is>
          <t>SANDVIKEN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18219-2026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46126</v>
      </c>
      <c r="E555" s="1" t="n">
        <v>46227</v>
      </c>
      <c r="F555" t="inlineStr">
        <is>
          <t>GÄVLEBORGS LÄN</t>
        </is>
      </c>
      <c r="G555" t="inlineStr">
        <is>
          <t>SANDVIKEN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18218-2026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46126</v>
      </c>
      <c r="E556" s="1" t="n">
        <v>46227</v>
      </c>
      <c r="F556" t="inlineStr">
        <is>
          <t>GÄVLEBORGS LÄN</t>
        </is>
      </c>
      <c r="G556" t="inlineStr">
        <is>
          <t>SANDVIKEN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46126</v>
      </c>
      <c r="E557" s="1" t="n">
        <v>46227</v>
      </c>
      <c r="F557" t="inlineStr">
        <is>
          <t>GÄVLEBORGS LÄN</t>
        </is>
      </c>
      <c r="G557" t="inlineStr">
        <is>
          <t>SANDVIKEN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46227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19018-2026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46130</v>
      </c>
      <c r="E559" s="1" t="n">
        <v>46227</v>
      </c>
      <c r="F559" t="inlineStr">
        <is>
          <t>GÄVLEBORGS LÄN</t>
        </is>
      </c>
      <c r="G559" t="inlineStr">
        <is>
          <t>SANDVIKEN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46132</v>
      </c>
      <c r="E560" s="1" t="n">
        <v>46227</v>
      </c>
      <c r="F560" t="inlineStr">
        <is>
          <t>GÄVLEBORGS LÄN</t>
        </is>
      </c>
      <c r="G560" t="inlineStr">
        <is>
          <t>SANDVIKEN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46227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46227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45162</v>
      </c>
      <c r="E563" s="1" t="n">
        <v>46227</v>
      </c>
      <c r="F563" t="inlineStr">
        <is>
          <t>GÄVLEBORGS LÄN</t>
        </is>
      </c>
      <c r="G563" t="inlineStr">
        <is>
          <t>SANDVIKEN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46227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46227</v>
      </c>
      <c r="F565" t="inlineStr">
        <is>
          <t>GÄVLEBORGS LÄN</t>
        </is>
      </c>
      <c r="G565" t="inlineStr">
        <is>
          <t>SANDVIKEN</t>
        </is>
      </c>
      <c r="H565" t="inlineStr">
        <is>
          <t>Sveaskog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46227</v>
      </c>
      <c r="F566" t="inlineStr">
        <is>
          <t>GÄVLEBORGS LÄN</t>
        </is>
      </c>
      <c r="G566" t="inlineStr">
        <is>
          <t>SANDVIKEN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46227</v>
      </c>
      <c r="F567" t="inlineStr">
        <is>
          <t>GÄVLEBORGS LÄN</t>
        </is>
      </c>
      <c r="G567" t="inlineStr">
        <is>
          <t>SANDVIKEN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46227</v>
      </c>
      <c r="F568" t="inlineStr">
        <is>
          <t>GÄVLEBORGS LÄN</t>
        </is>
      </c>
      <c r="G568" t="inlineStr">
        <is>
          <t>SANDVIKEN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45112</v>
      </c>
      <c r="E569" s="1" t="n">
        <v>46227</v>
      </c>
      <c r="F569" t="inlineStr">
        <is>
          <t>GÄVLEBORGS LÄN</t>
        </is>
      </c>
      <c r="G569" t="inlineStr">
        <is>
          <t>SANDVIKEN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46227</v>
      </c>
      <c r="F570" t="inlineStr">
        <is>
          <t>GÄVLEBORGS LÄN</t>
        </is>
      </c>
      <c r="G570" t="inlineStr">
        <is>
          <t>SANDVIKEN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46091</v>
      </c>
      <c r="E571" s="1" t="n">
        <v>46227</v>
      </c>
      <c r="F571" t="inlineStr">
        <is>
          <t>GÄVLEBORGS LÄN</t>
        </is>
      </c>
      <c r="G571" t="inlineStr">
        <is>
          <t>SANDVIKEN</t>
        </is>
      </c>
      <c r="H571" t="inlineStr">
        <is>
          <t>Naturvårdsverket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18750-2026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46128</v>
      </c>
      <c r="E572" s="1" t="n">
        <v>46227</v>
      </c>
      <c r="F572" t="inlineStr">
        <is>
          <t>GÄVLEBORGS LÄN</t>
        </is>
      </c>
      <c r="G572" t="inlineStr">
        <is>
          <t>SANDVIKEN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44586</v>
      </c>
      <c r="E573" s="1" t="n">
        <v>46227</v>
      </c>
      <c r="F573" t="inlineStr">
        <is>
          <t>GÄVLEBORGS LÄN</t>
        </is>
      </c>
      <c r="G573" t="inlineStr">
        <is>
          <t>SANDVIKEN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46227</v>
      </c>
      <c r="F574" t="inlineStr">
        <is>
          <t>GÄVLEBORGS LÄN</t>
        </is>
      </c>
      <c r="G574" t="inlineStr">
        <is>
          <t>SANDVIKEN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46227</v>
      </c>
      <c r="F575" t="inlineStr">
        <is>
          <t>GÄVLEBORGS LÄN</t>
        </is>
      </c>
      <c r="G575" t="inlineStr">
        <is>
          <t>SANDVIKEN</t>
        </is>
      </c>
      <c r="H575" t="inlineStr">
        <is>
          <t>Naturvårdsverket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46129</v>
      </c>
      <c r="E576" s="1" t="n">
        <v>46227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46227</v>
      </c>
      <c r="F577" t="inlineStr">
        <is>
          <t>GÄVLEBORGS LÄN</t>
        </is>
      </c>
      <c r="G577" t="inlineStr">
        <is>
          <t>SANDVIKEN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18988-2026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46129</v>
      </c>
      <c r="E578" s="1" t="n">
        <v>46227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46129</v>
      </c>
      <c r="E579" s="1" t="n">
        <v>46227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46227</v>
      </c>
      <c r="F580" t="inlineStr">
        <is>
          <t>GÄVLEBORGS LÄN</t>
        </is>
      </c>
      <c r="G580" t="inlineStr">
        <is>
          <t>SANDVIKEN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46129</v>
      </c>
      <c r="E581" s="1" t="n">
        <v>46227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17818-2025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45758</v>
      </c>
      <c r="E582" s="1" t="n">
        <v>46227</v>
      </c>
      <c r="F582" t="inlineStr">
        <is>
          <t>GÄVLEBORGS LÄN</t>
        </is>
      </c>
      <c r="G582" t="inlineStr">
        <is>
          <t>SANDVIKEN</t>
        </is>
      </c>
      <c r="H582" t="inlineStr">
        <is>
          <t>Sveaskog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46227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46136</v>
      </c>
      <c r="E584" s="1" t="n">
        <v>46227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10.9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46227</v>
      </c>
      <c r="F585" t="inlineStr">
        <is>
          <t>GÄVLEBORGS LÄN</t>
        </is>
      </c>
      <c r="G585" t="inlineStr">
        <is>
          <t>SANDVIKEN</t>
        </is>
      </c>
      <c r="H585" t="inlineStr">
        <is>
          <t>Naturvårdsverket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19827-2026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46135</v>
      </c>
      <c r="E586" s="1" t="n">
        <v>46227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45299-2023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46227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59661-2024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45639</v>
      </c>
      <c r="E588" s="1" t="n">
        <v>46227</v>
      </c>
      <c r="F588" t="inlineStr">
        <is>
          <t>GÄVLEBORGS LÄN</t>
        </is>
      </c>
      <c r="G588" t="inlineStr">
        <is>
          <t>SANDVIKEN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72997-2021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44549</v>
      </c>
      <c r="E589" s="1" t="n">
        <v>46227</v>
      </c>
      <c r="F589" t="inlineStr">
        <is>
          <t>GÄVLEBORGS LÄN</t>
        </is>
      </c>
      <c r="G589" t="inlineStr">
        <is>
          <t>SANDVIKEN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46042</v>
      </c>
      <c r="E590" s="1" t="n">
        <v>46227</v>
      </c>
      <c r="F590" t="inlineStr">
        <is>
          <t>GÄVLEBORGS LÄN</t>
        </is>
      </c>
      <c r="G590" t="inlineStr">
        <is>
          <t>SANDVIKEN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46136</v>
      </c>
      <c r="E591" s="1" t="n">
        <v>46227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46227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46227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46227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46227</v>
      </c>
      <c r="F595" t="inlineStr">
        <is>
          <t>GÄVLEBORGS LÄN</t>
        </is>
      </c>
      <c r="G595" t="inlineStr">
        <is>
          <t>SANDVIKEN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38609-2022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44813</v>
      </c>
      <c r="E596" s="1" t="n">
        <v>46227</v>
      </c>
      <c r="F596" t="inlineStr">
        <is>
          <t>GÄVLEBORGS LÄN</t>
        </is>
      </c>
      <c r="G596" t="inlineStr">
        <is>
          <t>SANDVIKEN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46227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40745-2024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45558</v>
      </c>
      <c r="E598" s="1" t="n">
        <v>46227</v>
      </c>
      <c r="F598" t="inlineStr">
        <is>
          <t>GÄVLEBORGS LÄN</t>
        </is>
      </c>
      <c r="G598" t="inlineStr">
        <is>
          <t>SANDVIKEN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45541</v>
      </c>
      <c r="E599" s="1" t="n">
        <v>46227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45709</v>
      </c>
      <c r="E600" s="1" t="n">
        <v>46227</v>
      </c>
      <c r="F600" t="inlineStr">
        <is>
          <t>GÄVLEBORGS LÄN</t>
        </is>
      </c>
      <c r="G600" t="inlineStr">
        <is>
          <t>SANDVIKEN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7032-2025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45701</v>
      </c>
      <c r="E601" s="1" t="n">
        <v>46227</v>
      </c>
      <c r="F601" t="inlineStr">
        <is>
          <t>GÄVLEBORGS LÄN</t>
        </is>
      </c>
      <c r="G601" t="inlineStr">
        <is>
          <t>SANDVIKEN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46227</v>
      </c>
      <c r="F602" t="inlineStr">
        <is>
          <t>GÄVLEBORGS LÄN</t>
        </is>
      </c>
      <c r="G602" t="inlineStr">
        <is>
          <t>SANDVIKEN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44566</v>
      </c>
      <c r="E603" s="1" t="n">
        <v>46227</v>
      </c>
      <c r="F603" t="inlineStr">
        <is>
          <t>GÄVLEBORGS LÄN</t>
        </is>
      </c>
      <c r="G603" t="inlineStr">
        <is>
          <t>SANDVIKEN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45075</v>
      </c>
      <c r="E604" s="1" t="n">
        <v>46227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46227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45153</v>
      </c>
      <c r="E606" s="1" t="n">
        <v>46227</v>
      </c>
      <c r="F606" t="inlineStr">
        <is>
          <t>GÄVLEBORGS LÄN</t>
        </is>
      </c>
      <c r="G606" t="inlineStr">
        <is>
          <t>SANDVIKEN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46227</v>
      </c>
      <c r="F607" t="inlineStr">
        <is>
          <t>GÄVLEBORGS LÄN</t>
        </is>
      </c>
      <c r="G607" t="inlineStr">
        <is>
          <t>SANDVIKEN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8698-2024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45356</v>
      </c>
      <c r="E608" s="1" t="n">
        <v>46227</v>
      </c>
      <c r="F608" t="inlineStr">
        <is>
          <t>GÄVLEBORGS LÄN</t>
        </is>
      </c>
      <c r="G608" t="inlineStr">
        <is>
          <t>SANDVIKEN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56734-2021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44481</v>
      </c>
      <c r="E609" s="1" t="n">
        <v>46227</v>
      </c>
      <c r="F609" t="inlineStr">
        <is>
          <t>GÄVLEBORGS LÄN</t>
        </is>
      </c>
      <c r="G609" t="inlineStr">
        <is>
          <t>SANDVIKEN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46227</v>
      </c>
      <c r="F610" t="inlineStr">
        <is>
          <t>GÄVLEBORGS LÄN</t>
        </is>
      </c>
      <c r="G610" t="inlineStr">
        <is>
          <t>SANDVIKEN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45112</v>
      </c>
      <c r="E611" s="1" t="n">
        <v>46227</v>
      </c>
      <c r="F611" t="inlineStr">
        <is>
          <t>GÄVLEBORGS LÄN</t>
        </is>
      </c>
      <c r="G611" t="inlineStr">
        <is>
          <t>SANDVIKEN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45303</v>
      </c>
      <c r="E612" s="1" t="n">
        <v>46227</v>
      </c>
      <c r="F612" t="inlineStr">
        <is>
          <t>GÄVLEBORGS LÄN</t>
        </is>
      </c>
      <c r="G612" t="inlineStr">
        <is>
          <t>SANDVIKEN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46227</v>
      </c>
      <c r="F613" t="inlineStr">
        <is>
          <t>GÄVLEBORGS LÄN</t>
        </is>
      </c>
      <c r="G613" t="inlineStr">
        <is>
          <t>SANDVIKEN</t>
        </is>
      </c>
      <c r="I613" t="n">
        <v>10.1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59614-2024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45638</v>
      </c>
      <c r="E614" s="1" t="n">
        <v>46227</v>
      </c>
      <c r="F614" t="inlineStr">
        <is>
          <t>GÄVLEBORGS LÄN</t>
        </is>
      </c>
      <c r="G614" t="inlineStr">
        <is>
          <t>SANDVIKEN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46227</v>
      </c>
      <c r="F615" t="inlineStr">
        <is>
          <t>GÄVLEBORGS LÄN</t>
        </is>
      </c>
      <c r="G615" t="inlineStr">
        <is>
          <t>SANDVIKEN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46227</v>
      </c>
      <c r="F616" t="inlineStr">
        <is>
          <t>GÄVLEBORGS LÄN</t>
        </is>
      </c>
      <c r="G616" t="inlineStr">
        <is>
          <t>SANDVIKEN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27969-2024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45476</v>
      </c>
      <c r="E617" s="1" t="n">
        <v>46227</v>
      </c>
      <c r="F617" t="inlineStr">
        <is>
          <t>GÄVLEBORGS LÄN</t>
        </is>
      </c>
      <c r="G617" t="inlineStr">
        <is>
          <t>SANDVIKEN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7911-2026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46063</v>
      </c>
      <c r="E618" s="1" t="n">
        <v>46227</v>
      </c>
      <c r="F618" t="inlineStr">
        <is>
          <t>GÄVLEBORGS LÄN</t>
        </is>
      </c>
      <c r="G618" t="inlineStr">
        <is>
          <t>SANDVIKEN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46227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46227</v>
      </c>
      <c r="F620" t="inlineStr">
        <is>
          <t>GÄVLEBORGS LÄN</t>
        </is>
      </c>
      <c r="G620" t="inlineStr">
        <is>
          <t>SANDVIKEN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45673</v>
      </c>
      <c r="E621" s="1" t="n">
        <v>46227</v>
      </c>
      <c r="F621" t="inlineStr">
        <is>
          <t>GÄVLEBORGS LÄN</t>
        </is>
      </c>
      <c r="G621" t="inlineStr">
        <is>
          <t>SANDVIKEN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45735</v>
      </c>
      <c r="E622" s="1" t="n">
        <v>46227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21178-2025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45779</v>
      </c>
      <c r="E623" s="1" t="n">
        <v>46227</v>
      </c>
      <c r="F623" t="inlineStr">
        <is>
          <t>GÄVLEBORGS LÄN</t>
        </is>
      </c>
      <c r="G623" t="inlineStr">
        <is>
          <t>SANDVIKEN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37697-2022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44810</v>
      </c>
      <c r="E624" s="1" t="n">
        <v>46227</v>
      </c>
      <c r="F624" t="inlineStr">
        <is>
          <t>GÄVLEBORGS LÄN</t>
        </is>
      </c>
      <c r="G624" t="inlineStr">
        <is>
          <t>SANDVIKEN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49706-2023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45212</v>
      </c>
      <c r="E625" s="1" t="n">
        <v>46227</v>
      </c>
      <c r="F625" t="inlineStr">
        <is>
          <t>GÄVLEBORGS LÄN</t>
        </is>
      </c>
      <c r="G625" t="inlineStr">
        <is>
          <t>SANDVIKEN</t>
        </is>
      </c>
      <c r="H625" t="inlineStr">
        <is>
          <t>Sveaskog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54443-2024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46227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46227</v>
      </c>
      <c r="F627" t="inlineStr">
        <is>
          <t>GÄVLEBORGS LÄN</t>
        </is>
      </c>
      <c r="G627" t="inlineStr">
        <is>
          <t>SANDVIKEN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46227</v>
      </c>
      <c r="F628" t="inlineStr">
        <is>
          <t>GÄVLEBORGS LÄN</t>
        </is>
      </c>
      <c r="G628" t="inlineStr">
        <is>
          <t>SANDVIKEN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46065</v>
      </c>
      <c r="E629" s="1" t="n">
        <v>46227</v>
      </c>
      <c r="F629" t="inlineStr">
        <is>
          <t>GÄVLEBORGS LÄN</t>
        </is>
      </c>
      <c r="G629" t="inlineStr">
        <is>
          <t>SANDVIKEN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7924-2026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46227</v>
      </c>
      <c r="F630" t="inlineStr">
        <is>
          <t>GÄVLEBORGS LÄN</t>
        </is>
      </c>
      <c r="G630" t="inlineStr">
        <is>
          <t>SANDVIKEN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46227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45205</v>
      </c>
      <c r="E632" s="1" t="n">
        <v>46227</v>
      </c>
      <c r="F632" t="inlineStr">
        <is>
          <t>GÄVLEBORGS LÄN</t>
        </is>
      </c>
      <c r="G632" t="inlineStr">
        <is>
          <t>SANDVIKEN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48597-2023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45208</v>
      </c>
      <c r="E633" s="1" t="n">
        <v>46227</v>
      </c>
      <c r="F633" t="inlineStr">
        <is>
          <t>GÄVLEBORGS LÄN</t>
        </is>
      </c>
      <c r="G633" t="inlineStr">
        <is>
          <t>SANDVIKEN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46227</v>
      </c>
      <c r="F634" t="inlineStr">
        <is>
          <t>GÄVLEBORGS LÄN</t>
        </is>
      </c>
      <c r="G634" t="inlineStr">
        <is>
          <t>SANDVIKEN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46227</v>
      </c>
      <c r="F635" t="inlineStr">
        <is>
          <t>GÄVLEBORGS LÄN</t>
        </is>
      </c>
      <c r="G635" t="inlineStr">
        <is>
          <t>SANDVIKEN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46227</v>
      </c>
      <c r="F636" t="inlineStr">
        <is>
          <t>GÄVLEBORGS LÄN</t>
        </is>
      </c>
      <c r="G636" t="inlineStr">
        <is>
          <t>SANDVIKEN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46227</v>
      </c>
      <c r="F637" t="inlineStr">
        <is>
          <t>GÄVLEBORGS LÄN</t>
        </is>
      </c>
      <c r="G637" t="inlineStr">
        <is>
          <t>SANDVIKEN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46227</v>
      </c>
      <c r="F638" t="inlineStr">
        <is>
          <t>GÄVLEBORGS LÄN</t>
        </is>
      </c>
      <c r="G638" t="inlineStr">
        <is>
          <t>SANDVIKEN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36656-2024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45537</v>
      </c>
      <c r="E639" s="1" t="n">
        <v>46227</v>
      </c>
      <c r="F639" t="inlineStr">
        <is>
          <t>GÄVLEBORGS LÄN</t>
        </is>
      </c>
      <c r="G639" t="inlineStr">
        <is>
          <t>SANDVIKEN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46227</v>
      </c>
      <c r="F640" t="inlineStr">
        <is>
          <t>GÄVLEBORGS LÄN</t>
        </is>
      </c>
      <c r="G640" t="inlineStr">
        <is>
          <t>SANDVIKEN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46227</v>
      </c>
      <c r="F641" t="inlineStr">
        <is>
          <t>GÄVLEBORGS LÄN</t>
        </is>
      </c>
      <c r="G641" t="inlineStr">
        <is>
          <t>SANDVIKEN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45698</v>
      </c>
      <c r="E642" s="1" t="n">
        <v>46227</v>
      </c>
      <c r="F642" t="inlineStr">
        <is>
          <t>GÄVLEBORGS LÄN</t>
        </is>
      </c>
      <c r="G642" t="inlineStr">
        <is>
          <t>SANDVIKEN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48799-2023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45209</v>
      </c>
      <c r="E643" s="1" t="n">
        <v>46227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46038</v>
      </c>
      <c r="E644" s="1" t="n">
        <v>46227</v>
      </c>
      <c r="F644" t="inlineStr">
        <is>
          <t>GÄVLEBORGS LÄN</t>
        </is>
      </c>
      <c r="G644" t="inlineStr">
        <is>
          <t>SANDVIKEN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56036-2023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45240</v>
      </c>
      <c r="E645" s="1" t="n">
        <v>46227</v>
      </c>
      <c r="F645" t="inlineStr">
        <is>
          <t>GÄVLEBORGS LÄN</t>
        </is>
      </c>
      <c r="G645" t="inlineStr">
        <is>
          <t>SANDVIKEN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49209-2024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45595</v>
      </c>
      <c r="E646" s="1" t="n">
        <v>46227</v>
      </c>
      <c r="F646" t="inlineStr">
        <is>
          <t>GÄVLEBORGS LÄN</t>
        </is>
      </c>
      <c r="G646" t="inlineStr">
        <is>
          <t>SANDVIKEN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46227</v>
      </c>
      <c r="F647" t="inlineStr">
        <is>
          <t>GÄVLEBORGS LÄN</t>
        </is>
      </c>
      <c r="G647" t="inlineStr">
        <is>
          <t>SANDVIKEN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7599-2026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46061</v>
      </c>
      <c r="E648" s="1" t="n">
        <v>46227</v>
      </c>
      <c r="F648" t="inlineStr">
        <is>
          <t>GÄVLEBORGS LÄN</t>
        </is>
      </c>
      <c r="G648" t="inlineStr">
        <is>
          <t>SANDVIKEN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44717-2025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45917</v>
      </c>
      <c r="E649" s="1" t="n">
        <v>46227</v>
      </c>
      <c r="F649" t="inlineStr">
        <is>
          <t>GÄVLEBORGS LÄN</t>
        </is>
      </c>
      <c r="G649" t="inlineStr">
        <is>
          <t>SANDVIKEN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46046</v>
      </c>
      <c r="E650" s="1" t="n">
        <v>46227</v>
      </c>
      <c r="F650" t="inlineStr">
        <is>
          <t>GÄVLEBORGS LÄN</t>
        </is>
      </c>
      <c r="G650" t="inlineStr">
        <is>
          <t>SANDVIKEN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45728</v>
      </c>
      <c r="E651" s="1" t="n">
        <v>46227</v>
      </c>
      <c r="F651" t="inlineStr">
        <is>
          <t>GÄVLEBORGS LÄN</t>
        </is>
      </c>
      <c r="G651" t="inlineStr">
        <is>
          <t>SANDVIKEN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20618-2026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46227</v>
      </c>
      <c r="F652" t="inlineStr">
        <is>
          <t>GÄVLEBORGS LÄN</t>
        </is>
      </c>
      <c r="G652" t="inlineStr">
        <is>
          <t>SANDVIKEN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46058</v>
      </c>
      <c r="E653" s="1" t="n">
        <v>46227</v>
      </c>
      <c r="F653" t="inlineStr">
        <is>
          <t>GÄVLEBORGS LÄN</t>
        </is>
      </c>
      <c r="G653" t="inlineStr">
        <is>
          <t>SANDVIKEN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11894-2026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46085</v>
      </c>
      <c r="E654" s="1" t="n">
        <v>46227</v>
      </c>
      <c r="F654" t="inlineStr">
        <is>
          <t>GÄVLEBORGS LÄN</t>
        </is>
      </c>
      <c r="G654" t="inlineStr">
        <is>
          <t>SANDVIKEN</t>
        </is>
      </c>
      <c r="I654" t="n">
        <v>8.199999999999999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11205-2026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46080</v>
      </c>
      <c r="E655" s="1" t="n">
        <v>46227</v>
      </c>
      <c r="F655" t="inlineStr">
        <is>
          <t>GÄVLEBORGS LÄN</t>
        </is>
      </c>
      <c r="G655" t="inlineStr">
        <is>
          <t>SANDVIKEN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46036</v>
      </c>
      <c r="E656" s="1" t="n">
        <v>46227</v>
      </c>
      <c r="F656" t="inlineStr">
        <is>
          <t>GÄVLEBORGS LÄN</t>
        </is>
      </c>
      <c r="G656" t="inlineStr">
        <is>
          <t>SANDVIKEN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50900-2024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45602</v>
      </c>
      <c r="E657" s="1" t="n">
        <v>46227</v>
      </c>
      <c r="F657" t="inlineStr">
        <is>
          <t>GÄVLEBORGS LÄN</t>
        </is>
      </c>
      <c r="G657" t="inlineStr">
        <is>
          <t>SANDVIKEN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9139-2026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46227</v>
      </c>
      <c r="F658" t="inlineStr">
        <is>
          <t>GÄVLEBORGS LÄN</t>
        </is>
      </c>
      <c r="G658" t="inlineStr">
        <is>
          <t>SANDVIKEN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45645</v>
      </c>
      <c r="E659" s="1" t="n">
        <v>46227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38319-2025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45883</v>
      </c>
      <c r="E660" s="1" t="n">
        <v>46227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46227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46037</v>
      </c>
      <c r="E662" s="1" t="n">
        <v>46227</v>
      </c>
      <c r="F662" t="inlineStr">
        <is>
          <t>GÄVLEBORGS LÄN</t>
        </is>
      </c>
      <c r="G662" t="inlineStr">
        <is>
          <t>SANDVIKEN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45701</v>
      </c>
      <c r="E663" s="1" t="n">
        <v>46227</v>
      </c>
      <c r="F663" t="inlineStr">
        <is>
          <t>GÄVLEBORGS LÄN</t>
        </is>
      </c>
      <c r="G663" t="inlineStr">
        <is>
          <t>SANDVIKEN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7056-2025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46227</v>
      </c>
      <c r="F664" t="inlineStr">
        <is>
          <t>GÄVLEBORGS LÄN</t>
        </is>
      </c>
      <c r="G664" t="inlineStr">
        <is>
          <t>SANDVIKEN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46227</v>
      </c>
      <c r="F665" t="inlineStr">
        <is>
          <t>GÄVLEBORGS LÄN</t>
        </is>
      </c>
      <c r="G665" t="inlineStr">
        <is>
          <t>SANDVIKEN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53867-2024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46227</v>
      </c>
      <c r="F666" t="inlineStr">
        <is>
          <t>GÄVLEBORGS LÄN</t>
        </is>
      </c>
      <c r="G666" t="inlineStr">
        <is>
          <t>SANDVIKEN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19499-2026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46134</v>
      </c>
      <c r="E667" s="1" t="n">
        <v>46227</v>
      </c>
      <c r="F667" t="inlineStr">
        <is>
          <t>GÄVLEBORGS LÄN</t>
        </is>
      </c>
      <c r="G667" t="inlineStr">
        <is>
          <t>SANDVIKEN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15237-2026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46227</v>
      </c>
      <c r="F668" t="inlineStr">
        <is>
          <t>GÄVLEBORGS LÄN</t>
        </is>
      </c>
      <c r="G668" t="inlineStr">
        <is>
          <t>SANDVIKEN</t>
        </is>
      </c>
      <c r="I668" t="n">
        <v>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46227</v>
      </c>
      <c r="F669" t="inlineStr">
        <is>
          <t>GÄVLEBORGS LÄN</t>
        </is>
      </c>
      <c r="G669" t="inlineStr">
        <is>
          <t>SANDVIKEN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9603-2026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46227</v>
      </c>
      <c r="F670" t="inlineStr">
        <is>
          <t>GÄVLEBORGS LÄN</t>
        </is>
      </c>
      <c r="G670" t="inlineStr">
        <is>
          <t>SANDVIKEN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45688</v>
      </c>
      <c r="E671" s="1" t="n">
        <v>46227</v>
      </c>
      <c r="F671" t="inlineStr">
        <is>
          <t>GÄVLEBORGS LÄN</t>
        </is>
      </c>
      <c r="G671" t="inlineStr">
        <is>
          <t>SANDVIKEN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46043</v>
      </c>
      <c r="E672" s="1" t="n">
        <v>46227</v>
      </c>
      <c r="F672" t="inlineStr">
        <is>
          <t>GÄVLEBORGS LÄN</t>
        </is>
      </c>
      <c r="G672" t="inlineStr">
        <is>
          <t>SANDVIKEN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19269-2025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45769</v>
      </c>
      <c r="E673" s="1" t="n">
        <v>46227</v>
      </c>
      <c r="F673" t="inlineStr">
        <is>
          <t>GÄVLEBORGS LÄN</t>
        </is>
      </c>
      <c r="G673" t="inlineStr">
        <is>
          <t>SANDVIKEN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46227</v>
      </c>
      <c r="F674" t="inlineStr">
        <is>
          <t>GÄVLEBORGS LÄN</t>
        </is>
      </c>
      <c r="G674" t="inlineStr">
        <is>
          <t>SANDVIKEN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12427-2026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46227</v>
      </c>
      <c r="F675" t="inlineStr">
        <is>
          <t>GÄVLEBORGS LÄN</t>
        </is>
      </c>
      <c r="G675" t="inlineStr">
        <is>
          <t>SANDVIKEN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46227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46227</v>
      </c>
      <c r="F677" t="inlineStr">
        <is>
          <t>GÄVLEBORGS LÄN</t>
        </is>
      </c>
      <c r="G677" t="inlineStr">
        <is>
          <t>SANDVIKEN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9694-2026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46072</v>
      </c>
      <c r="E678" s="1" t="n">
        <v>46227</v>
      </c>
      <c r="F678" t="inlineStr">
        <is>
          <t>GÄVLEBORGS LÄN</t>
        </is>
      </c>
      <c r="G678" t="inlineStr">
        <is>
          <t>SANDVIKEN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46227</v>
      </c>
      <c r="F679" t="inlineStr">
        <is>
          <t>GÄVLEBORGS LÄN</t>
        </is>
      </c>
      <c r="G679" t="inlineStr">
        <is>
          <t>SANDVIKEN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46227</v>
      </c>
      <c r="F680" t="inlineStr">
        <is>
          <t>GÄVLEBORGS LÄN</t>
        </is>
      </c>
      <c r="G680" t="inlineStr">
        <is>
          <t>SANDVIKEN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58562-2023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45251</v>
      </c>
      <c r="E681" s="1" t="n">
        <v>46227</v>
      </c>
      <c r="F681" t="inlineStr">
        <is>
          <t>GÄVLEBORGS LÄN</t>
        </is>
      </c>
      <c r="G681" t="inlineStr">
        <is>
          <t>SANDVIKEN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45463</v>
      </c>
      <c r="E682" s="1" t="n">
        <v>46227</v>
      </c>
      <c r="F682" t="inlineStr">
        <is>
          <t>GÄVLEBORGS LÄN</t>
        </is>
      </c>
      <c r="G682" t="inlineStr">
        <is>
          <t>SANDVIKEN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53007-2023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45226</v>
      </c>
      <c r="E683" s="1" t="n">
        <v>46227</v>
      </c>
      <c r="F683" t="inlineStr">
        <is>
          <t>GÄVLEBORGS LÄN</t>
        </is>
      </c>
      <c r="G683" t="inlineStr">
        <is>
          <t>SANDVIKEN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26964-2026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46227</v>
      </c>
      <c r="F684" t="inlineStr">
        <is>
          <t>GÄVLEBORGS LÄN</t>
        </is>
      </c>
      <c r="G684" t="inlineStr">
        <is>
          <t>SANDVIKEN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46038</v>
      </c>
      <c r="E685" s="1" t="n">
        <v>46227</v>
      </c>
      <c r="F685" t="inlineStr">
        <is>
          <t>GÄVLEBORGS LÄN</t>
        </is>
      </c>
      <c r="G685" t="inlineStr">
        <is>
          <t>SANDVIKEN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46227</v>
      </c>
      <c r="F686" t="inlineStr">
        <is>
          <t>GÄVLEBORGS LÄN</t>
        </is>
      </c>
      <c r="G686" t="inlineStr">
        <is>
          <t>SANDVIKEN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36646-2022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44804</v>
      </c>
      <c r="E687" s="1" t="n">
        <v>46227</v>
      </c>
      <c r="F687" t="inlineStr">
        <is>
          <t>GÄVLEBORGS LÄN</t>
        </is>
      </c>
      <c r="G687" t="inlineStr">
        <is>
          <t>SANDVIKEN</t>
        </is>
      </c>
      <c r="I687" t="n">
        <v>9.199999999999999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46227</v>
      </c>
      <c r="F688" t="inlineStr">
        <is>
          <t>GÄVLEBORGS LÄN</t>
        </is>
      </c>
      <c r="G688" t="inlineStr">
        <is>
          <t>SANDVIKEN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16683-2024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45408</v>
      </c>
      <c r="E689" s="1" t="n">
        <v>46227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väst AB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26818-2026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46227</v>
      </c>
      <c r="F690" t="inlineStr">
        <is>
          <t>GÄVLEBORGS LÄN</t>
        </is>
      </c>
      <c r="G690" t="inlineStr">
        <is>
          <t>SANDVIKEN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46227</v>
      </c>
      <c r="F691" t="inlineStr">
        <is>
          <t>GÄVLEBORGS LÄN</t>
        </is>
      </c>
      <c r="G691" t="inlineStr">
        <is>
          <t>SANDVIKEN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20917-2026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46142</v>
      </c>
      <c r="E692" s="1" t="n">
        <v>46227</v>
      </c>
      <c r="F692" t="inlineStr">
        <is>
          <t>GÄVLEBORGS LÄN</t>
        </is>
      </c>
      <c r="G692" t="inlineStr">
        <is>
          <t>SANDVIKEN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46115</v>
      </c>
      <c r="E693" s="1" t="n">
        <v>46227</v>
      </c>
      <c r="F693" t="inlineStr">
        <is>
          <t>GÄVLEBORGS LÄN</t>
        </is>
      </c>
      <c r="G693" t="inlineStr">
        <is>
          <t>SANDVIKEN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27588-2026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46190</v>
      </c>
      <c r="E694" s="1" t="n">
        <v>46227</v>
      </c>
      <c r="F694" t="inlineStr">
        <is>
          <t>GÄVLEBORGS LÄN</t>
        </is>
      </c>
      <c r="G694" t="inlineStr">
        <is>
          <t>SANDVIKEN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46227</v>
      </c>
      <c r="F695" t="inlineStr">
        <is>
          <t>GÄVLEBORGS LÄN</t>
        </is>
      </c>
      <c r="G695" t="inlineStr">
        <is>
          <t>SANDVIKEN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46147</v>
      </c>
      <c r="E696" s="1" t="n">
        <v>46227</v>
      </c>
      <c r="F696" t="inlineStr">
        <is>
          <t>GÄVLEBORGS LÄN</t>
        </is>
      </c>
      <c r="G696" t="inlineStr">
        <is>
          <t>SANDVIKEN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21295-2026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46227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46227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27967-2022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44744</v>
      </c>
      <c r="E699" s="1" t="n">
        <v>46227</v>
      </c>
      <c r="F699" t="inlineStr">
        <is>
          <t>GÄVLEBORGS LÄN</t>
        </is>
      </c>
      <c r="G699" t="inlineStr">
        <is>
          <t>SANDVIKEN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21343-2026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46227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46147</v>
      </c>
      <c r="E701" s="1" t="n">
        <v>46227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46150</v>
      </c>
      <c r="E702" s="1" t="n">
        <v>46227</v>
      </c>
      <c r="F702" t="inlineStr">
        <is>
          <t>GÄVLEBORGS LÄN</t>
        </is>
      </c>
      <c r="G702" t="inlineStr">
        <is>
          <t>SANDVIKEN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57609-2023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45246</v>
      </c>
      <c r="E703" s="1" t="n">
        <v>46227</v>
      </c>
      <c r="F703" t="inlineStr">
        <is>
          <t>GÄVLEBORGS LÄN</t>
        </is>
      </c>
      <c r="G703" t="inlineStr">
        <is>
          <t>SANDVIKEN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27743-2026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46191</v>
      </c>
      <c r="E704" s="1" t="n">
        <v>46227</v>
      </c>
      <c r="F704" t="inlineStr">
        <is>
          <t>GÄVLEBORGS LÄN</t>
        </is>
      </c>
      <c r="G704" t="inlineStr">
        <is>
          <t>SANDVIKEN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45321</v>
      </c>
      <c r="E705" s="1" t="n">
        <v>46227</v>
      </c>
      <c r="F705" t="inlineStr">
        <is>
          <t>GÄVLEBORGS LÄN</t>
        </is>
      </c>
      <c r="G705" t="inlineStr">
        <is>
          <t>SANDVIKEN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35252-2024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45530</v>
      </c>
      <c r="E706" s="1" t="n">
        <v>46227</v>
      </c>
      <c r="F706" t="inlineStr">
        <is>
          <t>GÄVLEBORGS LÄN</t>
        </is>
      </c>
      <c r="G706" t="inlineStr">
        <is>
          <t>SANDVIKEN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28344-2026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46227</v>
      </c>
      <c r="F707" t="inlineStr">
        <is>
          <t>GÄVLEBORGS LÄN</t>
        </is>
      </c>
      <c r="G707" t="inlineStr">
        <is>
          <t>SANDVIKEN</t>
        </is>
      </c>
      <c r="H707" t="inlineStr">
        <is>
          <t>Sveaskog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46227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22008-2026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46153</v>
      </c>
      <c r="E709" s="1" t="n">
        <v>46227</v>
      </c>
      <c r="F709" t="inlineStr">
        <is>
          <t>GÄVLEBORGS LÄN</t>
        </is>
      </c>
      <c r="G709" t="inlineStr">
        <is>
          <t>SANDVIKEN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45989-2023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45196</v>
      </c>
      <c r="E710" s="1" t="n">
        <v>46227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46227</v>
      </c>
      <c r="F711" t="inlineStr">
        <is>
          <t>GÄVLEBORGS LÄN</t>
        </is>
      </c>
      <c r="G711" t="inlineStr">
        <is>
          <t>SANDVIKEN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12120-2026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46086</v>
      </c>
      <c r="E712" s="1" t="n">
        <v>46227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34946-2022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44796</v>
      </c>
      <c r="E713" s="1" t="n">
        <v>46227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46227</v>
      </c>
      <c r="F714" t="inlineStr">
        <is>
          <t>GÄVLEBORGS LÄN</t>
        </is>
      </c>
      <c r="G714" t="inlineStr">
        <is>
          <t>SANDVIKEN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56017-2023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45240</v>
      </c>
      <c r="E715" s="1" t="n">
        <v>46227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22205-2026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46153</v>
      </c>
      <c r="E716" s="1" t="n">
        <v>46227</v>
      </c>
      <c r="F716" t="inlineStr">
        <is>
          <t>GÄVLEBORGS LÄN</t>
        </is>
      </c>
      <c r="G716" t="inlineStr">
        <is>
          <t>SANDVIKEN</t>
        </is>
      </c>
      <c r="H716" t="inlineStr">
        <is>
          <t>Sveaskog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46227</v>
      </c>
      <c r="F717" t="inlineStr">
        <is>
          <t>GÄVLEBORGS LÄN</t>
        </is>
      </c>
      <c r="G717" t="inlineStr">
        <is>
          <t>SANDVIKEN</t>
        </is>
      </c>
      <c r="H717" t="inlineStr">
        <is>
          <t>Sveaskog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46151</v>
      </c>
      <c r="E718" s="1" t="n">
        <v>46227</v>
      </c>
      <c r="F718" t="inlineStr">
        <is>
          <t>GÄVLEBORGS LÄN</t>
        </is>
      </c>
      <c r="G718" t="inlineStr">
        <is>
          <t>SANDVIKEN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46227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45920-2022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44846</v>
      </c>
      <c r="E720" s="1" t="n">
        <v>46227</v>
      </c>
      <c r="F720" t="inlineStr">
        <is>
          <t>GÄVLEBORGS LÄN</t>
        </is>
      </c>
      <c r="G720" t="inlineStr">
        <is>
          <t>SANDVIKEN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46050</v>
      </c>
      <c r="E721" s="1" t="n">
        <v>46227</v>
      </c>
      <c r="F721" t="inlineStr">
        <is>
          <t>GÄVLEBORGS LÄN</t>
        </is>
      </c>
      <c r="G721" t="inlineStr">
        <is>
          <t>SANDVIKEN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36671-2023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45153</v>
      </c>
      <c r="E722" s="1" t="n">
        <v>46227</v>
      </c>
      <c r="F722" t="inlineStr">
        <is>
          <t>GÄVLEBORGS LÄN</t>
        </is>
      </c>
      <c r="G722" t="inlineStr">
        <is>
          <t>SANDVIKEN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29928-2024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45488</v>
      </c>
      <c r="E723" s="1" t="n">
        <v>46227</v>
      </c>
      <c r="F723" t="inlineStr">
        <is>
          <t>GÄVLEBORGS LÄN</t>
        </is>
      </c>
      <c r="G723" t="inlineStr">
        <is>
          <t>SANDVIKEN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11089-2026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46227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46153</v>
      </c>
      <c r="E725" s="1" t="n">
        <v>46227</v>
      </c>
      <c r="F725" t="inlineStr">
        <is>
          <t>GÄVLEBORGS LÄN</t>
        </is>
      </c>
      <c r="G725" t="inlineStr">
        <is>
          <t>SANDVIKEN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46227</v>
      </c>
      <c r="F726" t="inlineStr">
        <is>
          <t>GÄVLEBORGS LÄN</t>
        </is>
      </c>
      <c r="G726" t="inlineStr">
        <is>
          <t>SANDVIKEN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3679-2022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44586</v>
      </c>
      <c r="E727" s="1" t="n">
        <v>46227</v>
      </c>
      <c r="F727" t="inlineStr">
        <is>
          <t>GÄVLEBORGS LÄN</t>
        </is>
      </c>
      <c r="G727" t="inlineStr">
        <is>
          <t>SANDVIKEN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64801-2023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45282</v>
      </c>
      <c r="E728" s="1" t="n">
        <v>46227</v>
      </c>
      <c r="F728" t="inlineStr">
        <is>
          <t>GÄVLEBORGS LÄN</t>
        </is>
      </c>
      <c r="G728" t="inlineStr">
        <is>
          <t>SANDVIKEN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46035</v>
      </c>
      <c r="E729" s="1" t="n">
        <v>46227</v>
      </c>
      <c r="F729" t="inlineStr">
        <is>
          <t>GÄVLEBORGS LÄN</t>
        </is>
      </c>
      <c r="G729" t="inlineStr">
        <is>
          <t>SANDVIKEN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48765-2021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44452</v>
      </c>
      <c r="E730" s="1" t="n">
        <v>46227</v>
      </c>
      <c r="F730" t="inlineStr">
        <is>
          <t>GÄVLEBORGS LÄN</t>
        </is>
      </c>
      <c r="G730" t="inlineStr">
        <is>
          <t>SANDVIKEN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61363-2023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45264</v>
      </c>
      <c r="E731" s="1" t="n">
        <v>46227</v>
      </c>
      <c r="F731" t="inlineStr">
        <is>
          <t>GÄVLEBORGS LÄN</t>
        </is>
      </c>
      <c r="G731" t="inlineStr">
        <is>
          <t>SANDVIKEN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45265</v>
      </c>
      <c r="E732" s="1" t="n">
        <v>46227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46227</v>
      </c>
      <c r="F733" t="inlineStr">
        <is>
          <t>GÄVLEBORGS LÄN</t>
        </is>
      </c>
      <c r="G733" t="inlineStr">
        <is>
          <t>SANDVIKEN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16012-2026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46108</v>
      </c>
      <c r="E734" s="1" t="n">
        <v>46227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45293</v>
      </c>
      <c r="E735" s="1" t="n">
        <v>46227</v>
      </c>
      <c r="F735" t="inlineStr">
        <is>
          <t>GÄVLEBORGS LÄN</t>
        </is>
      </c>
      <c r="G735" t="inlineStr">
        <is>
          <t>SANDVIKEN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45293</v>
      </c>
      <c r="E736" s="1" t="n">
        <v>46227</v>
      </c>
      <c r="F736" t="inlineStr">
        <is>
          <t>GÄVLEBORGS LÄN</t>
        </is>
      </c>
      <c r="G736" t="inlineStr">
        <is>
          <t>SANDVIKEN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46227</v>
      </c>
      <c r="F737" t="inlineStr">
        <is>
          <t>GÄVLEBORGS LÄN</t>
        </is>
      </c>
      <c r="G737" t="inlineStr">
        <is>
          <t>SANDVIKEN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45660</v>
      </c>
      <c r="E738" s="1" t="n">
        <v>46227</v>
      </c>
      <c r="F738" t="inlineStr">
        <is>
          <t>GÄVLEBORGS LÄN</t>
        </is>
      </c>
      <c r="G738" t="inlineStr">
        <is>
          <t>SANDVIKEN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46202</v>
      </c>
      <c r="E739" s="1" t="n">
        <v>46227</v>
      </c>
      <c r="F739" t="inlineStr">
        <is>
          <t>GÄVLEBORGS LÄN</t>
        </is>
      </c>
      <c r="G739" t="inlineStr">
        <is>
          <t>SANDVIKEN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37458-2024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45540</v>
      </c>
      <c r="E740" s="1" t="n">
        <v>46227</v>
      </c>
      <c r="F740" t="inlineStr">
        <is>
          <t>GÄVLEBORGS LÄN</t>
        </is>
      </c>
      <c r="G740" t="inlineStr">
        <is>
          <t>SANDVIKEN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46227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26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16102-2026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46108</v>
      </c>
      <c r="E742" s="1" t="n">
        <v>46227</v>
      </c>
      <c r="F742" t="inlineStr">
        <is>
          <t>GÄVLEBORGS LÄN</t>
        </is>
      </c>
      <c r="G742" t="inlineStr">
        <is>
          <t>SANDVIKEN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29115-2026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46201</v>
      </c>
      <c r="E743" s="1" t="n">
        <v>46227</v>
      </c>
      <c r="F743" t="inlineStr">
        <is>
          <t>GÄVLEBORGS LÄN</t>
        </is>
      </c>
      <c r="G743" t="inlineStr">
        <is>
          <t>SANDVIKEN</t>
        </is>
      </c>
      <c r="H743" t="inlineStr">
        <is>
          <t>Kommuner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46227</v>
      </c>
      <c r="F744" t="inlineStr">
        <is>
          <t>GÄVLEBORGS LÄN</t>
        </is>
      </c>
      <c r="G744" t="inlineStr">
        <is>
          <t>SANDVIKEN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27533-2026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46227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45221-2021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44439</v>
      </c>
      <c r="E746" s="1" t="n">
        <v>46227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60798-2023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45260</v>
      </c>
      <c r="E747" s="1" t="n">
        <v>46227</v>
      </c>
      <c r="F747" t="inlineStr">
        <is>
          <t>GÄVLEBORGS LÄN</t>
        </is>
      </c>
      <c r="G747" t="inlineStr">
        <is>
          <t>SANDVIKEN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71995-2021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44544</v>
      </c>
      <c r="E748" s="1" t="n">
        <v>46227</v>
      </c>
      <c r="F748" t="inlineStr">
        <is>
          <t>GÄVLEBORGS LÄN</t>
        </is>
      </c>
      <c r="G748" t="inlineStr">
        <is>
          <t>SANDVIKEN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22851-2026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46160</v>
      </c>
      <c r="E749" s="1" t="n">
        <v>46227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46115</v>
      </c>
      <c r="E750" s="1" t="n">
        <v>46227</v>
      </c>
      <c r="F750" t="inlineStr">
        <is>
          <t>GÄVLEBORGS LÄN</t>
        </is>
      </c>
      <c r="G750" t="inlineStr">
        <is>
          <t>SANDVIKEN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46204</v>
      </c>
      <c r="E751" s="1" t="n">
        <v>46227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11438-2023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44988</v>
      </c>
      <c r="E752" s="1" t="n">
        <v>46227</v>
      </c>
      <c r="F752" t="inlineStr">
        <is>
          <t>GÄVLEBORGS LÄN</t>
        </is>
      </c>
      <c r="G752" t="inlineStr">
        <is>
          <t>SANDVIKEN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11447-2023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44988</v>
      </c>
      <c r="E753" s="1" t="n">
        <v>46227</v>
      </c>
      <c r="F753" t="inlineStr">
        <is>
          <t>GÄVLEBORGS LÄN</t>
        </is>
      </c>
      <c r="G753" t="inlineStr">
        <is>
          <t>SANDVIKEN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29661-2026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46227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29681-2026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46204</v>
      </c>
      <c r="E755" s="1" t="n">
        <v>46227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23228-2026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46162</v>
      </c>
      <c r="E756" s="1" t="n">
        <v>46227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16258-2023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45022</v>
      </c>
      <c r="E757" s="1" t="n">
        <v>46227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väst AB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11778-2024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45374</v>
      </c>
      <c r="E758" s="1" t="n">
        <v>46227</v>
      </c>
      <c r="F758" t="inlineStr">
        <is>
          <t>GÄVLEBORGS LÄN</t>
        </is>
      </c>
      <c r="G758" t="inlineStr">
        <is>
          <t>SANDVIKEN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11897-2024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45376</v>
      </c>
      <c r="E759" s="1" t="n">
        <v>46227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42069-2024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46227</v>
      </c>
      <c r="F760" t="inlineStr">
        <is>
          <t>GÄVLEBORGS LÄN</t>
        </is>
      </c>
      <c r="G760" t="inlineStr">
        <is>
          <t>SANDVIKEN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23144-2026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46161</v>
      </c>
      <c r="E761" s="1" t="n">
        <v>46227</v>
      </c>
      <c r="F761" t="inlineStr">
        <is>
          <t>GÄVLEBORGS LÄN</t>
        </is>
      </c>
      <c r="G761" t="inlineStr">
        <is>
          <t>SANDVIKEN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29717-2026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46227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46227</v>
      </c>
      <c r="F763" t="inlineStr">
        <is>
          <t>GÄVLEBORGS LÄN</t>
        </is>
      </c>
      <c r="G763" t="inlineStr">
        <is>
          <t>SANDVIKEN</t>
        </is>
      </c>
      <c r="H763" t="inlineStr">
        <is>
          <t>Naturvårdsverket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62642-2023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45271</v>
      </c>
      <c r="E764" s="1" t="n">
        <v>46227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46227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46204</v>
      </c>
      <c r="E766" s="1" t="n">
        <v>46227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29715-2026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46227</v>
      </c>
      <c r="F767" t="inlineStr">
        <is>
          <t>GÄVLEBORGS LÄN</t>
        </is>
      </c>
      <c r="G767" t="inlineStr">
        <is>
          <t>SANDVIKEN</t>
        </is>
      </c>
      <c r="H767" t="inlineStr">
        <is>
          <t>Naturvårdsverket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46227</v>
      </c>
      <c r="F768" t="inlineStr">
        <is>
          <t>GÄVLEBORGS LÄN</t>
        </is>
      </c>
      <c r="G768" t="inlineStr">
        <is>
          <t>SANDVIKEN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46034</v>
      </c>
      <c r="E769" s="1" t="n">
        <v>46227</v>
      </c>
      <c r="F769" t="inlineStr">
        <is>
          <t>GÄVLEBORGS LÄN</t>
        </is>
      </c>
      <c r="G769" t="inlineStr">
        <is>
          <t>SANDVIKEN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46227</v>
      </c>
      <c r="F770" t="inlineStr">
        <is>
          <t>GÄVLEBORGS LÄN</t>
        </is>
      </c>
      <c r="G770" t="inlineStr">
        <is>
          <t>SANDVIKEN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15769-2026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46227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22238-2023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45070</v>
      </c>
      <c r="E772" s="1" t="n">
        <v>46227</v>
      </c>
      <c r="F772" t="inlineStr">
        <is>
          <t>GÄVLEBORGS LÄN</t>
        </is>
      </c>
      <c r="G772" t="inlineStr">
        <is>
          <t>SANDVIKEN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23085-2023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45075</v>
      </c>
      <c r="E773" s="1" t="n">
        <v>46227</v>
      </c>
      <c r="F773" t="inlineStr">
        <is>
          <t>GÄVLEBORGS LÄN</t>
        </is>
      </c>
      <c r="G773" t="inlineStr">
        <is>
          <t>SANDVIKEN</t>
        </is>
      </c>
      <c r="I773" t="n">
        <v>8.300000000000001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29842-2026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46205</v>
      </c>
      <c r="E774" s="1" t="n">
        <v>46227</v>
      </c>
      <c r="F774" t="inlineStr">
        <is>
          <t>GÄVLEBORGS LÄN</t>
        </is>
      </c>
      <c r="G774" t="inlineStr">
        <is>
          <t>SANDVIKEN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46163</v>
      </c>
      <c r="E775" s="1" t="n">
        <v>46227</v>
      </c>
      <c r="F775" t="inlineStr">
        <is>
          <t>GÄVLEBORGS LÄN</t>
        </is>
      </c>
      <c r="G775" t="inlineStr">
        <is>
          <t>SANDVIKEN</t>
        </is>
      </c>
      <c r="H775" t="inlineStr">
        <is>
          <t>Övriga statliga verk och myndigheter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46227</v>
      </c>
      <c r="F776" t="inlineStr">
        <is>
          <t>GÄVLEBORGS LÄN</t>
        </is>
      </c>
      <c r="G776" t="inlineStr">
        <is>
          <t>SANDVIKEN</t>
        </is>
      </c>
      <c r="H776" t="inlineStr">
        <is>
          <t>Övriga statliga verk och myndigheter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46030</v>
      </c>
      <c r="E777" s="1" t="n">
        <v>46227</v>
      </c>
      <c r="F777" t="inlineStr">
        <is>
          <t>GÄVLEBORGS LÄN</t>
        </is>
      </c>
      <c r="G777" t="inlineStr">
        <is>
          <t>SANDVIKEN</t>
        </is>
      </c>
      <c r="I777" t="n">
        <v>14.2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46227</v>
      </c>
      <c r="F778" t="inlineStr">
        <is>
          <t>GÄVLEBORGS LÄN</t>
        </is>
      </c>
      <c r="G778" t="inlineStr">
        <is>
          <t>SANDVIKEN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36833-2022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44805</v>
      </c>
      <c r="E779" s="1" t="n">
        <v>46227</v>
      </c>
      <c r="F779" t="inlineStr">
        <is>
          <t>GÄVLEBORGS LÄN</t>
        </is>
      </c>
      <c r="G779" t="inlineStr">
        <is>
          <t>SANDVIKEN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46205</v>
      </c>
      <c r="E780" s="1" t="n">
        <v>46227</v>
      </c>
      <c r="F780" t="inlineStr">
        <is>
          <t>GÄVLEBORGS LÄN</t>
        </is>
      </c>
      <c r="G780" t="inlineStr">
        <is>
          <t>SANDVIKEN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14840-2022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44656</v>
      </c>
      <c r="E781" s="1" t="n">
        <v>46227</v>
      </c>
      <c r="F781" t="inlineStr">
        <is>
          <t>GÄVLEBORGS LÄN</t>
        </is>
      </c>
      <c r="G781" t="inlineStr">
        <is>
          <t>SANDVIKEN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23459-2026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46163</v>
      </c>
      <c r="E782" s="1" t="n">
        <v>46227</v>
      </c>
      <c r="F782" t="inlineStr">
        <is>
          <t>GÄVLEBORGS LÄN</t>
        </is>
      </c>
      <c r="G782" t="inlineStr">
        <is>
          <t>SANDVIKEN</t>
        </is>
      </c>
      <c r="H782" t="inlineStr">
        <is>
          <t>Övriga statliga verk och myndigheter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23471-2026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46163</v>
      </c>
      <c r="E783" s="1" t="n">
        <v>46227</v>
      </c>
      <c r="F783" t="inlineStr">
        <is>
          <t>GÄVLEBORGS LÄN</t>
        </is>
      </c>
      <c r="G783" t="inlineStr">
        <is>
          <t>SANDVIKEN</t>
        </is>
      </c>
      <c r="H783" t="inlineStr">
        <is>
          <t>Övriga statliga verk och myndigheter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46227</v>
      </c>
      <c r="F784" t="inlineStr">
        <is>
          <t>GÄVLEBORGS LÄN</t>
        </is>
      </c>
      <c r="G784" t="inlineStr">
        <is>
          <t>SANDVIKEN</t>
        </is>
      </c>
      <c r="H784" t="inlineStr">
        <is>
          <t>Övriga statliga verk och myndigheter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15674-2024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45404</v>
      </c>
      <c r="E785" s="1" t="n">
        <v>46227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23217-2023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45075</v>
      </c>
      <c r="E786" s="1" t="n">
        <v>46227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56150-2023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46227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46165</v>
      </c>
      <c r="E788" s="1" t="n">
        <v>46227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46165</v>
      </c>
      <c r="E789" s="1" t="n">
        <v>46227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23822-2026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46165</v>
      </c>
      <c r="E790" s="1" t="n">
        <v>46227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23848-2026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46167</v>
      </c>
      <c r="E791" s="1" t="n">
        <v>46227</v>
      </c>
      <c r="F791" t="inlineStr">
        <is>
          <t>GÄVLEBORGS LÄN</t>
        </is>
      </c>
      <c r="G791" t="inlineStr">
        <is>
          <t>SANDVIKEN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46168</v>
      </c>
      <c r="E792" s="1" t="n">
        <v>46227</v>
      </c>
      <c r="F792" t="inlineStr">
        <is>
          <t>GÄVLEBORGS LÄN</t>
        </is>
      </c>
      <c r="G792" t="inlineStr">
        <is>
          <t>SANDVIKEN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46165</v>
      </c>
      <c r="E793" s="1" t="n">
        <v>46227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39566-2022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44818</v>
      </c>
      <c r="E794" s="1" t="n">
        <v>46227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46165</v>
      </c>
      <c r="E795" s="1" t="n">
        <v>46227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24149-2026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46227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46227</v>
      </c>
      <c r="F797" t="inlineStr">
        <is>
          <t>GÄVLEBORGS LÄN</t>
        </is>
      </c>
      <c r="G797" t="inlineStr">
        <is>
          <t>SANDVIKEN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46227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46227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46169</v>
      </c>
      <c r="E800" s="1" t="n">
        <v>46227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15340-2026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46105</v>
      </c>
      <c r="E801" s="1" t="n">
        <v>46227</v>
      </c>
      <c r="F801" t="inlineStr">
        <is>
          <t>GÄVLEBORGS LÄN</t>
        </is>
      </c>
      <c r="G801" t="inlineStr">
        <is>
          <t>SANDVIKEN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24261-2026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46227</v>
      </c>
      <c r="F802" t="inlineStr">
        <is>
          <t>GÄVLEBORGS LÄN</t>
        </is>
      </c>
      <c r="G802" t="inlineStr">
        <is>
          <t>SANDVIKEN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46169</v>
      </c>
      <c r="E803" s="1" t="n">
        <v>46227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8.9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24356-2026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46227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5960-2026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46227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45103</v>
      </c>
      <c r="E806" s="1" t="n">
        <v>46227</v>
      </c>
      <c r="F806" t="inlineStr">
        <is>
          <t>GÄVLEBORGS LÄN</t>
        </is>
      </c>
      <c r="G806" t="inlineStr">
        <is>
          <t>SANDVIKEN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12417-2025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45730</v>
      </c>
      <c r="E807" s="1" t="n">
        <v>46227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12418-2025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45730</v>
      </c>
      <c r="E808" s="1" t="n">
        <v>46227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45320</v>
      </c>
      <c r="E809" s="1" t="n">
        <v>46227</v>
      </c>
      <c r="F809" t="inlineStr">
        <is>
          <t>GÄVLEBORGS LÄN</t>
        </is>
      </c>
      <c r="G809" t="inlineStr">
        <is>
          <t>SANDVIKEN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29620-2026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46227</v>
      </c>
      <c r="F810" t="inlineStr">
        <is>
          <t>GÄVLEBORGS LÄN</t>
        </is>
      </c>
      <c r="G810" t="inlineStr">
        <is>
          <t>SANDVIKEN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45668</v>
      </c>
      <c r="E811" s="1" t="n">
        <v>46227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62459-2023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45268</v>
      </c>
      <c r="E812" s="1" t="n">
        <v>46227</v>
      </c>
      <c r="F812" t="inlineStr">
        <is>
          <t>GÄVLEBORGS LÄN</t>
        </is>
      </c>
      <c r="G812" t="inlineStr">
        <is>
          <t>SANDVIKEN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21456-2023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45063</v>
      </c>
      <c r="E813" s="1" t="n">
        <v>46227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24650-2026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46171</v>
      </c>
      <c r="E814" s="1" t="n">
        <v>46227</v>
      </c>
      <c r="F814" t="inlineStr">
        <is>
          <t>GÄVLEBORGS LÄN</t>
        </is>
      </c>
      <c r="G814" t="inlineStr">
        <is>
          <t>SANDVIKEN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46171</v>
      </c>
      <c r="E815" s="1" t="n">
        <v>46227</v>
      </c>
      <c r="F815" t="inlineStr">
        <is>
          <t>GÄVLEBORGS LÄN</t>
        </is>
      </c>
      <c r="G815" t="inlineStr">
        <is>
          <t>SANDVIKEN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25220-2026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46175</v>
      </c>
      <c r="E816" s="1" t="n">
        <v>46227</v>
      </c>
      <c r="F816" t="inlineStr">
        <is>
          <t>GÄVLEBORGS LÄN</t>
        </is>
      </c>
      <c r="G816" t="inlineStr">
        <is>
          <t>SANDVIKEN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46175</v>
      </c>
      <c r="E817" s="1" t="n">
        <v>46227</v>
      </c>
      <c r="F817" t="inlineStr">
        <is>
          <t>GÄVLEBORGS LÄN</t>
        </is>
      </c>
      <c r="G817" t="inlineStr">
        <is>
          <t>SANDVIKEN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46045</v>
      </c>
      <c r="E818" s="1" t="n">
        <v>46227</v>
      </c>
      <c r="F818" t="inlineStr">
        <is>
          <t>GÄVLEBORGS LÄN</t>
        </is>
      </c>
      <c r="G818" t="inlineStr">
        <is>
          <t>SANDVIKEN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46175</v>
      </c>
      <c r="E819" s="1" t="n">
        <v>46227</v>
      </c>
      <c r="F819" t="inlineStr">
        <is>
          <t>GÄVLEBORGS LÄN</t>
        </is>
      </c>
      <c r="G819" t="inlineStr">
        <is>
          <t>SANDVIKEN</t>
        </is>
      </c>
      <c r="H819" t="inlineStr">
        <is>
          <t>Kommuner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4488-2026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46045</v>
      </c>
      <c r="E820" s="1" t="n">
        <v>46227</v>
      </c>
      <c r="F820" t="inlineStr">
        <is>
          <t>GÄVLEBORGS LÄN</t>
        </is>
      </c>
      <c r="G820" t="inlineStr">
        <is>
          <t>SANDVIKEN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25647-2026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46227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4498-2024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45327</v>
      </c>
      <c r="E822" s="1" t="n">
        <v>46227</v>
      </c>
      <c r="F822" t="inlineStr">
        <is>
          <t>GÄVLEBORGS LÄN</t>
        </is>
      </c>
      <c r="G822" t="inlineStr">
        <is>
          <t>SANDVIKEN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8940-2026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46069</v>
      </c>
      <c r="E823" s="1" t="n">
        <v>46227</v>
      </c>
      <c r="F823" t="inlineStr">
        <is>
          <t>GÄVLEBORGS LÄN</t>
        </is>
      </c>
      <c r="G823" t="inlineStr">
        <is>
          <t>SANDVIKEN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19186-2026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46132</v>
      </c>
      <c r="E824" s="1" t="n">
        <v>46227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25456-2026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46177</v>
      </c>
      <c r="E825" s="1" t="n">
        <v>46227</v>
      </c>
      <c r="F825" t="inlineStr">
        <is>
          <t>GÄVLEBORGS LÄN</t>
        </is>
      </c>
      <c r="G825" t="inlineStr">
        <is>
          <t>SANDVIKEN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44949</v>
      </c>
      <c r="E826" s="1" t="n">
        <v>46227</v>
      </c>
      <c r="F826" t="inlineStr">
        <is>
          <t>GÄVLEBORGS LÄN</t>
        </is>
      </c>
      <c r="G826" t="inlineStr">
        <is>
          <t>SANDVIKEN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46219</v>
      </c>
      <c r="E827" s="1" t="n">
        <v>46227</v>
      </c>
      <c r="F827" t="inlineStr">
        <is>
          <t>GÄVLEBORGS LÄN</t>
        </is>
      </c>
      <c r="G827" t="inlineStr">
        <is>
          <t>SANDVIKEN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25498-2026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46177</v>
      </c>
      <c r="E828" s="1" t="n">
        <v>46227</v>
      </c>
      <c r="F828" t="inlineStr">
        <is>
          <t>GÄVLEBORGS LÄN</t>
        </is>
      </c>
      <c r="G828" t="inlineStr">
        <is>
          <t>SANDVIKEN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25412-2026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46227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25413-2026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46176</v>
      </c>
      <c r="E830" s="1" t="n">
        <v>46227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25826-2026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46178</v>
      </c>
      <c r="E831" s="1" t="n">
        <v>46227</v>
      </c>
      <c r="F831" t="inlineStr">
        <is>
          <t>GÄVLEBORGS LÄN</t>
        </is>
      </c>
      <c r="G831" t="inlineStr">
        <is>
          <t>SANDVIKEN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25834-2026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46178</v>
      </c>
      <c r="E832" s="1" t="n">
        <v>46227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25835-2026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46227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46227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28897-2024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45480</v>
      </c>
      <c r="E835" s="1" t="n">
        <v>46227</v>
      </c>
      <c r="F835" t="inlineStr">
        <is>
          <t>GÄVLEBORGS LÄN</t>
        </is>
      </c>
      <c r="G835" t="inlineStr">
        <is>
          <t>SANDVIKEN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25840-2026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46178</v>
      </c>
      <c r="E836" s="1" t="n">
        <v>46227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8.699999999999999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25842-2026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46227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17498-2024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45415</v>
      </c>
      <c r="E838" s="1" t="n">
        <v>46227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38428-2023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45162</v>
      </c>
      <c r="E839" s="1" t="n">
        <v>46227</v>
      </c>
      <c r="F839" t="inlineStr">
        <is>
          <t>GÄVLEBORGS LÄN</t>
        </is>
      </c>
      <c r="G839" t="inlineStr">
        <is>
          <t>SANDVIKEN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38431-2023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45162</v>
      </c>
      <c r="E840" s="1" t="n">
        <v>46227</v>
      </c>
      <c r="F840" t="inlineStr">
        <is>
          <t>GÄVLEBORGS LÄN</t>
        </is>
      </c>
      <c r="G840" t="inlineStr">
        <is>
          <t>SANDVIKEN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38449-2023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45162</v>
      </c>
      <c r="E841" s="1" t="n">
        <v>46227</v>
      </c>
      <c r="F841" t="inlineStr">
        <is>
          <t>GÄVLEBORGS LÄN</t>
        </is>
      </c>
      <c r="G841" t="inlineStr">
        <is>
          <t>SANDVIKEN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45331-2024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45576</v>
      </c>
      <c r="E842" s="1" t="n">
        <v>46227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25357-2023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45087</v>
      </c>
      <c r="E843" s="1" t="n">
        <v>46227</v>
      </c>
      <c r="F843" t="inlineStr">
        <is>
          <t>GÄVLEBORGS LÄN</t>
        </is>
      </c>
      <c r="G843" t="inlineStr">
        <is>
          <t>SANDVIKEN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25836-2026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46178</v>
      </c>
      <c r="E844" s="1" t="n">
        <v>46227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25691-2026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46227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25841-2026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46178</v>
      </c>
      <c r="E846" s="1" t="n">
        <v>46227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26763-2026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46184</v>
      </c>
      <c r="E847" s="1" t="n">
        <v>46227</v>
      </c>
      <c r="F847" t="inlineStr">
        <is>
          <t>GÄVLEBORGS LÄN</t>
        </is>
      </c>
      <c r="G847" t="inlineStr">
        <is>
          <t>SANDVIKEN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26780-2026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46227</v>
      </c>
      <c r="F848" t="inlineStr">
        <is>
          <t>GÄVLEBORGS LÄN</t>
        </is>
      </c>
      <c r="G848" t="inlineStr">
        <is>
          <t>SANDVIKEN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26271-2026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46227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26601-2026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46183</v>
      </c>
      <c r="E850" s="1" t="n">
        <v>46227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40363-2023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45169</v>
      </c>
      <c r="E851" s="1" t="n">
        <v>46227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29613-2026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46227</v>
      </c>
      <c r="F852" t="inlineStr">
        <is>
          <t>GÄVLEBORGS LÄN</t>
        </is>
      </c>
      <c r="G852" t="inlineStr">
        <is>
          <t>SANDVIKEN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49704-2023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45212</v>
      </c>
      <c r="E853" s="1" t="n">
        <v>46227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29608-2026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46204</v>
      </c>
      <c r="E854" s="1" t="n">
        <v>46227</v>
      </c>
      <c r="F854" t="inlineStr">
        <is>
          <t>GÄVLEBORGS LÄN</t>
        </is>
      </c>
      <c r="G854" t="inlineStr">
        <is>
          <t>SANDVIKEN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37643-2024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45541</v>
      </c>
      <c r="E855" s="1" t="n">
        <v>46227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35185-2022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44797</v>
      </c>
      <c r="E856" s="1" t="n">
        <v>46227</v>
      </c>
      <c r="F856" t="inlineStr">
        <is>
          <t>GÄVLEBORGS LÄN</t>
        </is>
      </c>
      <c r="G856" t="inlineStr">
        <is>
          <t>SANDVIKEN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11385-2023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44988</v>
      </c>
      <c r="E857" s="1" t="n">
        <v>46227</v>
      </c>
      <c r="F857" t="inlineStr">
        <is>
          <t>GÄVLEBORGS LÄN</t>
        </is>
      </c>
      <c r="G857" t="inlineStr">
        <is>
          <t>SANDVIKEN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2131-2025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45672</v>
      </c>
      <c r="E858" s="1" t="n">
        <v>46227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58916-2023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45252</v>
      </c>
      <c r="E859" s="1" t="n">
        <v>46227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64112-2023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45279</v>
      </c>
      <c r="E860" s="1" t="n">
        <v>46227</v>
      </c>
      <c r="F860" t="inlineStr">
        <is>
          <t>GÄVLEBORGS LÄN</t>
        </is>
      </c>
      <c r="G860" t="inlineStr">
        <is>
          <t>SANDVIKEN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58797-2024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45636</v>
      </c>
      <c r="E861" s="1" t="n">
        <v>46227</v>
      </c>
      <c r="F861" t="inlineStr">
        <is>
          <t>GÄVLEBORGS LÄN</t>
        </is>
      </c>
      <c r="G861" t="inlineStr">
        <is>
          <t>SANDVIKEN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37741-2023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45159</v>
      </c>
      <c r="E862" s="1" t="n">
        <v>46227</v>
      </c>
      <c r="F862" t="inlineStr">
        <is>
          <t>GÄVLEBORGS LÄN</t>
        </is>
      </c>
      <c r="G862" t="inlineStr">
        <is>
          <t>SANDVIKEN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43121-2024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45567</v>
      </c>
      <c r="E863" s="1" t="n">
        <v>46227</v>
      </c>
      <c r="F863" t="inlineStr">
        <is>
          <t>GÄVLEBORGS LÄN</t>
        </is>
      </c>
      <c r="G863" t="inlineStr">
        <is>
          <t>SANDVIKEN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22042-2023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45069</v>
      </c>
      <c r="E864" s="1" t="n">
        <v>46227</v>
      </c>
      <c r="F864" t="inlineStr">
        <is>
          <t>GÄVLEBORGS LÄN</t>
        </is>
      </c>
      <c r="G864" t="inlineStr">
        <is>
          <t>SANDVIKEN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46482-2023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45197</v>
      </c>
      <c r="E865" s="1" t="n">
        <v>46227</v>
      </c>
      <c r="F865" t="inlineStr">
        <is>
          <t>GÄVLEBORGS LÄN</t>
        </is>
      </c>
      <c r="G865" t="inlineStr">
        <is>
          <t>SANDVIKEN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37367-2024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45540</v>
      </c>
      <c r="E866" s="1" t="n">
        <v>46227</v>
      </c>
      <c r="F866" t="inlineStr">
        <is>
          <t>GÄVLEBORGS LÄN</t>
        </is>
      </c>
      <c r="G866" t="inlineStr">
        <is>
          <t>SANDVIKEN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29972-2022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44756</v>
      </c>
      <c r="E867" s="1" t="n">
        <v>46227</v>
      </c>
      <c r="F867" t="inlineStr">
        <is>
          <t>GÄVLEBORGS LÄN</t>
        </is>
      </c>
      <c r="G867" t="inlineStr">
        <is>
          <t>SANDVIKEN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45284-2023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45191</v>
      </c>
      <c r="E868" s="1" t="n">
        <v>46227</v>
      </c>
      <c r="F868" t="inlineStr">
        <is>
          <t>GÄVLEBORGS LÄN</t>
        </is>
      </c>
      <c r="G868" t="inlineStr">
        <is>
          <t>SANDVIKEN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62056-2022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44918</v>
      </c>
      <c r="E869" s="1" t="n">
        <v>46227</v>
      </c>
      <c r="F869" t="inlineStr">
        <is>
          <t>GÄVLEBORGS LÄN</t>
        </is>
      </c>
      <c r="G869" t="inlineStr">
        <is>
          <t>SANDVIKEN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1213-2025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45667</v>
      </c>
      <c r="E870" s="1" t="n">
        <v>46227</v>
      </c>
      <c r="F870" t="inlineStr">
        <is>
          <t>GÄVLEBORGS LÄN</t>
        </is>
      </c>
      <c r="G870" t="inlineStr">
        <is>
          <t>SANDVIKEN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10895-2025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45722</v>
      </c>
      <c r="E871" s="1" t="n">
        <v>46227</v>
      </c>
      <c r="F871" t="inlineStr">
        <is>
          <t>GÄVLEBORGS LÄN</t>
        </is>
      </c>
      <c r="G871" t="inlineStr">
        <is>
          <t>SANDVIKEN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46227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46227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46227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46227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46227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46227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46227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46227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46227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46227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46227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46227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46227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46227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2026-07-24T01:49:10Z</dcterms:created>
  <dcterms:modified xmlns:dcterms="http://purl.org/dc/terms/" xmlns:xsi="http://www.w3.org/2001/XMLSchema-instance" xsi:type="dcterms:W3CDTF">2026-07-24T01:49:11Z</dcterms:modified>
</cp:coreProperties>
</file>