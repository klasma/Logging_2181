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46281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46281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46281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46281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46281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46281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46281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46281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46281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14696-2026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46101</v>
      </c>
      <c r="E11" s="1" t="n">
        <v>46281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3.1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4</v>
      </c>
      <c r="T11" t="n">
        <v>12</v>
      </c>
      <c r="U11" t="n">
        <v>0</v>
      </c>
      <c r="V11" s="2" t="inlineStr">
        <is>
          <t>Garnlav
Knärot
Dropptaggsvamp
Motaggsvamp</t>
        </is>
      </c>
      <c r="W11">
        <f>HYPERLINK("https://klasma.github.io/Logging_2181/artfynd/A 14696-2026 artfynd.xlsx", "A 14696-2026")</f>
        <v/>
      </c>
      <c r="X11">
        <f>HYPERLINK("https://klasma.github.io/Logging_2181/kartor/A 14696-2026 karta.png", "A 14696-2026")</f>
        <v/>
      </c>
      <c r="Y11">
        <f>HYPERLINK("https://klasma.github.io/Logging_2181/kartor_geotiff/A 14696-2026 georefererad karta.tif", "A 14696-2026")</f>
        <v/>
      </c>
      <c r="Z11">
        <f>HYPERLINK("https://klasma.github.io/Logging_2181/knärot/A 14696-2026 karta knärot.png", "A 14696-2026")</f>
        <v/>
      </c>
      <c r="AA11">
        <f>HYPERLINK("https://klasma.github.io/Logging_2181/klagomål/A 14696-2026 FSC-klagomål.docx", "A 14696-2026")</f>
        <v/>
      </c>
      <c r="AB11">
        <f>HYPERLINK("https://klasma.github.io/Logging_2181/klagomålsmail/A 14696-2026 FSC-klagomål mail.docx", "A 14696-2026")</f>
        <v/>
      </c>
      <c r="AC11">
        <f>HYPERLINK("https://klasma.github.io/Logging_2181/tillsyn/A 14696-2026 tillsynsbegäran.docx", "A 14696-2026")</f>
        <v/>
      </c>
      <c r="AD11">
        <f>HYPERLINK("https://klasma.github.io/Logging_2181/tillsynsmail/A 14696-2026 tillsynsbegäran mail.docx", "A 14696-2026")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46281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46281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37635-2024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46281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25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0</v>
      </c>
      <c r="V14" s="2" t="inlineStr">
        <is>
          <t>Talltita
Tjäder
Kungsfågel
Revlummer</t>
        </is>
      </c>
      <c r="W14">
        <f>HYPERLINK("https://klasma.github.io/Logging_2181/artfynd/A 37635-2024 artfynd.xlsx", "A 37635-2024")</f>
        <v/>
      </c>
      <c r="X14">
        <f>HYPERLINK("https://klasma.github.io/Logging_2181/kartor/A 37635-2024 karta.png", "A 37635-2024")</f>
        <v/>
      </c>
      <c r="Y14">
        <f>HYPERLINK("https://klasma.github.io/Logging_2181/kartor_geotiff/A 37635-2024 georefererad karta.tif", "A 37635-2024")</f>
        <v/>
      </c>
      <c r="AA14">
        <f>HYPERLINK("https://klasma.github.io/Logging_2181/klagomål/A 37635-2024 FSC-klagomål.docx", "A 37635-2024")</f>
        <v/>
      </c>
      <c r="AB14">
        <f>HYPERLINK("https://klasma.github.io/Logging_2181/klagomålsmail/A 37635-2024 FSC-klagomål mail.docx", "A 37635-2024")</f>
        <v/>
      </c>
      <c r="AC14">
        <f>HYPERLINK("https://klasma.github.io/Logging_2181/tillsyn/A 37635-2024 tillsynsbegäran.docx", "A 37635-2024")</f>
        <v/>
      </c>
      <c r="AD14">
        <f>HYPERLINK("https://klasma.github.io/Logging_2181/tillsynsmail/A 37635-2024 tillsynsbegäran mail.docx", "A 37635-2024")</f>
        <v/>
      </c>
      <c r="AE14">
        <f>HYPERLINK("https://klasma.github.io/Logging_2181/fåglar/A 37635-2024 prioriterade fågelarter.docx", "A 37635-2024")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46281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46281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46281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46281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46281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46281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46281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46281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46281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46281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46281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46281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46281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6108-2026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46053</v>
      </c>
      <c r="E28" s="1" t="n">
        <v>46281</v>
      </c>
      <c r="F28" t="inlineStr">
        <is>
          <t>GÄVLEBORGS LÄN</t>
        </is>
      </c>
      <c r="G28" t="inlineStr">
        <is>
          <t>SANDVIKEN</t>
        </is>
      </c>
      <c r="I28" t="n">
        <v>3.9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Knärot
Granvivel
Linnea</t>
        </is>
      </c>
      <c r="W28">
        <f>HYPERLINK("https://klasma.github.io/Logging_2181/artfynd/A 6108-2026 artfynd.xlsx", "A 6108-2026")</f>
        <v/>
      </c>
      <c r="X28">
        <f>HYPERLINK("https://klasma.github.io/Logging_2181/kartor/A 6108-2026 karta.png", "A 6108-2026")</f>
        <v/>
      </c>
      <c r="Y28">
        <f>HYPERLINK("https://klasma.github.io/Logging_2181/kartor_geotiff/A 6108-2026 georefererad karta.tif", "A 6108-2026")</f>
        <v/>
      </c>
      <c r="Z28">
        <f>HYPERLINK("https://klasma.github.io/Logging_2181/knärot/A 6108-2026 karta knärot.png", "A 6108-2026")</f>
        <v/>
      </c>
      <c r="AA28">
        <f>HYPERLINK("https://klasma.github.io/Logging_2181/klagomål/A 6108-2026 FSC-klagomål.docx", "A 6108-2026")</f>
        <v/>
      </c>
      <c r="AB28">
        <f>HYPERLINK("https://klasma.github.io/Logging_2181/klagomålsmail/A 6108-2026 FSC-klagomål mail.docx", "A 6108-2026")</f>
        <v/>
      </c>
      <c r="AC28">
        <f>HYPERLINK("https://klasma.github.io/Logging_2181/tillsyn/A 6108-2026 tillsynsbegäran.docx", "A 6108-2026")</f>
        <v/>
      </c>
      <c r="AD28">
        <f>HYPERLINK("https://klasma.github.io/Logging_2181/tillsynsmail/A 6108-2026 tillsynsbegäran mail.docx", "A 6108-2026")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46281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46281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46281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46281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46281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46281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46281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Nattviol</t>
        </is>
      </c>
      <c r="W35">
        <f>HYPERLINK("https://klasma.github.io/Logging_2181/artfynd/A 35523-2022 artfynd.xlsx", "A 35523-2022")</f>
        <v/>
      </c>
      <c r="X35">
        <f>HYPERLINK("https://klasma.github.io/Logging_2181/kartor/A 35523-2022 karta.png", "A 35523-2022")</f>
        <v/>
      </c>
      <c r="Y35">
        <f>HYPERLINK("https://klasma.github.io/Logging_2181/kartor_geotiff/A 35523-2022 georefererad karta.tif", "A 35523-2022")</f>
        <v/>
      </c>
      <c r="Z35">
        <f>HYPERLINK("https://klasma.github.io/Logging_2181/knärot/A 35523-2022 karta knärot.png", "A 35523-2022")</f>
        <v/>
      </c>
      <c r="AA35">
        <f>HYPERLINK("https://klasma.github.io/Logging_2181/klagomål/A 35523-2022 FSC-klagomål.docx", "A 35523-2022")</f>
        <v/>
      </c>
      <c r="AB35">
        <f>HYPERLINK("https://klasma.github.io/Logging_2181/klagomålsmail/A 35523-2022 FSC-klagomål mail.docx", "A 35523-2022")</f>
        <v/>
      </c>
      <c r="AC35">
        <f>HYPERLINK("https://klasma.github.io/Logging_2181/tillsyn/A 35523-2022 tillsynsbegäran.docx", "A 35523-2022")</f>
        <v/>
      </c>
      <c r="AD35">
        <f>HYPERLINK("https://klasma.github.io/Logging_2181/tillsynsmail/A 35523-2022 tillsynsbegäran mail.docx", "A 35523-2022")</f>
        <v/>
      </c>
    </row>
    <row r="36" ht="15" customHeight="1">
      <c r="A36" t="inlineStr">
        <is>
          <t>A 15895-2026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46107</v>
      </c>
      <c r="E36" s="1" t="n">
        <v>46281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10.2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HYPERLINK("https://klasma.github.io/Logging_2181/artfynd/A 15895-2026 artfynd.xlsx", "A 15895-2026")</f>
        <v/>
      </c>
      <c r="X36">
        <f>HYPERLINK("https://klasma.github.io/Logging_2181/kartor/A 15895-2026 karta.png", "A 15895-2026")</f>
        <v/>
      </c>
      <c r="Y36">
        <f>HYPERLINK("https://klasma.github.io/Logging_2181/kartor_geotiff/A 15895-2026 georefererad karta.tif", "A 15895-2026")</f>
        <v/>
      </c>
      <c r="AA36">
        <f>HYPERLINK("https://klasma.github.io/Logging_2181/klagomål/A 15895-2026 FSC-klagomål.docx", "A 15895-2026")</f>
        <v/>
      </c>
      <c r="AB36">
        <f>HYPERLINK("https://klasma.github.io/Logging_2181/klagomålsmail/A 15895-2026 FSC-klagomål mail.docx", "A 15895-2026")</f>
        <v/>
      </c>
      <c r="AC36">
        <f>HYPERLINK("https://klasma.github.io/Logging_2181/tillsyn/A 15895-2026 tillsynsbegäran.docx", "A 15895-2026")</f>
        <v/>
      </c>
      <c r="AD36">
        <f>HYPERLINK("https://klasma.github.io/Logging_2181/tillsynsmail/A 15895-2026 tillsynsbegäran mail.docx", "A 15895-2026")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46281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46281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46281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46281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46281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21196-2024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45440</v>
      </c>
      <c r="E42" s="1" t="n">
        <v>46281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45.5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Lappuggla
Ullticka</t>
        </is>
      </c>
      <c r="W42">
        <f>HYPERLINK("https://klasma.github.io/Logging_2181/artfynd/A 21196-2024 artfynd.xlsx", "A 21196-2024")</f>
        <v/>
      </c>
      <c r="X42">
        <f>HYPERLINK("https://klasma.github.io/Logging_2181/kartor/A 21196-2024 karta.png", "A 21196-2024")</f>
        <v/>
      </c>
      <c r="Y42">
        <f>HYPERLINK("https://klasma.github.io/Logging_2181/kartor_geotiff/A 21196-2024 georefererad karta.tif", "A 21196-2024")</f>
        <v/>
      </c>
      <c r="AA42">
        <f>HYPERLINK("https://klasma.github.io/Logging_2181/klagomål/A 21196-2024 FSC-klagomål.docx", "A 21196-2024")</f>
        <v/>
      </c>
      <c r="AB42">
        <f>HYPERLINK("https://klasma.github.io/Logging_2181/klagomålsmail/A 21196-2024 FSC-klagomål mail.docx", "A 21196-2024")</f>
        <v/>
      </c>
      <c r="AC42">
        <f>HYPERLINK("https://klasma.github.io/Logging_2181/tillsyn/A 21196-2024 tillsynsbegäran.docx", "A 21196-2024")</f>
        <v/>
      </c>
      <c r="AD42">
        <f>HYPERLINK("https://klasma.github.io/Logging_2181/tillsynsmail/A 21196-2024 tillsynsbegäran mail.docx", "A 21196-2024")</f>
        <v/>
      </c>
      <c r="AE42">
        <f>HYPERLINK("https://klasma.github.io/Logging_2181/fåglar/A 21196-2024 prioriterade fågelarter.docx", "A 21196-2024")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46281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46281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46281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46281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46281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46281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46281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46281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46281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46281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46281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46281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46281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15729-2022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44663</v>
      </c>
      <c r="E56" s="1" t="n">
        <v>46281</v>
      </c>
      <c r="F56" t="inlineStr">
        <is>
          <t>GÄVLEBORGS LÄN</t>
        </is>
      </c>
      <c r="G56" t="inlineStr">
        <is>
          <t>SANDVIKEN</t>
        </is>
      </c>
      <c r="I56" t="n">
        <v>2.1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HYPERLINK("https://klasma.github.io/Logging_2181/artfynd/A 15729-2022 artfynd.xlsx", "A 15729-2022")</f>
        <v/>
      </c>
      <c r="X56">
        <f>HYPERLINK("https://klasma.github.io/Logging_2181/kartor/A 15729-2022 karta.png", "A 15729-2022")</f>
        <v/>
      </c>
      <c r="Y56">
        <f>HYPERLINK("https://klasma.github.io/Logging_2181/kartor_geotiff/A 15729-2022 georefererad karta.tif", "A 15729-2022")</f>
        <v/>
      </c>
      <c r="Z56">
        <f>HYPERLINK("https://klasma.github.io/Logging_2181/knärot/A 15729-2022 karta knärot.png", "A 15729-2022")</f>
        <v/>
      </c>
      <c r="AA56">
        <f>HYPERLINK("https://klasma.github.io/Logging_2181/klagomål/A 15729-2022 FSC-klagomål.docx", "A 15729-2022")</f>
        <v/>
      </c>
      <c r="AB56">
        <f>HYPERLINK("https://klasma.github.io/Logging_2181/klagomålsmail/A 15729-2022 FSC-klagomål mail.docx", "A 15729-2022")</f>
        <v/>
      </c>
      <c r="AC56">
        <f>HYPERLINK("https://klasma.github.io/Logging_2181/tillsyn/A 15729-2022 tillsynsbegäran.docx", "A 15729-2022")</f>
        <v/>
      </c>
      <c r="AD56">
        <f>HYPERLINK("https://klasma.github.io/Logging_2181/tillsynsmail/A 15729-2022 tillsynsbegäran mail.docx", "A 15729-2022")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46281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46281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46281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46281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11784-2026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46281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HYPERLINK("https://klasma.github.io/Logging_2181/artfynd/A 11784-2026 artfynd.xlsx", "A 11784-2026")</f>
        <v/>
      </c>
      <c r="X61">
        <f>HYPERLINK("https://klasma.github.io/Logging_2181/kartor/A 11784-2026 karta.png", "A 11784-2026")</f>
        <v/>
      </c>
      <c r="Y61">
        <f>HYPERLINK("https://klasma.github.io/Logging_2181/kartor_geotiff/A 11784-2026 georefererad karta.tif", "A 11784-2026")</f>
        <v/>
      </c>
      <c r="AA61">
        <f>HYPERLINK("https://klasma.github.io/Logging_2181/klagomål/A 11784-2026 FSC-klagomål.docx", "A 11784-2026")</f>
        <v/>
      </c>
      <c r="AB61">
        <f>HYPERLINK("https://klasma.github.io/Logging_2181/klagomålsmail/A 11784-2026 FSC-klagomål mail.docx", "A 11784-2026")</f>
        <v/>
      </c>
      <c r="AC61">
        <f>HYPERLINK("https://klasma.github.io/Logging_2181/tillsyn/A 11784-2026 tillsynsbegäran.docx", "A 11784-2026")</f>
        <v/>
      </c>
      <c r="AD61">
        <f>HYPERLINK("https://klasma.github.io/Logging_2181/tillsynsmail/A 11784-2026 tillsynsbegäran mail.docx", "A 11784-2026")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46281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46281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13135-2026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46281</v>
      </c>
      <c r="F64" t="inlineStr">
        <is>
          <t>GÄVLEBORGS LÄN</t>
        </is>
      </c>
      <c r="G64" t="inlineStr">
        <is>
          <t>SANDVIKEN</t>
        </is>
      </c>
      <c r="I64" t="n">
        <v>2.4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HYPERLINK("https://klasma.github.io/Logging_2181/artfynd/A 13135-2026 artfynd.xlsx", "A 13135-2026")</f>
        <v/>
      </c>
      <c r="X64">
        <f>HYPERLINK("https://klasma.github.io/Logging_2181/kartor/A 13135-2026 karta.png", "A 13135-2026")</f>
        <v/>
      </c>
      <c r="Y64">
        <f>HYPERLINK("https://klasma.github.io/Logging_2181/kartor_geotiff/A 13135-2026 georefererad karta.tif", "A 13135-2026")</f>
        <v/>
      </c>
      <c r="AA64">
        <f>HYPERLINK("https://klasma.github.io/Logging_2181/klagomål/A 13135-2026 FSC-klagomål.docx", "A 13135-2026")</f>
        <v/>
      </c>
      <c r="AB64">
        <f>HYPERLINK("https://klasma.github.io/Logging_2181/klagomålsmail/A 13135-2026 FSC-klagomål mail.docx", "A 13135-2026")</f>
        <v/>
      </c>
      <c r="AC64">
        <f>HYPERLINK("https://klasma.github.io/Logging_2181/tillsyn/A 13135-2026 tillsynsbegäran.docx", "A 13135-2026")</f>
        <v/>
      </c>
      <c r="AD64">
        <f>HYPERLINK("https://klasma.github.io/Logging_2181/tillsynsmail/A 13135-2026 tillsynsbegäran mail.docx", "A 13135-2026")</f>
        <v/>
      </c>
    </row>
    <row r="65" ht="15" customHeight="1">
      <c r="A65" t="inlineStr">
        <is>
          <t>A 13645-2026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46281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HYPERLINK("https://klasma.github.io/Logging_2181/artfynd/A 13645-2026 artfynd.xlsx", "A 13645-2026")</f>
        <v/>
      </c>
      <c r="X65">
        <f>HYPERLINK("https://klasma.github.io/Logging_2181/kartor/A 13645-2026 karta.png", "A 13645-2026")</f>
        <v/>
      </c>
      <c r="Y65">
        <f>HYPERLINK("https://klasma.github.io/Logging_2181/kartor_geotiff/A 13645-2026 georefererad karta.tif", "A 13645-2026")</f>
        <v/>
      </c>
      <c r="AA65">
        <f>HYPERLINK("https://klasma.github.io/Logging_2181/klagomål/A 13645-2026 FSC-klagomål.docx", "A 13645-2026")</f>
        <v/>
      </c>
      <c r="AB65">
        <f>HYPERLINK("https://klasma.github.io/Logging_2181/klagomålsmail/A 13645-2026 FSC-klagomål mail.docx", "A 13645-2026")</f>
        <v/>
      </c>
      <c r="AC65">
        <f>HYPERLINK("https://klasma.github.io/Logging_2181/tillsyn/A 13645-2026 tillsynsbegäran.docx", "A 13645-2026")</f>
        <v/>
      </c>
      <c r="AD65">
        <f>HYPERLINK("https://klasma.github.io/Logging_2181/tillsynsmail/A 13645-2026 tillsynsbegäran mail.docx", "A 13645-2026")</f>
        <v/>
      </c>
      <c r="AE65">
        <f>HYPERLINK("https://klasma.github.io/Logging_2181/fåglar/A 13645-2026 prioriterade fågelarter.docx", "A 13645-2026")</f>
        <v/>
      </c>
    </row>
    <row r="66" ht="15" customHeight="1">
      <c r="A66" t="inlineStr">
        <is>
          <t>A 15121-2026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46105</v>
      </c>
      <c r="E66" s="1" t="n">
        <v>46281</v>
      </c>
      <c r="F66" t="inlineStr">
        <is>
          <t>GÄVLEBORGS LÄN</t>
        </is>
      </c>
      <c r="G66" t="inlineStr">
        <is>
          <t>SANDVIKEN</t>
        </is>
      </c>
      <c r="I66" t="n">
        <v>2.7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HYPERLINK("https://klasma.github.io/Logging_2181/artfynd/A 15121-2026 artfynd.xlsx", "A 15121-2026")</f>
        <v/>
      </c>
      <c r="X66">
        <f>HYPERLINK("https://klasma.github.io/Logging_2181/kartor/A 15121-2026 karta.png", "A 15121-2026")</f>
        <v/>
      </c>
      <c r="Y66">
        <f>HYPERLINK("https://klasma.github.io/Logging_2181/kartor_geotiff/A 15121-2026 georefererad karta.tif", "A 15121-2026")</f>
        <v/>
      </c>
      <c r="AA66">
        <f>HYPERLINK("https://klasma.github.io/Logging_2181/klagomål/A 15121-2026 FSC-klagomål.docx", "A 15121-2026")</f>
        <v/>
      </c>
      <c r="AB66">
        <f>HYPERLINK("https://klasma.github.io/Logging_2181/klagomålsmail/A 15121-2026 FSC-klagomål mail.docx", "A 15121-2026")</f>
        <v/>
      </c>
      <c r="AC66">
        <f>HYPERLINK("https://klasma.github.io/Logging_2181/tillsyn/A 15121-2026 tillsynsbegäran.docx", "A 15121-2026")</f>
        <v/>
      </c>
      <c r="AD66">
        <f>HYPERLINK("https://klasma.github.io/Logging_2181/tillsynsmail/A 15121-2026 tillsynsbegäran mail.docx", "A 15121-2026")</f>
        <v/>
      </c>
    </row>
    <row r="67" ht="15" customHeight="1">
      <c r="A67" t="inlineStr">
        <is>
          <t>A 14835-2026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46281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Höstlåsbräken</t>
        </is>
      </c>
      <c r="W67">
        <f>HYPERLINK("https://klasma.github.io/Logging_2181/artfynd/A 14835-2026 artfynd.xlsx", "A 14835-2026")</f>
        <v/>
      </c>
      <c r="X67">
        <f>HYPERLINK("https://klasma.github.io/Logging_2181/kartor/A 14835-2026 karta.png", "A 14835-2026")</f>
        <v/>
      </c>
      <c r="Y67">
        <f>HYPERLINK("https://klasma.github.io/Logging_2181/kartor_geotiff/A 14835-2026 georefererad karta.tif", "A 14835-2026")</f>
        <v/>
      </c>
      <c r="AA67">
        <f>HYPERLINK("https://klasma.github.io/Logging_2181/klagomål/A 14835-2026 FSC-klagomål.docx", "A 14835-2026")</f>
        <v/>
      </c>
      <c r="AB67">
        <f>HYPERLINK("https://klasma.github.io/Logging_2181/klagomålsmail/A 14835-2026 FSC-klagomål mail.docx", "A 14835-2026")</f>
        <v/>
      </c>
      <c r="AC67">
        <f>HYPERLINK("https://klasma.github.io/Logging_2181/tillsyn/A 14835-2026 tillsynsbegäran.docx", "A 14835-2026")</f>
        <v/>
      </c>
      <c r="AD67">
        <f>HYPERLINK("https://klasma.github.io/Logging_2181/tillsynsmail/A 14835-2026 tillsynsbegäran mail.docx", "A 14835-2026")</f>
        <v/>
      </c>
    </row>
    <row r="68" ht="15" customHeight="1">
      <c r="A68" t="inlineStr">
        <is>
          <t>A 17062-2026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46281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5.7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Vårärt</t>
        </is>
      </c>
      <c r="W68">
        <f>HYPERLINK("https://klasma.github.io/Logging_2181/artfynd/A 17062-2026 artfynd.xlsx", "A 17062-2026")</f>
        <v/>
      </c>
      <c r="X68">
        <f>HYPERLINK("https://klasma.github.io/Logging_2181/kartor/A 17062-2026 karta.png", "A 17062-2026")</f>
        <v/>
      </c>
      <c r="Y68">
        <f>HYPERLINK("https://klasma.github.io/Logging_2181/kartor_geotiff/A 17062-2026 georefererad karta.tif", "A 17062-2026")</f>
        <v/>
      </c>
      <c r="AA68">
        <f>HYPERLINK("https://klasma.github.io/Logging_2181/klagomål/A 17062-2026 FSC-klagomål.docx", "A 17062-2026")</f>
        <v/>
      </c>
      <c r="AB68">
        <f>HYPERLINK("https://klasma.github.io/Logging_2181/klagomålsmail/A 17062-2026 FSC-klagomål mail.docx", "A 17062-2026")</f>
        <v/>
      </c>
      <c r="AC68">
        <f>HYPERLINK("https://klasma.github.io/Logging_2181/tillsyn/A 17062-2026 tillsynsbegäran.docx", "A 17062-2026")</f>
        <v/>
      </c>
      <c r="AD68">
        <f>HYPERLINK("https://klasma.github.io/Logging_2181/tillsynsmail/A 17062-2026 tillsynsbegäran mail.docx", "A 17062-2026")</f>
        <v/>
      </c>
    </row>
    <row r="69" ht="15" customHeight="1">
      <c r="A69" t="inlineStr">
        <is>
          <t>A 17364-2026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46281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17364-2026 artfynd.xlsx", "A 17364-2026")</f>
        <v/>
      </c>
      <c r="X69">
        <f>HYPERLINK("https://klasma.github.io/Logging_2181/kartor/A 17364-2026 karta.png", "A 17364-2026")</f>
        <v/>
      </c>
      <c r="Y69">
        <f>HYPERLINK("https://klasma.github.io/Logging_2181/kartor_geotiff/A 17364-2026 georefererad karta.tif", "A 17364-2026")</f>
        <v/>
      </c>
      <c r="AA69">
        <f>HYPERLINK("https://klasma.github.io/Logging_2181/klagomål/A 17364-2026 FSC-klagomål.docx", "A 17364-2026")</f>
        <v/>
      </c>
      <c r="AB69">
        <f>HYPERLINK("https://klasma.github.io/Logging_2181/klagomålsmail/A 17364-2026 FSC-klagomål mail.docx", "A 17364-2026")</f>
        <v/>
      </c>
      <c r="AC69">
        <f>HYPERLINK("https://klasma.github.io/Logging_2181/tillsyn/A 17364-2026 tillsynsbegäran.docx", "A 17364-2026")</f>
        <v/>
      </c>
      <c r="AD69">
        <f>HYPERLINK("https://klasma.github.io/Logging_2181/tillsynsmail/A 17364-2026 tillsynsbegäran mail.docx", "A 17364-2026")</f>
        <v/>
      </c>
    </row>
    <row r="70" ht="15" customHeight="1">
      <c r="A70" t="inlineStr">
        <is>
          <t>A 46610-2025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46281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16.3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HYPERLINK("https://klasma.github.io/Logging_2181/artfynd/A 46610-2025 artfynd.xlsx", "A 46610-2025")</f>
        <v/>
      </c>
      <c r="X70">
        <f>HYPERLINK("https://klasma.github.io/Logging_2181/kartor/A 46610-2025 karta.png", "A 46610-2025")</f>
        <v/>
      </c>
      <c r="Y70">
        <f>HYPERLINK("https://klasma.github.io/Logging_2181/kartor_geotiff/A 46610-2025 georefererad karta.tif", "A 46610-2025")</f>
        <v/>
      </c>
      <c r="AA70">
        <f>HYPERLINK("https://klasma.github.io/Logging_2181/klagomål/A 46610-2025 FSC-klagomål.docx", "A 46610-2025")</f>
        <v/>
      </c>
      <c r="AB70">
        <f>HYPERLINK("https://klasma.github.io/Logging_2181/klagomålsmail/A 46610-2025 FSC-klagomål mail.docx", "A 46610-2025")</f>
        <v/>
      </c>
      <c r="AC70">
        <f>HYPERLINK("https://klasma.github.io/Logging_2181/tillsyn/A 46610-2025 tillsynsbegäran.docx", "A 46610-2025")</f>
        <v/>
      </c>
      <c r="AD70">
        <f>HYPERLINK("https://klasma.github.io/Logging_2181/tillsynsmail/A 46610-2025 tillsynsbegäran mail.docx", "A 46610-2025")</f>
        <v/>
      </c>
    </row>
    <row r="71" ht="15" customHeight="1">
      <c r="A71" t="inlineStr">
        <is>
          <t>A 47174-2025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45930</v>
      </c>
      <c r="E71" s="1" t="n">
        <v>46281</v>
      </c>
      <c r="F71" t="inlineStr">
        <is>
          <t>GÄVLEBORGS LÄN</t>
        </is>
      </c>
      <c r="G71" t="inlineStr">
        <is>
          <t>SANDVIKEN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Garnlav</t>
        </is>
      </c>
      <c r="W71">
        <f>HYPERLINK("https://klasma.github.io/Logging_2181/artfynd/A 47174-2025 artfynd.xlsx", "A 47174-2025")</f>
        <v/>
      </c>
      <c r="X71">
        <f>HYPERLINK("https://klasma.github.io/Logging_2181/kartor/A 47174-2025 karta.png", "A 47174-2025")</f>
        <v/>
      </c>
      <c r="Y71">
        <f>HYPERLINK("https://klasma.github.io/Logging_2181/kartor_geotiff/A 47174-2025 georefererad karta.tif", "A 47174-2025")</f>
        <v/>
      </c>
      <c r="AA71">
        <f>HYPERLINK("https://klasma.github.io/Logging_2181/klagomål/A 47174-2025 FSC-klagomål.docx", "A 47174-2025")</f>
        <v/>
      </c>
      <c r="AB71">
        <f>HYPERLINK("https://klasma.github.io/Logging_2181/klagomålsmail/A 47174-2025 FSC-klagomål mail.docx", "A 47174-2025")</f>
        <v/>
      </c>
      <c r="AC71">
        <f>HYPERLINK("https://klasma.github.io/Logging_2181/tillsyn/A 47174-2025 tillsynsbegäran.docx", "A 47174-2025")</f>
        <v/>
      </c>
      <c r="AD71">
        <f>HYPERLINK("https://klasma.github.io/Logging_2181/tillsynsmail/A 47174-2025 tillsynsbegäran mail.docx", "A 47174-2025")</f>
        <v/>
      </c>
    </row>
    <row r="72" ht="15" customHeight="1">
      <c r="A72" t="inlineStr">
        <is>
          <t>A 19272-2026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46133</v>
      </c>
      <c r="E72" s="1" t="n">
        <v>46281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9.4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HYPERLINK("https://klasma.github.io/Logging_2181/artfynd/A 19272-2026 artfynd.xlsx", "A 19272-2026")</f>
        <v/>
      </c>
      <c r="X72">
        <f>HYPERLINK("https://klasma.github.io/Logging_2181/kartor/A 19272-2026 karta.png", "A 19272-2026")</f>
        <v/>
      </c>
      <c r="Y72">
        <f>HYPERLINK("https://klasma.github.io/Logging_2181/kartor_geotiff/A 19272-2026 georefererad karta.tif", "A 19272-2026")</f>
        <v/>
      </c>
      <c r="AA72">
        <f>HYPERLINK("https://klasma.github.io/Logging_2181/klagomål/A 19272-2026 FSC-klagomål.docx", "A 19272-2026")</f>
        <v/>
      </c>
      <c r="AB72">
        <f>HYPERLINK("https://klasma.github.io/Logging_2181/klagomålsmail/A 19272-2026 FSC-klagomål mail.docx", "A 19272-2026")</f>
        <v/>
      </c>
      <c r="AC72">
        <f>HYPERLINK("https://klasma.github.io/Logging_2181/tillsyn/A 19272-2026 tillsynsbegäran.docx", "A 19272-2026")</f>
        <v/>
      </c>
      <c r="AD72">
        <f>HYPERLINK("https://klasma.github.io/Logging_2181/tillsynsmail/A 19272-2026 tillsynsbegäran mail.docx", "A 19272-2026")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46281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4324-2026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46281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11.2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HYPERLINK("https://klasma.github.io/Logging_2181/artfynd/A 4324-2026 artfynd.xlsx", "A 4324-2026")</f>
        <v/>
      </c>
      <c r="X74">
        <f>HYPERLINK("https://klasma.github.io/Logging_2181/kartor/A 4324-2026 karta.png", "A 4324-2026")</f>
        <v/>
      </c>
      <c r="Y74">
        <f>HYPERLINK("https://klasma.github.io/Logging_2181/kartor_geotiff/A 4324-2026 georefererad karta.tif", "A 4324-2026")</f>
        <v/>
      </c>
      <c r="AA74">
        <f>HYPERLINK("https://klasma.github.io/Logging_2181/klagomål/A 4324-2026 FSC-klagomål.docx", "A 4324-2026")</f>
        <v/>
      </c>
      <c r="AB74">
        <f>HYPERLINK("https://klasma.github.io/Logging_2181/klagomålsmail/A 4324-2026 FSC-klagomål mail.docx", "A 4324-2026")</f>
        <v/>
      </c>
      <c r="AC74">
        <f>HYPERLINK("https://klasma.github.io/Logging_2181/tillsyn/A 4324-2026 tillsynsbegäran.docx", "A 4324-2026")</f>
        <v/>
      </c>
      <c r="AD74">
        <f>HYPERLINK("https://klasma.github.io/Logging_2181/tillsynsmail/A 4324-2026 tillsynsbegäran mail.docx", "A 4324-2026")</f>
        <v/>
      </c>
      <c r="AE74">
        <f>HYPERLINK("https://klasma.github.io/Logging_2181/fåglar/A 4324-2026 prioriterade fågelarter.docx", "A 4324-2026")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46281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6972-2026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46281</v>
      </c>
      <c r="F76" t="inlineStr">
        <is>
          <t>GÄVLEBORGS LÄN</t>
        </is>
      </c>
      <c r="G76" t="inlineStr">
        <is>
          <t>SANDVIKEN</t>
        </is>
      </c>
      <c r="H76" t="inlineStr">
        <is>
          <t>Naturvårdsverket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Svartvit flugsnappare</t>
        </is>
      </c>
      <c r="W76">
        <f>HYPERLINK("https://klasma.github.io/Logging_2181/artfynd/A 6972-2026 artfynd.xlsx", "A 6972-2026")</f>
        <v/>
      </c>
      <c r="X76">
        <f>HYPERLINK("https://klasma.github.io/Logging_2181/kartor/A 6972-2026 karta.png", "A 6972-2026")</f>
        <v/>
      </c>
      <c r="Y76">
        <f>HYPERLINK("https://klasma.github.io/Logging_2181/kartor_geotiff/A 6972-2026 georefererad karta.tif", "A 6972-2026")</f>
        <v/>
      </c>
      <c r="AA76">
        <f>HYPERLINK("https://klasma.github.io/Logging_2181/klagomål/A 6972-2026 FSC-klagomål.docx", "A 6972-2026")</f>
        <v/>
      </c>
      <c r="AB76">
        <f>HYPERLINK("https://klasma.github.io/Logging_2181/klagomålsmail/A 6972-2026 FSC-klagomål mail.docx", "A 6972-2026")</f>
        <v/>
      </c>
      <c r="AC76">
        <f>HYPERLINK("https://klasma.github.io/Logging_2181/tillsyn/A 6972-2026 tillsynsbegäran.docx", "A 6972-2026")</f>
        <v/>
      </c>
      <c r="AD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46281</v>
      </c>
      <c r="F77" t="inlineStr">
        <is>
          <t>GÄVLEBORGS LÄN</t>
        </is>
      </c>
      <c r="G77" t="inlineStr">
        <is>
          <t>SANDVIKEN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HYPERLINK("https://klasma.github.io/Logging_2181/artfynd/A 41349-2025 artfynd.xlsx", "A 41349-2025")</f>
        <v/>
      </c>
      <c r="X77">
        <f>HYPERLINK("https://klasma.github.io/Logging_2181/kartor/A 41349-2025 karta.png", "A 41349-2025")</f>
        <v/>
      </c>
      <c r="Y77">
        <f>HYPERLINK("https://klasma.github.io/Logging_2181/kartor_geotiff/A 41349-2025 georefererad karta.tif", "A 41349-2025")</f>
        <v/>
      </c>
      <c r="AA77">
        <f>HYPERLINK("https://klasma.github.io/Logging_2181/klagomål/A 41349-2025 FSC-klagomål.docx", "A 41349-2025")</f>
        <v/>
      </c>
      <c r="AB77">
        <f>HYPERLINK("https://klasma.github.io/Logging_2181/klagomålsmail/A 41349-2025 FSC-klagomål mail.docx", "A 41349-2025")</f>
        <v/>
      </c>
      <c r="AC77">
        <f>HYPERLINK("https://klasma.github.io/Logging_2181/tillsyn/A 41349-2025 tillsynsbegäran.docx", "A 41349-2025")</f>
        <v/>
      </c>
      <c r="AD77">
        <f>HYPERLINK("https://klasma.github.io/Logging_2181/tillsynsmail/A 41349-2025 tillsynsbegäran mail.docx", "A 41349-2025")</f>
        <v/>
      </c>
    </row>
    <row r="78" ht="15" customHeight="1">
      <c r="A78" t="inlineStr">
        <is>
          <t>A 21532-2026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46148</v>
      </c>
      <c r="E78" s="1" t="n">
        <v>46281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Svartvit flugsnappare</t>
        </is>
      </c>
      <c r="W78">
        <f>HYPERLINK("https://klasma.github.io/Logging_2181/artfynd/A 21532-2026 artfynd.xlsx", "A 21532-2026")</f>
        <v/>
      </c>
      <c r="X78">
        <f>HYPERLINK("https://klasma.github.io/Logging_2181/kartor/A 21532-2026 karta.png", "A 21532-2026")</f>
        <v/>
      </c>
      <c r="Y78">
        <f>HYPERLINK("https://klasma.github.io/Logging_2181/kartor_geotiff/A 21532-2026 georefererad karta.tif", "A 21532-2026")</f>
        <v/>
      </c>
      <c r="AA78">
        <f>HYPERLINK("https://klasma.github.io/Logging_2181/klagomål/A 21532-2026 FSC-klagomål.docx", "A 21532-2026")</f>
        <v/>
      </c>
      <c r="AB78">
        <f>HYPERLINK("https://klasma.github.io/Logging_2181/klagomålsmail/A 21532-2026 FSC-klagomål mail.docx", "A 21532-2026")</f>
        <v/>
      </c>
      <c r="AC78">
        <f>HYPERLINK("https://klasma.github.io/Logging_2181/tillsyn/A 21532-2026 tillsynsbegäran.docx", "A 21532-2026")</f>
        <v/>
      </c>
      <c r="AD78">
        <f>HYPERLINK("https://klasma.github.io/Logging_2181/tillsynsmail/A 21532-2026 tillsynsbegäran mail.docx", "A 21532-2026")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46281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Dvärghäxört</t>
        </is>
      </c>
      <c r="W79">
        <f>HYPERLINK("https://klasma.github.io/Logging_2181/artfynd/A 448-2026 artfynd.xlsx", "A 448-2026")</f>
        <v/>
      </c>
      <c r="X79">
        <f>HYPERLINK("https://klasma.github.io/Logging_2181/kartor/A 448-2026 karta.png", "A 448-2026")</f>
        <v/>
      </c>
      <c r="Y79">
        <f>HYPERLINK("https://klasma.github.io/Logging_2181/kartor_geotiff/A 448-2026 georefererad karta.tif", "A 448-2026")</f>
        <v/>
      </c>
      <c r="AA79">
        <f>HYPERLINK("https://klasma.github.io/Logging_2181/klagomål/A 448-2026 FSC-klagomål.docx", "A 448-2026")</f>
        <v/>
      </c>
      <c r="AB79">
        <f>HYPERLINK("https://klasma.github.io/Logging_2181/klagomålsmail/A 448-2026 FSC-klagomål mail.docx", "A 448-2026")</f>
        <v/>
      </c>
      <c r="AC79">
        <f>HYPERLINK("https://klasma.github.io/Logging_2181/tillsyn/A 448-2026 tillsynsbegäran.docx", "A 448-2026")</f>
        <v/>
      </c>
      <c r="AD79">
        <f>HYPERLINK("https://klasma.github.io/Logging_2181/tillsynsmail/A 448-2026 tillsynsbegäran mail.docx", "A 448-2026")</f>
        <v/>
      </c>
    </row>
    <row r="80" ht="15" customHeight="1">
      <c r="A80" t="inlineStr">
        <is>
          <t>A 12419-2025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46281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Månlåsbräken</t>
        </is>
      </c>
      <c r="W80">
        <f>HYPERLINK("https://klasma.github.io/Logging_2181/artfynd/A 12419-2025 artfynd.xlsx", "A 12419-2025")</f>
        <v/>
      </c>
      <c r="X80">
        <f>HYPERLINK("https://klasma.github.io/Logging_2181/kartor/A 12419-2025 karta.png", "A 12419-2025")</f>
        <v/>
      </c>
      <c r="Y80">
        <f>HYPERLINK("https://klasma.github.io/Logging_2181/kartor_geotiff/A 12419-2025 georefererad karta.tif", "A 12419-2025")</f>
        <v/>
      </c>
      <c r="AA80">
        <f>HYPERLINK("https://klasma.github.io/Logging_2181/klagomål/A 12419-2025 FSC-klagomål.docx", "A 12419-2025")</f>
        <v/>
      </c>
      <c r="AB80">
        <f>HYPERLINK("https://klasma.github.io/Logging_2181/klagomålsmail/A 12419-2025 FSC-klagomål mail.docx", "A 12419-2025")</f>
        <v/>
      </c>
      <c r="AC80">
        <f>HYPERLINK("https://klasma.github.io/Logging_2181/tillsyn/A 12419-2025 tillsynsbegäran.docx", "A 12419-2025")</f>
        <v/>
      </c>
      <c r="AD80">
        <f>HYPERLINK("https://klasma.github.io/Logging_2181/tillsynsmail/A 12419-2025 tillsynsbegäran mail.docx", "A 12419-2025")</f>
        <v/>
      </c>
    </row>
    <row r="81" ht="15" customHeight="1">
      <c r="A81" t="inlineStr">
        <is>
          <t>A 1083-2026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46030</v>
      </c>
      <c r="E81" s="1" t="n">
        <v>46281</v>
      </c>
      <c r="F81" t="inlineStr">
        <is>
          <t>GÄVLEBORGS LÄN</t>
        </is>
      </c>
      <c r="G81" t="inlineStr">
        <is>
          <t>SANDVIKEN</t>
        </is>
      </c>
      <c r="I81" t="n">
        <v>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HYPERLINK("https://klasma.github.io/Logging_2181/artfynd/A 1083-2026 artfynd.xlsx", "A 1083-2026")</f>
        <v/>
      </c>
      <c r="X81">
        <f>HYPERLINK("https://klasma.github.io/Logging_2181/kartor/A 1083-2026 karta.png", "A 1083-2026")</f>
        <v/>
      </c>
      <c r="Y81">
        <f>HYPERLINK("https://klasma.github.io/Logging_2181/kartor_geotiff/A 1083-2026 georefererad karta.tif", "A 1083-2026")</f>
        <v/>
      </c>
      <c r="AA81">
        <f>HYPERLINK("https://klasma.github.io/Logging_2181/klagomål/A 1083-2026 FSC-klagomål.docx", "A 1083-2026")</f>
        <v/>
      </c>
      <c r="AB81">
        <f>HYPERLINK("https://klasma.github.io/Logging_2181/klagomålsmail/A 1083-2026 FSC-klagomål mail.docx", "A 1083-2026")</f>
        <v/>
      </c>
      <c r="AC81">
        <f>HYPERLINK("https://klasma.github.io/Logging_2181/tillsyn/A 1083-2026 tillsynsbegäran.docx", "A 1083-2026")</f>
        <v/>
      </c>
      <c r="AD81">
        <f>HYPERLINK("https://klasma.github.io/Logging_2181/tillsynsmail/A 1083-2026 tillsynsbegäran mail.docx", "A 1083-2026")</f>
        <v/>
      </c>
    </row>
    <row r="82" ht="15" customHeight="1">
      <c r="A82" t="inlineStr">
        <is>
          <t>A 24171-2026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46281</v>
      </c>
      <c r="F82" t="inlineStr">
        <is>
          <t>GÄVLEBORGS LÄN</t>
        </is>
      </c>
      <c r="G82" t="inlineStr">
        <is>
          <t>SANDVIKEN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Svedjenäva</t>
        </is>
      </c>
      <c r="W82">
        <f>HYPERLINK("https://klasma.github.io/Logging_2181/artfynd/A 24171-2026 artfynd.xlsx", "A 24171-2026")</f>
        <v/>
      </c>
      <c r="X82">
        <f>HYPERLINK("https://klasma.github.io/Logging_2181/kartor/A 24171-2026 karta.png", "A 24171-2026")</f>
        <v/>
      </c>
      <c r="Y82">
        <f>HYPERLINK("https://klasma.github.io/Logging_2181/kartor_geotiff/A 24171-2026 georefererad karta.tif", "A 24171-2026")</f>
        <v/>
      </c>
      <c r="AA82">
        <f>HYPERLINK("https://klasma.github.io/Logging_2181/klagomål/A 24171-2026 FSC-klagomål.docx", "A 24171-2026")</f>
        <v/>
      </c>
      <c r="AB82">
        <f>HYPERLINK("https://klasma.github.io/Logging_2181/klagomålsmail/A 24171-2026 FSC-klagomål mail.docx", "A 24171-2026")</f>
        <v/>
      </c>
      <c r="AC82">
        <f>HYPERLINK("https://klasma.github.io/Logging_2181/tillsyn/A 24171-2026 tillsynsbegäran.docx", "A 24171-2026")</f>
        <v/>
      </c>
      <c r="AD82">
        <f>HYPERLINK("https://klasma.github.io/Logging_2181/tillsynsmail/A 24171-2026 tillsynsbegäran mail.docx", "A 24171-2026")</f>
        <v/>
      </c>
    </row>
    <row r="83" ht="15" customHeight="1">
      <c r="A83" t="inlineStr">
        <is>
          <t>A 24357-2026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46169</v>
      </c>
      <c r="E83" s="1" t="n">
        <v>46281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HYPERLINK("https://klasma.github.io/Logging_2181/artfynd/A 24357-2026 artfynd.xlsx", "A 24357-2026")</f>
        <v/>
      </c>
      <c r="X83">
        <f>HYPERLINK("https://klasma.github.io/Logging_2181/kartor/A 24357-2026 karta.png", "A 24357-2026")</f>
        <v/>
      </c>
      <c r="Y83">
        <f>HYPERLINK("https://klasma.github.io/Logging_2181/kartor_geotiff/A 24357-2026 georefererad karta.tif", "A 24357-2026")</f>
        <v/>
      </c>
      <c r="AA83">
        <f>HYPERLINK("https://klasma.github.io/Logging_2181/klagomål/A 24357-2026 FSC-klagomål.docx", "A 24357-2026")</f>
        <v/>
      </c>
      <c r="AB83">
        <f>HYPERLINK("https://klasma.github.io/Logging_2181/klagomålsmail/A 24357-2026 FSC-klagomål mail.docx", "A 24357-2026")</f>
        <v/>
      </c>
      <c r="AC83">
        <f>HYPERLINK("https://klasma.github.io/Logging_2181/tillsyn/A 24357-2026 tillsynsbegäran.docx", "A 24357-2026")</f>
        <v/>
      </c>
      <c r="AD83">
        <f>HYPERLINK("https://klasma.github.io/Logging_2181/tillsynsmail/A 24357-2026 tillsynsbegäran mail.docx", "A 24357-2026")</f>
        <v/>
      </c>
    </row>
    <row r="84" ht="15" customHeight="1">
      <c r="A84" t="inlineStr">
        <is>
          <t>A 25247-2026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46175</v>
      </c>
      <c r="E84" s="1" t="n">
        <v>46281</v>
      </c>
      <c r="F84" t="inlineStr">
        <is>
          <t>GÄVLEBORGS LÄN</t>
        </is>
      </c>
      <c r="G84" t="inlineStr">
        <is>
          <t>SANDVIKEN</t>
        </is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HYPERLINK("https://klasma.github.io/Logging_2181/artfynd/A 25247-2026 artfynd.xlsx", "A 25247-2026")</f>
        <v/>
      </c>
      <c r="X84">
        <f>HYPERLINK("https://klasma.github.io/Logging_2181/kartor/A 25247-2026 karta.png", "A 25247-2026")</f>
        <v/>
      </c>
      <c r="Y84">
        <f>HYPERLINK("https://klasma.github.io/Logging_2181/kartor_geotiff/A 25247-2026 georefererad karta.tif", "A 25247-2026")</f>
        <v/>
      </c>
      <c r="AA84">
        <f>HYPERLINK("https://klasma.github.io/Logging_2181/klagomål/A 25247-2026 FSC-klagomål.docx", "A 25247-2026")</f>
        <v/>
      </c>
      <c r="AB84">
        <f>HYPERLINK("https://klasma.github.io/Logging_2181/klagomålsmail/A 25247-2026 FSC-klagomål mail.docx", "A 25247-2026")</f>
        <v/>
      </c>
      <c r="AC84">
        <f>HYPERLINK("https://klasma.github.io/Logging_2181/tillsyn/A 25247-2026 tillsynsbegäran.docx", "A 25247-2026")</f>
        <v/>
      </c>
      <c r="AD84">
        <f>HYPERLINK("https://klasma.github.io/Logging_2181/tillsynsmail/A 25247-2026 tillsynsbegäran mail.docx", "A 25247-2026")</f>
        <v/>
      </c>
    </row>
    <row r="85" ht="15" customHeight="1">
      <c r="A85" t="inlineStr">
        <is>
          <t>A 26212-2026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46182</v>
      </c>
      <c r="E85" s="1" t="n">
        <v>46281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0.7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HYPERLINK("https://klasma.github.io/Logging_2181/artfynd/A 26212-2026 artfynd.xlsx", "A 26212-2026")</f>
        <v/>
      </c>
      <c r="X85">
        <f>HYPERLINK("https://klasma.github.io/Logging_2181/kartor/A 26212-2026 karta.png", "A 26212-2026")</f>
        <v/>
      </c>
      <c r="Y85">
        <f>HYPERLINK("https://klasma.github.io/Logging_2181/kartor_geotiff/A 26212-2026 georefererad karta.tif", "A 26212-2026")</f>
        <v/>
      </c>
      <c r="Z85">
        <f>HYPERLINK("https://klasma.github.io/Logging_2181/knärot/A 26212-2026 karta knärot.png", "A 26212-2026")</f>
        <v/>
      </c>
      <c r="AA85">
        <f>HYPERLINK("https://klasma.github.io/Logging_2181/klagomål/A 26212-2026 FSC-klagomål.docx", "A 26212-2026")</f>
        <v/>
      </c>
      <c r="AB85">
        <f>HYPERLINK("https://klasma.github.io/Logging_2181/klagomålsmail/A 26212-2026 FSC-klagomål mail.docx", "A 26212-2026")</f>
        <v/>
      </c>
      <c r="AC85">
        <f>HYPERLINK("https://klasma.github.io/Logging_2181/tillsyn/A 26212-2026 tillsynsbegäran.docx", "A 26212-2026")</f>
        <v/>
      </c>
      <c r="AD85">
        <f>HYPERLINK("https://klasma.github.io/Logging_2181/tillsynsmail/A 26212-2026 tillsynsbegäran mail.docx", "A 26212-2026")</f>
        <v/>
      </c>
    </row>
    <row r="86" ht="15" customHeight="1">
      <c r="A86" t="inlineStr">
        <is>
          <t>A 7393-2026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46281</v>
      </c>
      <c r="F86" t="inlineStr">
        <is>
          <t>GÄVLEBORGS LÄN</t>
        </is>
      </c>
      <c r="G86" t="inlineStr">
        <is>
          <t>SANDVIKEN</t>
        </is>
      </c>
      <c r="I86" t="n">
        <v>6.7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Brunklöver</t>
        </is>
      </c>
      <c r="W86">
        <f>HYPERLINK("https://klasma.github.io/Logging_2181/artfynd/A 7393-2026 artfynd.xlsx", "A 7393-2026")</f>
        <v/>
      </c>
      <c r="X86">
        <f>HYPERLINK("https://klasma.github.io/Logging_2181/kartor/A 7393-2026 karta.png", "A 7393-2026")</f>
        <v/>
      </c>
      <c r="Y86">
        <f>HYPERLINK("https://klasma.github.io/Logging_2181/kartor_geotiff/A 7393-2026 georefererad karta.tif", "A 7393-2026")</f>
        <v/>
      </c>
      <c r="AA86">
        <f>HYPERLINK("https://klasma.github.io/Logging_2181/klagomål/A 7393-2026 FSC-klagomål.docx", "A 7393-2026")</f>
        <v/>
      </c>
      <c r="AB86">
        <f>HYPERLINK("https://klasma.github.io/Logging_2181/klagomålsmail/A 7393-2026 FSC-klagomål mail.docx", "A 7393-2026")</f>
        <v/>
      </c>
      <c r="AC86">
        <f>HYPERLINK("https://klasma.github.io/Logging_2181/tillsyn/A 7393-2026 tillsynsbegäran.docx", "A 7393-2026")</f>
        <v/>
      </c>
      <c r="AD86">
        <f>HYPERLINK("https://klasma.github.io/Logging_2181/tillsynsmail/A 7393-2026 tillsynsbegäran mail.docx", "A 7393-2026")</f>
        <v/>
      </c>
    </row>
    <row r="87" ht="15" customHeight="1">
      <c r="A87" t="inlineStr">
        <is>
          <t>A 26271-2026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46182</v>
      </c>
      <c r="E87" s="1" t="n">
        <v>46281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Fläcknycklar</t>
        </is>
      </c>
      <c r="W87">
        <f>HYPERLINK("https://klasma.github.io/Logging_2181/artfynd/A 26271-2026 artfynd.xlsx", "A 26271-2026")</f>
        <v/>
      </c>
      <c r="X87">
        <f>HYPERLINK("https://klasma.github.io/Logging_2181/kartor/A 26271-2026 karta.png", "A 26271-2026")</f>
        <v/>
      </c>
      <c r="Y87">
        <f>HYPERLINK("https://klasma.github.io/Logging_2181/kartor_geotiff/A 26271-2026 georefererad karta.tif", "A 26271-2026")</f>
        <v/>
      </c>
      <c r="AA87">
        <f>HYPERLINK("https://klasma.github.io/Logging_2181/klagomål/A 26271-2026 FSC-klagomål.docx", "A 26271-2026")</f>
        <v/>
      </c>
      <c r="AB87">
        <f>HYPERLINK("https://klasma.github.io/Logging_2181/klagomålsmail/A 26271-2026 FSC-klagomål mail.docx", "A 26271-2026")</f>
        <v/>
      </c>
      <c r="AC87">
        <f>HYPERLINK("https://klasma.github.io/Logging_2181/tillsyn/A 26271-2026 tillsynsbegäran.docx", "A 26271-2026")</f>
        <v/>
      </c>
      <c r="AD87">
        <f>HYPERLINK("https://klasma.github.io/Logging_2181/tillsynsmail/A 26271-2026 tillsynsbegäran mail.docx", "A 26271-2026")</f>
        <v/>
      </c>
    </row>
    <row r="88" ht="15" customHeight="1">
      <c r="A88" t="inlineStr">
        <is>
          <t>A 9267-2026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46069</v>
      </c>
      <c r="E88" s="1" t="n">
        <v>46281</v>
      </c>
      <c r="F88" t="inlineStr">
        <is>
          <t>GÄVLEBORGS LÄN</t>
        </is>
      </c>
      <c r="G88" t="inlineStr">
        <is>
          <t>SANDVIKEN</t>
        </is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Gullpudra</t>
        </is>
      </c>
      <c r="W88">
        <f>HYPERLINK("https://klasma.github.io/Logging_2181/artfynd/A 9267-2026 artfynd.xlsx", "A 9267-2026")</f>
        <v/>
      </c>
      <c r="X88">
        <f>HYPERLINK("https://klasma.github.io/Logging_2181/kartor/A 9267-2026 karta.png", "A 9267-2026")</f>
        <v/>
      </c>
      <c r="Y88">
        <f>HYPERLINK("https://klasma.github.io/Logging_2181/kartor_geotiff/A 9267-2026 georefererad karta.tif", "A 9267-2026")</f>
        <v/>
      </c>
      <c r="AA88">
        <f>HYPERLINK("https://klasma.github.io/Logging_2181/klagomål/A 9267-2026 FSC-klagomål.docx", "A 9267-2026")</f>
        <v/>
      </c>
      <c r="AB88">
        <f>HYPERLINK("https://klasma.github.io/Logging_2181/klagomålsmail/A 9267-2026 FSC-klagomål mail.docx", "A 9267-2026")</f>
        <v/>
      </c>
      <c r="AC88">
        <f>HYPERLINK("https://klasma.github.io/Logging_2181/tillsyn/A 9267-2026 tillsynsbegäran.docx", "A 9267-2026")</f>
        <v/>
      </c>
      <c r="AD88">
        <f>HYPERLINK("https://klasma.github.io/Logging_2181/tillsynsmail/A 9267-2026 tillsynsbegäran mail.docx", "A 9267-2026")</f>
        <v/>
      </c>
    </row>
    <row r="89" ht="15" customHeight="1">
      <c r="A89" t="inlineStr">
        <is>
          <t>A 27207-2026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46188</v>
      </c>
      <c r="E89" s="1" t="n">
        <v>46281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Kungsfågel</t>
        </is>
      </c>
      <c r="W89">
        <f>HYPERLINK("https://klasma.github.io/Logging_2181/artfynd/A 27207-2026 artfynd.xlsx", "A 27207-2026")</f>
        <v/>
      </c>
      <c r="X89">
        <f>HYPERLINK("https://klasma.github.io/Logging_2181/kartor/A 27207-2026 karta.png", "A 27207-2026")</f>
        <v/>
      </c>
      <c r="Y89">
        <f>HYPERLINK("https://klasma.github.io/Logging_2181/kartor_geotiff/A 27207-2026 georefererad karta.tif", "A 27207-2026")</f>
        <v/>
      </c>
      <c r="AA89">
        <f>HYPERLINK("https://klasma.github.io/Logging_2181/klagomål/A 27207-2026 FSC-klagomål.docx", "A 27207-2026")</f>
        <v/>
      </c>
      <c r="AB89">
        <f>HYPERLINK("https://klasma.github.io/Logging_2181/klagomålsmail/A 27207-2026 FSC-klagomål mail.docx", "A 27207-2026")</f>
        <v/>
      </c>
      <c r="AC89">
        <f>HYPERLINK("https://klasma.github.io/Logging_2181/tillsyn/A 27207-2026 tillsynsbegäran.docx", "A 27207-2026")</f>
        <v/>
      </c>
      <c r="AD89">
        <f>HYPERLINK("https://klasma.github.io/Logging_2181/tillsynsmail/A 27207-2026 tillsynsbegäran mail.docx", "A 27207-2026")</f>
        <v/>
      </c>
    </row>
    <row r="90" ht="15" customHeight="1">
      <c r="A90" t="inlineStr">
        <is>
          <t>A 3316-2023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44949</v>
      </c>
      <c r="E90" s="1" t="n">
        <v>46281</v>
      </c>
      <c r="F90" t="inlineStr">
        <is>
          <t>GÄVLEBORGS LÄN</t>
        </is>
      </c>
      <c r="G90" t="inlineStr">
        <is>
          <t>SANDVIKEN</t>
        </is>
      </c>
      <c r="I90" t="n">
        <v>0.5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Orre</t>
        </is>
      </c>
      <c r="W90">
        <f>HYPERLINK("https://klasma.github.io/Logging_2181/artfynd/A 3316-2023 artfynd.xlsx", "A 3316-2023")</f>
        <v/>
      </c>
      <c r="X90">
        <f>HYPERLINK("https://klasma.github.io/Logging_2181/kartor/A 3316-2023 karta.png", "A 3316-2023")</f>
        <v/>
      </c>
      <c r="Y90">
        <f>HYPERLINK("https://klasma.github.io/Logging_2181/kartor_geotiff/A 3316-2023 georefererad karta.tif", "A 3316-2023")</f>
        <v/>
      </c>
      <c r="AA90">
        <f>HYPERLINK("https://klasma.github.io/Logging_2181/klagomål/A 3316-2023 FSC-klagomål.docx", "A 3316-2023")</f>
        <v/>
      </c>
      <c r="AB90">
        <f>HYPERLINK("https://klasma.github.io/Logging_2181/klagomålsmail/A 3316-2023 FSC-klagomål mail.docx", "A 3316-2023")</f>
        <v/>
      </c>
      <c r="AC90">
        <f>HYPERLINK("https://klasma.github.io/Logging_2181/tillsyn/A 3316-2023 tillsynsbegäran.docx", "A 3316-2023")</f>
        <v/>
      </c>
      <c r="AD90">
        <f>HYPERLINK("https://klasma.github.io/Logging_2181/tillsynsmail/A 3316-2023 tillsynsbegäran mail.docx", "A 3316-2023")</f>
        <v/>
      </c>
      <c r="AE90">
        <f>HYPERLINK("https://klasma.github.io/Logging_2181/fåglar/A 3316-2023 prioriterade fågelarter.docx", "A 3316-2023")</f>
        <v/>
      </c>
    </row>
    <row r="91" ht="15" customHeight="1">
      <c r="A91" t="inlineStr">
        <is>
          <t>A 22275-2024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46281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Ekorrbär</t>
        </is>
      </c>
      <c r="W91">
        <f>HYPERLINK("https://klasma.github.io/Logging_2181/artfynd/A 22275-2024 artfynd.xlsx", "A 22275-2024")</f>
        <v/>
      </c>
      <c r="X91">
        <f>HYPERLINK("https://klasma.github.io/Logging_2181/kartor/A 22275-2024 karta.png", "A 22275-2024")</f>
        <v/>
      </c>
      <c r="Y91">
        <f>HYPERLINK("https://klasma.github.io/Logging_2181/kartor_geotiff/A 22275-2024 georefererad karta.tif", "A 22275-2024")</f>
        <v/>
      </c>
      <c r="AA91">
        <f>HYPERLINK("https://klasma.github.io/Logging_2181/klagomål/A 22275-2024 FSC-klagomål.docx", "A 22275-2024")</f>
        <v/>
      </c>
      <c r="AB91">
        <f>HYPERLINK("https://klasma.github.io/Logging_2181/klagomålsmail/A 22275-2024 FSC-klagomål mail.docx", "A 22275-2024")</f>
        <v/>
      </c>
      <c r="AC91">
        <f>HYPERLINK("https://klasma.github.io/Logging_2181/tillsyn/A 22275-2024 tillsynsbegäran.docx", "A 22275-2024")</f>
        <v/>
      </c>
      <c r="AD91">
        <f>HYPERLINK("https://klasma.github.io/Logging_2181/tillsynsmail/A 22275-2024 tillsynsbegäran mail.docx", "A 22275-2024")</f>
        <v/>
      </c>
    </row>
    <row r="92" ht="15" customHeight="1">
      <c r="A92" t="inlineStr">
        <is>
          <t>A 23225-2026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46162</v>
      </c>
      <c r="E92" s="1" t="n">
        <v>46281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1.3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Rödvingetrast</t>
        </is>
      </c>
      <c r="W92">
        <f>HYPERLINK("https://klasma.github.io/Logging_2181/artfynd/A 23225-2026 artfynd.xlsx", "A 23225-2026")</f>
        <v/>
      </c>
      <c r="X92">
        <f>HYPERLINK("https://klasma.github.io/Logging_2181/kartor/A 23225-2026 karta.png", "A 23225-2026")</f>
        <v/>
      </c>
      <c r="Y92">
        <f>HYPERLINK("https://klasma.github.io/Logging_2181/kartor_geotiff/A 23225-2026 georefererad karta.tif", "A 23225-2026")</f>
        <v/>
      </c>
      <c r="AA92">
        <f>HYPERLINK("https://klasma.github.io/Logging_2181/klagomål/A 23225-2026 FSC-klagomål.docx", "A 23225-2026")</f>
        <v/>
      </c>
      <c r="AB92">
        <f>HYPERLINK("https://klasma.github.io/Logging_2181/klagomålsmail/A 23225-2026 FSC-klagomål mail.docx", "A 23225-2026")</f>
        <v/>
      </c>
      <c r="AC92">
        <f>HYPERLINK("https://klasma.github.io/Logging_2181/tillsyn/A 23225-2026 tillsynsbegäran.docx", "A 23225-2026")</f>
        <v/>
      </c>
      <c r="AD92">
        <f>HYPERLINK("https://klasma.github.io/Logging_2181/tillsynsmail/A 23225-2026 tillsynsbegäran mail.docx", "A 23225-2026")</f>
        <v/>
      </c>
      <c r="AE92">
        <f>HYPERLINK("https://klasma.github.io/Logging_2181/fåglar/A 23225-2026 prioriterade fågelarter.docx", "A 23225-2026")</f>
        <v/>
      </c>
    </row>
    <row r="93" ht="15" customHeight="1">
      <c r="A93" t="inlineStr">
        <is>
          <t>A 32533-2026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46281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Järnsparv</t>
        </is>
      </c>
      <c r="W93">
        <f>HYPERLINK("https://klasma.github.io/Logging_2181/artfynd/A 32533-2026 artfynd.xlsx", "A 32533-2026")</f>
        <v/>
      </c>
      <c r="X93">
        <f>HYPERLINK("https://klasma.github.io/Logging_2181/kartor/A 32533-2026 karta.png", "A 32533-2026")</f>
        <v/>
      </c>
      <c r="Y93">
        <f>HYPERLINK("https://klasma.github.io/Logging_2181/kartor_geotiff/A 32533-2026 georefererad karta.tif", "A 32533-2026")</f>
        <v/>
      </c>
      <c r="AA93">
        <f>HYPERLINK("https://klasma.github.io/Logging_2181/klagomål/A 32533-2026 FSC-klagomål.docx", "A 32533-2026")</f>
        <v/>
      </c>
      <c r="AB93">
        <f>HYPERLINK("https://klasma.github.io/Logging_2181/klagomålsmail/A 32533-2026 FSC-klagomål mail.docx", "A 32533-2026")</f>
        <v/>
      </c>
      <c r="AC93">
        <f>HYPERLINK("https://klasma.github.io/Logging_2181/tillsyn/A 32533-2026 tillsynsbegäran.docx", "A 32533-2026")</f>
        <v/>
      </c>
      <c r="AD93">
        <f>HYPERLINK("https://klasma.github.io/Logging_2181/tillsynsmail/A 32533-2026 tillsynsbegäran mail.docx", "A 32533-2026")</f>
        <v/>
      </c>
      <c r="AE93">
        <f>HYPERLINK("https://klasma.github.io/Logging_2181/fåglar/A 32533-2026 prioriterade fågelarter.docx", "A 32533-2026")</f>
        <v/>
      </c>
    </row>
    <row r="94" ht="15" customHeight="1">
      <c r="A94" t="inlineStr">
        <is>
          <t>A 32539-2026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46281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Grönsiska</t>
        </is>
      </c>
      <c r="W94">
        <f>HYPERLINK("https://klasma.github.io/Logging_2181/artfynd/A 32539-2026 artfynd.xlsx", "A 32539-2026")</f>
        <v/>
      </c>
      <c r="X94">
        <f>HYPERLINK("https://klasma.github.io/Logging_2181/kartor/A 32539-2026 karta.png", "A 32539-2026")</f>
        <v/>
      </c>
      <c r="Y94">
        <f>HYPERLINK("https://klasma.github.io/Logging_2181/kartor_geotiff/A 32539-2026 georefererad karta.tif", "A 32539-2026")</f>
        <v/>
      </c>
      <c r="AA94">
        <f>HYPERLINK("https://klasma.github.io/Logging_2181/klagomål/A 32539-2026 FSC-klagomål.docx", "A 32539-2026")</f>
        <v/>
      </c>
      <c r="AB94">
        <f>HYPERLINK("https://klasma.github.io/Logging_2181/klagomålsmail/A 32539-2026 FSC-klagomål mail.docx", "A 32539-2026")</f>
        <v/>
      </c>
      <c r="AC94">
        <f>HYPERLINK("https://klasma.github.io/Logging_2181/tillsyn/A 32539-2026 tillsynsbegäran.docx", "A 32539-2026")</f>
        <v/>
      </c>
      <c r="AD94">
        <f>HYPERLINK("https://klasma.github.io/Logging_2181/tillsynsmail/A 32539-2026 tillsynsbegäran mail.docx", "A 32539-2026")</f>
        <v/>
      </c>
    </row>
    <row r="95" ht="15" customHeight="1">
      <c r="A95" t="inlineStr">
        <is>
          <t>A 32544-2026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46281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3.8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Igelkott</t>
        </is>
      </c>
      <c r="W95">
        <f>HYPERLINK("https://klasma.github.io/Logging_2181/artfynd/A 32544-2026 artfynd.xlsx", "A 32544-2026")</f>
        <v/>
      </c>
      <c r="X95">
        <f>HYPERLINK("https://klasma.github.io/Logging_2181/kartor/A 32544-2026 karta.png", "A 32544-2026")</f>
        <v/>
      </c>
      <c r="Y95">
        <f>HYPERLINK("https://klasma.github.io/Logging_2181/kartor_geotiff/A 32544-2026 georefererad karta.tif", "A 32544-2026")</f>
        <v/>
      </c>
      <c r="AA95">
        <f>HYPERLINK("https://klasma.github.io/Logging_2181/klagomål/A 32544-2026 FSC-klagomål.docx", "A 32544-2026")</f>
        <v/>
      </c>
      <c r="AB95">
        <f>HYPERLINK("https://klasma.github.io/Logging_2181/klagomålsmail/A 32544-2026 FSC-klagomål mail.docx", "A 32544-2026")</f>
        <v/>
      </c>
      <c r="AC95">
        <f>HYPERLINK("https://klasma.github.io/Logging_2181/tillsyn/A 32544-2026 tillsynsbegäran.docx", "A 32544-2026")</f>
        <v/>
      </c>
      <c r="AD95">
        <f>HYPERLINK("https://klasma.github.io/Logging_2181/tillsynsmail/A 32544-2026 tillsynsbegäran mail.docx", "A 32544-2026")</f>
        <v/>
      </c>
    </row>
    <row r="96" ht="15" customHeight="1">
      <c r="A96" t="inlineStr">
        <is>
          <t>A 5015-2023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46281</v>
      </c>
      <c r="F96" t="inlineStr">
        <is>
          <t>GÄVLEBORGS LÄN</t>
        </is>
      </c>
      <c r="G96" t="inlineStr">
        <is>
          <t>SANDVIKEN</t>
        </is>
      </c>
      <c r="I96" t="n">
        <v>7.8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Slåtterfibbla</t>
        </is>
      </c>
      <c r="W96">
        <f>HYPERLINK("https://klasma.github.io/Logging_2181/artfynd/A 5015-2023 artfynd.xlsx", "A 5015-2023")</f>
        <v/>
      </c>
      <c r="X96">
        <f>HYPERLINK("https://klasma.github.io/Logging_2181/kartor/A 5015-2023 karta.png", "A 5015-2023")</f>
        <v/>
      </c>
      <c r="Y96">
        <f>HYPERLINK("https://klasma.github.io/Logging_2181/kartor_geotiff/A 5015-2023 georefererad karta.tif", "A 5015-2023")</f>
        <v/>
      </c>
      <c r="AA96">
        <f>HYPERLINK("https://klasma.github.io/Logging_2181/klagomål/A 5015-2023 FSC-klagomål.docx", "A 5015-2023")</f>
        <v/>
      </c>
      <c r="AB96">
        <f>HYPERLINK("https://klasma.github.io/Logging_2181/klagomålsmail/A 5015-2023 FSC-klagomål mail.docx", "A 5015-2023")</f>
        <v/>
      </c>
      <c r="AC96">
        <f>HYPERLINK("https://klasma.github.io/Logging_2181/tillsyn/A 5015-2023 tillsynsbegäran.docx", "A 5015-2023")</f>
        <v/>
      </c>
      <c r="AD96">
        <f>HYPERLINK("https://klasma.github.io/Logging_2181/tillsynsmail/A 5015-2023 tillsynsbegäran mail.docx", "A 5015-2023")</f>
        <v/>
      </c>
    </row>
    <row r="97" ht="15" customHeight="1">
      <c r="A97" t="inlineStr">
        <is>
          <t>A 58845-2023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45252</v>
      </c>
      <c r="E97" s="1" t="n">
        <v>46281</v>
      </c>
      <c r="F97" t="inlineStr">
        <is>
          <t>GÄVLEBORGS LÄN</t>
        </is>
      </c>
      <c r="G97" t="inlineStr">
        <is>
          <t>SANDVIKEN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Vanlig padda</t>
        </is>
      </c>
      <c r="W97">
        <f>HYPERLINK("https://klasma.github.io/Logging_2181/artfynd/A 58845-2023 artfynd.xlsx", "A 58845-2023")</f>
        <v/>
      </c>
      <c r="X97">
        <f>HYPERLINK("https://klasma.github.io/Logging_2181/kartor/A 58845-2023 karta.png", "A 58845-2023")</f>
        <v/>
      </c>
      <c r="Y97">
        <f>HYPERLINK("https://klasma.github.io/Logging_2181/kartor_geotiff/A 58845-2023 georefererad karta.tif", "A 58845-2023")</f>
        <v/>
      </c>
      <c r="AA97">
        <f>HYPERLINK("https://klasma.github.io/Logging_2181/klagomål/A 58845-2023 FSC-klagomål.docx", "A 58845-2023")</f>
        <v/>
      </c>
      <c r="AB97">
        <f>HYPERLINK("https://klasma.github.io/Logging_2181/klagomålsmail/A 58845-2023 FSC-klagomål mail.docx", "A 58845-2023")</f>
        <v/>
      </c>
      <c r="AC97">
        <f>HYPERLINK("https://klasma.github.io/Logging_2181/tillsyn/A 58845-2023 tillsynsbegäran.docx", "A 58845-2023")</f>
        <v/>
      </c>
      <c r="AD97">
        <f>HYPERLINK("https://klasma.github.io/Logging_2181/tillsynsmail/A 58845-2023 tillsynsbegäran mail.docx", "A 58845-2023")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46281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45427-2023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46281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Mattlummer</t>
        </is>
      </c>
      <c r="W99">
        <f>HYPERLINK("https://klasma.github.io/Logging_2181/artfynd/A 45427-2023 artfynd.xlsx", "A 45427-2023")</f>
        <v/>
      </c>
      <c r="X99">
        <f>HYPERLINK("https://klasma.github.io/Logging_2181/kartor/A 45427-2023 karta.png", "A 45427-2023")</f>
        <v/>
      </c>
      <c r="Y99">
        <f>HYPERLINK("https://klasma.github.io/Logging_2181/kartor_geotiff/A 45427-2023 georefererad karta.tif", "A 45427-2023")</f>
        <v/>
      </c>
      <c r="AA99">
        <f>HYPERLINK("https://klasma.github.io/Logging_2181/klagomål/A 45427-2023 FSC-klagomål.docx", "A 45427-2023")</f>
        <v/>
      </c>
      <c r="AB99">
        <f>HYPERLINK("https://klasma.github.io/Logging_2181/klagomålsmail/A 45427-2023 FSC-klagomål mail.docx", "A 45427-2023")</f>
        <v/>
      </c>
      <c r="AC99">
        <f>HYPERLINK("https://klasma.github.io/Logging_2181/tillsyn/A 45427-2023 tillsynsbegäran.docx", "A 45427-2023")</f>
        <v/>
      </c>
      <c r="AD99">
        <f>HYPERLINK("https://klasma.github.io/Logging_2181/tillsynsmail/A 45427-2023 tillsynsbegäran mail.docx", "A 45427-2023")</f>
        <v/>
      </c>
    </row>
    <row r="100" ht="15" customHeight="1">
      <c r="A100" t="inlineStr">
        <is>
          <t>A 25479-2023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46281</v>
      </c>
      <c r="F100" t="inlineStr">
        <is>
          <t>GÄVLEBORGS LÄN</t>
        </is>
      </c>
      <c r="G100" t="inlineStr">
        <is>
          <t>SANDVIKEN</t>
        </is>
      </c>
      <c r="I100" t="n">
        <v>4.1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Grönpyrola</t>
        </is>
      </c>
      <c r="W100">
        <f>HYPERLINK("https://klasma.github.io/Logging_2181/artfynd/A 25479-2023 artfynd.xlsx", "A 25479-2023")</f>
        <v/>
      </c>
      <c r="X100">
        <f>HYPERLINK("https://klasma.github.io/Logging_2181/kartor/A 25479-2023 karta.png", "A 25479-2023")</f>
        <v/>
      </c>
      <c r="Y100">
        <f>HYPERLINK("https://klasma.github.io/Logging_2181/kartor_geotiff/A 25479-2023 georefererad karta.tif", "A 25479-2023")</f>
        <v/>
      </c>
      <c r="AA100">
        <f>HYPERLINK("https://klasma.github.io/Logging_2181/klagomål/A 25479-2023 FSC-klagomål.docx", "A 25479-2023")</f>
        <v/>
      </c>
      <c r="AB100">
        <f>HYPERLINK("https://klasma.github.io/Logging_2181/klagomålsmail/A 25479-2023 FSC-klagomål mail.docx", "A 25479-2023")</f>
        <v/>
      </c>
      <c r="AC100">
        <f>HYPERLINK("https://klasma.github.io/Logging_2181/tillsyn/A 25479-2023 tillsynsbegäran.docx", "A 25479-2023")</f>
        <v/>
      </c>
      <c r="AD100">
        <f>HYPERLINK("https://klasma.github.io/Logging_2181/tillsynsmail/A 25479-2023 tillsynsbegäran mail.docx", "A 25479-2023")</f>
        <v/>
      </c>
    </row>
    <row r="101" ht="15" customHeight="1">
      <c r="A101" t="inlineStr">
        <is>
          <t>A 31311-2026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46281</v>
      </c>
      <c r="F101" t="inlineStr">
        <is>
          <t>GÄVLEBORGS LÄN</t>
        </is>
      </c>
      <c r="G101" t="inlineStr">
        <is>
          <t>SANDVIKEN</t>
        </is>
      </c>
      <c r="I101" t="n">
        <v>1.7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31311-2026 artfynd.xlsx", "A 31311-2026")</f>
        <v/>
      </c>
      <c r="X101">
        <f>HYPERLINK("https://klasma.github.io/Logging_2181/kartor/A 31311-2026 karta.png", "A 31311-2026")</f>
        <v/>
      </c>
      <c r="Y101">
        <f>HYPERLINK("https://klasma.github.io/Logging_2181/kartor_geotiff/A 31311-2026 georefererad karta.tif", "A 31311-2026")</f>
        <v/>
      </c>
      <c r="AA101">
        <f>HYPERLINK("https://klasma.github.io/Logging_2181/klagomål/A 31311-2026 FSC-klagomål.docx", "A 31311-2026")</f>
        <v/>
      </c>
      <c r="AB101">
        <f>HYPERLINK("https://klasma.github.io/Logging_2181/klagomålsmail/A 31311-2026 FSC-klagomål mail.docx", "A 31311-2026")</f>
        <v/>
      </c>
      <c r="AC101">
        <f>HYPERLINK("https://klasma.github.io/Logging_2181/tillsyn/A 31311-2026 tillsynsbegäran.docx", "A 31311-2026")</f>
        <v/>
      </c>
      <c r="AD101">
        <f>HYPERLINK("https://klasma.github.io/Logging_2181/tillsynsmail/A 31311-2026 tillsynsbegäran mail.docx", "A 31311-2026")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46281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46281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46281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46281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36596-2026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46269</v>
      </c>
      <c r="E106" s="1" t="n">
        <v>46281</v>
      </c>
      <c r="F106" t="inlineStr">
        <is>
          <t>GÄVLEBORGS LÄN</t>
        </is>
      </c>
      <c r="G106" t="inlineStr">
        <is>
          <t>SANDVIKEN</t>
        </is>
      </c>
      <c r="I106" t="n">
        <v>10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36596-2026 artfynd.xlsx", "A 36596-2026")</f>
        <v/>
      </c>
      <c r="X106">
        <f>HYPERLINK("https://klasma.github.io/Logging_2181/kartor/A 36596-2026 karta.png", "A 36596-2026")</f>
        <v/>
      </c>
      <c r="Y106">
        <f>HYPERLINK("https://klasma.github.io/Logging_2181/kartor_geotiff/A 36596-2026 georefererad karta.tif", "A 36596-2026")</f>
        <v/>
      </c>
      <c r="AA106">
        <f>HYPERLINK("https://klasma.github.io/Logging_2181/klagomål/A 36596-2026 FSC-klagomål.docx", "A 36596-2026")</f>
        <v/>
      </c>
      <c r="AB106">
        <f>HYPERLINK("https://klasma.github.io/Logging_2181/klagomålsmail/A 36596-2026 FSC-klagomål mail.docx", "A 36596-2026")</f>
        <v/>
      </c>
      <c r="AC106">
        <f>HYPERLINK("https://klasma.github.io/Logging_2181/tillsyn/A 36596-2026 tillsynsbegäran.docx", "A 36596-2026")</f>
        <v/>
      </c>
      <c r="AD106">
        <f>HYPERLINK("https://klasma.github.io/Logging_2181/tillsynsmail/A 36596-2026 tillsynsbegäran mail.docx", "A 36596-2026")</f>
        <v/>
      </c>
    </row>
    <row r="107" ht="15" customHeight="1">
      <c r="A107" t="inlineStr">
        <is>
          <t>A 25323-2025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46281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3.8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3</v>
      </c>
      <c r="U107" t="n">
        <v>3</v>
      </c>
      <c r="V107" s="2" t="inlineStr">
        <is>
          <t>Plattlummer</t>
        </is>
      </c>
      <c r="W107">
        <f>HYPERLINK("https://klasma.github.io/Logging_2181/artfynd/A 25323-2025 artfynd.xlsx", "A 25323-2025")</f>
        <v/>
      </c>
      <c r="X107">
        <f>HYPERLINK("https://klasma.github.io/Logging_2181/kartor/A 25323-2025 karta.png", "A 25323-2025")</f>
        <v/>
      </c>
      <c r="Y107">
        <f>HYPERLINK("https://klasma.github.io/Logging_2181/kartor_geotiff/A 25323-2025 georefererad karta.tif", "A 25323-2025")</f>
        <v/>
      </c>
      <c r="AA107">
        <f>HYPERLINK("https://klasma.github.io/Logging_2181/klagomål/A 25323-2025 FSC-klagomål.docx", "A 25323-2025")</f>
        <v/>
      </c>
      <c r="AB107">
        <f>HYPERLINK("https://klasma.github.io/Logging_2181/klagomålsmail/A 25323-2025 FSC-klagomål mail.docx", "A 25323-2025")</f>
        <v/>
      </c>
      <c r="AC107">
        <f>HYPERLINK("https://klasma.github.io/Logging_2181/tillsyn/A 25323-2025 tillsynsbegäran.docx", "A 25323-2025")</f>
        <v/>
      </c>
      <c r="AD107">
        <f>HYPERLINK("https://klasma.github.io/Logging_2181/tillsynsmail/A 25323-2025 tillsynsbegäran mail.docx", "A 25323-2025")</f>
        <v/>
      </c>
    </row>
    <row r="108" ht="15" customHeight="1">
      <c r="A108" t="inlineStr">
        <is>
          <t>A 25314-2025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46281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Garnlav</t>
        </is>
      </c>
      <c r="W108">
        <f>HYPERLINK("https://klasma.github.io/Logging_2181/artfynd/A 25314-2025 artfynd.xlsx", "A 25314-2025")</f>
        <v/>
      </c>
      <c r="X108">
        <f>HYPERLINK("https://klasma.github.io/Logging_2181/kartor/A 25314-2025 karta.png", "A 25314-2025")</f>
        <v/>
      </c>
      <c r="Y108">
        <f>HYPERLINK("https://klasma.github.io/Logging_2181/kartor_geotiff/A 25314-2025 georefererad karta.tif", "A 25314-2025")</f>
        <v/>
      </c>
      <c r="AA108">
        <f>HYPERLINK("https://klasma.github.io/Logging_2181/klagomål/A 25314-2025 FSC-klagomål.docx", "A 25314-2025")</f>
        <v/>
      </c>
      <c r="AB108">
        <f>HYPERLINK("https://klasma.github.io/Logging_2181/klagomålsmail/A 25314-2025 FSC-klagomål mail.docx", "A 25314-2025")</f>
        <v/>
      </c>
      <c r="AC108">
        <f>HYPERLINK("https://klasma.github.io/Logging_2181/tillsyn/A 25314-2025 tillsynsbegäran.docx", "A 25314-2025")</f>
        <v/>
      </c>
      <c r="AD108">
        <f>HYPERLINK("https://klasma.github.io/Logging_2181/tillsynsmail/A 25314-2025 tillsynsbegäran mail.docx", "A 25314-2025")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46281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46281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46281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46281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46281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46281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46281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46281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46281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46281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50876-2021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44460</v>
      </c>
      <c r="E119" s="1" t="n">
        <v>46281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46281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46281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46281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46281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46281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46281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46281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46281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46281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46281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46281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46281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46281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46281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46281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46281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46281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46281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46281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46281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46281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67180-2021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44523</v>
      </c>
      <c r="E141" s="1" t="n">
        <v>46281</v>
      </c>
      <c r="F141" t="inlineStr">
        <is>
          <t>GÄVLEBORGS LÄN</t>
        </is>
      </c>
      <c r="G141" t="inlineStr">
        <is>
          <t>SANDVIKEN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46281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46281</v>
      </c>
      <c r="F143" t="inlineStr">
        <is>
          <t>GÄVLEBORGS LÄN</t>
        </is>
      </c>
      <c r="G143" t="inlineStr">
        <is>
          <t>SANDVIKEN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46281</v>
      </c>
      <c r="F144" t="inlineStr">
        <is>
          <t>GÄVLEBORGS LÄN</t>
        </is>
      </c>
      <c r="G144" t="inlineStr">
        <is>
          <t>SANDVIKEN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46281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45463</v>
      </c>
      <c r="E146" s="1" t="n">
        <v>46281</v>
      </c>
      <c r="F146" t="inlineStr">
        <is>
          <t>GÄVLEBORGS LÄN</t>
        </is>
      </c>
      <c r="G146" t="inlineStr">
        <is>
          <t>SANDVIKEN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44714</v>
      </c>
      <c r="E147" s="1" t="n">
        <v>46281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46281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46281</v>
      </c>
      <c r="F149" t="inlineStr">
        <is>
          <t>GÄVLEBORGS LÄN</t>
        </is>
      </c>
      <c r="G149" t="inlineStr">
        <is>
          <t>SANDVIKEN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44804</v>
      </c>
      <c r="E150" s="1" t="n">
        <v>46281</v>
      </c>
      <c r="F150" t="inlineStr">
        <is>
          <t>GÄVLEBORGS LÄN</t>
        </is>
      </c>
      <c r="G150" t="inlineStr">
        <is>
          <t>SANDVIKEN</t>
        </is>
      </c>
      <c r="I150" t="n">
        <v>9.199999999999999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44672</v>
      </c>
      <c r="E151" s="1" t="n">
        <v>46281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46281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väst AB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65098-2023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45288</v>
      </c>
      <c r="E153" s="1" t="n">
        <v>46281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46281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45460</v>
      </c>
      <c r="E155" s="1" t="n">
        <v>46281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44744</v>
      </c>
      <c r="E156" s="1" t="n">
        <v>46281</v>
      </c>
      <c r="F156" t="inlineStr">
        <is>
          <t>GÄVLEBORGS LÄN</t>
        </is>
      </c>
      <c r="G156" t="inlineStr">
        <is>
          <t>SANDVIKEN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46281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46281</v>
      </c>
      <c r="F158" t="inlineStr">
        <is>
          <t>GÄVLEBORGS LÄN</t>
        </is>
      </c>
      <c r="G158" t="inlineStr">
        <is>
          <t>SANDVIKEN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45512</v>
      </c>
      <c r="E159" s="1" t="n">
        <v>46281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46281</v>
      </c>
      <c r="F160" t="inlineStr">
        <is>
          <t>GÄVLEBORGS LÄN</t>
        </is>
      </c>
      <c r="G160" t="inlineStr">
        <is>
          <t>SANDVIKEN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45467</v>
      </c>
      <c r="E161" s="1" t="n">
        <v>46281</v>
      </c>
      <c r="F161" t="inlineStr">
        <is>
          <t>GÄVLEBORGS LÄN</t>
        </is>
      </c>
      <c r="G161" t="inlineStr">
        <is>
          <t>SANDVIKEN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46281</v>
      </c>
      <c r="F162" t="inlineStr">
        <is>
          <t>GÄVLEBORGS LÄN</t>
        </is>
      </c>
      <c r="G162" t="inlineStr">
        <is>
          <t>SANDVIKEN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46281</v>
      </c>
      <c r="F163" t="inlineStr">
        <is>
          <t>GÄVLEBORGS LÄN</t>
        </is>
      </c>
      <c r="G163" t="inlineStr">
        <is>
          <t>SANDVIKEN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46281</v>
      </c>
      <c r="F164" t="inlineStr">
        <is>
          <t>GÄVLEBORGS LÄN</t>
        </is>
      </c>
      <c r="G164" t="inlineStr">
        <is>
          <t>SANDVIKEN</t>
        </is>
      </c>
      <c r="H164" t="inlineStr">
        <is>
          <t>Bergvik skog öst AB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46281</v>
      </c>
      <c r="F165" t="inlineStr">
        <is>
          <t>GÄVLEBORGS LÄN</t>
        </is>
      </c>
      <c r="G165" t="inlineStr">
        <is>
          <t>SANDVIKEN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46281</v>
      </c>
      <c r="F166" t="inlineStr">
        <is>
          <t>GÄVLEBORGS LÄN</t>
        </is>
      </c>
      <c r="G166" t="inlineStr">
        <is>
          <t>SANDVIKEN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46281</v>
      </c>
      <c r="F167" t="inlineStr">
        <is>
          <t>GÄVLEBORGS LÄN</t>
        </is>
      </c>
      <c r="G167" t="inlineStr">
        <is>
          <t>SANDVIKEN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46281</v>
      </c>
      <c r="F168" t="inlineStr">
        <is>
          <t>GÄVLEBORGS LÄN</t>
        </is>
      </c>
      <c r="G168" t="inlineStr">
        <is>
          <t>SANDVIKEN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60908-2022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44914</v>
      </c>
      <c r="E169" s="1" t="n">
        <v>46281</v>
      </c>
      <c r="F169" t="inlineStr">
        <is>
          <t>GÄVLEBORGS LÄN</t>
        </is>
      </c>
      <c r="G169" t="inlineStr">
        <is>
          <t>SANDVIKEN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46281</v>
      </c>
      <c r="F170" t="inlineStr">
        <is>
          <t>GÄVLEBORGS LÄN</t>
        </is>
      </c>
      <c r="G170" t="inlineStr">
        <is>
          <t>SANDVIKEN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46281</v>
      </c>
      <c r="F171" t="inlineStr">
        <is>
          <t>GÄVLEBORGS LÄN</t>
        </is>
      </c>
      <c r="G171" t="inlineStr">
        <is>
          <t>SANDVIKEN</t>
        </is>
      </c>
      <c r="H171" t="inlineStr">
        <is>
          <t>Bergvik skog öst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45240</v>
      </c>
      <c r="E172" s="1" t="n">
        <v>46281</v>
      </c>
      <c r="F172" t="inlineStr">
        <is>
          <t>GÄVLEBORGS LÄN</t>
        </is>
      </c>
      <c r="G172" t="inlineStr">
        <is>
          <t>SANDVIKEN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46281</v>
      </c>
      <c r="F173" t="inlineStr">
        <is>
          <t>GÄVLEBORGS LÄN</t>
        </is>
      </c>
      <c r="G173" t="inlineStr">
        <is>
          <t>SANDVIKEN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46281</v>
      </c>
      <c r="F174" t="inlineStr">
        <is>
          <t>GÄVLEBORGS LÄN</t>
        </is>
      </c>
      <c r="G174" t="inlineStr">
        <is>
          <t>SANDVIKEN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46281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46281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46281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46281</v>
      </c>
      <c r="F178" t="inlineStr">
        <is>
          <t>GÄVLEBORGS LÄN</t>
        </is>
      </c>
      <c r="G178" t="inlineStr">
        <is>
          <t>SANDVIKEN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46281</v>
      </c>
      <c r="F179" t="inlineStr">
        <is>
          <t>GÄVLEBORGS LÄN</t>
        </is>
      </c>
      <c r="G179" t="inlineStr">
        <is>
          <t>SANDVIKEN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46281</v>
      </c>
      <c r="F180" t="inlineStr">
        <is>
          <t>GÄVLEBORGS LÄN</t>
        </is>
      </c>
      <c r="G180" t="inlineStr">
        <is>
          <t>SANDVIKEN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44854</v>
      </c>
      <c r="E181" s="1" t="n">
        <v>46281</v>
      </c>
      <c r="F181" t="inlineStr">
        <is>
          <t>GÄVLEBORGS LÄN</t>
        </is>
      </c>
      <c r="G181" t="inlineStr">
        <is>
          <t>SANDVIKEN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46281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46080</v>
      </c>
      <c r="E183" s="1" t="n">
        <v>46281</v>
      </c>
      <c r="F183" t="inlineStr">
        <is>
          <t>GÄVLEBORGS LÄN</t>
        </is>
      </c>
      <c r="G183" t="inlineStr">
        <is>
          <t>SANDVIKEN</t>
        </is>
      </c>
      <c r="I183" t="n">
        <v>14.5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46281</v>
      </c>
      <c r="F184" t="inlineStr">
        <is>
          <t>GÄVLEBORGS LÄN</t>
        </is>
      </c>
      <c r="G184" t="inlineStr">
        <is>
          <t>SANDVIKEN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46281</v>
      </c>
      <c r="F185" t="inlineStr">
        <is>
          <t>GÄVLEBORGS LÄN</t>
        </is>
      </c>
      <c r="G185" t="inlineStr">
        <is>
          <t>SANDVIKEN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46080</v>
      </c>
      <c r="E186" s="1" t="n">
        <v>46281</v>
      </c>
      <c r="F186" t="inlineStr">
        <is>
          <t>GÄVLEBORGS LÄN</t>
        </is>
      </c>
      <c r="G186" t="inlineStr">
        <is>
          <t>SANDVIKEN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11940-2026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46085</v>
      </c>
      <c r="E187" s="1" t="n">
        <v>46281</v>
      </c>
      <c r="F187" t="inlineStr">
        <is>
          <t>GÄVLEBORGS LÄN</t>
        </is>
      </c>
      <c r="G187" t="inlineStr">
        <is>
          <t>SANDVIKEN</t>
        </is>
      </c>
      <c r="H187" t="inlineStr">
        <is>
          <t>Naturvårdsverket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46281</v>
      </c>
      <c r="F188" t="inlineStr">
        <is>
          <t>GÄVLEBORGS LÄN</t>
        </is>
      </c>
      <c r="G188" t="inlineStr">
        <is>
          <t>SANDVIKEN</t>
        </is>
      </c>
      <c r="H188" t="inlineStr">
        <is>
          <t>Bergvik skog öst AB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46281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46281</v>
      </c>
      <c r="F190" t="inlineStr">
        <is>
          <t>GÄVLEBORGS LÄN</t>
        </is>
      </c>
      <c r="G190" t="inlineStr">
        <is>
          <t>SANDVIKEN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46281</v>
      </c>
      <c r="F191" t="inlineStr">
        <is>
          <t>GÄVLEBORGS LÄN</t>
        </is>
      </c>
      <c r="G191" t="inlineStr">
        <is>
          <t>SANDVIKEN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46281</v>
      </c>
      <c r="F192" t="inlineStr">
        <is>
          <t>GÄVLEBORGS LÄN</t>
        </is>
      </c>
      <c r="G192" t="inlineStr">
        <is>
          <t>SANDVIKEN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46281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46281</v>
      </c>
      <c r="F194" t="inlineStr">
        <is>
          <t>GÄVLEBORGS LÄN</t>
        </is>
      </c>
      <c r="G194" t="inlineStr">
        <is>
          <t>SANDVIKEN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46281</v>
      </c>
      <c r="F195" t="inlineStr">
        <is>
          <t>GÄVLEBORGS LÄN</t>
        </is>
      </c>
      <c r="G195" t="inlineStr">
        <is>
          <t>SANDVIKEN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45483</v>
      </c>
      <c r="E196" s="1" t="n">
        <v>46281</v>
      </c>
      <c r="F196" t="inlineStr">
        <is>
          <t>GÄVLEBORGS LÄN</t>
        </is>
      </c>
      <c r="G196" t="inlineStr">
        <is>
          <t>SANDVIKEN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45300</v>
      </c>
      <c r="E197" s="1" t="n">
        <v>46281</v>
      </c>
      <c r="F197" t="inlineStr">
        <is>
          <t>GÄVLEBORGS LÄN</t>
        </is>
      </c>
      <c r="G197" t="inlineStr">
        <is>
          <t>SANDVIKEN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46281</v>
      </c>
      <c r="F198" t="inlineStr">
        <is>
          <t>GÄVLEBORGS LÄN</t>
        </is>
      </c>
      <c r="G198" t="inlineStr">
        <is>
          <t>SANDVIKEN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46281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46281</v>
      </c>
      <c r="F200" t="inlineStr">
        <is>
          <t>GÄVLEBORGS LÄN</t>
        </is>
      </c>
      <c r="G200" t="inlineStr">
        <is>
          <t>SANDVIKEN</t>
        </is>
      </c>
      <c r="H200" t="inlineStr">
        <is>
          <t>Naturvårdsverket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46281</v>
      </c>
      <c r="F201" t="inlineStr">
        <is>
          <t>GÄVLEBORGS LÄN</t>
        </is>
      </c>
      <c r="G201" t="inlineStr">
        <is>
          <t>SANDVIKEN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46281</v>
      </c>
      <c r="F202" t="inlineStr">
        <is>
          <t>GÄVLEBORGS LÄN</t>
        </is>
      </c>
      <c r="G202" t="inlineStr">
        <is>
          <t>SANDVIKEN</t>
        </is>
      </c>
      <c r="H202" t="inlineStr">
        <is>
          <t>Bergvik skog öst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46281</v>
      </c>
      <c r="F203" t="inlineStr">
        <is>
          <t>GÄVLEBORGS LÄN</t>
        </is>
      </c>
      <c r="G203" t="inlineStr">
        <is>
          <t>SANDVIKEN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46281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45282</v>
      </c>
      <c r="E205" s="1" t="n">
        <v>46281</v>
      </c>
      <c r="F205" t="inlineStr">
        <is>
          <t>GÄVLEBORGS LÄN</t>
        </is>
      </c>
      <c r="G205" t="inlineStr">
        <is>
          <t>SANDVIKEN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46281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46281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öst AB</t>
        </is>
      </c>
      <c r="I207" t="n">
        <v>27.2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46281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öst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46281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46281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46281</v>
      </c>
      <c r="F211" t="inlineStr">
        <is>
          <t>GÄVLEBORGS LÄN</t>
        </is>
      </c>
      <c r="G211" t="inlineStr">
        <is>
          <t>SANDVIKEN</t>
        </is>
      </c>
      <c r="H211" t="inlineStr">
        <is>
          <t>Kommuner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46281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46086</v>
      </c>
      <c r="E213" s="1" t="n">
        <v>46281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öst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46281</v>
      </c>
      <c r="F214" t="inlineStr">
        <is>
          <t>GÄVLEBORGS LÄN</t>
        </is>
      </c>
      <c r="G214" t="inlineStr">
        <is>
          <t>SANDVIKEN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46281</v>
      </c>
      <c r="F215" t="inlineStr">
        <is>
          <t>GÄVLEBORGS LÄN</t>
        </is>
      </c>
      <c r="G215" t="inlineStr">
        <is>
          <t>SANDVIKEN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46281</v>
      </c>
      <c r="F216" t="inlineStr">
        <is>
          <t>GÄVLEBORGS LÄN</t>
        </is>
      </c>
      <c r="G216" t="inlineStr">
        <is>
          <t>SANDVIKEN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46281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12132-2026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46086</v>
      </c>
      <c r="E218" s="1" t="n">
        <v>46281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46281</v>
      </c>
      <c r="F219" t="inlineStr">
        <is>
          <t>GÄVLEBORGS LÄN</t>
        </is>
      </c>
      <c r="G219" t="inlineStr">
        <is>
          <t>SANDVIKEN</t>
        </is>
      </c>
      <c r="H219" t="inlineStr">
        <is>
          <t>Naturvårdsverket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46281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45264</v>
      </c>
      <c r="E221" s="1" t="n">
        <v>46281</v>
      </c>
      <c r="F221" t="inlineStr">
        <is>
          <t>GÄVLEBORGS LÄN</t>
        </is>
      </c>
      <c r="G221" t="inlineStr">
        <is>
          <t>SANDVIKEN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46281</v>
      </c>
      <c r="F222" t="inlineStr">
        <is>
          <t>GÄVLEBORGS LÄN</t>
        </is>
      </c>
      <c r="G222" t="inlineStr">
        <is>
          <t>SANDVIKEN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46281</v>
      </c>
      <c r="F223" t="inlineStr">
        <is>
          <t>GÄVLEBORGS LÄN</t>
        </is>
      </c>
      <c r="G223" t="inlineStr">
        <is>
          <t>SANDVIKEN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46091</v>
      </c>
      <c r="E224" s="1" t="n">
        <v>46281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öst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46281</v>
      </c>
      <c r="F225" t="inlineStr">
        <is>
          <t>GÄVLEBORGS LÄN</t>
        </is>
      </c>
      <c r="G225" t="inlineStr">
        <is>
          <t>SANDVIKEN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46281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46281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46281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45896</v>
      </c>
      <c r="E229" s="1" t="n">
        <v>46281</v>
      </c>
      <c r="F229" t="inlineStr">
        <is>
          <t>GÄVLEBORGS LÄN</t>
        </is>
      </c>
      <c r="G229" t="inlineStr">
        <is>
          <t>SANDVIKEN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46281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öst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46281</v>
      </c>
      <c r="F231" t="inlineStr">
        <is>
          <t>GÄVLEBORGS LÄN</t>
        </is>
      </c>
      <c r="G231" t="inlineStr">
        <is>
          <t>SANDVIKEN</t>
        </is>
      </c>
      <c r="I231" t="n">
        <v>22.5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46281</v>
      </c>
      <c r="F232" t="inlineStr">
        <is>
          <t>GÄVLEBORGS LÄN</t>
        </is>
      </c>
      <c r="G232" t="inlineStr">
        <is>
          <t>SANDVIKEN</t>
        </is>
      </c>
      <c r="H232" t="inlineStr">
        <is>
          <t>Naturvårdsverket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46281</v>
      </c>
      <c r="F233" t="inlineStr">
        <is>
          <t>GÄVLEBORGS LÄN</t>
        </is>
      </c>
      <c r="G233" t="inlineStr">
        <is>
          <t>SANDVIKEN</t>
        </is>
      </c>
      <c r="H233" t="inlineStr">
        <is>
          <t>Naturvårdsverket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46281</v>
      </c>
      <c r="F234" t="inlineStr">
        <is>
          <t>GÄVLEBORGS LÄN</t>
        </is>
      </c>
      <c r="G234" t="inlineStr">
        <is>
          <t>SANDVIKEN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46281</v>
      </c>
      <c r="F235" t="inlineStr">
        <is>
          <t>GÄVLEBORGS LÄN</t>
        </is>
      </c>
      <c r="G235" t="inlineStr">
        <is>
          <t>SANDVIKEN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46281</v>
      </c>
      <c r="F236" t="inlineStr">
        <is>
          <t>GÄVLEBORGS LÄN</t>
        </is>
      </c>
      <c r="G236" t="inlineStr">
        <is>
          <t>SANDVIKEN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45540</v>
      </c>
      <c r="E237" s="1" t="n">
        <v>46281</v>
      </c>
      <c r="F237" t="inlineStr">
        <is>
          <t>GÄVLEBORGS LÄN</t>
        </is>
      </c>
      <c r="G237" t="inlineStr">
        <is>
          <t>SANDVIKEN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46281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44845</v>
      </c>
      <c r="E239" s="1" t="n">
        <v>46281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46281</v>
      </c>
      <c r="F240" t="inlineStr">
        <is>
          <t>GÄVLEBORGS LÄN</t>
        </is>
      </c>
      <c r="G240" t="inlineStr">
        <is>
          <t>SANDVIKEN</t>
        </is>
      </c>
      <c r="H240" t="inlineStr">
        <is>
          <t>Bergvik skog öst AB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46281</v>
      </c>
      <c r="F241" t="inlineStr">
        <is>
          <t>GÄVLEBORGS LÄN</t>
        </is>
      </c>
      <c r="G241" t="inlineStr">
        <is>
          <t>SANDVIKEN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46281</v>
      </c>
      <c r="F242" t="inlineStr">
        <is>
          <t>GÄVLEBORGS LÄN</t>
        </is>
      </c>
      <c r="G242" t="inlineStr">
        <is>
          <t>SANDVIKEN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46281</v>
      </c>
      <c r="F243" t="inlineStr">
        <is>
          <t>GÄVLEBORGS LÄN</t>
        </is>
      </c>
      <c r="G243" t="inlineStr">
        <is>
          <t>SANDVIKEN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46095</v>
      </c>
      <c r="E244" s="1" t="n">
        <v>46281</v>
      </c>
      <c r="F244" t="inlineStr">
        <is>
          <t>GÄVLEBORGS LÄN</t>
        </is>
      </c>
      <c r="G244" t="inlineStr">
        <is>
          <t>SANDVIKEN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46095</v>
      </c>
      <c r="E245" s="1" t="n">
        <v>46281</v>
      </c>
      <c r="F245" t="inlineStr">
        <is>
          <t>GÄVLEBORGS LÄN</t>
        </is>
      </c>
      <c r="G245" t="inlineStr">
        <is>
          <t>SANDVIKEN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46095</v>
      </c>
      <c r="E246" s="1" t="n">
        <v>46281</v>
      </c>
      <c r="F246" t="inlineStr">
        <is>
          <t>GÄVLEBORGS LÄN</t>
        </is>
      </c>
      <c r="G246" t="inlineStr">
        <is>
          <t>SANDVIKEN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46095</v>
      </c>
      <c r="E247" s="1" t="n">
        <v>46281</v>
      </c>
      <c r="F247" t="inlineStr">
        <is>
          <t>GÄVLEBORGS LÄN</t>
        </is>
      </c>
      <c r="G247" t="inlineStr">
        <is>
          <t>SANDVIKEN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46281</v>
      </c>
      <c r="F248" t="inlineStr">
        <is>
          <t>GÄVLEBORGS LÄN</t>
        </is>
      </c>
      <c r="G248" t="inlineStr">
        <is>
          <t>SANDVIKEN</t>
        </is>
      </c>
      <c r="H248" t="inlineStr">
        <is>
          <t>Kommuner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46097</v>
      </c>
      <c r="E249" s="1" t="n">
        <v>46281</v>
      </c>
      <c r="F249" t="inlineStr">
        <is>
          <t>GÄVLEBORGS LÄN</t>
        </is>
      </c>
      <c r="G249" t="inlineStr">
        <is>
          <t>SANDVIKEN</t>
        </is>
      </c>
      <c r="H249" t="inlineStr">
        <is>
          <t>Kommuner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46281</v>
      </c>
      <c r="F250" t="inlineStr">
        <is>
          <t>GÄVLEBORGS LÄN</t>
        </is>
      </c>
      <c r="G250" t="inlineStr">
        <is>
          <t>SANDVIKEN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46095</v>
      </c>
      <c r="E251" s="1" t="n">
        <v>46281</v>
      </c>
      <c r="F251" t="inlineStr">
        <is>
          <t>GÄVLEBORGS LÄN</t>
        </is>
      </c>
      <c r="G251" t="inlineStr">
        <is>
          <t>SANDVIKEN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46281</v>
      </c>
      <c r="F252" t="inlineStr">
        <is>
          <t>GÄVLEBORGS LÄN</t>
        </is>
      </c>
      <c r="G252" t="inlineStr">
        <is>
          <t>SANDVIKEN</t>
        </is>
      </c>
      <c r="H252" t="inlineStr">
        <is>
          <t>Kommuner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46095</v>
      </c>
      <c r="E253" s="1" t="n">
        <v>46281</v>
      </c>
      <c r="F253" t="inlineStr">
        <is>
          <t>GÄVLEBORGS LÄN</t>
        </is>
      </c>
      <c r="G253" t="inlineStr">
        <is>
          <t>SANDVIKEN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46095</v>
      </c>
      <c r="E254" s="1" t="n">
        <v>46281</v>
      </c>
      <c r="F254" t="inlineStr">
        <is>
          <t>GÄVLEBORGS LÄN</t>
        </is>
      </c>
      <c r="G254" t="inlineStr">
        <is>
          <t>SANDVIKEN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45070</v>
      </c>
      <c r="E255" s="1" t="n">
        <v>46281</v>
      </c>
      <c r="F255" t="inlineStr">
        <is>
          <t>GÄVLEBORGS LÄN</t>
        </is>
      </c>
      <c r="G255" t="inlineStr">
        <is>
          <t>SANDVIKEN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45899</v>
      </c>
      <c r="E256" s="1" t="n">
        <v>46281</v>
      </c>
      <c r="F256" t="inlineStr">
        <is>
          <t>GÄVLEBORGS LÄN</t>
        </is>
      </c>
      <c r="G256" t="inlineStr">
        <is>
          <t>SANDVIKEN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44994</v>
      </c>
      <c r="E257" s="1" t="n">
        <v>46281</v>
      </c>
      <c r="F257" t="inlineStr">
        <is>
          <t>GÄVLEBORGS LÄN</t>
        </is>
      </c>
      <c r="G257" t="inlineStr">
        <is>
          <t>SANDVIKEN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44994</v>
      </c>
      <c r="E258" s="1" t="n">
        <v>46281</v>
      </c>
      <c r="F258" t="inlineStr">
        <is>
          <t>GÄVLEBORGS LÄN</t>
        </is>
      </c>
      <c r="G258" t="inlineStr">
        <is>
          <t>SANDVIKEN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46098</v>
      </c>
      <c r="E259" s="1" t="n">
        <v>46281</v>
      </c>
      <c r="F259" t="inlineStr">
        <is>
          <t>GÄVLEBORGS LÄN</t>
        </is>
      </c>
      <c r="G259" t="inlineStr">
        <is>
          <t>SANDVIKEN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46281</v>
      </c>
      <c r="F260" t="inlineStr">
        <is>
          <t>GÄVLEBORGS LÄN</t>
        </is>
      </c>
      <c r="G260" t="inlineStr">
        <is>
          <t>SANDVIKEN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46099</v>
      </c>
      <c r="E261" s="1" t="n">
        <v>46281</v>
      </c>
      <c r="F261" t="inlineStr">
        <is>
          <t>GÄVLEBORGS LÄN</t>
        </is>
      </c>
      <c r="G261" t="inlineStr">
        <is>
          <t>SANDVIKEN</t>
        </is>
      </c>
      <c r="H261" t="inlineStr">
        <is>
          <t>Bergvik skog öst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46281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46099</v>
      </c>
      <c r="E263" s="1" t="n">
        <v>46281</v>
      </c>
      <c r="F263" t="inlineStr">
        <is>
          <t>GÄVLEBORGS LÄN</t>
        </is>
      </c>
      <c r="G263" t="inlineStr">
        <is>
          <t>SANDVIKEN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46281</v>
      </c>
      <c r="F264" t="inlineStr">
        <is>
          <t>GÄVLEBORGS LÄN</t>
        </is>
      </c>
      <c r="G264" t="inlineStr">
        <is>
          <t>SANDVIKEN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46281</v>
      </c>
      <c r="F265" t="inlineStr">
        <is>
          <t>GÄVLEBORGS LÄN</t>
        </is>
      </c>
      <c r="G265" t="inlineStr">
        <is>
          <t>SANDVIKEN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46281</v>
      </c>
      <c r="F266" t="inlineStr">
        <is>
          <t>GÄVLEBORGS LÄN</t>
        </is>
      </c>
      <c r="G266" t="inlineStr">
        <is>
          <t>SANDVIKEN</t>
        </is>
      </c>
      <c r="H266" t="inlineStr">
        <is>
          <t>Bergvik skog öst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44972</v>
      </c>
      <c r="E267" s="1" t="n">
        <v>46281</v>
      </c>
      <c r="F267" t="inlineStr">
        <is>
          <t>GÄVLEBORGS LÄN</t>
        </is>
      </c>
      <c r="G267" t="inlineStr">
        <is>
          <t>SANDVIKEN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14119-2026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46281</v>
      </c>
      <c r="F268" t="inlineStr">
        <is>
          <t>GÄVLEBORGS LÄN</t>
        </is>
      </c>
      <c r="G268" t="inlineStr">
        <is>
          <t>SANDVIKEN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14330-2026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46100</v>
      </c>
      <c r="E269" s="1" t="n">
        <v>46281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45721</v>
      </c>
      <c r="E270" s="1" t="n">
        <v>46281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46281</v>
      </c>
      <c r="F271" t="inlineStr">
        <is>
          <t>GÄVLEBORGS LÄN</t>
        </is>
      </c>
      <c r="G271" t="inlineStr">
        <is>
          <t>SANDVIKEN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46281</v>
      </c>
      <c r="F272" t="inlineStr">
        <is>
          <t>GÄVLEBORGS LÄN</t>
        </is>
      </c>
      <c r="G272" t="inlineStr">
        <is>
          <t>SANDVIKEN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46281</v>
      </c>
      <c r="F273" t="inlineStr">
        <is>
          <t>GÄVLEBORGS LÄN</t>
        </is>
      </c>
      <c r="G273" t="inlineStr">
        <is>
          <t>SANDVIKEN</t>
        </is>
      </c>
      <c r="H273" t="inlineStr">
        <is>
          <t>Kommuner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14649-2026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46281</v>
      </c>
      <c r="F274" t="inlineStr">
        <is>
          <t>GÄVLEBORGS LÄN</t>
        </is>
      </c>
      <c r="G274" t="inlineStr">
        <is>
          <t>SANDVIKEN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46281</v>
      </c>
      <c r="F275" t="inlineStr">
        <is>
          <t>GÄVLEBORGS LÄN</t>
        </is>
      </c>
      <c r="G275" t="inlineStr">
        <is>
          <t>SANDVIKEN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46281</v>
      </c>
      <c r="F276" t="inlineStr">
        <is>
          <t>GÄVLEBORGS LÄN</t>
        </is>
      </c>
      <c r="G276" t="inlineStr">
        <is>
          <t>SANDVIKEN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52932-2022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44875</v>
      </c>
      <c r="E277" s="1" t="n">
        <v>46281</v>
      </c>
      <c r="F277" t="inlineStr">
        <is>
          <t>GÄVLEBORGS LÄN</t>
        </is>
      </c>
      <c r="G277" t="inlineStr">
        <is>
          <t>SANDVIKEN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46281</v>
      </c>
      <c r="F278" t="inlineStr">
        <is>
          <t>GÄVLEBORGS LÄN</t>
        </is>
      </c>
      <c r="G278" t="inlineStr">
        <is>
          <t>SANDVIKEN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46281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46107</v>
      </c>
      <c r="E280" s="1" t="n">
        <v>46281</v>
      </c>
      <c r="F280" t="inlineStr">
        <is>
          <t>GÄVLEBORGS LÄN</t>
        </is>
      </c>
      <c r="G280" t="inlineStr">
        <is>
          <t>SANDVIKEN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46281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46058</v>
      </c>
      <c r="E282" s="1" t="n">
        <v>46281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46281</v>
      </c>
      <c r="F283" t="inlineStr">
        <is>
          <t>GÄVLEBORGS LÄN</t>
        </is>
      </c>
      <c r="G283" t="inlineStr">
        <is>
          <t>SANDVIKEN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46107</v>
      </c>
      <c r="E284" s="1" t="n">
        <v>46281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öst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46281</v>
      </c>
      <c r="F285" t="inlineStr">
        <is>
          <t>GÄVLEBORGS LÄN</t>
        </is>
      </c>
      <c r="G285" t="inlineStr">
        <is>
          <t>SANDVIKEN</t>
        </is>
      </c>
      <c r="H285" t="inlineStr">
        <is>
          <t>Kommuner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46281</v>
      </c>
      <c r="F286" t="inlineStr">
        <is>
          <t>GÄVLEBORGS LÄN</t>
        </is>
      </c>
      <c r="G286" t="inlineStr">
        <is>
          <t>SANDVIKEN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44587</v>
      </c>
      <c r="E287" s="1" t="n">
        <v>46281</v>
      </c>
      <c r="F287" t="inlineStr">
        <is>
          <t>GÄVLEBORGS LÄN</t>
        </is>
      </c>
      <c r="G287" t="inlineStr">
        <is>
          <t>SANDVIKEN</t>
        </is>
      </c>
      <c r="H287" t="inlineStr">
        <is>
          <t>Kyrkan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46108</v>
      </c>
      <c r="E288" s="1" t="n">
        <v>46281</v>
      </c>
      <c r="F288" t="inlineStr">
        <is>
          <t>GÄVLEBORGS LÄN</t>
        </is>
      </c>
      <c r="G288" t="inlineStr">
        <is>
          <t>SANDVIKEN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46281</v>
      </c>
      <c r="F289" t="inlineStr">
        <is>
          <t>GÄVLEBORGS LÄN</t>
        </is>
      </c>
      <c r="G289" t="inlineStr">
        <is>
          <t>SANDVIKEN</t>
        </is>
      </c>
      <c r="H289" t="inlineStr">
        <is>
          <t>Kommuner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46281</v>
      </c>
      <c r="F290" t="inlineStr">
        <is>
          <t>GÄVLEBORGS LÄN</t>
        </is>
      </c>
      <c r="G290" t="inlineStr">
        <is>
          <t>SANDVIKEN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46281</v>
      </c>
      <c r="F291" t="inlineStr">
        <is>
          <t>GÄVLEBORGS LÄN</t>
        </is>
      </c>
      <c r="G291" t="inlineStr">
        <is>
          <t>SANDVIKEN</t>
        </is>
      </c>
      <c r="H291" t="inlineStr">
        <is>
          <t>Kommuner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45293</v>
      </c>
      <c r="E292" s="1" t="n">
        <v>46281</v>
      </c>
      <c r="F292" t="inlineStr">
        <is>
          <t>GÄVLEBORGS LÄN</t>
        </is>
      </c>
      <c r="G292" t="inlineStr">
        <is>
          <t>SANDVIKEN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46281</v>
      </c>
      <c r="F293" t="inlineStr">
        <is>
          <t>GÄVLEBORGS LÄN</t>
        </is>
      </c>
      <c r="G293" t="inlineStr">
        <is>
          <t>SANDVIKEN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46281</v>
      </c>
      <c r="F294" t="inlineStr">
        <is>
          <t>GÄVLEBORGS LÄN</t>
        </is>
      </c>
      <c r="G294" t="inlineStr">
        <is>
          <t>SANDVIKEN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46281</v>
      </c>
      <c r="F295" t="inlineStr">
        <is>
          <t>GÄVLEBORGS LÄN</t>
        </is>
      </c>
      <c r="G295" t="inlineStr">
        <is>
          <t>SANDVIKEN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45660</v>
      </c>
      <c r="E296" s="1" t="n">
        <v>46281</v>
      </c>
      <c r="F296" t="inlineStr">
        <is>
          <t>GÄVLEBORGS LÄN</t>
        </is>
      </c>
      <c r="G296" t="inlineStr">
        <is>
          <t>SANDVIKEN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46115</v>
      </c>
      <c r="E297" s="1" t="n">
        <v>46281</v>
      </c>
      <c r="F297" t="inlineStr">
        <is>
          <t>GÄVLEBORGS LÄN</t>
        </is>
      </c>
      <c r="G297" t="inlineStr">
        <is>
          <t>SANDVIKEN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17173-2026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46115</v>
      </c>
      <c r="E298" s="1" t="n">
        <v>46281</v>
      </c>
      <c r="F298" t="inlineStr">
        <is>
          <t>GÄVLEBORGS LÄN</t>
        </is>
      </c>
      <c r="G298" t="inlineStr">
        <is>
          <t>SANDVIKEN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46115</v>
      </c>
      <c r="E299" s="1" t="n">
        <v>46281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46115</v>
      </c>
      <c r="E300" s="1" t="n">
        <v>46281</v>
      </c>
      <c r="F300" t="inlineStr">
        <is>
          <t>GÄVLEBORGS LÄN</t>
        </is>
      </c>
      <c r="G300" t="inlineStr">
        <is>
          <t>SANDVIKEN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46281</v>
      </c>
      <c r="F301" t="inlineStr">
        <is>
          <t>GÄVLEBORGS LÄN</t>
        </is>
      </c>
      <c r="G301" t="inlineStr">
        <is>
          <t>SANDVIKEN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46115</v>
      </c>
      <c r="E302" s="1" t="n">
        <v>46281</v>
      </c>
      <c r="F302" t="inlineStr">
        <is>
          <t>GÄVLEBORGS LÄN</t>
        </is>
      </c>
      <c r="G302" t="inlineStr">
        <is>
          <t>SANDVIKEN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46119</v>
      </c>
      <c r="E303" s="1" t="n">
        <v>46281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45099</v>
      </c>
      <c r="E304" s="1" t="n">
        <v>46281</v>
      </c>
      <c r="F304" t="inlineStr">
        <is>
          <t>GÄVLEBORGS LÄN</t>
        </is>
      </c>
      <c r="G304" t="inlineStr">
        <is>
          <t>SANDVIKEN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46281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46116</v>
      </c>
      <c r="E306" s="1" t="n">
        <v>46281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46116</v>
      </c>
      <c r="E307" s="1" t="n">
        <v>46281</v>
      </c>
      <c r="F307" t="inlineStr">
        <is>
          <t>GÄVLEBORGS LÄN</t>
        </is>
      </c>
      <c r="G307" t="inlineStr">
        <is>
          <t>SANDVIKEN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17360-2026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46281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46115</v>
      </c>
      <c r="E309" s="1" t="n">
        <v>46281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45919</v>
      </c>
      <c r="E310" s="1" t="n">
        <v>46281</v>
      </c>
      <c r="F310" t="inlineStr">
        <is>
          <t>GÄVLEBORGS LÄN</t>
        </is>
      </c>
      <c r="G310" t="inlineStr">
        <is>
          <t>SANDVIKEN</t>
        </is>
      </c>
      <c r="H310" t="inlineStr">
        <is>
          <t>Kyrkan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46116</v>
      </c>
      <c r="E311" s="1" t="n">
        <v>46281</v>
      </c>
      <c r="F311" t="inlineStr">
        <is>
          <t>GÄVLEBORGS LÄN</t>
        </is>
      </c>
      <c r="G311" t="inlineStr">
        <is>
          <t>SANDVIKEN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46119</v>
      </c>
      <c r="E312" s="1" t="n">
        <v>46281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46281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46119</v>
      </c>
      <c r="E314" s="1" t="n">
        <v>46281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46281</v>
      </c>
      <c r="F315" t="inlineStr">
        <is>
          <t>GÄVLEBORGS LÄN</t>
        </is>
      </c>
      <c r="G315" t="inlineStr">
        <is>
          <t>SANDVIKEN</t>
        </is>
      </c>
      <c r="H315" t="inlineStr">
        <is>
          <t>Kyrkan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23539-2026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46163</v>
      </c>
      <c r="E316" s="1" t="n">
        <v>46281</v>
      </c>
      <c r="F316" t="inlineStr">
        <is>
          <t>GÄVLEBORGS LÄN</t>
        </is>
      </c>
      <c r="G316" t="inlineStr">
        <is>
          <t>SANDVIKEN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46120</v>
      </c>
      <c r="E317" s="1" t="n">
        <v>46281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46281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46121</v>
      </c>
      <c r="E319" s="1" t="n">
        <v>46281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46281</v>
      </c>
      <c r="F320" t="inlineStr">
        <is>
          <t>GÄVLEBORGS LÄN</t>
        </is>
      </c>
      <c r="G320" t="inlineStr">
        <is>
          <t>SANDVIKEN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46281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46281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46281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45540</v>
      </c>
      <c r="E324" s="1" t="n">
        <v>46281</v>
      </c>
      <c r="F324" t="inlineStr">
        <is>
          <t>GÄVLEBORGS LÄN</t>
        </is>
      </c>
      <c r="G324" t="inlineStr">
        <is>
          <t>SANDVIKEN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46281</v>
      </c>
      <c r="F325" t="inlineStr">
        <is>
          <t>GÄVLEBORGS LÄN</t>
        </is>
      </c>
      <c r="G325" t="inlineStr">
        <is>
          <t>SANDVIKEN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46281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46281</v>
      </c>
      <c r="F327" t="inlineStr">
        <is>
          <t>GÄVLEBORGS LÄN</t>
        </is>
      </c>
      <c r="G327" t="inlineStr">
        <is>
          <t>SANDVIKEN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46281</v>
      </c>
      <c r="F328" t="inlineStr">
        <is>
          <t>GÄVLEBORGS LÄN</t>
        </is>
      </c>
      <c r="G328" t="inlineStr">
        <is>
          <t>SANDVIKEN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18219-2026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46126</v>
      </c>
      <c r="E329" s="1" t="n">
        <v>46281</v>
      </c>
      <c r="F329" t="inlineStr">
        <is>
          <t>GÄVLEBORGS LÄN</t>
        </is>
      </c>
      <c r="G329" t="inlineStr">
        <is>
          <t>SANDVIKEN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46281</v>
      </c>
      <c r="F330" t="inlineStr">
        <is>
          <t>GÄVLEBORGS LÄN</t>
        </is>
      </c>
      <c r="G330" t="inlineStr">
        <is>
          <t>SANDVIKEN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46281</v>
      </c>
      <c r="F331" t="inlineStr">
        <is>
          <t>GÄVLEBORGS LÄN</t>
        </is>
      </c>
      <c r="G331" t="inlineStr">
        <is>
          <t>SANDVIKEN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46281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46281</v>
      </c>
      <c r="F333" t="inlineStr">
        <is>
          <t>GÄVLEBORGS LÄN</t>
        </is>
      </c>
      <c r="G333" t="inlineStr">
        <is>
          <t>SANDVIKEN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45931</v>
      </c>
      <c r="E334" s="1" t="n">
        <v>46281</v>
      </c>
      <c r="F334" t="inlineStr">
        <is>
          <t>GÄVLEBORGS LÄN</t>
        </is>
      </c>
      <c r="G334" t="inlineStr">
        <is>
          <t>SANDVIKEN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46130</v>
      </c>
      <c r="E335" s="1" t="n">
        <v>46281</v>
      </c>
      <c r="F335" t="inlineStr">
        <is>
          <t>GÄVLEBORGS LÄN</t>
        </is>
      </c>
      <c r="G335" t="inlineStr">
        <is>
          <t>SANDVIKEN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46281</v>
      </c>
      <c r="F336" t="inlineStr">
        <is>
          <t>GÄVLEBORGS LÄN</t>
        </is>
      </c>
      <c r="G336" t="inlineStr">
        <is>
          <t>SANDVIKEN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46281</v>
      </c>
      <c r="F337" t="inlineStr">
        <is>
          <t>GÄVLEBORGS LÄN</t>
        </is>
      </c>
      <c r="G337" t="inlineStr">
        <is>
          <t>SANDVIKEN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46281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46281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46128</v>
      </c>
      <c r="E340" s="1" t="n">
        <v>46281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46281</v>
      </c>
      <c r="F341" t="inlineStr">
        <is>
          <t>GÄVLEBORGS LÄN</t>
        </is>
      </c>
      <c r="G341" t="inlineStr">
        <is>
          <t>SANDVIKEN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46281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11.9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18749-2026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46281</v>
      </c>
      <c r="F343" t="inlineStr">
        <is>
          <t>GÄVLEBORGS LÄN</t>
        </is>
      </c>
      <c r="G343" t="inlineStr">
        <is>
          <t>SANDVIKEN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46281</v>
      </c>
      <c r="F344" t="inlineStr">
        <is>
          <t>GÄVLEBORGS LÄN</t>
        </is>
      </c>
      <c r="G344" t="inlineStr">
        <is>
          <t>SANDVIKEN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46281</v>
      </c>
      <c r="F345" t="inlineStr">
        <is>
          <t>GÄVLEBORGS LÄN</t>
        </is>
      </c>
      <c r="G345" t="inlineStr">
        <is>
          <t>SANDVIKEN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46281</v>
      </c>
      <c r="F346" t="inlineStr">
        <is>
          <t>GÄVLEBORGS LÄN</t>
        </is>
      </c>
      <c r="G346" t="inlineStr">
        <is>
          <t>SANDVIKEN</t>
        </is>
      </c>
      <c r="H346" t="inlineStr">
        <is>
          <t>Naturvårdsverket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46281</v>
      </c>
      <c r="F347" t="inlineStr">
        <is>
          <t>GÄVLEBORGS LÄN</t>
        </is>
      </c>
      <c r="G347" t="inlineStr">
        <is>
          <t>SANDVIKEN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46281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46281</v>
      </c>
      <c r="F349" t="inlineStr">
        <is>
          <t>GÄVLEBORGS LÄN</t>
        </is>
      </c>
      <c r="G349" t="inlineStr">
        <is>
          <t>SANDVIKEN</t>
        </is>
      </c>
      <c r="H349" t="inlineStr">
        <is>
          <t>Sveaskog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46281</v>
      </c>
      <c r="F350" t="inlineStr">
        <is>
          <t>GÄVLEBORGS LÄN</t>
        </is>
      </c>
      <c r="G350" t="inlineStr">
        <is>
          <t>SANDVIKEN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46281</v>
      </c>
      <c r="F351" t="inlineStr">
        <is>
          <t>GÄVLEBORGS LÄN</t>
        </is>
      </c>
      <c r="G351" t="inlineStr">
        <is>
          <t>SANDVIKEN</t>
        </is>
      </c>
      <c r="H351" t="inlineStr">
        <is>
          <t>Naturvårdsverket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46129</v>
      </c>
      <c r="E352" s="1" t="n">
        <v>46281</v>
      </c>
      <c r="F352" t="inlineStr">
        <is>
          <t>GÄVLEBORGS LÄN</t>
        </is>
      </c>
      <c r="G352" t="inlineStr">
        <is>
          <t>SANDVIKEN</t>
        </is>
      </c>
      <c r="H352" t="inlineStr">
        <is>
          <t>Bergvik skog öst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48963-2025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45936</v>
      </c>
      <c r="E353" s="1" t="n">
        <v>46281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väst AB</t>
        </is>
      </c>
      <c r="I353" t="n">
        <v>10.1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46281</v>
      </c>
      <c r="F354" t="inlineStr">
        <is>
          <t>GÄVLEBORGS LÄN</t>
        </is>
      </c>
      <c r="G354" t="inlineStr">
        <is>
          <t>SANDVIKEN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71995-2021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46281</v>
      </c>
      <c r="F355" t="inlineStr">
        <is>
          <t>GÄVLEBORGS LÄN</t>
        </is>
      </c>
      <c r="G355" t="inlineStr">
        <is>
          <t>SANDVIKEN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46281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46281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46281</v>
      </c>
      <c r="F358" t="inlineStr">
        <is>
          <t>GÄVLEBORGS LÄN</t>
        </is>
      </c>
      <c r="G358" t="inlineStr">
        <is>
          <t>SANDVIKEN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18987-2026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46281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46281</v>
      </c>
      <c r="F360" t="inlineStr">
        <is>
          <t>GÄVLEBORGS LÄN</t>
        </is>
      </c>
      <c r="G360" t="inlineStr">
        <is>
          <t>SANDVIKEN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48761-2025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46281</v>
      </c>
      <c r="F361" t="inlineStr">
        <is>
          <t>GÄVLEBORGS LÄN</t>
        </is>
      </c>
      <c r="G361" t="inlineStr">
        <is>
          <t>SANDVIKEN</t>
        </is>
      </c>
      <c r="H361" t="inlineStr">
        <is>
          <t>Sveaskog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46281</v>
      </c>
      <c r="F362" t="inlineStr">
        <is>
          <t>GÄVLEBORGS LÄN</t>
        </is>
      </c>
      <c r="G362" t="inlineStr">
        <is>
          <t>SANDVIKEN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19273-2026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46281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10.1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49217-2025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45938</v>
      </c>
      <c r="E364" s="1" t="n">
        <v>46281</v>
      </c>
      <c r="F364" t="inlineStr">
        <is>
          <t>GÄVLEBORGS LÄN</t>
        </is>
      </c>
      <c r="G364" t="inlineStr">
        <is>
          <t>SANDVIKEN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44994</v>
      </c>
      <c r="E365" s="1" t="n">
        <v>46281</v>
      </c>
      <c r="F365" t="inlineStr">
        <is>
          <t>GÄVLEBORGS LÄN</t>
        </is>
      </c>
      <c r="G365" t="inlineStr">
        <is>
          <t>SANDVIKEN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46281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46281</v>
      </c>
      <c r="F367" t="inlineStr">
        <is>
          <t>GÄVLEBORGS LÄN</t>
        </is>
      </c>
      <c r="G367" t="inlineStr">
        <is>
          <t>SANDVIKEN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46281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19904-2026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46281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10.9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46091</v>
      </c>
      <c r="E370" s="1" t="n">
        <v>46281</v>
      </c>
      <c r="F370" t="inlineStr">
        <is>
          <t>GÄVLEBORGS LÄN</t>
        </is>
      </c>
      <c r="G370" t="inlineStr">
        <is>
          <t>SANDVIKEN</t>
        </is>
      </c>
      <c r="H370" t="inlineStr">
        <is>
          <t>Naturvårdsverket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46281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16.4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46281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16.6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45590</v>
      </c>
      <c r="E373" s="1" t="n">
        <v>46281</v>
      </c>
      <c r="F373" t="inlineStr">
        <is>
          <t>GÄVLEBORGS LÄN</t>
        </is>
      </c>
      <c r="G373" t="inlineStr">
        <is>
          <t>SANDVIKEN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46281</v>
      </c>
      <c r="F374" t="inlineStr">
        <is>
          <t>GÄVLEBORGS LÄN</t>
        </is>
      </c>
      <c r="G374" t="inlineStr">
        <is>
          <t>SANDVIKEN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45930</v>
      </c>
      <c r="E375" s="1" t="n">
        <v>46281</v>
      </c>
      <c r="F375" t="inlineStr">
        <is>
          <t>GÄVLEBORGS LÄN</t>
        </is>
      </c>
      <c r="G375" t="inlineStr">
        <is>
          <t>SANDVIKEN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44988</v>
      </c>
      <c r="E376" s="1" t="n">
        <v>46281</v>
      </c>
      <c r="F376" t="inlineStr">
        <is>
          <t>GÄVLEBORGS LÄN</t>
        </is>
      </c>
      <c r="G376" t="inlineStr">
        <is>
          <t>SANDVIKEN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11447-2023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44988</v>
      </c>
      <c r="E377" s="1" t="n">
        <v>46281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46281</v>
      </c>
      <c r="F378" t="inlineStr">
        <is>
          <t>GÄVLEBORGS LÄN</t>
        </is>
      </c>
      <c r="G378" t="inlineStr">
        <is>
          <t>SANDVIKEN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46281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46281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46281</v>
      </c>
      <c r="F381" t="inlineStr">
        <is>
          <t>GÄVLEBORGS LÄN</t>
        </is>
      </c>
      <c r="G381" t="inlineStr">
        <is>
          <t>SANDVIKEN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19421-2025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45769</v>
      </c>
      <c r="E382" s="1" t="n">
        <v>46281</v>
      </c>
      <c r="F382" t="inlineStr">
        <is>
          <t>GÄVLEBORGS LÄN</t>
        </is>
      </c>
      <c r="G382" t="inlineStr">
        <is>
          <t>SANDVIKEN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45390</v>
      </c>
      <c r="E383" s="1" t="n">
        <v>46281</v>
      </c>
      <c r="F383" t="inlineStr">
        <is>
          <t>GÄVLEBORGS LÄN</t>
        </is>
      </c>
      <c r="G383" t="inlineStr">
        <is>
          <t>SANDVIKEN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19865-2026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46135</v>
      </c>
      <c r="E384" s="1" t="n">
        <v>46281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46086</v>
      </c>
      <c r="E385" s="1" t="n">
        <v>46281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13258-2026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46281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50851-2025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45946</v>
      </c>
      <c r="E387" s="1" t="n">
        <v>46281</v>
      </c>
      <c r="F387" t="inlineStr">
        <is>
          <t>GÄVLEBORGS LÄN</t>
        </is>
      </c>
      <c r="G387" t="inlineStr">
        <is>
          <t>SANDVIKEN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46281</v>
      </c>
      <c r="F388" t="inlineStr">
        <is>
          <t>GÄVLEBORGS LÄN</t>
        </is>
      </c>
      <c r="G388" t="inlineStr">
        <is>
          <t>SANDVIKEN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56310-2021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44477</v>
      </c>
      <c r="E389" s="1" t="n">
        <v>46281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väst AB</t>
        </is>
      </c>
      <c r="I389" t="n">
        <v>18.5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46281</v>
      </c>
      <c r="F390" t="inlineStr">
        <is>
          <t>GÄVLEBORGS LÄN</t>
        </is>
      </c>
      <c r="G390" t="inlineStr">
        <is>
          <t>SANDVIKEN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46281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40745-2024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45558</v>
      </c>
      <c r="E392" s="1" t="n">
        <v>46281</v>
      </c>
      <c r="F392" t="inlineStr">
        <is>
          <t>GÄVLEBORGS LÄN</t>
        </is>
      </c>
      <c r="G392" t="inlineStr">
        <is>
          <t>SANDVIKEN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46281</v>
      </c>
      <c r="F393" t="inlineStr">
        <is>
          <t>GÄVLEBORGS LÄN</t>
        </is>
      </c>
      <c r="G393" t="inlineStr">
        <is>
          <t>SANDVIKEN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45867</v>
      </c>
      <c r="E394" s="1" t="n">
        <v>46281</v>
      </c>
      <c r="F394" t="inlineStr">
        <is>
          <t>GÄVLEBORGS LÄN</t>
        </is>
      </c>
      <c r="G394" t="inlineStr">
        <is>
          <t>SANDVIKEN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44956</v>
      </c>
      <c r="E395" s="1" t="n">
        <v>46281</v>
      </c>
      <c r="F395" t="inlineStr">
        <is>
          <t>GÄVLEBORGS LÄN</t>
        </is>
      </c>
      <c r="G395" t="inlineStr">
        <is>
          <t>SANDVIKEN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46281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45217</v>
      </c>
      <c r="E397" s="1" t="n">
        <v>46281</v>
      </c>
      <c r="F397" t="inlineStr">
        <is>
          <t>GÄVLEBORGS LÄN</t>
        </is>
      </c>
      <c r="G397" t="inlineStr">
        <is>
          <t>SANDVIKEN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45082</v>
      </c>
      <c r="E398" s="1" t="n">
        <v>46281</v>
      </c>
      <c r="F398" t="inlineStr">
        <is>
          <t>GÄVLEBORGS LÄN</t>
        </is>
      </c>
      <c r="G398" t="inlineStr">
        <is>
          <t>SANDVIKEN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45356</v>
      </c>
      <c r="E399" s="1" t="n">
        <v>46281</v>
      </c>
      <c r="F399" t="inlineStr">
        <is>
          <t>GÄVLEBORGS LÄN</t>
        </is>
      </c>
      <c r="G399" t="inlineStr">
        <is>
          <t>SANDVIKEN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44481</v>
      </c>
      <c r="E400" s="1" t="n">
        <v>46281</v>
      </c>
      <c r="F400" t="inlineStr">
        <is>
          <t>GÄVLEBORGS LÄN</t>
        </is>
      </c>
      <c r="G400" t="inlineStr">
        <is>
          <t>SANDVIKEN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46281</v>
      </c>
      <c r="F401" t="inlineStr">
        <is>
          <t>GÄVLEBORGS LÄN</t>
        </is>
      </c>
      <c r="G401" t="inlineStr">
        <is>
          <t>SANDVIKEN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45303</v>
      </c>
      <c r="E402" s="1" t="n">
        <v>46281</v>
      </c>
      <c r="F402" t="inlineStr">
        <is>
          <t>GÄVLEBORGS LÄN</t>
        </is>
      </c>
      <c r="G402" t="inlineStr">
        <is>
          <t>SANDVIKEN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46281</v>
      </c>
      <c r="F403" t="inlineStr">
        <is>
          <t>GÄVLEBORGS LÄN</t>
        </is>
      </c>
      <c r="G403" t="inlineStr">
        <is>
          <t>SANDVIKEN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45094</v>
      </c>
      <c r="E404" s="1" t="n">
        <v>46281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43090-2023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46281</v>
      </c>
      <c r="F405" t="inlineStr">
        <is>
          <t>GÄVLEBORGS LÄN</t>
        </is>
      </c>
      <c r="G405" t="inlineStr">
        <is>
          <t>SANDVIKEN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52786-2025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46281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  <c r="Z406">
        <f>HYPERLINK("https://klasma.github.io/Logging_2181/knärot/A 52786-2025 karta knärot.png", "A 52786-2025")</f>
        <v/>
      </c>
      <c r="AA406">
        <f>HYPERLINK("https://klasma.github.io/Logging_2181/klagomål/A 52786-2025 FSC-klagomål.docx", "A 52786-2025")</f>
        <v/>
      </c>
      <c r="AB406">
        <f>HYPERLINK("https://klasma.github.io/Logging_2181/klagomålsmail/A 52786-2025 FSC-klagomål mail.docx", "A 52786-2025")</f>
        <v/>
      </c>
      <c r="AC406">
        <f>HYPERLINK("https://klasma.github.io/Logging_2181/tillsyn/A 52786-2025 tillsynsbegäran.docx", "A 52786-2025")</f>
        <v/>
      </c>
      <c r="AD406">
        <f>HYPERLINK("https://klasma.github.io/Logging_2181/tillsynsmail/A 52786-2025 tillsynsbegäran mail.docx", "A 52786-2025")</f>
        <v/>
      </c>
    </row>
    <row r="407" ht="15" customHeight="1">
      <c r="A407" t="inlineStr">
        <is>
          <t>A 8604-2026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46281</v>
      </c>
      <c r="F407" t="inlineStr">
        <is>
          <t>GÄVLEBORGS LÄN</t>
        </is>
      </c>
      <c r="G407" t="inlineStr">
        <is>
          <t>SANDVIKEN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46281</v>
      </c>
      <c r="F408" t="inlineStr">
        <is>
          <t>GÄVLEBORGS LÄN</t>
        </is>
      </c>
      <c r="G408" t="inlineStr">
        <is>
          <t>SANDVIKEN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11393-2023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44988</v>
      </c>
      <c r="E409" s="1" t="n">
        <v>46281</v>
      </c>
      <c r="F409" t="inlineStr">
        <is>
          <t>GÄVLEBORGS LÄN</t>
        </is>
      </c>
      <c r="G409" t="inlineStr">
        <is>
          <t>SANDVIKEN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45476</v>
      </c>
      <c r="E410" s="1" t="n">
        <v>46281</v>
      </c>
      <c r="F410" t="inlineStr">
        <is>
          <t>GÄVLEBORGS LÄN</t>
        </is>
      </c>
      <c r="G410" t="inlineStr">
        <is>
          <t>SANDVIKEN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46281</v>
      </c>
      <c r="F411" t="inlineStr">
        <is>
          <t>GÄVLEBORGS LÄN</t>
        </is>
      </c>
      <c r="G411" t="inlineStr">
        <is>
          <t>SANDVIKEN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46281</v>
      </c>
      <c r="F412" t="inlineStr">
        <is>
          <t>GÄVLEBORGS LÄN</t>
        </is>
      </c>
      <c r="G412" t="inlineStr">
        <is>
          <t>SANDVIKEN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46281</v>
      </c>
      <c r="F413" t="inlineStr">
        <is>
          <t>GÄVLEBORGS LÄN</t>
        </is>
      </c>
      <c r="G413" t="inlineStr">
        <is>
          <t>SANDVIKEN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45261</v>
      </c>
      <c r="E414" s="1" t="n">
        <v>46281</v>
      </c>
      <c r="F414" t="inlineStr">
        <is>
          <t>GÄVLEBORGS LÄN</t>
        </is>
      </c>
      <c r="G414" t="inlineStr">
        <is>
          <t>SANDVIKEN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46281</v>
      </c>
      <c r="F415" t="inlineStr">
        <is>
          <t>GÄVLEBORGS LÄN</t>
        </is>
      </c>
      <c r="G415" t="inlineStr">
        <is>
          <t>SANDVIKEN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46281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45245</v>
      </c>
      <c r="E417" s="1" t="n">
        <v>46281</v>
      </c>
      <c r="F417" t="inlineStr">
        <is>
          <t>GÄVLEBORGS LÄN</t>
        </is>
      </c>
      <c r="G417" t="inlineStr">
        <is>
          <t>SANDVIKEN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28523-2024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45478</v>
      </c>
      <c r="E418" s="1" t="n">
        <v>46281</v>
      </c>
      <c r="F418" t="inlineStr">
        <is>
          <t>GÄVLEBORGS LÄN</t>
        </is>
      </c>
      <c r="G418" t="inlineStr">
        <is>
          <t>SANDVIKEN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21178-2025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45779</v>
      </c>
      <c r="E419" s="1" t="n">
        <v>46281</v>
      </c>
      <c r="F419" t="inlineStr">
        <is>
          <t>GÄVLEBORGS LÄN</t>
        </is>
      </c>
      <c r="G419" t="inlineStr">
        <is>
          <t>SANDVIKEN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44797</v>
      </c>
      <c r="E420" s="1" t="n">
        <v>46281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46281</v>
      </c>
      <c r="F421" t="inlineStr">
        <is>
          <t>GÄVLEBORGS LÄN</t>
        </is>
      </c>
      <c r="G421" t="inlineStr">
        <is>
          <t>SANDVIKEN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46069</v>
      </c>
      <c r="E422" s="1" t="n">
        <v>46281</v>
      </c>
      <c r="F422" t="inlineStr">
        <is>
          <t>GÄVLEBORGS LÄN</t>
        </is>
      </c>
      <c r="G422" t="inlineStr">
        <is>
          <t>SANDVIKEN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46281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46281</v>
      </c>
      <c r="F424" t="inlineStr">
        <is>
          <t>GÄVLEBORGS LÄN</t>
        </is>
      </c>
      <c r="G424" t="inlineStr">
        <is>
          <t>SANDVIKEN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7924-2026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46281</v>
      </c>
      <c r="F425" t="inlineStr">
        <is>
          <t>GÄVLEBORGS LÄN</t>
        </is>
      </c>
      <c r="G425" t="inlineStr">
        <is>
          <t>SANDVIKEN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46281</v>
      </c>
      <c r="F426" t="inlineStr">
        <is>
          <t>GÄVLEBORGS LÄN</t>
        </is>
      </c>
      <c r="G426" t="inlineStr">
        <is>
          <t>SANDVIKEN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46281</v>
      </c>
      <c r="F427" t="inlineStr">
        <is>
          <t>GÄVLEBORGS LÄN</t>
        </is>
      </c>
      <c r="G427" t="inlineStr">
        <is>
          <t>SANDVIKEN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46281</v>
      </c>
      <c r="F428" t="inlineStr">
        <is>
          <t>GÄVLEBORGS LÄN</t>
        </is>
      </c>
      <c r="G428" t="inlineStr">
        <is>
          <t>SANDVIKEN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46281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46281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45238</v>
      </c>
      <c r="E431" s="1" t="n">
        <v>46281</v>
      </c>
      <c r="F431" t="inlineStr">
        <is>
          <t>GÄVLEBORGS LÄN</t>
        </is>
      </c>
      <c r="G431" t="inlineStr">
        <is>
          <t>SANDVIKEN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42107-2024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45562</v>
      </c>
      <c r="E432" s="1" t="n">
        <v>46281</v>
      </c>
      <c r="F432" t="inlineStr">
        <is>
          <t>GÄVLEBORGS LÄN</t>
        </is>
      </c>
      <c r="G432" t="inlineStr">
        <is>
          <t>SANDVIKEN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46281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45537</v>
      </c>
      <c r="E434" s="1" t="n">
        <v>46281</v>
      </c>
      <c r="F434" t="inlineStr">
        <is>
          <t>GÄVLEBORGS LÄN</t>
        </is>
      </c>
      <c r="G434" t="inlineStr">
        <is>
          <t>SANDVIKEN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46281</v>
      </c>
      <c r="F435" t="inlineStr">
        <is>
          <t>GÄVLEBORGS LÄN</t>
        </is>
      </c>
      <c r="G435" t="inlineStr">
        <is>
          <t>SANDVIKEN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46281</v>
      </c>
      <c r="F436" t="inlineStr">
        <is>
          <t>GÄVLEBORGS LÄN</t>
        </is>
      </c>
      <c r="G436" t="inlineStr">
        <is>
          <t>SANDVIKEN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46038</v>
      </c>
      <c r="E437" s="1" t="n">
        <v>46281</v>
      </c>
      <c r="F437" t="inlineStr">
        <is>
          <t>GÄVLEBORGS LÄN</t>
        </is>
      </c>
      <c r="G437" t="inlineStr">
        <is>
          <t>SANDVIKEN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45022</v>
      </c>
      <c r="E438" s="1" t="n">
        <v>46281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väst AB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49209-2024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45595</v>
      </c>
      <c r="E439" s="1" t="n">
        <v>46281</v>
      </c>
      <c r="F439" t="inlineStr">
        <is>
          <t>GÄVLEBORGS LÄN</t>
        </is>
      </c>
      <c r="G439" t="inlineStr">
        <is>
          <t>SANDVIKEN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45671</v>
      </c>
      <c r="E440" s="1" t="n">
        <v>46281</v>
      </c>
      <c r="F440" t="inlineStr">
        <is>
          <t>GÄVLEBORGS LÄN</t>
        </is>
      </c>
      <c r="G440" t="inlineStr">
        <is>
          <t>SANDVIKEN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56755-2025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46281</v>
      </c>
      <c r="F441" t="inlineStr">
        <is>
          <t>GÄVLEBORGS LÄN</t>
        </is>
      </c>
      <c r="G441" t="inlineStr">
        <is>
          <t>SANDVIKEN</t>
        </is>
      </c>
      <c r="I441" t="n">
        <v>10.4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46281</v>
      </c>
      <c r="F442" t="inlineStr">
        <is>
          <t>GÄVLEBORGS LÄN</t>
        </is>
      </c>
      <c r="G442" t="inlineStr">
        <is>
          <t>SANDVIKEN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46061</v>
      </c>
      <c r="E443" s="1" t="n">
        <v>46281</v>
      </c>
      <c r="F443" t="inlineStr">
        <is>
          <t>GÄVLEBORGS LÄN</t>
        </is>
      </c>
      <c r="G443" t="inlineStr">
        <is>
          <t>SANDVIKEN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45374</v>
      </c>
      <c r="E444" s="1" t="n">
        <v>46281</v>
      </c>
      <c r="F444" t="inlineStr">
        <is>
          <t>GÄVLEBORGS LÄN</t>
        </is>
      </c>
      <c r="G444" t="inlineStr">
        <is>
          <t>SANDVIKEN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45376</v>
      </c>
      <c r="E445" s="1" t="n">
        <v>46281</v>
      </c>
      <c r="F445" t="inlineStr">
        <is>
          <t>GÄVLEBORGS LÄN</t>
        </is>
      </c>
      <c r="G445" t="inlineStr">
        <is>
          <t>SANDVIKEN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45917</v>
      </c>
      <c r="E446" s="1" t="n">
        <v>46281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46046</v>
      </c>
      <c r="E447" s="1" t="n">
        <v>46281</v>
      </c>
      <c r="F447" t="inlineStr">
        <is>
          <t>GÄVLEBORGS LÄN</t>
        </is>
      </c>
      <c r="G447" t="inlineStr">
        <is>
          <t>SANDVIKEN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45728</v>
      </c>
      <c r="E448" s="1" t="n">
        <v>46281</v>
      </c>
      <c r="F448" t="inlineStr">
        <is>
          <t>GÄVLEBORGS LÄN</t>
        </is>
      </c>
      <c r="G448" t="inlineStr">
        <is>
          <t>SANDVIKEN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45562</v>
      </c>
      <c r="E449" s="1" t="n">
        <v>46281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46281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46281</v>
      </c>
      <c r="F451" t="inlineStr">
        <is>
          <t>GÄVLEBORGS LÄN</t>
        </is>
      </c>
      <c r="G451" t="inlineStr">
        <is>
          <t>SANDVIKEN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56587-2025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45975</v>
      </c>
      <c r="E452" s="1" t="n">
        <v>46281</v>
      </c>
      <c r="F452" t="inlineStr">
        <is>
          <t>GÄVLEBORGS LÄN</t>
        </is>
      </c>
      <c r="G452" t="inlineStr">
        <is>
          <t>SANDVIKEN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46281</v>
      </c>
      <c r="F453" t="inlineStr">
        <is>
          <t>GÄVLEBORGS LÄN</t>
        </is>
      </c>
      <c r="G453" t="inlineStr">
        <is>
          <t>SANDVIKEN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46281</v>
      </c>
      <c r="F454" t="inlineStr">
        <is>
          <t>GÄVLEBORGS LÄN</t>
        </is>
      </c>
      <c r="G454" t="inlineStr">
        <is>
          <t>SANDVIKEN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11205-2026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46281</v>
      </c>
      <c r="F455" t="inlineStr">
        <is>
          <t>GÄVLEBORGS LÄN</t>
        </is>
      </c>
      <c r="G455" t="inlineStr">
        <is>
          <t>SANDVIKEN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45977</v>
      </c>
      <c r="E456" s="1" t="n">
        <v>46281</v>
      </c>
      <c r="F456" t="inlineStr">
        <is>
          <t>GÄVLEBORGS LÄN</t>
        </is>
      </c>
      <c r="G456" t="inlineStr">
        <is>
          <t>SANDVIKEN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45979</v>
      </c>
      <c r="E457" s="1" t="n">
        <v>46281</v>
      </c>
      <c r="F457" t="inlineStr">
        <is>
          <t>GÄVLEBORGS LÄN</t>
        </is>
      </c>
      <c r="G457" t="inlineStr">
        <is>
          <t>SANDVIKEN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2189-2026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46281</v>
      </c>
      <c r="F458" t="inlineStr">
        <is>
          <t>GÄVLEBORGS LÄN</t>
        </is>
      </c>
      <c r="G458" t="inlineStr">
        <is>
          <t>SANDVIKEN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45602</v>
      </c>
      <c r="E459" s="1" t="n">
        <v>46281</v>
      </c>
      <c r="F459" t="inlineStr">
        <is>
          <t>GÄVLEBORGS LÄN</t>
        </is>
      </c>
      <c r="G459" t="inlineStr">
        <is>
          <t>SANDVIKEN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46069</v>
      </c>
      <c r="E460" s="1" t="n">
        <v>46281</v>
      </c>
      <c r="F460" t="inlineStr">
        <is>
          <t>GÄVLEBORGS LÄN</t>
        </is>
      </c>
      <c r="G460" t="inlineStr">
        <is>
          <t>SANDVIKEN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38319-2025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45883</v>
      </c>
      <c r="E461" s="1" t="n">
        <v>46281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46281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22238-2023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45070</v>
      </c>
      <c r="E463" s="1" t="n">
        <v>46281</v>
      </c>
      <c r="F463" t="inlineStr">
        <is>
          <t>GÄVLEBORGS LÄN</t>
        </is>
      </c>
      <c r="G463" t="inlineStr">
        <is>
          <t>SANDVIKEN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46037</v>
      </c>
      <c r="E464" s="1" t="n">
        <v>46281</v>
      </c>
      <c r="F464" t="inlineStr">
        <is>
          <t>GÄVLEBORGS LÄN</t>
        </is>
      </c>
      <c r="G464" t="inlineStr">
        <is>
          <t>SANDVIKEN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45075</v>
      </c>
      <c r="E465" s="1" t="n">
        <v>46281</v>
      </c>
      <c r="F465" t="inlineStr">
        <is>
          <t>GÄVLEBORGS LÄN</t>
        </is>
      </c>
      <c r="G465" t="inlineStr">
        <is>
          <t>SANDVIKEN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45589</v>
      </c>
      <c r="E466" s="1" t="n">
        <v>46281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46281</v>
      </c>
      <c r="F467" t="inlineStr">
        <is>
          <t>GÄVLEBORGS LÄN</t>
        </is>
      </c>
      <c r="G467" t="inlineStr">
        <is>
          <t>SANDVIKEN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19499-2026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46281</v>
      </c>
      <c r="F468" t="inlineStr">
        <is>
          <t>GÄVLEBORGS LÄN</t>
        </is>
      </c>
      <c r="G468" t="inlineStr">
        <is>
          <t>SANDVIKEN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46281</v>
      </c>
      <c r="F469" t="inlineStr">
        <is>
          <t>GÄVLEBORGS LÄN</t>
        </is>
      </c>
      <c r="G469" t="inlineStr">
        <is>
          <t>SANDVIKEN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57933-2025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46281</v>
      </c>
      <c r="F470" t="inlineStr">
        <is>
          <t>GÄVLEBORGS LÄN</t>
        </is>
      </c>
      <c r="G470" t="inlineStr">
        <is>
          <t>SANDVIKEN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46281</v>
      </c>
      <c r="F471" t="inlineStr">
        <is>
          <t>GÄVLEBORGS LÄN</t>
        </is>
      </c>
      <c r="G471" t="inlineStr">
        <is>
          <t>SANDVIKEN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46030</v>
      </c>
      <c r="E472" s="1" t="n">
        <v>46281</v>
      </c>
      <c r="F472" t="inlineStr">
        <is>
          <t>GÄVLEBORGS LÄN</t>
        </is>
      </c>
      <c r="G472" t="inlineStr">
        <is>
          <t>SANDVIKEN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46281</v>
      </c>
      <c r="F473" t="inlineStr">
        <is>
          <t>GÄVLEBORGS LÄN</t>
        </is>
      </c>
      <c r="G473" t="inlineStr">
        <is>
          <t>SANDVIKEN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46281</v>
      </c>
      <c r="F474" t="inlineStr">
        <is>
          <t>GÄVLEBORGS LÄN</t>
        </is>
      </c>
      <c r="G474" t="inlineStr">
        <is>
          <t>SANDVIKEN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46281</v>
      </c>
      <c r="F475" t="inlineStr">
        <is>
          <t>GÄVLEBORGS LÄN</t>
        </is>
      </c>
      <c r="G475" t="inlineStr">
        <is>
          <t>SANDVIKEN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46281</v>
      </c>
      <c r="F476" t="inlineStr">
        <is>
          <t>GÄVLEBORGS LÄN</t>
        </is>
      </c>
      <c r="G476" t="inlineStr">
        <is>
          <t>SANDVIKEN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58184-2025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45983</v>
      </c>
      <c r="E477" s="1" t="n">
        <v>46281</v>
      </c>
      <c r="F477" t="inlineStr">
        <is>
          <t>GÄVLEBORGS LÄN</t>
        </is>
      </c>
      <c r="G477" t="inlineStr">
        <is>
          <t>SANDVIKEN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46281</v>
      </c>
      <c r="F478" t="inlineStr">
        <is>
          <t>GÄVLEBORGS LÄN</t>
        </is>
      </c>
      <c r="G478" t="inlineStr">
        <is>
          <t>SANDVIKEN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58197-2025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45984</v>
      </c>
      <c r="E479" s="1" t="n">
        <v>46281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58199-2025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45984</v>
      </c>
      <c r="E480" s="1" t="n">
        <v>46281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45984</v>
      </c>
      <c r="E481" s="1" t="n">
        <v>46281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46058</v>
      </c>
      <c r="E482" s="1" t="n">
        <v>46281</v>
      </c>
      <c r="F482" t="inlineStr">
        <is>
          <t>GÄVLEBORGS LÄN</t>
        </is>
      </c>
      <c r="G482" t="inlineStr">
        <is>
          <t>SANDVIKEN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46281</v>
      </c>
      <c r="F483" t="inlineStr">
        <is>
          <t>GÄVLEBORGS LÄN</t>
        </is>
      </c>
      <c r="G483" t="inlineStr">
        <is>
          <t>SANDVIKEN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46281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53719-2024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45615</v>
      </c>
      <c r="E485" s="1" t="n">
        <v>46281</v>
      </c>
      <c r="F485" t="inlineStr">
        <is>
          <t>GÄVLEBORGS LÄN</t>
        </is>
      </c>
      <c r="G485" t="inlineStr">
        <is>
          <t>SANDVIKEN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46281</v>
      </c>
      <c r="F486" t="inlineStr">
        <is>
          <t>GÄVLEBORGS LÄN</t>
        </is>
      </c>
      <c r="G486" t="inlineStr">
        <is>
          <t>SANDVIKEN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46281</v>
      </c>
      <c r="F487" t="inlineStr">
        <is>
          <t>GÄVLEBORGS LÄN</t>
        </is>
      </c>
      <c r="G487" t="inlineStr">
        <is>
          <t>SANDVIKEN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45992</v>
      </c>
      <c r="E488" s="1" t="n">
        <v>46281</v>
      </c>
      <c r="F488" t="inlineStr">
        <is>
          <t>GÄVLEBORGS LÄN</t>
        </is>
      </c>
      <c r="G488" t="inlineStr">
        <is>
          <t>SANDVIKEN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36833-2022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44805</v>
      </c>
      <c r="E489" s="1" t="n">
        <v>46281</v>
      </c>
      <c r="F489" t="inlineStr">
        <is>
          <t>GÄVLEBORGS LÄN</t>
        </is>
      </c>
      <c r="G489" t="inlineStr">
        <is>
          <t>SANDVIKEN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46281</v>
      </c>
      <c r="F490" t="inlineStr">
        <is>
          <t>GÄVLEBORGS LÄN</t>
        </is>
      </c>
      <c r="G490" t="inlineStr">
        <is>
          <t>SANDVIKEN</t>
        </is>
      </c>
      <c r="I490" t="n">
        <v>11.2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59755-2025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45992</v>
      </c>
      <c r="E491" s="1" t="n">
        <v>46281</v>
      </c>
      <c r="F491" t="inlineStr">
        <is>
          <t>GÄVLEBORGS LÄN</t>
        </is>
      </c>
      <c r="G491" t="inlineStr">
        <is>
          <t>SANDVIKEN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44582</v>
      </c>
      <c r="E492" s="1" t="n">
        <v>46281</v>
      </c>
      <c r="F492" t="inlineStr">
        <is>
          <t>GÄVLEBORGS LÄN</t>
        </is>
      </c>
      <c r="G492" t="inlineStr">
        <is>
          <t>SANDVIKEN</t>
        </is>
      </c>
      <c r="H492" t="inlineStr">
        <is>
          <t>Kyrkan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45992</v>
      </c>
      <c r="E493" s="1" t="n">
        <v>46281</v>
      </c>
      <c r="F493" t="inlineStr">
        <is>
          <t>GÄVLEBORGS LÄN</t>
        </is>
      </c>
      <c r="G493" t="inlineStr">
        <is>
          <t>SANDVIKEN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14840-2022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44656</v>
      </c>
      <c r="E494" s="1" t="n">
        <v>46281</v>
      </c>
      <c r="F494" t="inlineStr">
        <is>
          <t>GÄVLEBORGS LÄN</t>
        </is>
      </c>
      <c r="G494" t="inlineStr">
        <is>
          <t>SANDVIKEN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59718-2025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46281</v>
      </c>
      <c r="F495" t="inlineStr">
        <is>
          <t>GÄVLEBORGS LÄN</t>
        </is>
      </c>
      <c r="G495" t="inlineStr">
        <is>
          <t>SANDVIKEN</t>
        </is>
      </c>
      <c r="I495" t="n">
        <v>10.2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46281</v>
      </c>
      <c r="F496" t="inlineStr">
        <is>
          <t>GÄVLEBORGS LÄN</t>
        </is>
      </c>
      <c r="G496" t="inlineStr">
        <is>
          <t>SANDVIKEN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46281</v>
      </c>
      <c r="F497" t="inlineStr">
        <is>
          <t>GÄVLEBORGS LÄN</t>
        </is>
      </c>
      <c r="G497" t="inlineStr">
        <is>
          <t>SANDVIKEN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45693</v>
      </c>
      <c r="E498" s="1" t="n">
        <v>46281</v>
      </c>
      <c r="F498" t="inlineStr">
        <is>
          <t>GÄVLEBORGS LÄN</t>
        </is>
      </c>
      <c r="G498" t="inlineStr">
        <is>
          <t>SANDVIKEN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46281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46281</v>
      </c>
      <c r="F500" t="inlineStr">
        <is>
          <t>GÄVLEBORGS LÄN</t>
        </is>
      </c>
      <c r="G500" t="inlineStr">
        <is>
          <t>SANDVIKEN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46115</v>
      </c>
      <c r="E501" s="1" t="n">
        <v>46281</v>
      </c>
      <c r="F501" t="inlineStr">
        <is>
          <t>GÄVLEBORGS LÄN</t>
        </is>
      </c>
      <c r="G501" t="inlineStr">
        <is>
          <t>SANDVIKEN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46281</v>
      </c>
      <c r="F502" t="inlineStr">
        <is>
          <t>GÄVLEBORGS LÄN</t>
        </is>
      </c>
      <c r="G502" t="inlineStr">
        <is>
          <t>SANDVIKEN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46281</v>
      </c>
      <c r="F503" t="inlineStr">
        <is>
          <t>GÄVLEBORGS LÄN</t>
        </is>
      </c>
      <c r="G503" t="inlineStr">
        <is>
          <t>SANDVIKEN</t>
        </is>
      </c>
      <c r="I503" t="n">
        <v>9.6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46147</v>
      </c>
      <c r="E504" s="1" t="n">
        <v>46281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46281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21377-2026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46147</v>
      </c>
      <c r="E506" s="1" t="n">
        <v>46281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21343-2026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46147</v>
      </c>
      <c r="E507" s="1" t="n">
        <v>46281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46147</v>
      </c>
      <c r="E508" s="1" t="n">
        <v>46281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21773-2026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46281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45984</v>
      </c>
      <c r="E510" s="1" t="n">
        <v>46281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61858-2024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45649</v>
      </c>
      <c r="E511" s="1" t="n">
        <v>46281</v>
      </c>
      <c r="F511" t="inlineStr">
        <is>
          <t>GÄVLEBORGS LÄN</t>
        </is>
      </c>
      <c r="G511" t="inlineStr">
        <is>
          <t>SANDVIKEN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46281</v>
      </c>
      <c r="F512" t="inlineStr">
        <is>
          <t>GÄVLEBORGS LÄN</t>
        </is>
      </c>
      <c r="G512" t="inlineStr">
        <is>
          <t>SANDVIKEN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46000</v>
      </c>
      <c r="E513" s="1" t="n">
        <v>46281</v>
      </c>
      <c r="F513" t="inlineStr">
        <is>
          <t>GÄVLEBORGS LÄN</t>
        </is>
      </c>
      <c r="G513" t="inlineStr">
        <is>
          <t>SANDVIKEN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45986</v>
      </c>
      <c r="E514" s="1" t="n">
        <v>46281</v>
      </c>
      <c r="F514" t="inlineStr">
        <is>
          <t>GÄVLEBORGS LÄN</t>
        </is>
      </c>
      <c r="G514" t="inlineStr">
        <is>
          <t>SANDVIKEN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45226</v>
      </c>
      <c r="E515" s="1" t="n">
        <v>46281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45999</v>
      </c>
      <c r="E516" s="1" t="n">
        <v>46281</v>
      </c>
      <c r="F516" t="inlineStr">
        <is>
          <t>GÄVLEBORGS LÄN</t>
        </is>
      </c>
      <c r="G516" t="inlineStr">
        <is>
          <t>SANDVIKEN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46281</v>
      </c>
      <c r="F517" t="inlineStr">
        <is>
          <t>GÄVLEBORGS LÄN</t>
        </is>
      </c>
      <c r="G517" t="inlineStr">
        <is>
          <t>SANDVIKEN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46281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12120-2026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46086</v>
      </c>
      <c r="E519" s="1" t="n">
        <v>46281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46000</v>
      </c>
      <c r="E520" s="1" t="n">
        <v>46281</v>
      </c>
      <c r="F520" t="inlineStr">
        <is>
          <t>GÄVLEBORGS LÄN</t>
        </is>
      </c>
      <c r="G520" t="inlineStr">
        <is>
          <t>SANDVIKEN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46281</v>
      </c>
      <c r="F521" t="inlineStr">
        <is>
          <t>GÄVLEBORGS LÄN</t>
        </is>
      </c>
      <c r="G521" t="inlineStr">
        <is>
          <t>SANDVIKEN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46281</v>
      </c>
      <c r="F522" t="inlineStr">
        <is>
          <t>GÄVLEBORGS LÄN</t>
        </is>
      </c>
      <c r="G522" t="inlineStr">
        <is>
          <t>SANDVIKEN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46151</v>
      </c>
      <c r="E523" s="1" t="n">
        <v>46281</v>
      </c>
      <c r="F523" t="inlineStr">
        <is>
          <t>GÄVLEBORGS LÄN</t>
        </is>
      </c>
      <c r="G523" t="inlineStr">
        <is>
          <t>SANDVIKEN</t>
        </is>
      </c>
      <c r="I523" t="n">
        <v>11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46281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12149-2026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46086</v>
      </c>
      <c r="E525" s="1" t="n">
        <v>46281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46281</v>
      </c>
      <c r="F526" t="inlineStr">
        <is>
          <t>GÄVLEBORGS LÄN</t>
        </is>
      </c>
      <c r="G526" t="inlineStr">
        <is>
          <t>SANDVIKEN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46281</v>
      </c>
      <c r="F527" t="inlineStr">
        <is>
          <t>GÄVLEBORGS LÄN</t>
        </is>
      </c>
      <c r="G527" t="inlineStr">
        <is>
          <t>SANDVIKEN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22068-2026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46281</v>
      </c>
      <c r="F528" t="inlineStr">
        <is>
          <t>GÄVLEBORGS LÄN</t>
        </is>
      </c>
      <c r="G528" t="inlineStr">
        <is>
          <t>SANDVIKEN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15674-2024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45404</v>
      </c>
      <c r="E529" s="1" t="n">
        <v>46281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45984</v>
      </c>
      <c r="E530" s="1" t="n">
        <v>46281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46281</v>
      </c>
      <c r="F531" t="inlineStr">
        <is>
          <t>GÄVLEBORGS LÄN</t>
        </is>
      </c>
      <c r="G531" t="inlineStr">
        <is>
          <t>SANDVIKEN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46281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46281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45102-2022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44843</v>
      </c>
      <c r="E534" s="1" t="n">
        <v>46281</v>
      </c>
      <c r="F534" t="inlineStr">
        <is>
          <t>GÄVLEBORGS LÄN</t>
        </is>
      </c>
      <c r="G534" t="inlineStr">
        <is>
          <t>SANDVIKEN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46281</v>
      </c>
      <c r="F535" t="inlineStr">
        <is>
          <t>GÄVLEBORGS LÄN</t>
        </is>
      </c>
      <c r="G535" t="inlineStr">
        <is>
          <t>SANDVIKEN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7679-2025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45706</v>
      </c>
      <c r="E536" s="1" t="n">
        <v>46281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45191</v>
      </c>
      <c r="E537" s="1" t="n">
        <v>46281</v>
      </c>
      <c r="F537" t="inlineStr">
        <is>
          <t>GÄVLEBORGS LÄN</t>
        </is>
      </c>
      <c r="G537" t="inlineStr">
        <is>
          <t>SANDVIKEN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46013</v>
      </c>
      <c r="E538" s="1" t="n">
        <v>46281</v>
      </c>
      <c r="F538" t="inlineStr">
        <is>
          <t>GÄVLEBORGS LÄN</t>
        </is>
      </c>
      <c r="G538" t="inlineStr">
        <is>
          <t>SANDVIKEN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23217-2023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45075</v>
      </c>
      <c r="E539" s="1" t="n">
        <v>46281</v>
      </c>
      <c r="F539" t="inlineStr">
        <is>
          <t>GÄVLEBORGS LÄN</t>
        </is>
      </c>
      <c r="G539" t="inlineStr">
        <is>
          <t>SANDVIKEN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46281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46108</v>
      </c>
      <c r="E541" s="1" t="n">
        <v>46281</v>
      </c>
      <c r="F541" t="inlineStr">
        <is>
          <t>GÄVLEBORGS LÄN</t>
        </is>
      </c>
      <c r="G541" t="inlineStr">
        <is>
          <t>SANDVIKEN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46281</v>
      </c>
      <c r="F542" t="inlineStr">
        <is>
          <t>GÄVLEBORGS LÄN</t>
        </is>
      </c>
      <c r="G542" t="inlineStr">
        <is>
          <t>SANDVIKEN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46281</v>
      </c>
      <c r="F543" t="inlineStr">
        <is>
          <t>GÄVLEBORGS LÄN</t>
        </is>
      </c>
      <c r="G543" t="inlineStr">
        <is>
          <t>SANDVIKEN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17164-2026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46115</v>
      </c>
      <c r="E544" s="1" t="n">
        <v>46281</v>
      </c>
      <c r="F544" t="inlineStr">
        <is>
          <t>GÄVLEBORGS LÄN</t>
        </is>
      </c>
      <c r="G544" t="inlineStr">
        <is>
          <t>SANDVIKEN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49518-2023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45211</v>
      </c>
      <c r="E545" s="1" t="n">
        <v>46281</v>
      </c>
      <c r="F545" t="inlineStr">
        <is>
          <t>GÄVLEBORGS LÄN</t>
        </is>
      </c>
      <c r="G545" t="inlineStr">
        <is>
          <t>SANDVIKEN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46021</v>
      </c>
      <c r="E546" s="1" t="n">
        <v>46281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45700</v>
      </c>
      <c r="E547" s="1" t="n">
        <v>46281</v>
      </c>
      <c r="F547" t="inlineStr">
        <is>
          <t>GÄVLEBORGS LÄN</t>
        </is>
      </c>
      <c r="G547" t="inlineStr">
        <is>
          <t>SANDVIKEN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46281</v>
      </c>
      <c r="F548" t="inlineStr">
        <is>
          <t>GÄVLEBORGS LÄN</t>
        </is>
      </c>
      <c r="G548" t="inlineStr">
        <is>
          <t>SANDVIKEN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46281</v>
      </c>
      <c r="F549" t="inlineStr">
        <is>
          <t>GÄVLEBORGS LÄN</t>
        </is>
      </c>
      <c r="G549" t="inlineStr">
        <is>
          <t>SANDVIKEN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15769-2026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46281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23465-2026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46163</v>
      </c>
      <c r="E551" s="1" t="n">
        <v>46281</v>
      </c>
      <c r="F551" t="inlineStr">
        <is>
          <t>GÄVLEBORGS LÄN</t>
        </is>
      </c>
      <c r="G551" t="inlineStr">
        <is>
          <t>SANDVIKEN</t>
        </is>
      </c>
      <c r="H551" t="inlineStr">
        <is>
          <t>Övriga statliga verk och myndigheter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23493-2026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46281</v>
      </c>
      <c r="F552" t="inlineStr">
        <is>
          <t>GÄVLEBORGS LÄN</t>
        </is>
      </c>
      <c r="G552" t="inlineStr">
        <is>
          <t>SANDVIKEN</t>
        </is>
      </c>
      <c r="H552" t="inlineStr">
        <is>
          <t>Övriga statliga verk och myndigheter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46281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46281</v>
      </c>
      <c r="F554" t="inlineStr">
        <is>
          <t>GÄVLEBORGS LÄN</t>
        </is>
      </c>
      <c r="G554" t="inlineStr">
        <is>
          <t>SANDVIKEN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23429-2026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46281</v>
      </c>
      <c r="F555" t="inlineStr">
        <is>
          <t>GÄVLEBORGS LÄN</t>
        </is>
      </c>
      <c r="G555" t="inlineStr">
        <is>
          <t>SANDVIKEN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46031</v>
      </c>
      <c r="E556" s="1" t="n">
        <v>46281</v>
      </c>
      <c r="F556" t="inlineStr">
        <is>
          <t>GÄVLEBORGS LÄN</t>
        </is>
      </c>
      <c r="G556" t="inlineStr">
        <is>
          <t>SANDVIKEN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44818</v>
      </c>
      <c r="E557" s="1" t="n">
        <v>46281</v>
      </c>
      <c r="F557" t="inlineStr">
        <is>
          <t>GÄVLEBORGS LÄN</t>
        </is>
      </c>
      <c r="G557" t="inlineStr">
        <is>
          <t>SANDVIKEN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34013-2024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46281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46281</v>
      </c>
      <c r="F559" t="inlineStr">
        <is>
          <t>GÄVLEBORGS LÄN</t>
        </is>
      </c>
      <c r="G559" t="inlineStr">
        <is>
          <t>SANDVIKEN</t>
        </is>
      </c>
      <c r="H559" t="inlineStr">
        <is>
          <t>Övriga statliga verk och myndigheter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23471-2026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46281</v>
      </c>
      <c r="F560" t="inlineStr">
        <is>
          <t>GÄVLEBORGS LÄN</t>
        </is>
      </c>
      <c r="G560" t="inlineStr">
        <is>
          <t>SANDVIKEN</t>
        </is>
      </c>
      <c r="H560" t="inlineStr">
        <is>
          <t>Övriga statliga verk och myndigheter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46031</v>
      </c>
      <c r="E561" s="1" t="n">
        <v>46281</v>
      </c>
      <c r="F561" t="inlineStr">
        <is>
          <t>GÄVLEBORGS LÄN</t>
        </is>
      </c>
      <c r="G561" t="inlineStr">
        <is>
          <t>SANDVIKEN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23474-2026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46281</v>
      </c>
      <c r="F562" t="inlineStr">
        <is>
          <t>GÄVLEBORGS LÄN</t>
        </is>
      </c>
      <c r="G562" t="inlineStr">
        <is>
          <t>SANDVIKEN</t>
        </is>
      </c>
      <c r="H562" t="inlineStr">
        <is>
          <t>Övriga statliga verk och myndigheter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46281</v>
      </c>
      <c r="F563" t="inlineStr">
        <is>
          <t>GÄVLEBORGS LÄN</t>
        </is>
      </c>
      <c r="G563" t="inlineStr">
        <is>
          <t>SANDVIKEN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46281</v>
      </c>
      <c r="F564" t="inlineStr">
        <is>
          <t>GÄVLEBORGS LÄN</t>
        </is>
      </c>
      <c r="G564" t="inlineStr">
        <is>
          <t>SANDVIKEN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46281</v>
      </c>
      <c r="F565" t="inlineStr">
        <is>
          <t>GÄVLEBORGS LÄN</t>
        </is>
      </c>
      <c r="G565" t="inlineStr">
        <is>
          <t>SANDVIKEN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45755</v>
      </c>
      <c r="E566" s="1" t="n">
        <v>46281</v>
      </c>
      <c r="F566" t="inlineStr">
        <is>
          <t>GÄVLEBORGS LÄN</t>
        </is>
      </c>
      <c r="G566" t="inlineStr">
        <is>
          <t>SANDVIKEN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46281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46281</v>
      </c>
      <c r="F568" t="inlineStr">
        <is>
          <t>GÄVLEBORGS LÄN</t>
        </is>
      </c>
      <c r="G568" t="inlineStr">
        <is>
          <t>SANDVIKEN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46165</v>
      </c>
      <c r="E569" s="1" t="n">
        <v>46281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46036</v>
      </c>
      <c r="E570" s="1" t="n">
        <v>46281</v>
      </c>
      <c r="F570" t="inlineStr">
        <is>
          <t>GÄVLEBORGS LÄN</t>
        </is>
      </c>
      <c r="G570" t="inlineStr">
        <is>
          <t>SANDVIKEN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45210</v>
      </c>
      <c r="E571" s="1" t="n">
        <v>46281</v>
      </c>
      <c r="F571" t="inlineStr">
        <is>
          <t>GÄVLEBORGS LÄN</t>
        </is>
      </c>
      <c r="G571" t="inlineStr">
        <is>
          <t>SANDVIKEN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46036</v>
      </c>
      <c r="E572" s="1" t="n">
        <v>46281</v>
      </c>
      <c r="F572" t="inlineStr">
        <is>
          <t>GÄVLEBORGS LÄN</t>
        </is>
      </c>
      <c r="G572" t="inlineStr">
        <is>
          <t>SANDVIKEN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46165</v>
      </c>
      <c r="E573" s="1" t="n">
        <v>46281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46165</v>
      </c>
      <c r="E574" s="1" t="n">
        <v>46281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46281</v>
      </c>
      <c r="F575" t="inlineStr">
        <is>
          <t>GÄVLEBORGS LÄN</t>
        </is>
      </c>
      <c r="G575" t="inlineStr">
        <is>
          <t>SANDVIKEN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46281</v>
      </c>
      <c r="F576" t="inlineStr">
        <is>
          <t>GÄVLEBORGS LÄN</t>
        </is>
      </c>
      <c r="G576" t="inlineStr">
        <is>
          <t>SANDVIKEN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46281</v>
      </c>
      <c r="F577" t="inlineStr">
        <is>
          <t>GÄVLEBORGS LÄN</t>
        </is>
      </c>
      <c r="G577" t="inlineStr">
        <is>
          <t>SANDVIKEN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1988-2026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46281</v>
      </c>
      <c r="F578" t="inlineStr">
        <is>
          <t>GÄVLEBORGS LÄN</t>
        </is>
      </c>
      <c r="G578" t="inlineStr">
        <is>
          <t>SANDVIKEN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46165</v>
      </c>
      <c r="E579" s="1" t="n">
        <v>46281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59738-2022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44908</v>
      </c>
      <c r="E580" s="1" t="n">
        <v>46281</v>
      </c>
      <c r="F580" t="inlineStr">
        <is>
          <t>GÄVLEBORGS LÄN</t>
        </is>
      </c>
      <c r="G580" t="inlineStr">
        <is>
          <t>SANDVIKEN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46281</v>
      </c>
      <c r="F581" t="inlineStr">
        <is>
          <t>GÄVLEBORGS LÄN</t>
        </is>
      </c>
      <c r="G581" t="inlineStr">
        <is>
          <t>SANDVIKEN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46165</v>
      </c>
      <c r="E582" s="1" t="n">
        <v>46281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58796-2024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45636</v>
      </c>
      <c r="E583" s="1" t="n">
        <v>46281</v>
      </c>
      <c r="F583" t="inlineStr">
        <is>
          <t>GÄVLEBORGS LÄN</t>
        </is>
      </c>
      <c r="G583" t="inlineStr">
        <is>
          <t>SANDVIKEN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46281</v>
      </c>
      <c r="F584" t="inlineStr">
        <is>
          <t>GÄVLEBORGS LÄN</t>
        </is>
      </c>
      <c r="G584" t="inlineStr">
        <is>
          <t>SANDVIKEN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18752-2026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46281</v>
      </c>
      <c r="F585" t="inlineStr">
        <is>
          <t>GÄVLEBORGS LÄN</t>
        </is>
      </c>
      <c r="G585" t="inlineStr">
        <is>
          <t>SANDVIKEN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45721</v>
      </c>
      <c r="E586" s="1" t="n">
        <v>46281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45721</v>
      </c>
      <c r="E587" s="1" t="n">
        <v>46281</v>
      </c>
      <c r="F587" t="inlineStr">
        <is>
          <t>GÄVLEBORGS LÄN</t>
        </is>
      </c>
      <c r="G587" t="inlineStr">
        <is>
          <t>SANDVIKEN</t>
        </is>
      </c>
      <c r="H587" t="inlineStr">
        <is>
          <t>Sveaskog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24297-2026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46169</v>
      </c>
      <c r="E588" s="1" t="n">
        <v>46281</v>
      </c>
      <c r="F588" t="inlineStr">
        <is>
          <t>GÄVLEBORGS LÄN</t>
        </is>
      </c>
      <c r="G588" t="inlineStr">
        <is>
          <t>SANDVIKEN</t>
        </is>
      </c>
      <c r="H588" t="inlineStr">
        <is>
          <t>Kommuner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24303-2026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46169</v>
      </c>
      <c r="E589" s="1" t="n">
        <v>46281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46281</v>
      </c>
      <c r="F590" t="inlineStr">
        <is>
          <t>GÄVLEBORGS LÄN</t>
        </is>
      </c>
      <c r="G590" t="inlineStr">
        <is>
          <t>SANDVIKEN</t>
        </is>
      </c>
      <c r="I590" t="n">
        <v>8.699999999999999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46281</v>
      </c>
      <c r="F591" t="inlineStr">
        <is>
          <t>GÄVLEBORGS LÄN</t>
        </is>
      </c>
      <c r="G591" t="inlineStr">
        <is>
          <t>SANDVIKEN</t>
        </is>
      </c>
      <c r="I591" t="n">
        <v>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46169</v>
      </c>
      <c r="E592" s="1" t="n">
        <v>46281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24261-2026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46281</v>
      </c>
      <c r="F593" t="inlineStr">
        <is>
          <t>GÄVLEBORGS LÄN</t>
        </is>
      </c>
      <c r="G593" t="inlineStr">
        <is>
          <t>SANDVIKEN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24355-2026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46281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46169</v>
      </c>
      <c r="E595" s="1" t="n">
        <v>46281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5960-2026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46281</v>
      </c>
      <c r="F596" t="inlineStr">
        <is>
          <t>GÄVLEBORGS LÄN</t>
        </is>
      </c>
      <c r="G596" t="inlineStr">
        <is>
          <t>SANDVIKEN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46177-2022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44847</v>
      </c>
      <c r="E597" s="1" t="n">
        <v>46281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46281</v>
      </c>
      <c r="F598" t="inlineStr">
        <is>
          <t>GÄVLEBORGS LÄN</t>
        </is>
      </c>
      <c r="G598" t="inlineStr">
        <is>
          <t>SANDVIKEN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46281</v>
      </c>
      <c r="F599" t="inlineStr">
        <is>
          <t>GÄVLEBORGS LÄN</t>
        </is>
      </c>
      <c r="G599" t="inlineStr">
        <is>
          <t>SANDVIKEN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46281</v>
      </c>
      <c r="F600" t="inlineStr">
        <is>
          <t>GÄVLEBORGS LÄN</t>
        </is>
      </c>
      <c r="G600" t="inlineStr">
        <is>
          <t>SANDVIKEN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46281</v>
      </c>
      <c r="F601" t="inlineStr">
        <is>
          <t>GÄVLEBORGS LÄN</t>
        </is>
      </c>
      <c r="G601" t="inlineStr">
        <is>
          <t>SANDVIKEN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46171</v>
      </c>
      <c r="E602" s="1" t="n">
        <v>46281</v>
      </c>
      <c r="F602" t="inlineStr">
        <is>
          <t>GÄVLEBORGS LÄN</t>
        </is>
      </c>
      <c r="G602" t="inlineStr">
        <is>
          <t>SANDVIKEN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46281</v>
      </c>
      <c r="F603" t="inlineStr">
        <is>
          <t>GÄVLEBORGS LÄN</t>
        </is>
      </c>
      <c r="G603" t="inlineStr">
        <is>
          <t>SANDVIKEN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46281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46281</v>
      </c>
      <c r="F605" t="inlineStr">
        <is>
          <t>GÄVLEBORGS LÄN</t>
        </is>
      </c>
      <c r="G605" t="inlineStr">
        <is>
          <t>SANDVIKEN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46045</v>
      </c>
      <c r="E606" s="1" t="n">
        <v>46281</v>
      </c>
      <c r="F606" t="inlineStr">
        <is>
          <t>GÄVLEBORGS LÄN</t>
        </is>
      </c>
      <c r="G606" t="inlineStr">
        <is>
          <t>SANDVIKEN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46281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25175-2026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46281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46281</v>
      </c>
      <c r="F609" t="inlineStr">
        <is>
          <t>GÄVLEBORGS LÄN</t>
        </is>
      </c>
      <c r="G609" t="inlineStr">
        <is>
          <t>SANDVIKEN</t>
        </is>
      </c>
      <c r="H609" t="inlineStr">
        <is>
          <t>Kommuner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46281</v>
      </c>
      <c r="F610" t="inlineStr">
        <is>
          <t>GÄVLEBORGS LÄN</t>
        </is>
      </c>
      <c r="G610" t="inlineStr">
        <is>
          <t>SANDVIKEN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25647-2026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46281</v>
      </c>
      <c r="F611" t="inlineStr">
        <is>
          <t>GÄVLEBORGS LÄN</t>
        </is>
      </c>
      <c r="G611" t="inlineStr">
        <is>
          <t>SANDVIKEN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45103</v>
      </c>
      <c r="E612" s="1" t="n">
        <v>46281</v>
      </c>
      <c r="F612" t="inlineStr">
        <is>
          <t>GÄVLEBORGS LÄN</t>
        </is>
      </c>
      <c r="G612" t="inlineStr">
        <is>
          <t>SANDVIKEN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8940-2026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46281</v>
      </c>
      <c r="F613" t="inlineStr">
        <is>
          <t>GÄVLEBORGS LÄN</t>
        </is>
      </c>
      <c r="G613" t="inlineStr">
        <is>
          <t>SANDVIKEN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45730</v>
      </c>
      <c r="E614" s="1" t="n">
        <v>46281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45730</v>
      </c>
      <c r="E615" s="1" t="n">
        <v>46281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61774-2024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45649</v>
      </c>
      <c r="E616" s="1" t="n">
        <v>46281</v>
      </c>
      <c r="F616" t="inlineStr">
        <is>
          <t>GÄVLEBORGS LÄN</t>
        </is>
      </c>
      <c r="G616" t="inlineStr">
        <is>
          <t>SANDVIKEN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19186-2026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46281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46281</v>
      </c>
      <c r="F618" t="inlineStr">
        <is>
          <t>GÄVLEBORGS LÄN</t>
        </is>
      </c>
      <c r="G618" t="inlineStr">
        <is>
          <t>SANDVIKEN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46177</v>
      </c>
      <c r="E619" s="1" t="n">
        <v>46281</v>
      </c>
      <c r="F619" t="inlineStr">
        <is>
          <t>GÄVLEBORGS LÄN</t>
        </is>
      </c>
      <c r="G619" t="inlineStr">
        <is>
          <t>SANDVIKEN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46281</v>
      </c>
      <c r="F620" t="inlineStr">
        <is>
          <t>GÄVLEBORGS LÄN</t>
        </is>
      </c>
      <c r="G620" t="inlineStr">
        <is>
          <t>SANDVIKEN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45320</v>
      </c>
      <c r="E621" s="1" t="n">
        <v>46281</v>
      </c>
      <c r="F621" t="inlineStr">
        <is>
          <t>GÄVLEBORGS LÄN</t>
        </is>
      </c>
      <c r="G621" t="inlineStr">
        <is>
          <t>SANDVIKEN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46281</v>
      </c>
      <c r="F622" t="inlineStr">
        <is>
          <t>GÄVLEBORGS LÄN</t>
        </is>
      </c>
      <c r="G622" t="inlineStr">
        <is>
          <t>SANDVIKEN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25412-2026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46176</v>
      </c>
      <c r="E623" s="1" t="n">
        <v>46281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25413-2026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46176</v>
      </c>
      <c r="E624" s="1" t="n">
        <v>46281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46281</v>
      </c>
      <c r="F625" t="inlineStr">
        <is>
          <t>GÄVLEBORGS LÄN</t>
        </is>
      </c>
      <c r="G625" t="inlineStr">
        <is>
          <t>SANDVIKEN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6793-2026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46055</v>
      </c>
      <c r="E626" s="1" t="n">
        <v>46281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46055</v>
      </c>
      <c r="E627" s="1" t="n">
        <v>46281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46281</v>
      </c>
      <c r="F628" t="inlineStr">
        <is>
          <t>GÄVLEBORGS LÄN</t>
        </is>
      </c>
      <c r="G628" t="inlineStr">
        <is>
          <t>SANDVIKEN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25826-2026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46281</v>
      </c>
      <c r="F629" t="inlineStr">
        <is>
          <t>GÄVLEBORGS LÄN</t>
        </is>
      </c>
      <c r="G629" t="inlineStr">
        <is>
          <t>SANDVIKEN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25834-2026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46281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46178</v>
      </c>
      <c r="E631" s="1" t="n">
        <v>46281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46281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58363-2022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44901</v>
      </c>
      <c r="E633" s="1" t="n">
        <v>46281</v>
      </c>
      <c r="F633" t="inlineStr">
        <is>
          <t>GÄVLEBORGS LÄN</t>
        </is>
      </c>
      <c r="G633" t="inlineStr">
        <is>
          <t>SANDVIKEN</t>
        </is>
      </c>
      <c r="I633" t="n">
        <v>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46281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8.699999999999999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46055</v>
      </c>
      <c r="E635" s="1" t="n">
        <v>46281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46281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46281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46281</v>
      </c>
      <c r="F638" t="inlineStr">
        <is>
          <t>GÄVLEBORGS LÄN</t>
        </is>
      </c>
      <c r="G638" t="inlineStr">
        <is>
          <t>SANDVIKEN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46056</v>
      </c>
      <c r="E639" s="1" t="n">
        <v>46281</v>
      </c>
      <c r="F639" t="inlineStr">
        <is>
          <t>GÄVLEBORGS LÄN</t>
        </is>
      </c>
      <c r="G639" t="inlineStr">
        <is>
          <t>SANDVIKEN</t>
        </is>
      </c>
      <c r="I639" t="n">
        <v>8.800000000000001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45668</v>
      </c>
      <c r="E640" s="1" t="n">
        <v>46281</v>
      </c>
      <c r="F640" t="inlineStr">
        <is>
          <t>GÄVLEBORGS LÄN</t>
        </is>
      </c>
      <c r="G640" t="inlineStr">
        <is>
          <t>SANDVIKEN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46281</v>
      </c>
      <c r="F641" t="inlineStr">
        <is>
          <t>GÄVLEBORGS LÄN</t>
        </is>
      </c>
      <c r="G641" t="inlineStr">
        <is>
          <t>SANDVIKEN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41790-2024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45561</v>
      </c>
      <c r="E642" s="1" t="n">
        <v>46281</v>
      </c>
      <c r="F642" t="inlineStr">
        <is>
          <t>GÄVLEBORGS LÄN</t>
        </is>
      </c>
      <c r="G642" t="inlineStr">
        <is>
          <t>SANDVIKEN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62459-2023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45268</v>
      </c>
      <c r="E643" s="1" t="n">
        <v>46281</v>
      </c>
      <c r="F643" t="inlineStr">
        <is>
          <t>GÄVLEBORGS LÄN</t>
        </is>
      </c>
      <c r="G643" t="inlineStr">
        <is>
          <t>SANDVIKEN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7350-2026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46058</v>
      </c>
      <c r="E644" s="1" t="n">
        <v>46281</v>
      </c>
      <c r="F644" t="inlineStr">
        <is>
          <t>GÄVLEBORGS LÄN</t>
        </is>
      </c>
      <c r="G644" t="inlineStr">
        <is>
          <t>SANDVIKEN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7725-2026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46062</v>
      </c>
      <c r="E645" s="1" t="n">
        <v>46281</v>
      </c>
      <c r="F645" t="inlineStr">
        <is>
          <t>GÄVLEBORGS LÄN</t>
        </is>
      </c>
      <c r="G645" t="inlineStr">
        <is>
          <t>SANDVIKEN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7360-2026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46058</v>
      </c>
      <c r="E646" s="1" t="n">
        <v>46281</v>
      </c>
      <c r="F646" t="inlineStr">
        <is>
          <t>GÄVLEBORGS LÄN</t>
        </is>
      </c>
      <c r="G646" t="inlineStr">
        <is>
          <t>SANDVIKEN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25836-2026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46281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46058</v>
      </c>
      <c r="E648" s="1" t="n">
        <v>46281</v>
      </c>
      <c r="F648" t="inlineStr">
        <is>
          <t>GÄVLEBORGS LÄN</t>
        </is>
      </c>
      <c r="G648" t="inlineStr">
        <is>
          <t>SANDVIKEN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25691-2026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46281</v>
      </c>
      <c r="F649" t="inlineStr">
        <is>
          <t>GÄVLEBORGS LÄN</t>
        </is>
      </c>
      <c r="G649" t="inlineStr">
        <is>
          <t>SANDVIKEN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46281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19346-2023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45049</v>
      </c>
      <c r="E651" s="1" t="n">
        <v>46281</v>
      </c>
      <c r="F651" t="inlineStr">
        <is>
          <t>GÄVLEBORGS LÄN</t>
        </is>
      </c>
      <c r="G651" t="inlineStr">
        <is>
          <t>SANDVIKEN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21456-2023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45063</v>
      </c>
      <c r="E652" s="1" t="n">
        <v>46281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61694-2021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44501</v>
      </c>
      <c r="E653" s="1" t="n">
        <v>46281</v>
      </c>
      <c r="F653" t="inlineStr">
        <is>
          <t>GÄVLEBORGS LÄN</t>
        </is>
      </c>
      <c r="G653" t="inlineStr">
        <is>
          <t>SANDVIKEN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10577-2025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45721</v>
      </c>
      <c r="E654" s="1" t="n">
        <v>46281</v>
      </c>
      <c r="F654" t="inlineStr">
        <is>
          <t>GÄVLEBORGS LÄN</t>
        </is>
      </c>
      <c r="G654" t="inlineStr">
        <is>
          <t>SANDVIKEN</t>
        </is>
      </c>
      <c r="H654" t="inlineStr">
        <is>
          <t>Sveaskog</t>
        </is>
      </c>
      <c r="I654" t="n">
        <v>10.9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46058</v>
      </c>
      <c r="E655" s="1" t="n">
        <v>46281</v>
      </c>
      <c r="F655" t="inlineStr">
        <is>
          <t>GÄVLEBORGS LÄN</t>
        </is>
      </c>
      <c r="G655" t="inlineStr">
        <is>
          <t>SANDVIKEN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7694-2026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46281</v>
      </c>
      <c r="F656" t="inlineStr">
        <is>
          <t>GÄVLEBORGS LÄN</t>
        </is>
      </c>
      <c r="G656" t="inlineStr">
        <is>
          <t>SANDVIKEN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45121</v>
      </c>
      <c r="E657" s="1" t="n">
        <v>46281</v>
      </c>
      <c r="F657" t="inlineStr">
        <is>
          <t>GÄVLEBORGS LÄN</t>
        </is>
      </c>
      <c r="G657" t="inlineStr">
        <is>
          <t>SANDVIKEN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8295-2026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46281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väst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62047-2022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44918</v>
      </c>
      <c r="E659" s="1" t="n">
        <v>46281</v>
      </c>
      <c r="F659" t="inlineStr">
        <is>
          <t>GÄVLEBORGS LÄN</t>
        </is>
      </c>
      <c r="G659" t="inlineStr">
        <is>
          <t>SANDVIKEN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46063</v>
      </c>
      <c r="E660" s="1" t="n">
        <v>46281</v>
      </c>
      <c r="F660" t="inlineStr">
        <is>
          <t>GÄVLEBORGS LÄN</t>
        </is>
      </c>
      <c r="G660" t="inlineStr">
        <is>
          <t>SANDVIKEN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46281</v>
      </c>
      <c r="F661" t="inlineStr">
        <is>
          <t>GÄVLEBORGS LÄN</t>
        </is>
      </c>
      <c r="G661" t="inlineStr">
        <is>
          <t>SANDVIKEN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46281</v>
      </c>
      <c r="F662" t="inlineStr">
        <is>
          <t>GÄVLEBORGS LÄN</t>
        </is>
      </c>
      <c r="G662" t="inlineStr">
        <is>
          <t>SANDVIKEN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7914-2026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46281</v>
      </c>
      <c r="F663" t="inlineStr">
        <is>
          <t>GÄVLEBORGS LÄN</t>
        </is>
      </c>
      <c r="G663" t="inlineStr">
        <is>
          <t>SANDVIKEN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46281</v>
      </c>
      <c r="F664" t="inlineStr">
        <is>
          <t>GÄVLEBORGS LÄN</t>
        </is>
      </c>
      <c r="G664" t="inlineStr">
        <is>
          <t>SANDVIKEN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46281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8363-2026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46281</v>
      </c>
      <c r="F666" t="inlineStr">
        <is>
          <t>GÄVLEBORGS LÄN</t>
        </is>
      </c>
      <c r="G666" t="inlineStr">
        <is>
          <t>SANDVIKEN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7885-2026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46281</v>
      </c>
      <c r="F667" t="inlineStr">
        <is>
          <t>GÄVLEBORGS LÄN</t>
        </is>
      </c>
      <c r="G667" t="inlineStr">
        <is>
          <t>SANDVIKEN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8612-2026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46281</v>
      </c>
      <c r="F668" t="inlineStr">
        <is>
          <t>GÄVLEBORGS LÄN</t>
        </is>
      </c>
      <c r="G668" t="inlineStr">
        <is>
          <t>SANDVIKEN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8706-2026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46066</v>
      </c>
      <c r="E669" s="1" t="n">
        <v>46281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8713-2026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46066</v>
      </c>
      <c r="E670" s="1" t="n">
        <v>46281</v>
      </c>
      <c r="F670" t="inlineStr">
        <is>
          <t>GÄVLEBORGS LÄN</t>
        </is>
      </c>
      <c r="G670" t="inlineStr">
        <is>
          <t>SANDVIKEN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46066</v>
      </c>
      <c r="E671" s="1" t="n">
        <v>46281</v>
      </c>
      <c r="F671" t="inlineStr">
        <is>
          <t>GÄVLEBORGS LÄN</t>
        </is>
      </c>
      <c r="G671" t="inlineStr">
        <is>
          <t>SANDVIKEN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8611-2026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46065</v>
      </c>
      <c r="E672" s="1" t="n">
        <v>46281</v>
      </c>
      <c r="F672" t="inlineStr">
        <is>
          <t>GÄVLEBORGS LÄN</t>
        </is>
      </c>
      <c r="G672" t="inlineStr">
        <is>
          <t>SANDVIKEN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46065</v>
      </c>
      <c r="E673" s="1" t="n">
        <v>46281</v>
      </c>
      <c r="F673" t="inlineStr">
        <is>
          <t>GÄVLEBORGS LÄN</t>
        </is>
      </c>
      <c r="G673" t="inlineStr">
        <is>
          <t>SANDVIKEN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46281</v>
      </c>
      <c r="F674" t="inlineStr">
        <is>
          <t>GÄVLEBORGS LÄN</t>
        </is>
      </c>
      <c r="G674" t="inlineStr">
        <is>
          <t>SANDVIKEN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9093-2026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46069</v>
      </c>
      <c r="E675" s="1" t="n">
        <v>46281</v>
      </c>
      <c r="F675" t="inlineStr">
        <is>
          <t>GÄVLEBORGS LÄN</t>
        </is>
      </c>
      <c r="G675" t="inlineStr">
        <is>
          <t>SANDVIKEN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7031-2025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46281</v>
      </c>
      <c r="F676" t="inlineStr">
        <is>
          <t>GÄVLEBORGS LÄN</t>
        </is>
      </c>
      <c r="G676" t="inlineStr">
        <is>
          <t>SANDVIKEN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46281</v>
      </c>
      <c r="F677" t="inlineStr">
        <is>
          <t>GÄVLEBORGS LÄN</t>
        </is>
      </c>
      <c r="G677" t="inlineStr">
        <is>
          <t>SANDVIKEN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73331-2021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44551</v>
      </c>
      <c r="E678" s="1" t="n">
        <v>46281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26964-2026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46281</v>
      </c>
      <c r="F679" t="inlineStr">
        <is>
          <t>GÄVLEBORGS LÄN</t>
        </is>
      </c>
      <c r="G679" t="inlineStr">
        <is>
          <t>SANDVIKEN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9142-2026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46069</v>
      </c>
      <c r="E680" s="1" t="n">
        <v>46281</v>
      </c>
      <c r="F680" t="inlineStr">
        <is>
          <t>GÄVLEBORGS LÄN</t>
        </is>
      </c>
      <c r="G680" t="inlineStr">
        <is>
          <t>SANDVIKEN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26818-2026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46281</v>
      </c>
      <c r="F681" t="inlineStr">
        <is>
          <t>GÄVLEBORGS LÄN</t>
        </is>
      </c>
      <c r="G681" t="inlineStr">
        <is>
          <t>SANDVIKEN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64225-2021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44510</v>
      </c>
      <c r="E682" s="1" t="n">
        <v>46281</v>
      </c>
      <c r="F682" t="inlineStr">
        <is>
          <t>GÄVLEBORGS LÄN</t>
        </is>
      </c>
      <c r="G682" t="inlineStr">
        <is>
          <t>SANDVIKEN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46281</v>
      </c>
      <c r="F683" t="inlineStr">
        <is>
          <t>GÄVLEBORGS LÄN</t>
        </is>
      </c>
      <c r="G683" t="inlineStr">
        <is>
          <t>SANDVIKEN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26780-2026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46184</v>
      </c>
      <c r="E684" s="1" t="n">
        <v>46281</v>
      </c>
      <c r="F684" t="inlineStr">
        <is>
          <t>GÄVLEBORGS LÄN</t>
        </is>
      </c>
      <c r="G684" t="inlineStr">
        <is>
          <t>SANDVIKEN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9714-2026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46072</v>
      </c>
      <c r="E685" s="1" t="n">
        <v>46281</v>
      </c>
      <c r="F685" t="inlineStr">
        <is>
          <t>GÄVLEBORGS LÄN</t>
        </is>
      </c>
      <c r="G685" t="inlineStr">
        <is>
          <t>SANDVIKEN</t>
        </is>
      </c>
      <c r="H685" t="inlineStr">
        <is>
          <t>Naturvårdsverket</t>
        </is>
      </c>
      <c r="I685" t="n">
        <v>19.5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9480-2026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46281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26763-2026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46281</v>
      </c>
      <c r="F687" t="inlineStr">
        <is>
          <t>GÄVLEBORGS LÄN</t>
        </is>
      </c>
      <c r="G687" t="inlineStr">
        <is>
          <t>SANDVIKEN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46281</v>
      </c>
      <c r="F688" t="inlineStr">
        <is>
          <t>GÄVLEBORGS LÄN</t>
        </is>
      </c>
      <c r="G688" t="inlineStr">
        <is>
          <t>SANDVIKEN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9653-2026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46281</v>
      </c>
      <c r="F689" t="inlineStr">
        <is>
          <t>GÄVLEBORGS LÄN</t>
        </is>
      </c>
      <c r="G689" t="inlineStr">
        <is>
          <t>SANDVIKEN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10346-2026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46076</v>
      </c>
      <c r="E690" s="1" t="n">
        <v>46281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46281</v>
      </c>
      <c r="F691" t="inlineStr">
        <is>
          <t>GÄVLEBORGS LÄN</t>
        </is>
      </c>
      <c r="G691" t="inlineStr">
        <is>
          <t>SANDVIKEN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10107-2026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46074</v>
      </c>
      <c r="E692" s="1" t="n">
        <v>46281</v>
      </c>
      <c r="F692" t="inlineStr">
        <is>
          <t>GÄVLEBORGS LÄN</t>
        </is>
      </c>
      <c r="G692" t="inlineStr">
        <is>
          <t>SANDVIKEN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46281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46281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10022-2026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46281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38200-2024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45545</v>
      </c>
      <c r="E696" s="1" t="n">
        <v>46281</v>
      </c>
      <c r="F696" t="inlineStr">
        <is>
          <t>GÄVLEBORGS LÄN</t>
        </is>
      </c>
      <c r="G696" t="inlineStr">
        <is>
          <t>SANDVIKEN</t>
        </is>
      </c>
      <c r="H696" t="inlineStr">
        <is>
          <t>Sveaskog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14720-2026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46101</v>
      </c>
      <c r="E697" s="1" t="n">
        <v>46281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27533-2026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46190</v>
      </c>
      <c r="E698" s="1" t="n">
        <v>46281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46281</v>
      </c>
      <c r="F699" t="inlineStr">
        <is>
          <t>GÄVLEBORGS LÄN</t>
        </is>
      </c>
      <c r="G699" t="inlineStr">
        <is>
          <t>SANDVIKEN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46034</v>
      </c>
      <c r="E700" s="1" t="n">
        <v>46281</v>
      </c>
      <c r="F700" t="inlineStr">
        <is>
          <t>GÄVLEBORGS LÄN</t>
        </is>
      </c>
      <c r="G700" t="inlineStr">
        <is>
          <t>SANDVIKEN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27588-2026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46281</v>
      </c>
      <c r="F701" t="inlineStr">
        <is>
          <t>GÄVLEBORGS LÄN</t>
        </is>
      </c>
      <c r="G701" t="inlineStr">
        <is>
          <t>SANDVIKEN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23228-2026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46281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29297-2024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45483</v>
      </c>
      <c r="E703" s="1" t="n">
        <v>46281</v>
      </c>
      <c r="F703" t="inlineStr">
        <is>
          <t>GÄVLEBORGS LÄN</t>
        </is>
      </c>
      <c r="G703" t="inlineStr">
        <is>
          <t>SANDVIKEN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28845-2026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46281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6951-2024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45343</v>
      </c>
      <c r="E705" s="1" t="n">
        <v>46281</v>
      </c>
      <c r="F705" t="inlineStr">
        <is>
          <t>GÄVLEBORGS LÄN</t>
        </is>
      </c>
      <c r="G705" t="inlineStr">
        <is>
          <t>SANDVIKEN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45327</v>
      </c>
      <c r="E706" s="1" t="n">
        <v>46281</v>
      </c>
      <c r="F706" t="inlineStr">
        <is>
          <t>GÄVLEBORGS LÄN</t>
        </is>
      </c>
      <c r="G706" t="inlineStr">
        <is>
          <t>SANDVIKEN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11397-2023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44988</v>
      </c>
      <c r="E707" s="1" t="n">
        <v>46281</v>
      </c>
      <c r="F707" t="inlineStr">
        <is>
          <t>GÄVLEBORGS LÄN</t>
        </is>
      </c>
      <c r="G707" t="inlineStr">
        <is>
          <t>SANDVIKEN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46281</v>
      </c>
      <c r="F708" t="inlineStr">
        <is>
          <t>GÄVLEBORGS LÄN</t>
        </is>
      </c>
      <c r="G708" t="inlineStr">
        <is>
          <t>SANDVIKEN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46281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26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46281</v>
      </c>
      <c r="F710" t="inlineStr">
        <is>
          <t>GÄVLEBORGS LÄN</t>
        </is>
      </c>
      <c r="G710" t="inlineStr">
        <is>
          <t>SANDVIKEN</t>
        </is>
      </c>
      <c r="H710" t="inlineStr">
        <is>
          <t>Sveaskog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46281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30714-2023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46281</v>
      </c>
      <c r="F712" t="inlineStr">
        <is>
          <t>GÄVLEBORGS LÄN</t>
        </is>
      </c>
      <c r="G712" t="inlineStr">
        <is>
          <t>SANDVIKEN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46281</v>
      </c>
      <c r="F713" t="inlineStr">
        <is>
          <t>GÄVLEBORGS LÄN</t>
        </is>
      </c>
      <c r="G713" t="inlineStr">
        <is>
          <t>SANDVIKEN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46281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11.9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45161</v>
      </c>
      <c r="E715" s="1" t="n">
        <v>46281</v>
      </c>
      <c r="F715" t="inlineStr">
        <is>
          <t>GÄVLEBORGS LÄN</t>
        </is>
      </c>
      <c r="G715" t="inlineStr">
        <is>
          <t>SANDVIKEN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53718-2024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45615</v>
      </c>
      <c r="E716" s="1" t="n">
        <v>46281</v>
      </c>
      <c r="F716" t="inlineStr">
        <is>
          <t>GÄVLEBORGS LÄN</t>
        </is>
      </c>
      <c r="G716" t="inlineStr">
        <is>
          <t>SANDVIKEN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28897-2024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45480</v>
      </c>
      <c r="E717" s="1" t="n">
        <v>46281</v>
      </c>
      <c r="F717" t="inlineStr">
        <is>
          <t>GÄVLEBORGS LÄN</t>
        </is>
      </c>
      <c r="G717" t="inlineStr">
        <is>
          <t>SANDVIKEN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17498-2024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45415</v>
      </c>
      <c r="E718" s="1" t="n">
        <v>46281</v>
      </c>
      <c r="F718" t="inlineStr">
        <is>
          <t>GÄVLEBORGS LÄN</t>
        </is>
      </c>
      <c r="G718" t="inlineStr">
        <is>
          <t>SANDVIKEN</t>
        </is>
      </c>
      <c r="H718" t="inlineStr">
        <is>
          <t>Kommuner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38428-2023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45162</v>
      </c>
      <c r="E719" s="1" t="n">
        <v>46281</v>
      </c>
      <c r="F719" t="inlineStr">
        <is>
          <t>GÄVLEBORGS LÄN</t>
        </is>
      </c>
      <c r="G719" t="inlineStr">
        <is>
          <t>SANDVIKEN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45162</v>
      </c>
      <c r="E720" s="1" t="n">
        <v>46281</v>
      </c>
      <c r="F720" t="inlineStr">
        <is>
          <t>GÄVLEBORGS LÄN</t>
        </is>
      </c>
      <c r="G720" t="inlineStr">
        <is>
          <t>SANDVIKEN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38449-2023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45162</v>
      </c>
      <c r="E721" s="1" t="n">
        <v>46281</v>
      </c>
      <c r="F721" t="inlineStr">
        <is>
          <t>GÄVLEBORGS LÄN</t>
        </is>
      </c>
      <c r="G721" t="inlineStr">
        <is>
          <t>SANDVIKEN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45331-2024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45576</v>
      </c>
      <c r="E722" s="1" t="n">
        <v>46281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45666</v>
      </c>
      <c r="E723" s="1" t="n">
        <v>46281</v>
      </c>
      <c r="F723" t="inlineStr">
        <is>
          <t>GÄVLEBORGS LÄN</t>
        </is>
      </c>
      <c r="G723" t="inlineStr">
        <is>
          <t>SANDVIKEN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25357-2023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45087</v>
      </c>
      <c r="E724" s="1" t="n">
        <v>46281</v>
      </c>
      <c r="F724" t="inlineStr">
        <is>
          <t>GÄVLEBORGS LÄN</t>
        </is>
      </c>
      <c r="G724" t="inlineStr">
        <is>
          <t>SANDVIKEN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29115-2026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46201</v>
      </c>
      <c r="E725" s="1" t="n">
        <v>46281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46281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8.6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32998-2026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46281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46281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46281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46202</v>
      </c>
      <c r="E730" s="1" t="n">
        <v>46281</v>
      </c>
      <c r="F730" t="inlineStr">
        <is>
          <t>GÄVLEBORGS LÄN</t>
        </is>
      </c>
      <c r="G730" t="inlineStr">
        <is>
          <t>SANDVIKEN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15788-2025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45748</v>
      </c>
      <c r="E731" s="1" t="n">
        <v>46281</v>
      </c>
      <c r="F731" t="inlineStr">
        <is>
          <t>GÄVLEBORGS LÄN</t>
        </is>
      </c>
      <c r="G731" t="inlineStr">
        <is>
          <t>SANDVIKEN</t>
        </is>
      </c>
      <c r="I731" t="n">
        <v>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46281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47889-2022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44855</v>
      </c>
      <c r="E733" s="1" t="n">
        <v>46281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46281</v>
      </c>
      <c r="F734" t="inlineStr">
        <is>
          <t>GÄVLEBORGS LÄN</t>
        </is>
      </c>
      <c r="G734" t="inlineStr">
        <is>
          <t>SANDVIKEN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45162</v>
      </c>
      <c r="E735" s="1" t="n">
        <v>46281</v>
      </c>
      <c r="F735" t="inlineStr">
        <is>
          <t>GÄVLEBORGS LÄN</t>
        </is>
      </c>
      <c r="G735" t="inlineStr">
        <is>
          <t>SANDVIKEN</t>
        </is>
      </c>
      <c r="I735" t="n">
        <v>6.3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45112</v>
      </c>
      <c r="E736" s="1" t="n">
        <v>46281</v>
      </c>
      <c r="F736" t="inlineStr">
        <is>
          <t>GÄVLEBORGS LÄN</t>
        </is>
      </c>
      <c r="G736" t="inlineStr">
        <is>
          <t>SANDVIKEN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29682-2026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46281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46281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32260-2023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45120</v>
      </c>
      <c r="E739" s="1" t="n">
        <v>46281</v>
      </c>
      <c r="F739" t="inlineStr">
        <is>
          <t>GÄVLEBORGS LÄN</t>
        </is>
      </c>
      <c r="G739" t="inlineStr">
        <is>
          <t>SANDVIKEN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29661-2026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46204</v>
      </c>
      <c r="E740" s="1" t="n">
        <v>46281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17818-2025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45758</v>
      </c>
      <c r="E741" s="1" t="n">
        <v>46281</v>
      </c>
      <c r="F741" t="inlineStr">
        <is>
          <t>GÄVLEBORGS LÄN</t>
        </is>
      </c>
      <c r="G741" t="inlineStr">
        <is>
          <t>SANDVIKEN</t>
        </is>
      </c>
      <c r="H741" t="inlineStr">
        <is>
          <t>Sveaskog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29726-2026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46281</v>
      </c>
      <c r="F742" t="inlineStr">
        <is>
          <t>GÄVLEBORGS LÄN</t>
        </is>
      </c>
      <c r="G742" t="inlineStr">
        <is>
          <t>SANDVIKEN</t>
        </is>
      </c>
      <c r="H742" t="inlineStr">
        <is>
          <t>Naturvårdsverket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46281</v>
      </c>
      <c r="F743" t="inlineStr">
        <is>
          <t>GÄVLEBORGS LÄN</t>
        </is>
      </c>
      <c r="G743" t="inlineStr">
        <is>
          <t>SANDVIKEN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29613-2026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46281</v>
      </c>
      <c r="F744" t="inlineStr">
        <is>
          <t>GÄVLEBORGS LÄN</t>
        </is>
      </c>
      <c r="G744" t="inlineStr">
        <is>
          <t>SANDVIKEN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46281</v>
      </c>
      <c r="F745" t="inlineStr">
        <is>
          <t>GÄVLEBORGS LÄN</t>
        </is>
      </c>
      <c r="G745" t="inlineStr">
        <is>
          <t>SANDVIKEN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46281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46281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45299-2023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45191</v>
      </c>
      <c r="E748" s="1" t="n">
        <v>46281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59661-2024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45639</v>
      </c>
      <c r="E749" s="1" t="n">
        <v>46281</v>
      </c>
      <c r="F749" t="inlineStr">
        <is>
          <t>GÄVLEBORGS LÄN</t>
        </is>
      </c>
      <c r="G749" t="inlineStr">
        <is>
          <t>SANDVIKEN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46247</v>
      </c>
      <c r="E750" s="1" t="n">
        <v>46281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46204</v>
      </c>
      <c r="E751" s="1" t="n">
        <v>46281</v>
      </c>
      <c r="F751" t="inlineStr">
        <is>
          <t>GÄVLEBORGS LÄN</t>
        </is>
      </c>
      <c r="G751" t="inlineStr">
        <is>
          <t>SANDVIKEN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29608-2026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46204</v>
      </c>
      <c r="E752" s="1" t="n">
        <v>46281</v>
      </c>
      <c r="F752" t="inlineStr">
        <is>
          <t>GÄVLEBORGS LÄN</t>
        </is>
      </c>
      <c r="G752" t="inlineStr">
        <is>
          <t>SANDVIKEN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29715-2026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46204</v>
      </c>
      <c r="E753" s="1" t="n">
        <v>46281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29681-2026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46281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72997-2021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44549</v>
      </c>
      <c r="E755" s="1" t="n">
        <v>46281</v>
      </c>
      <c r="F755" t="inlineStr">
        <is>
          <t>GÄVLEBORGS LÄN</t>
        </is>
      </c>
      <c r="G755" t="inlineStr">
        <is>
          <t>SANDVIKEN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46281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29833-2026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46205</v>
      </c>
      <c r="E757" s="1" t="n">
        <v>46281</v>
      </c>
      <c r="F757" t="inlineStr">
        <is>
          <t>GÄVLEBORGS LÄN</t>
        </is>
      </c>
      <c r="G757" t="inlineStr">
        <is>
          <t>SANDVIKEN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38609-2022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44813</v>
      </c>
      <c r="E758" s="1" t="n">
        <v>46281</v>
      </c>
      <c r="F758" t="inlineStr">
        <is>
          <t>GÄVLEBORGS LÄN</t>
        </is>
      </c>
      <c r="G758" t="inlineStr">
        <is>
          <t>SANDVIKEN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45169</v>
      </c>
      <c r="E759" s="1" t="n">
        <v>46281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49704-2023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45212</v>
      </c>
      <c r="E760" s="1" t="n">
        <v>46281</v>
      </c>
      <c r="F760" t="inlineStr">
        <is>
          <t>GÄVLEBORGS LÄN</t>
        </is>
      </c>
      <c r="G760" t="inlineStr">
        <is>
          <t>SANDVIKEN</t>
        </is>
      </c>
      <c r="H760" t="inlineStr">
        <is>
          <t>Sveaskog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37641-2024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45541</v>
      </c>
      <c r="E761" s="1" t="n">
        <v>46281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45701</v>
      </c>
      <c r="E762" s="1" t="n">
        <v>46281</v>
      </c>
      <c r="F762" t="inlineStr">
        <is>
          <t>GÄVLEBORGS LÄN</t>
        </is>
      </c>
      <c r="G762" t="inlineStr">
        <is>
          <t>SANDVIKEN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33873-2026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46251</v>
      </c>
      <c r="E763" s="1" t="n">
        <v>46281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46251</v>
      </c>
      <c r="E764" s="1" t="n">
        <v>46281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22851-2026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46281</v>
      </c>
      <c r="F765" t="inlineStr">
        <is>
          <t>GÄVLEBORGS LÄN</t>
        </is>
      </c>
      <c r="G765" t="inlineStr">
        <is>
          <t>SANDVIKEN</t>
        </is>
      </c>
      <c r="H765" t="inlineStr">
        <is>
          <t>Kommuner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44566</v>
      </c>
      <c r="E766" s="1" t="n">
        <v>46281</v>
      </c>
      <c r="F766" t="inlineStr">
        <is>
          <t>GÄVLEBORGS LÄN</t>
        </is>
      </c>
      <c r="G766" t="inlineStr">
        <is>
          <t>SANDVIKEN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23162-2023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46281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6.3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33874-2026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46251</v>
      </c>
      <c r="E768" s="1" t="n">
        <v>46281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36656-2023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45153</v>
      </c>
      <c r="E769" s="1" t="n">
        <v>46281</v>
      </c>
      <c r="F769" t="inlineStr">
        <is>
          <t>GÄVLEBORGS LÄN</t>
        </is>
      </c>
      <c r="G769" t="inlineStr">
        <is>
          <t>SANDVIKEN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36660-2023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45153</v>
      </c>
      <c r="E770" s="1" t="n">
        <v>46281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46281</v>
      </c>
      <c r="F771" t="inlineStr">
        <is>
          <t>GÄVLEBORGS LÄN</t>
        </is>
      </c>
      <c r="G771" t="inlineStr">
        <is>
          <t>SANDVIKEN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30718-2023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45112</v>
      </c>
      <c r="E772" s="1" t="n">
        <v>46281</v>
      </c>
      <c r="F772" t="inlineStr">
        <is>
          <t>GÄVLEBORGS LÄN</t>
        </is>
      </c>
      <c r="G772" t="inlineStr">
        <is>
          <t>SANDVIKEN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59614-2024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45638</v>
      </c>
      <c r="E773" s="1" t="n">
        <v>46281</v>
      </c>
      <c r="F773" t="inlineStr">
        <is>
          <t>GÄVLEBORGS LÄN</t>
        </is>
      </c>
      <c r="G773" t="inlineStr">
        <is>
          <t>SANDVIKEN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46281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46281</v>
      </c>
      <c r="F775" t="inlineStr">
        <is>
          <t>GÄVLEBORGS LÄN</t>
        </is>
      </c>
      <c r="G775" t="inlineStr">
        <is>
          <t>SANDVIKEN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46281</v>
      </c>
      <c r="F776" t="inlineStr">
        <is>
          <t>GÄVLEBORGS LÄN</t>
        </is>
      </c>
      <c r="G776" t="inlineStr">
        <is>
          <t>SANDVIKEN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34253-2026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46253</v>
      </c>
      <c r="E777" s="1" t="n">
        <v>46281</v>
      </c>
      <c r="F777" t="inlineStr">
        <is>
          <t>GÄVLEBORGS LÄN</t>
        </is>
      </c>
      <c r="G777" t="inlineStr">
        <is>
          <t>SANDVIKEN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2290-2025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45673</v>
      </c>
      <c r="E778" s="1" t="n">
        <v>46281</v>
      </c>
      <c r="F778" t="inlineStr">
        <is>
          <t>GÄVLEBORGS LÄN</t>
        </is>
      </c>
      <c r="G778" t="inlineStr">
        <is>
          <t>SANDVIKEN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37697-2022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44810</v>
      </c>
      <c r="E779" s="1" t="n">
        <v>46281</v>
      </c>
      <c r="F779" t="inlineStr">
        <is>
          <t>GÄVLEBORGS LÄN</t>
        </is>
      </c>
      <c r="G779" t="inlineStr">
        <is>
          <t>SANDVIKEN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49706-2023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45212</v>
      </c>
      <c r="E780" s="1" t="n">
        <v>46281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34606-2026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46255</v>
      </c>
      <c r="E781" s="1" t="n">
        <v>46281</v>
      </c>
      <c r="F781" t="inlineStr">
        <is>
          <t>GÄVLEBORGS LÄN</t>
        </is>
      </c>
      <c r="G781" t="inlineStr">
        <is>
          <t>SANDVIKEN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54443-2024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45617</v>
      </c>
      <c r="E782" s="1" t="n">
        <v>46281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34603-2026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46255</v>
      </c>
      <c r="E783" s="1" t="n">
        <v>46281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46255</v>
      </c>
      <c r="E784" s="1" t="n">
        <v>46281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35185-2022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44797</v>
      </c>
      <c r="E785" s="1" t="n">
        <v>46281</v>
      </c>
      <c r="F785" t="inlineStr">
        <is>
          <t>GÄVLEBORGS LÄN</t>
        </is>
      </c>
      <c r="G785" t="inlineStr">
        <is>
          <t>SANDVIKEN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48300-2023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46281</v>
      </c>
      <c r="F786" t="inlineStr">
        <is>
          <t>GÄVLEBORGS LÄN</t>
        </is>
      </c>
      <c r="G786" t="inlineStr">
        <is>
          <t>SANDVIKEN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34879-2026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46258</v>
      </c>
      <c r="E787" s="1" t="n">
        <v>46281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48597-2023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45208</v>
      </c>
      <c r="E788" s="1" t="n">
        <v>46281</v>
      </c>
      <c r="F788" t="inlineStr">
        <is>
          <t>GÄVLEBORGS LÄN</t>
        </is>
      </c>
      <c r="G788" t="inlineStr">
        <is>
          <t>SANDVIKEN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11385-2023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44988</v>
      </c>
      <c r="E789" s="1" t="n">
        <v>46281</v>
      </c>
      <c r="F789" t="inlineStr">
        <is>
          <t>GÄVLEBORGS LÄN</t>
        </is>
      </c>
      <c r="G789" t="inlineStr">
        <is>
          <t>SANDVIKEN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49512-2023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45211</v>
      </c>
      <c r="E790" s="1" t="n">
        <v>46281</v>
      </c>
      <c r="F790" t="inlineStr">
        <is>
          <t>GÄVLEBORGS LÄN</t>
        </is>
      </c>
      <c r="G790" t="inlineStr">
        <is>
          <t>SANDVIKEN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46281</v>
      </c>
      <c r="F791" t="inlineStr">
        <is>
          <t>GÄVLEBORGS LÄN</t>
        </is>
      </c>
      <c r="G791" t="inlineStr">
        <is>
          <t>SANDVIKEN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46281</v>
      </c>
      <c r="F792" t="inlineStr">
        <is>
          <t>GÄVLEBORGS LÄN</t>
        </is>
      </c>
      <c r="G792" t="inlineStr">
        <is>
          <t>SANDVIKEN</t>
        </is>
      </c>
      <c r="I792" t="n">
        <v>10.2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45698</v>
      </c>
      <c r="E793" s="1" t="n">
        <v>46281</v>
      </c>
      <c r="F793" t="inlineStr">
        <is>
          <t>GÄVLEBORGS LÄN</t>
        </is>
      </c>
      <c r="G793" t="inlineStr">
        <is>
          <t>SANDVIKEN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48799-2023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45209</v>
      </c>
      <c r="E794" s="1" t="n">
        <v>46281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56036-2023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45240</v>
      </c>
      <c r="E795" s="1" t="n">
        <v>46281</v>
      </c>
      <c r="F795" t="inlineStr">
        <is>
          <t>GÄVLEBORGS LÄN</t>
        </is>
      </c>
      <c r="G795" t="inlineStr">
        <is>
          <t>SANDVIKEN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34997-2026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46259</v>
      </c>
      <c r="E796" s="1" t="n">
        <v>46281</v>
      </c>
      <c r="F796" t="inlineStr">
        <is>
          <t>GÄVLEBORGS LÄN</t>
        </is>
      </c>
      <c r="G796" t="inlineStr">
        <is>
          <t>SANDVIKEN</t>
        </is>
      </c>
      <c r="H796" t="inlineStr">
        <is>
          <t>Sveaskog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45672</v>
      </c>
      <c r="E797" s="1" t="n">
        <v>46281</v>
      </c>
      <c r="F797" t="inlineStr">
        <is>
          <t>GÄVLEBORGS LÄN</t>
        </is>
      </c>
      <c r="G797" t="inlineStr">
        <is>
          <t>SANDVIKEN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35107-2026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46260</v>
      </c>
      <c r="E798" s="1" t="n">
        <v>46281</v>
      </c>
      <c r="F798" t="inlineStr">
        <is>
          <t>GÄVLEBORGS LÄN</t>
        </is>
      </c>
      <c r="G798" t="inlineStr">
        <is>
          <t>SANDVIKEN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35481-2026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46262</v>
      </c>
      <c r="E799" s="1" t="n">
        <v>46281</v>
      </c>
      <c r="F799" t="inlineStr">
        <is>
          <t>GÄVLEBORGS LÄN</t>
        </is>
      </c>
      <c r="G799" t="inlineStr">
        <is>
          <t>SANDVIKEN</t>
        </is>
      </c>
      <c r="H799" t="inlineStr">
        <is>
          <t>Kommuner</t>
        </is>
      </c>
      <c r="I799" t="n">
        <v>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46261</v>
      </c>
      <c r="E800" s="1" t="n">
        <v>46281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61052-2024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45645</v>
      </c>
      <c r="E801" s="1" t="n">
        <v>46281</v>
      </c>
      <c r="F801" t="inlineStr">
        <is>
          <t>GÄVLEBORGS LÄN</t>
        </is>
      </c>
      <c r="G801" t="inlineStr">
        <is>
          <t>SANDVIKEN</t>
        </is>
      </c>
      <c r="H801" t="inlineStr">
        <is>
          <t>Naturvårdsverket</t>
        </is>
      </c>
      <c r="I801" t="n">
        <v>7.2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35420-2026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46261</v>
      </c>
      <c r="E802" s="1" t="n">
        <v>46281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35432-2026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46281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35345-2026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46261</v>
      </c>
      <c r="E804" s="1" t="n">
        <v>46281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35348-2026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46261</v>
      </c>
      <c r="E805" s="1" t="n">
        <v>46281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35370-2026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46281</v>
      </c>
      <c r="F806" t="inlineStr">
        <is>
          <t>GÄVLEBORGS LÄN</t>
        </is>
      </c>
      <c r="G806" t="inlineStr">
        <is>
          <t>SANDVIKEN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35376-2026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46261</v>
      </c>
      <c r="E807" s="1" t="n">
        <v>46281</v>
      </c>
      <c r="F807" t="inlineStr">
        <is>
          <t>GÄVLEBORGS LÄN</t>
        </is>
      </c>
      <c r="G807" t="inlineStr">
        <is>
          <t>SANDVIKEN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35254-2026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46261</v>
      </c>
      <c r="E808" s="1" t="n">
        <v>46281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7038-2025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45701</v>
      </c>
      <c r="E809" s="1" t="n">
        <v>46281</v>
      </c>
      <c r="F809" t="inlineStr">
        <is>
          <t>GÄVLEBORGS LÄN</t>
        </is>
      </c>
      <c r="G809" t="inlineStr">
        <is>
          <t>SANDVIKEN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7056-2025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45701</v>
      </c>
      <c r="E810" s="1" t="n">
        <v>46281</v>
      </c>
      <c r="F810" t="inlineStr">
        <is>
          <t>GÄVLEBORGS LÄN</t>
        </is>
      </c>
      <c r="G810" t="inlineStr">
        <is>
          <t>SANDVIKEN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31314-2026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46219</v>
      </c>
      <c r="E811" s="1" t="n">
        <v>46281</v>
      </c>
      <c r="F811" t="inlineStr">
        <is>
          <t>GÄVLEBORGS LÄN</t>
        </is>
      </c>
      <c r="G811" t="inlineStr">
        <is>
          <t>SANDVIKEN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35320-2026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46281</v>
      </c>
      <c r="F812" t="inlineStr">
        <is>
          <t>GÄVLEBORGS LÄN</t>
        </is>
      </c>
      <c r="G812" t="inlineStr">
        <is>
          <t>SANDVIKEN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35417-2026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46281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35576-2026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46262</v>
      </c>
      <c r="E814" s="1" t="n">
        <v>46281</v>
      </c>
      <c r="F814" t="inlineStr">
        <is>
          <t>GÄVLEBORGS LÄN</t>
        </is>
      </c>
      <c r="G814" t="inlineStr">
        <is>
          <t>SANDVIKEN</t>
        </is>
      </c>
      <c r="H814" t="inlineStr">
        <is>
          <t>Naturvårdsverket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46262</v>
      </c>
      <c r="E815" s="1" t="n">
        <v>46281</v>
      </c>
      <c r="F815" t="inlineStr">
        <is>
          <t>GÄVLEBORGS LÄN</t>
        </is>
      </c>
      <c r="G815" t="inlineStr">
        <is>
          <t>SANDVIKEN</t>
        </is>
      </c>
      <c r="H815" t="inlineStr">
        <is>
          <t>Naturvårdsverket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53867-2024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45615</v>
      </c>
      <c r="E816" s="1" t="n">
        <v>46281</v>
      </c>
      <c r="F816" t="inlineStr">
        <is>
          <t>GÄVLEBORGS LÄN</t>
        </is>
      </c>
      <c r="G816" t="inlineStr">
        <is>
          <t>SANDVIKEN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35416-2026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46281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35575-2026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46262</v>
      </c>
      <c r="E818" s="1" t="n">
        <v>46281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35451-2026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46262</v>
      </c>
      <c r="E819" s="1" t="n">
        <v>46281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46281</v>
      </c>
      <c r="F820" t="inlineStr">
        <is>
          <t>GÄVLEBORGS LÄN</t>
        </is>
      </c>
      <c r="G820" t="inlineStr">
        <is>
          <t>SANDVIKEN</t>
        </is>
      </c>
      <c r="H820" t="inlineStr">
        <is>
          <t>Naturvårdsverket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46281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46262</v>
      </c>
      <c r="E822" s="1" t="n">
        <v>46281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46281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46281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58916-2023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45252</v>
      </c>
      <c r="E825" s="1" t="n">
        <v>46281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35414-2026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46261</v>
      </c>
      <c r="E826" s="1" t="n">
        <v>46281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45688</v>
      </c>
      <c r="E827" s="1" t="n">
        <v>46281</v>
      </c>
      <c r="F827" t="inlineStr">
        <is>
          <t>GÄVLEBORGS LÄN</t>
        </is>
      </c>
      <c r="G827" t="inlineStr">
        <is>
          <t>SANDVIKEN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64112-2023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45279</v>
      </c>
      <c r="E828" s="1" t="n">
        <v>46281</v>
      </c>
      <c r="F828" t="inlineStr">
        <is>
          <t>GÄVLEBORGS LÄN</t>
        </is>
      </c>
      <c r="G828" t="inlineStr">
        <is>
          <t>SANDVIKEN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58797-2024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45636</v>
      </c>
      <c r="E829" s="1" t="n">
        <v>46281</v>
      </c>
      <c r="F829" t="inlineStr">
        <is>
          <t>GÄVLEBORGS LÄN</t>
        </is>
      </c>
      <c r="G829" t="inlineStr">
        <is>
          <t>SANDVIKEN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35863-2026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46266</v>
      </c>
      <c r="E830" s="1" t="n">
        <v>46281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19269-2025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45769</v>
      </c>
      <c r="E831" s="1" t="n">
        <v>46281</v>
      </c>
      <c r="F831" t="inlineStr">
        <is>
          <t>GÄVLEBORGS LÄN</t>
        </is>
      </c>
      <c r="G831" t="inlineStr">
        <is>
          <t>SANDVIKEN</t>
        </is>
      </c>
      <c r="I831" t="n">
        <v>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37741-2023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45159</v>
      </c>
      <c r="E832" s="1" t="n">
        <v>46281</v>
      </c>
      <c r="F832" t="inlineStr">
        <is>
          <t>GÄVLEBORGS LÄN</t>
        </is>
      </c>
      <c r="G832" t="inlineStr">
        <is>
          <t>SANDVIKEN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35865-2026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46266</v>
      </c>
      <c r="E833" s="1" t="n">
        <v>46281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43121-2024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45567</v>
      </c>
      <c r="E834" s="1" t="n">
        <v>46281</v>
      </c>
      <c r="F834" t="inlineStr">
        <is>
          <t>GÄVLEBORGS LÄN</t>
        </is>
      </c>
      <c r="G834" t="inlineStr">
        <is>
          <t>SANDVIKEN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22042-2023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45069</v>
      </c>
      <c r="E835" s="1" t="n">
        <v>46281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46482-2023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45197</v>
      </c>
      <c r="E836" s="1" t="n">
        <v>46281</v>
      </c>
      <c r="F836" t="inlineStr">
        <is>
          <t>GÄVLEBORGS LÄN</t>
        </is>
      </c>
      <c r="G836" t="inlineStr">
        <is>
          <t>SANDVIKEN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61100-2025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46000</v>
      </c>
      <c r="E837" s="1" t="n">
        <v>46281</v>
      </c>
      <c r="F837" t="inlineStr">
        <is>
          <t>GÄVLEBORGS LÄN</t>
        </is>
      </c>
      <c r="G837" t="inlineStr">
        <is>
          <t>SANDVIKEN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37367-2024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45540</v>
      </c>
      <c r="E838" s="1" t="n">
        <v>46281</v>
      </c>
      <c r="F838" t="inlineStr">
        <is>
          <t>GÄVLEBORGS LÄN</t>
        </is>
      </c>
      <c r="G838" t="inlineStr">
        <is>
          <t>SANDVIKEN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31723-2026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46227</v>
      </c>
      <c r="E839" s="1" t="n">
        <v>46281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9.300000000000001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29972-2022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44756</v>
      </c>
      <c r="E840" s="1" t="n">
        <v>46281</v>
      </c>
      <c r="F840" t="inlineStr">
        <is>
          <t>GÄVLEBORGS LÄN</t>
        </is>
      </c>
      <c r="G840" t="inlineStr">
        <is>
          <t>SANDVIKEN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45284-2023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45191</v>
      </c>
      <c r="E841" s="1" t="n">
        <v>46281</v>
      </c>
      <c r="F841" t="inlineStr">
        <is>
          <t>GÄVLEBORGS LÄN</t>
        </is>
      </c>
      <c r="G841" t="inlineStr">
        <is>
          <t>SANDVIKEN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62056-2022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44918</v>
      </c>
      <c r="E842" s="1" t="n">
        <v>46281</v>
      </c>
      <c r="F842" t="inlineStr">
        <is>
          <t>GÄVLEBORGS LÄN</t>
        </is>
      </c>
      <c r="G842" t="inlineStr">
        <is>
          <t>SANDVIKEN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1213-2025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45667</v>
      </c>
      <c r="E843" s="1" t="n">
        <v>46281</v>
      </c>
      <c r="F843" t="inlineStr">
        <is>
          <t>GÄVLEBORGS LÄN</t>
        </is>
      </c>
      <c r="G843" t="inlineStr">
        <is>
          <t>SANDVIKEN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37024-2026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46273</v>
      </c>
      <c r="E844" s="1" t="n">
        <v>46281</v>
      </c>
      <c r="F844" t="inlineStr">
        <is>
          <t>GÄVLEBORGS LÄN</t>
        </is>
      </c>
      <c r="G844" t="inlineStr">
        <is>
          <t>SANDVIKEN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31802-2026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46230</v>
      </c>
      <c r="E845" s="1" t="n">
        <v>46281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31807-2026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46230</v>
      </c>
      <c r="E846" s="1" t="n">
        <v>46281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11.2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10895-2025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45722</v>
      </c>
      <c r="E847" s="1" t="n">
        <v>46281</v>
      </c>
      <c r="F847" t="inlineStr">
        <is>
          <t>GÄVLEBORGS LÄN</t>
        </is>
      </c>
      <c r="G847" t="inlineStr">
        <is>
          <t>SANDVIKEN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7996-2026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46063</v>
      </c>
      <c r="E848" s="1" t="n">
        <v>46281</v>
      </c>
      <c r="F848" t="inlineStr">
        <is>
          <t>GÄVLEBORGS LÄN</t>
        </is>
      </c>
      <c r="G848" t="inlineStr">
        <is>
          <t>SANDVIKEN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45476</v>
      </c>
      <c r="E849" s="1" t="n">
        <v>46281</v>
      </c>
      <c r="F849" t="inlineStr">
        <is>
          <t>GÄVLEBORGS LÄN</t>
        </is>
      </c>
      <c r="G849" t="inlineStr">
        <is>
          <t>SANDVIKEN</t>
        </is>
      </c>
      <c r="H849" t="inlineStr">
        <is>
          <t>Kommuner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16385-2023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45022</v>
      </c>
      <c r="E850" s="1" t="n">
        <v>46281</v>
      </c>
      <c r="F850" t="inlineStr">
        <is>
          <t>GÄVLEBORGS LÄN</t>
        </is>
      </c>
      <c r="G850" t="inlineStr">
        <is>
          <t>SANDVIKEN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37996-2024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45544</v>
      </c>
      <c r="E851" s="1" t="n">
        <v>46281</v>
      </c>
      <c r="F851" t="inlineStr">
        <is>
          <t>GÄVLEBORGS LÄN</t>
        </is>
      </c>
      <c r="G851" t="inlineStr">
        <is>
          <t>SANDVIKEN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15340-2026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46105</v>
      </c>
      <c r="E852" s="1" t="n">
        <v>46281</v>
      </c>
      <c r="F852" t="inlineStr">
        <is>
          <t>GÄVLEBORGS LÄN</t>
        </is>
      </c>
      <c r="G852" t="inlineStr">
        <is>
          <t>SANDVIKEN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61820-2024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45649</v>
      </c>
      <c r="E853" s="1" t="n">
        <v>46281</v>
      </c>
      <c r="F853" t="inlineStr">
        <is>
          <t>GÄVLEBORGS LÄN</t>
        </is>
      </c>
      <c r="G853" t="inlineStr">
        <is>
          <t>SANDVIKEN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37455-2026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46275</v>
      </c>
      <c r="E854" s="1" t="n">
        <v>46281</v>
      </c>
      <c r="F854" t="inlineStr">
        <is>
          <t>GÄVLEBORGS LÄN</t>
        </is>
      </c>
      <c r="G854" t="inlineStr">
        <is>
          <t>SANDVIKEN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24992-2023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45085</v>
      </c>
      <c r="E855" s="1" t="n">
        <v>46281</v>
      </c>
      <c r="F855" t="inlineStr">
        <is>
          <t>GÄVLEBORGS LÄN</t>
        </is>
      </c>
      <c r="G855" t="inlineStr">
        <is>
          <t>SANDVIKEN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7886-2026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46063</v>
      </c>
      <c r="E856" s="1" t="n">
        <v>46281</v>
      </c>
      <c r="F856" t="inlineStr">
        <is>
          <t>GÄVLEBORGS LÄN</t>
        </is>
      </c>
      <c r="G856" t="inlineStr">
        <is>
          <t>SANDVIKEN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21182-2025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45779</v>
      </c>
      <c r="E857" s="1" t="n">
        <v>46281</v>
      </c>
      <c r="F857" t="inlineStr">
        <is>
          <t>GÄVLEBORGS LÄN</t>
        </is>
      </c>
      <c r="G857" t="inlineStr">
        <is>
          <t>SANDVIKEN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38047-2026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46281</v>
      </c>
      <c r="F858" t="inlineStr">
        <is>
          <t>GÄVLEBORGS LÄN</t>
        </is>
      </c>
      <c r="G858" t="inlineStr">
        <is>
          <t>SANDVIKEN</t>
        </is>
      </c>
      <c r="H858" t="inlineStr">
        <is>
          <t>Kommuner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35492-2026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46262</v>
      </c>
      <c r="E859" s="1" t="n">
        <v>46281</v>
      </c>
      <c r="F859" t="inlineStr">
        <is>
          <t>GÄVLEBORGS LÄN</t>
        </is>
      </c>
      <c r="G859" t="inlineStr">
        <is>
          <t>SANDVIKEN</t>
        </is>
      </c>
      <c r="I859" t="n">
        <v>5.2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45540</v>
      </c>
      <c r="E860" s="1" t="n">
        <v>46281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23476-2026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46163</v>
      </c>
      <c r="E861" s="1" t="n">
        <v>46281</v>
      </c>
      <c r="F861" t="inlineStr">
        <is>
          <t>GÄVLEBORGS LÄN</t>
        </is>
      </c>
      <c r="G861" t="inlineStr">
        <is>
          <t>SANDVIKEN</t>
        </is>
      </c>
      <c r="H861" t="inlineStr">
        <is>
          <t>Övriga statliga verk och myndigheter</t>
        </is>
      </c>
      <c r="I861" t="n">
        <v>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41284-2023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46281</v>
      </c>
      <c r="F862" t="inlineStr">
        <is>
          <t>GÄVLEBORGS LÄN</t>
        </is>
      </c>
      <c r="G862" t="inlineStr">
        <is>
          <t>SANDVIKEN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56019-2023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45240</v>
      </c>
      <c r="E863" s="1" t="n">
        <v>46281</v>
      </c>
      <c r="F863" t="inlineStr">
        <is>
          <t>GÄVLEBORGS LÄN</t>
        </is>
      </c>
      <c r="G863" t="inlineStr">
        <is>
          <t>SANDVIKEN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40460-2024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46281</v>
      </c>
      <c r="F864" t="inlineStr">
        <is>
          <t>GÄVLEBORGS LÄN</t>
        </is>
      </c>
      <c r="G864" t="inlineStr">
        <is>
          <t>SANDVIKEN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55446-2024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45622</v>
      </c>
      <c r="E865" s="1" t="n">
        <v>46281</v>
      </c>
      <c r="F865" t="inlineStr">
        <is>
          <t>GÄVLEBORGS LÄN</t>
        </is>
      </c>
      <c r="G865" t="inlineStr">
        <is>
          <t>SANDVIKEN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48319-2023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45205</v>
      </c>
      <c r="E866" s="1" t="n">
        <v>46281</v>
      </c>
      <c r="F866" t="inlineStr">
        <is>
          <t>GÄVLEBORGS LÄN</t>
        </is>
      </c>
      <c r="G866" t="inlineStr">
        <is>
          <t>SANDVIKEN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42950-2023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45178</v>
      </c>
      <c r="E867" s="1" t="n">
        <v>46281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väst AB</t>
        </is>
      </c>
      <c r="I867" t="n">
        <v>16.5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69521-2021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44531</v>
      </c>
      <c r="E868" s="1" t="n">
        <v>46281</v>
      </c>
      <c r="F868" t="inlineStr">
        <is>
          <t>GÄVLEBORGS LÄN</t>
        </is>
      </c>
      <c r="G868" t="inlineStr">
        <is>
          <t>SANDVIKEN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3256-2025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45679</v>
      </c>
      <c r="E869" s="1" t="n">
        <v>46281</v>
      </c>
      <c r="F869" t="inlineStr">
        <is>
          <t>GÄVLEBORGS LÄN</t>
        </is>
      </c>
      <c r="G869" t="inlineStr">
        <is>
          <t>SANDVIKEN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33623-2024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45520</v>
      </c>
      <c r="E870" s="1" t="n">
        <v>46281</v>
      </c>
      <c r="F870" t="inlineStr">
        <is>
          <t>GÄVLEBORGS LÄN</t>
        </is>
      </c>
      <c r="G870" t="inlineStr">
        <is>
          <t>SANDVIKEN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34429-2024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45525</v>
      </c>
      <c r="E871" s="1" t="n">
        <v>46281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27872-2024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45475</v>
      </c>
      <c r="E872" s="1" t="n">
        <v>46281</v>
      </c>
      <c r="F872" t="inlineStr">
        <is>
          <t>GÄVLEBORGS LÄN</t>
        </is>
      </c>
      <c r="G872" t="inlineStr">
        <is>
          <t>SANDVIKEN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44289-2023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45188</v>
      </c>
      <c r="E873" s="1" t="n">
        <v>46281</v>
      </c>
      <c r="F873" t="inlineStr">
        <is>
          <t>GÄVLEBORGS LÄN</t>
        </is>
      </c>
      <c r="G873" t="inlineStr">
        <is>
          <t>SANDVIKEN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15682-2024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45404</v>
      </c>
      <c r="E874" s="1" t="n">
        <v>46281</v>
      </c>
      <c r="F874" t="inlineStr">
        <is>
          <t>GÄVLEBORGS LÄN</t>
        </is>
      </c>
      <c r="G874" t="inlineStr">
        <is>
          <t>SANDVIKEN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17735-2024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45418</v>
      </c>
      <c r="E875" s="1" t="n">
        <v>46281</v>
      </c>
      <c r="F875" t="inlineStr">
        <is>
          <t>GÄVLEBORGS LÄN</t>
        </is>
      </c>
      <c r="G875" t="inlineStr">
        <is>
          <t>SANDVIKEN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64000-2023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45278</v>
      </c>
      <c r="E876" s="1" t="n">
        <v>46281</v>
      </c>
      <c r="F876" t="inlineStr">
        <is>
          <t>GÄVLEBORGS LÄN</t>
        </is>
      </c>
      <c r="G876" t="inlineStr">
        <is>
          <t>SANDVIKEN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53322-2024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45614</v>
      </c>
      <c r="E877" s="1" t="n">
        <v>46281</v>
      </c>
      <c r="F877" t="inlineStr">
        <is>
          <t>GÄVLEBORGS LÄN</t>
        </is>
      </c>
      <c r="G877" t="inlineStr">
        <is>
          <t>SANDVIKEN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2358-2025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45673</v>
      </c>
      <c r="E878" s="1" t="n">
        <v>46281</v>
      </c>
      <c r="F878" t="inlineStr">
        <is>
          <t>GÄVLEBORGS LÄN</t>
        </is>
      </c>
      <c r="G878" t="inlineStr">
        <is>
          <t>SANDVIKEN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18725-2025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45763</v>
      </c>
      <c r="E879" s="1" t="n">
        <v>46281</v>
      </c>
      <c r="F879" t="inlineStr">
        <is>
          <t>GÄVLEBORGS LÄN</t>
        </is>
      </c>
      <c r="G879" t="inlineStr">
        <is>
          <t>SANDVIKEN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25300-2025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45800</v>
      </c>
      <c r="E880" s="1" t="n">
        <v>46281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25327-2025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45800</v>
      </c>
      <c r="E881" s="1" t="n">
        <v>46281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25317-2025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45800</v>
      </c>
      <c r="E882" s="1" t="n">
        <v>46281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24953-2025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45799</v>
      </c>
      <c r="E883" s="1" t="n">
        <v>46281</v>
      </c>
      <c r="F883" t="inlineStr">
        <is>
          <t>GÄVLEBORGS LÄN</t>
        </is>
      </c>
      <c r="G883" t="inlineStr">
        <is>
          <t>SANDVIKEN</t>
        </is>
      </c>
      <c r="I883" t="n">
        <v>10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25111-2025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45800</v>
      </c>
      <c r="E884" s="1" t="n">
        <v>46281</v>
      </c>
      <c r="F884" t="inlineStr">
        <is>
          <t>GÄVLEBORGS LÄN</t>
        </is>
      </c>
      <c r="G884" t="inlineStr">
        <is>
          <t>SANDVIKEN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24940-2025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46281</v>
      </c>
      <c r="F885" t="inlineStr">
        <is>
          <t>GÄVLEBORGS LÄN</t>
        </is>
      </c>
      <c r="G885" t="inlineStr">
        <is>
          <t>SANDVIKEN</t>
        </is>
      </c>
      <c r="I885" t="n">
        <v>3.8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24948-2025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45799</v>
      </c>
      <c r="E886" s="1" t="n">
        <v>46281</v>
      </c>
      <c r="F886" t="inlineStr">
        <is>
          <t>GÄVLEBORGS LÄN</t>
        </is>
      </c>
      <c r="G886" t="inlineStr">
        <is>
          <t>SANDVIKEN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33136-2023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45126</v>
      </c>
      <c r="E887" s="1" t="n">
        <v>46281</v>
      </c>
      <c r="F887" t="inlineStr">
        <is>
          <t>GÄVLEBORGS LÄN</t>
        </is>
      </c>
      <c r="G887" t="inlineStr">
        <is>
          <t>SANDVIKEN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26294-2025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45805</v>
      </c>
      <c r="E888" s="1" t="n">
        <v>46281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26787-2025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45810</v>
      </c>
      <c r="E889" s="1" t="n">
        <v>46281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45819</v>
      </c>
      <c r="E890" s="1" t="n">
        <v>46281</v>
      </c>
      <c r="F890" t="inlineStr">
        <is>
          <t>GÄVLEBORGS LÄN</t>
        </is>
      </c>
      <c r="G890" t="inlineStr">
        <is>
          <t>SANDVIKEN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28424-2025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45819</v>
      </c>
      <c r="E891" s="1" t="n">
        <v>46281</v>
      </c>
      <c r="F891" t="inlineStr">
        <is>
          <t>GÄVLEBORGS LÄN</t>
        </is>
      </c>
      <c r="G891" t="inlineStr">
        <is>
          <t>SANDVIKEN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28468-2025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45819</v>
      </c>
      <c r="E892" s="1" t="n">
        <v>46281</v>
      </c>
      <c r="F892" t="inlineStr">
        <is>
          <t>GÄVLEBORGS LÄN</t>
        </is>
      </c>
      <c r="G892" t="inlineStr">
        <is>
          <t>SANDVIKEN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29738-2025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45825</v>
      </c>
      <c r="E893" s="1" t="n">
        <v>46281</v>
      </c>
      <c r="F893" t="inlineStr">
        <is>
          <t>GÄVLEBORGS LÄN</t>
        </is>
      </c>
      <c r="G893" t="inlineStr">
        <is>
          <t>SANDVIKEN</t>
        </is>
      </c>
      <c r="I893" t="n">
        <v>4.8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30203-2025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45827</v>
      </c>
      <c r="E894" s="1" t="n">
        <v>46281</v>
      </c>
      <c r="F894" t="inlineStr">
        <is>
          <t>GÄVLEBORGS LÄN</t>
        </is>
      </c>
      <c r="G894" t="inlineStr">
        <is>
          <t>SANDVIKEN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31145-2025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45832</v>
      </c>
      <c r="E895" s="1" t="n">
        <v>46281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30843-2025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45831</v>
      </c>
      <c r="E896" s="1" t="n">
        <v>46281</v>
      </c>
      <c r="F896" t="inlineStr">
        <is>
          <t>GÄVLEBORGS LÄN</t>
        </is>
      </c>
      <c r="G896" t="inlineStr">
        <is>
          <t>SANDVIKEN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31460-2025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45833</v>
      </c>
      <c r="E897" s="1" t="n">
        <v>46281</v>
      </c>
      <c r="F897" t="inlineStr">
        <is>
          <t>GÄVLEBORGS LÄN</t>
        </is>
      </c>
      <c r="G897" t="inlineStr">
        <is>
          <t>SANDVIKEN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33015-2025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45840</v>
      </c>
      <c r="E898" s="1" t="n">
        <v>46281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27.3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33757-2025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45842</v>
      </c>
      <c r="E899" s="1" t="n">
        <v>46281</v>
      </c>
      <c r="F899" t="inlineStr">
        <is>
          <t>GÄVLEBORGS LÄN</t>
        </is>
      </c>
      <c r="G899" t="inlineStr">
        <is>
          <t>SANDVIKEN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34219-2025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45845</v>
      </c>
      <c r="E900" s="1" t="n">
        <v>46281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18357-2025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45762</v>
      </c>
      <c r="E901" s="1" t="n">
        <v>46281</v>
      </c>
      <c r="F901" t="inlineStr">
        <is>
          <t>GÄVLEBORGS LÄN</t>
        </is>
      </c>
      <c r="G901" t="inlineStr">
        <is>
          <t>SANDVIKEN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36107-2025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45866</v>
      </c>
      <c r="E902" s="1" t="n">
        <v>46281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35995-2025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45863</v>
      </c>
      <c r="E903" s="1" t="n">
        <v>46281</v>
      </c>
      <c r="F903" t="inlineStr">
        <is>
          <t>GÄVLEBORGS LÄN</t>
        </is>
      </c>
      <c r="G903" t="inlineStr">
        <is>
          <t>SANDVIKEN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36091-2025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45866</v>
      </c>
      <c r="E904" s="1" t="n">
        <v>46281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36212-2025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45867</v>
      </c>
      <c r="E905" s="1" t="n">
        <v>46281</v>
      </c>
      <c r="F905" t="inlineStr">
        <is>
          <t>GÄVLEBORGS LÄN</t>
        </is>
      </c>
      <c r="G905" t="inlineStr">
        <is>
          <t>SANDVIKEN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36584-2025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45870</v>
      </c>
      <c r="E906" s="1" t="n">
        <v>46281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32849-2022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44784</v>
      </c>
      <c r="E907" s="1" t="n">
        <v>46281</v>
      </c>
      <c r="F907" t="inlineStr">
        <is>
          <t>GÄVLEBORGS LÄN</t>
        </is>
      </c>
      <c r="G907" t="inlineStr">
        <is>
          <t>SANDVIKEN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36732-2025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45873</v>
      </c>
      <c r="E908" s="1" t="n">
        <v>46281</v>
      </c>
      <c r="F908" t="inlineStr">
        <is>
          <t>GÄVLEBORGS LÄN</t>
        </is>
      </c>
      <c r="G908" t="inlineStr">
        <is>
          <t>SANDVIKEN</t>
        </is>
      </c>
      <c r="I908" t="n">
        <v>5.6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36693-2025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45873</v>
      </c>
      <c r="E909" s="1" t="n">
        <v>46281</v>
      </c>
      <c r="F909" t="inlineStr">
        <is>
          <t>GÄVLEBORGS LÄN</t>
        </is>
      </c>
      <c r="G909" t="inlineStr">
        <is>
          <t>SANDVIKEN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36793-2025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45873</v>
      </c>
      <c r="E910" s="1" t="n">
        <v>46281</v>
      </c>
      <c r="F910" t="inlineStr">
        <is>
          <t>GÄVLEBORGS LÄN</t>
        </is>
      </c>
      <c r="G910" t="inlineStr">
        <is>
          <t>SANDVIKEN</t>
        </is>
      </c>
      <c r="I910" t="n">
        <v>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36795-2025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45873</v>
      </c>
      <c r="E911" s="1" t="n">
        <v>46281</v>
      </c>
      <c r="F911" t="inlineStr">
        <is>
          <t>GÄVLEBORGS LÄN</t>
        </is>
      </c>
      <c r="G911" t="inlineStr">
        <is>
          <t>SANDVIKEN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46281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10363-2021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44550</v>
      </c>
      <c r="E913" s="1" t="n">
        <v>46281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73.3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46281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46281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513-2025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45706</v>
      </c>
      <c r="E916" s="1" t="n">
        <v>46281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29.5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7975-2021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44484</v>
      </c>
      <c r="E917" s="1" t="n">
        <v>46281</v>
      </c>
      <c r="F917" t="inlineStr">
        <is>
          <t>GÄVLEBORGS LÄN</t>
        </is>
      </c>
      <c r="G917" t="inlineStr">
        <is>
          <t>SANDVIKEN</t>
        </is>
      </c>
      <c r="H917" t="inlineStr">
        <is>
          <t>Kommuner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2574-2023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45142</v>
      </c>
      <c r="E918" s="1" t="n">
        <v>46281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31.8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46281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46281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46281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46281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46281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46281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46281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2026-09-16T01:59:19Z</dcterms:created>
  <dcterms:modified xmlns:dcterms="http://purl.org/dc/terms/" xmlns:xsi="http://www.w3.org/2001/XMLSchema-instance" xsi:type="dcterms:W3CDTF">2026-09-16T01:59:20Z</dcterms:modified>
</cp:coreProperties>
</file>