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46326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46326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46326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46326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46326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46326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46326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46326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46326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46326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12192-2026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46086</v>
      </c>
      <c r="E14" s="1" t="n">
        <v>46326</v>
      </c>
      <c r="F14" t="inlineStr">
        <is>
          <t>GÄVLEBORGS LÄN</t>
        </is>
      </c>
      <c r="G14" t="inlineStr">
        <is>
          <t>SANDVIKEN</t>
        </is>
      </c>
      <c r="I14" t="n">
        <v>0.6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Kattfotslav
Tretåig hackspett
Spillkråka</t>
        </is>
      </c>
      <c r="W14">
        <f>HYPERLINK("https://klasma.github.io/Logging_2181/artfynd/A 12192-2026 artfynd.xlsx", "A 12192-2026")</f>
        <v/>
      </c>
      <c r="X14">
        <f>HYPERLINK("https://klasma.github.io/Logging_2181/kartor/A 12192-2026 karta.png", "A 12192-2026")</f>
        <v/>
      </c>
      <c r="Y14">
        <f>HYPERLINK("https://klasma.github.io/Logging_2181/kartor_geotiff/A 12192-2026 georefererad karta.tif", "A 12192-2026")</f>
        <v/>
      </c>
      <c r="Z14">
        <f>HYPERLINK("https://klasma.github.io/Logging_2181/knärot/A 12192-2026 karta knärot.png", "A 12192-2026")</f>
        <v/>
      </c>
      <c r="AA14">
        <f>HYPERLINK("https://klasma.github.io/Logging_2181/klagomål/A 12192-2026 FSC-klagomål.docx", "A 12192-2026")</f>
        <v/>
      </c>
      <c r="AB14">
        <f>HYPERLINK("https://klasma.github.io/Logging_2181/klagomålsmail/A 12192-2026 FSC-klagomål mail.docx", "A 12192-2026")</f>
        <v/>
      </c>
      <c r="AC14">
        <f>HYPERLINK("https://klasma.github.io/Logging_2181/tillsyn/A 12192-2026 tillsynsbegäran.docx", "A 12192-2026")</f>
        <v/>
      </c>
      <c r="AD14">
        <f>HYPERLINK("https://klasma.github.io/Logging_2181/tillsynsmail/A 12192-2026 tillsynsbegäran mail.docx", "A 12192-2026")</f>
        <v/>
      </c>
      <c r="AE14">
        <f>HYPERLINK("https://klasma.github.io/Logging_2181/fåglar/A 12192-2026 prioriterade fågelarter.docx", "A 12192-2026")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46326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46326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t="n">
        <v>0</v>
      </c>
      <c r="V16" s="2" t="inlineStr">
        <is>
          <t>Garnlav
Knärot
Dropptaggsvamp
Motaggsvamp</t>
        </is>
      </c>
      <c r="W16">
        <f>HYPERLINK("https://klasma.github.io/Logging_2181/artfynd/A 14696-2026 artfynd.xlsx", "A 14696-2026")</f>
        <v/>
      </c>
      <c r="X16">
        <f>HYPERLINK("https://klasma.github.io/Logging_2181/kartor/A 14696-2026 karta.png", "A 14696-2026")</f>
        <v/>
      </c>
      <c r="Y16">
        <f>HYPERLINK("https://klasma.github.io/Logging_2181/kartor_geotiff/A 14696-2026 georefererad karta.tif", "A 14696-2026")</f>
        <v/>
      </c>
      <c r="Z16">
        <f>HYPERLINK("https://klasma.github.io/Logging_2181/knärot/A 14696-2026 karta knärot.png", "A 14696-2026")</f>
        <v/>
      </c>
      <c r="AA16">
        <f>HYPERLINK("https://klasma.github.io/Logging_2181/klagomål/A 14696-2026 FSC-klagomål.docx", "A 14696-2026")</f>
        <v/>
      </c>
      <c r="AB16">
        <f>HYPERLINK("https://klasma.github.io/Logging_2181/klagomålsmail/A 14696-2026 FSC-klagomål mail.docx", "A 14696-2026")</f>
        <v/>
      </c>
      <c r="AC16">
        <f>HYPERLINK("https://klasma.github.io/Logging_2181/tillsyn/A 14696-2026 tillsynsbegäran.docx", "A 14696-2026")</f>
        <v/>
      </c>
      <c r="AD16">
        <f>HYPERLINK("https://klasma.github.io/Logging_2181/tillsynsmail/A 14696-2026 tillsynsbegäran mail.docx", "A 14696-2026")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46326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46326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26047-2026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46181</v>
      </c>
      <c r="E19" s="1" t="n">
        <v>46326</v>
      </c>
      <c r="F19" t="inlineStr">
        <is>
          <t>GÄVLEBORGS LÄN</t>
        </is>
      </c>
      <c r="G19" t="inlineStr">
        <is>
          <t>SANDVIKEN</t>
        </is>
      </c>
      <c r="H19" t="inlineStr">
        <is>
          <t>Kommuner</t>
        </is>
      </c>
      <c r="I19" t="n">
        <v>8.199999999999999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Blå taggsvamp
Nordfladdermus
Talltita
Kungsfågel</t>
        </is>
      </c>
      <c r="W19">
        <f>HYPERLINK("https://klasma.github.io/Logging_2181/artfynd/A 26047-2026 artfynd.xlsx", "A 26047-2026")</f>
        <v/>
      </c>
      <c r="X19">
        <f>HYPERLINK("https://klasma.github.io/Logging_2181/kartor/A 26047-2026 karta.png", "A 26047-2026")</f>
        <v/>
      </c>
      <c r="Y19">
        <f>HYPERLINK("https://klasma.github.io/Logging_2181/kartor_geotiff/A 26047-2026 georefererad karta.tif", "A 26047-2026")</f>
        <v/>
      </c>
      <c r="AA19">
        <f>HYPERLINK("https://klasma.github.io/Logging_2181/klagomål/A 26047-2026 FSC-klagomål.docx", "A 26047-2026")</f>
        <v/>
      </c>
      <c r="AB19">
        <f>HYPERLINK("https://klasma.github.io/Logging_2181/klagomålsmail/A 26047-2026 FSC-klagomål mail.docx", "A 26047-2026")</f>
        <v/>
      </c>
      <c r="AC19">
        <f>HYPERLINK("https://klasma.github.io/Logging_2181/tillsyn/A 26047-2026 tillsynsbegäran.docx", "A 26047-2026")</f>
        <v/>
      </c>
      <c r="AD19">
        <f>HYPERLINK("https://klasma.github.io/Logging_2181/tillsynsmail/A 26047-2026 tillsynsbegäran mail.docx", "A 26047-2026")</f>
        <v/>
      </c>
      <c r="AE19">
        <f>HYPERLINK("https://klasma.github.io/Logging_2181/fåglar/A 26047-2026 prioriterade fågelarter.docx", "A 26047-2026")</f>
        <v/>
      </c>
    </row>
    <row r="20" ht="15" customHeight="1">
      <c r="A20" t="inlineStr">
        <is>
          <t>A 26271-2026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46326</v>
      </c>
      <c r="F20" t="inlineStr">
        <is>
          <t>GÄVLEBORGS LÄN</t>
        </is>
      </c>
      <c r="G20" t="inlineStr">
        <is>
          <t>SANDVIKEN</t>
        </is>
      </c>
      <c r="H20" t="inlineStr">
        <is>
          <t>Kommuner</t>
        </is>
      </c>
      <c r="I20" t="n">
        <v>3.8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5</v>
      </c>
      <c r="V20" s="2" t="inlineStr">
        <is>
          <t>Brunlångöra
Nordfladdermus
Vattenfladdermus
Fläcknycklar</t>
        </is>
      </c>
      <c r="W20">
        <f>HYPERLINK("https://klasma.github.io/Logging_2181/artfynd/A 26271-2026 artfynd.xlsx", "A 26271-2026")</f>
        <v/>
      </c>
      <c r="X20">
        <f>HYPERLINK("https://klasma.github.io/Logging_2181/kartor/A 26271-2026 karta.png", "A 26271-2026")</f>
        <v/>
      </c>
      <c r="Y20">
        <f>HYPERLINK("https://klasma.github.io/Logging_2181/kartor_geotiff/A 26271-2026 georefererad karta.tif", "A 26271-2026")</f>
        <v/>
      </c>
      <c r="AA20">
        <f>HYPERLINK("https://klasma.github.io/Logging_2181/klagomål/A 26271-2026 FSC-klagomål.docx", "A 26271-2026")</f>
        <v/>
      </c>
      <c r="AB20">
        <f>HYPERLINK("https://klasma.github.io/Logging_2181/klagomålsmail/A 26271-2026 FSC-klagomål mail.docx", "A 26271-2026")</f>
        <v/>
      </c>
      <c r="AC20">
        <f>HYPERLINK("https://klasma.github.io/Logging_2181/tillsyn/A 26271-2026 tillsynsbegäran.docx", "A 26271-2026")</f>
        <v/>
      </c>
      <c r="AD20">
        <f>HYPERLINK("https://klasma.github.io/Logging_2181/tillsynsmail/A 26271-2026 tillsynsbegäran mail.docx", "A 26271-2026")</f>
        <v/>
      </c>
    </row>
    <row r="21" ht="15" customHeight="1">
      <c r="A21" t="inlineStr">
        <is>
          <t>A 15650-2024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46326</v>
      </c>
      <c r="F21" t="inlineStr">
        <is>
          <t>GÄVLEBORGS LÄN</t>
        </is>
      </c>
      <c r="G21" t="inlineStr">
        <is>
          <t>SANDVIKEN</t>
        </is>
      </c>
      <c r="H21" t="inlineStr">
        <is>
          <t>Bergvik skog öst AB</t>
        </is>
      </c>
      <c r="I21" t="n">
        <v>9.300000000000001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20</v>
      </c>
      <c r="U21" t="n">
        <v>20</v>
      </c>
      <c r="V21" s="2" t="inlineStr">
        <is>
          <t>Knärot
Dropptaggsvamp
Fjällig taggsvamp s.str.
Grönpyrola</t>
        </is>
      </c>
      <c r="W21">
        <f>HYPERLINK("https://klasma.github.io/Logging_2181/artfynd/A 15650-2024 artfynd.xlsx", "A 15650-2024")</f>
        <v/>
      </c>
      <c r="X21">
        <f>HYPERLINK("https://klasma.github.io/Logging_2181/kartor/A 15650-2024 karta.png", "A 15650-2024")</f>
        <v/>
      </c>
      <c r="Y21">
        <f>HYPERLINK("https://klasma.github.io/Logging_2181/kartor_geotiff/A 15650-2024 georefererad karta.tif", "A 15650-2024")</f>
        <v/>
      </c>
      <c r="Z21">
        <f>HYPERLINK("https://klasma.github.io/Logging_2181/knärot/A 15650-2024 karta knärot.png", "A 15650-2024")</f>
        <v/>
      </c>
      <c r="AA21">
        <f>HYPERLINK("https://klasma.github.io/Logging_2181/klagomål/A 15650-2024 FSC-klagomål.docx", "A 15650-2024")</f>
        <v/>
      </c>
      <c r="AB21">
        <f>HYPERLINK("https://klasma.github.io/Logging_2181/klagomålsmail/A 15650-2024 FSC-klagomål mail.docx", "A 15650-2024")</f>
        <v/>
      </c>
      <c r="AC21">
        <f>HYPERLINK("https://klasma.github.io/Logging_2181/tillsyn/A 15650-2024 tillsynsbegäran.docx", "A 15650-2024")</f>
        <v/>
      </c>
      <c r="AD21">
        <f>HYPERLINK("https://klasma.github.io/Logging_2181/tillsynsmail/A 15650-2024 tillsynsbegäran mail.docx", "A 15650-2024")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46326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46326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46326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46326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46326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46326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46326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46326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46326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46326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46326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46326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46326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46326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46326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46326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46326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46326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46326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46326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46326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39510-2026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46326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Mörk vedstrit
Plattlummer</t>
        </is>
      </c>
      <c r="W43">
        <f>HYPERLINK("https://klasma.github.io/Logging_2181/artfynd/A 39510-2026 artfynd.xlsx", "A 39510-2026")</f>
        <v/>
      </c>
      <c r="X43">
        <f>HYPERLINK("https://klasma.github.io/Logging_2181/kartor/A 39510-2026 karta.png", "A 39510-2026")</f>
        <v/>
      </c>
      <c r="Y43">
        <f>HYPERLINK("https://klasma.github.io/Logging_2181/kartor_geotiff/A 39510-2026 georefererad karta.tif", "A 39510-2026")</f>
        <v/>
      </c>
      <c r="AA43">
        <f>HYPERLINK("https://klasma.github.io/Logging_2181/klagomål/A 39510-2026 FSC-klagomål.docx", "A 39510-2026")</f>
        <v/>
      </c>
      <c r="AB43">
        <f>HYPERLINK("https://klasma.github.io/Logging_2181/klagomålsmail/A 39510-2026 FSC-klagomål mail.docx", "A 39510-2026")</f>
        <v/>
      </c>
      <c r="AC43">
        <f>HYPERLINK("https://klasma.github.io/Logging_2181/tillsyn/A 39510-2026 tillsynsbegäran.docx", "A 39510-2026")</f>
        <v/>
      </c>
      <c r="AD43">
        <f>HYPERLINK("https://klasma.github.io/Logging_2181/tillsynsmail/A 39510-2026 tillsynsbegäran mail.docx", "A 39510-2026")</f>
        <v/>
      </c>
    </row>
    <row r="44" ht="15" customHeight="1">
      <c r="A44" t="inlineStr">
        <is>
          <t>A 33867-2026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46326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Kortskaftad ärgspik</t>
        </is>
      </c>
      <c r="W44">
        <f>HYPERLINK("https://klasma.github.io/Logging_2181/artfynd/A 33867-2026 artfynd.xlsx", "A 33867-2026")</f>
        <v/>
      </c>
      <c r="X44">
        <f>HYPERLINK("https://klasma.github.io/Logging_2181/kartor/A 33867-2026 karta.png", "A 33867-2026")</f>
        <v/>
      </c>
      <c r="Y44">
        <f>HYPERLINK("https://klasma.github.io/Logging_2181/kartor_geotiff/A 33867-2026 georefererad karta.tif", "A 33867-2026")</f>
        <v/>
      </c>
      <c r="AA44">
        <f>HYPERLINK("https://klasma.github.io/Logging_2181/klagomål/A 33867-2026 FSC-klagomål.docx", "A 33867-2026")</f>
        <v/>
      </c>
      <c r="AB44">
        <f>HYPERLINK("https://klasma.github.io/Logging_2181/klagomålsmail/A 33867-2026 FSC-klagomål mail.docx", "A 33867-2026")</f>
        <v/>
      </c>
      <c r="AC44">
        <f>HYPERLINK("https://klasma.github.io/Logging_2181/tillsyn/A 33867-2026 tillsynsbegäran.docx", "A 33867-2026")</f>
        <v/>
      </c>
      <c r="AD44">
        <f>HYPERLINK("https://klasma.github.io/Logging_2181/tillsynsmail/A 33867-2026 tillsynsbegäran mail.docx", "A 33867-2026")</f>
        <v/>
      </c>
    </row>
    <row r="45" ht="15" customHeight="1">
      <c r="A45" t="inlineStr">
        <is>
          <t>A 34124-2026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46326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2.1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Blåsippa
Revlummer</t>
        </is>
      </c>
      <c r="W45">
        <f>HYPERLINK("https://klasma.github.io/Logging_2181/artfynd/A 34124-2026 artfynd.xlsx", "A 34124-2026")</f>
        <v/>
      </c>
      <c r="X45">
        <f>HYPERLINK("https://klasma.github.io/Logging_2181/kartor/A 34124-2026 karta.png", "A 34124-2026")</f>
        <v/>
      </c>
      <c r="Y45">
        <f>HYPERLINK("https://klasma.github.io/Logging_2181/kartor_geotiff/A 34124-2026 georefererad karta.tif", "A 34124-2026")</f>
        <v/>
      </c>
      <c r="AA45">
        <f>HYPERLINK("https://klasma.github.io/Logging_2181/klagomål/A 34124-2026 FSC-klagomål.docx", "A 34124-2026")</f>
        <v/>
      </c>
      <c r="AB45">
        <f>HYPERLINK("https://klasma.github.io/Logging_2181/klagomålsmail/A 34124-2026 FSC-klagomål mail.docx", "A 34124-2026")</f>
        <v/>
      </c>
      <c r="AC45">
        <f>HYPERLINK("https://klasma.github.io/Logging_2181/tillsyn/A 34124-2026 tillsynsbegäran.docx", "A 34124-2026")</f>
        <v/>
      </c>
      <c r="AD45">
        <f>HYPERLINK("https://klasma.github.io/Logging_2181/tillsynsmail/A 34124-2026 tillsynsbegäran mail.docx", "A 34124-2026")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46326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46326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46326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46326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A 45100-2026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46324</v>
      </c>
      <c r="E50" s="1" t="n">
        <v>46326</v>
      </c>
      <c r="F50" t="inlineStr">
        <is>
          <t>GÄVLEBORGS LÄN</t>
        </is>
      </c>
      <c r="G50" t="inlineStr">
        <is>
          <t>SANDVIKEN</t>
        </is>
      </c>
      <c r="I50" t="n">
        <v>5.2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Talltita
Spillkråka</t>
        </is>
      </c>
      <c r="W50">
        <f>HYPERLINK("https://klasma.github.io/Logging_2181/artfynd/A 45100-2026 artfynd.xlsx", "A 45100-2026")</f>
        <v/>
      </c>
      <c r="X50">
        <f>HYPERLINK("https://klasma.github.io/Logging_2181/kartor/A 45100-2026 karta.png", "A 45100-2026")</f>
        <v/>
      </c>
      <c r="Y50">
        <f>HYPERLINK("https://klasma.github.io/Logging_2181/kartor_geotiff/A 45100-2026 georefererad karta.tif", "A 45100-2026")</f>
        <v/>
      </c>
      <c r="AA50">
        <f>HYPERLINK("https://klasma.github.io/Logging_2181/klagomål/A 45100-2026 FSC-klagomål.docx", "A 45100-2026")</f>
        <v/>
      </c>
      <c r="AB50">
        <f>HYPERLINK("https://klasma.github.io/Logging_2181/klagomålsmail/A 45100-2026 FSC-klagomål mail.docx", "A 45100-2026")</f>
        <v/>
      </c>
      <c r="AC50">
        <f>HYPERLINK("https://klasma.github.io/Logging_2181/tillsyn/A 45100-2026 tillsynsbegäran.docx", "A 45100-2026")</f>
        <v/>
      </c>
      <c r="AD50">
        <f>HYPERLINK("https://klasma.github.io/Logging_2181/tillsynsmail/A 45100-2026 tillsynsbegäran mail.docx", "A 45100-2026")</f>
        <v/>
      </c>
      <c r="AE50">
        <f>HYPERLINK("https://klasma.github.io/Logging_2181/fåglar/A 45100-2026 prioriterade fågelarter.docx", "A 45100-2026")</f>
        <v/>
      </c>
    </row>
    <row r="51" ht="15" customHeight="1">
      <c r="A51" t="inlineStr">
        <is>
          <t>A 45109-2026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46324</v>
      </c>
      <c r="E51" s="1" t="n">
        <v>46326</v>
      </c>
      <c r="F51" t="inlineStr">
        <is>
          <t>GÄVLEBORGS LÄN</t>
        </is>
      </c>
      <c r="G51" t="inlineStr">
        <is>
          <t>SANDVIKEN</t>
        </is>
      </c>
      <c r="I51" t="n">
        <v>0.7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6</v>
      </c>
      <c r="U51" t="n">
        <v>0</v>
      </c>
      <c r="V51" s="2" t="inlineStr">
        <is>
          <t>Brandticka
Spillkråka</t>
        </is>
      </c>
      <c r="W51">
        <f>HYPERLINK("https://klasma.github.io/Logging_2181/artfynd/A 45109-2026 artfynd.xlsx", "A 45109-2026")</f>
        <v/>
      </c>
      <c r="X51">
        <f>HYPERLINK("https://klasma.github.io/Logging_2181/kartor/A 45109-2026 karta.png", "A 45109-2026")</f>
        <v/>
      </c>
      <c r="Y51">
        <f>HYPERLINK("https://klasma.github.io/Logging_2181/kartor_geotiff/A 45109-2026 georefererad karta.tif", "A 45109-2026")</f>
        <v/>
      </c>
      <c r="Z51">
        <f>HYPERLINK("https://klasma.github.io/Logging_2181/knärot/A 45109-2026 karta knärot.png", "A 45109-2026")</f>
        <v/>
      </c>
      <c r="AA51">
        <f>HYPERLINK("https://klasma.github.io/Logging_2181/klagomål/A 45109-2026 FSC-klagomål.docx", "A 45109-2026")</f>
        <v/>
      </c>
      <c r="AB51">
        <f>HYPERLINK("https://klasma.github.io/Logging_2181/klagomålsmail/A 45109-2026 FSC-klagomål mail.docx", "A 45109-2026")</f>
        <v/>
      </c>
      <c r="AC51">
        <f>HYPERLINK("https://klasma.github.io/Logging_2181/tillsyn/A 45109-2026 tillsynsbegäran.docx", "A 45109-2026")</f>
        <v/>
      </c>
      <c r="AD51">
        <f>HYPERLINK("https://klasma.github.io/Logging_2181/tillsynsmail/A 45109-2026 tillsynsbegäran mail.docx", "A 45109-2026")</f>
        <v/>
      </c>
      <c r="AE51">
        <f>HYPERLINK("https://klasma.github.io/Logging_2181/fåglar/A 45109-2026 prioriterade fågelarter.docx", "A 45109-2026")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46326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46326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46326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46326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46326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46326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46326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46326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46326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46326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1083-2026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46326</v>
      </c>
      <c r="F62" t="inlineStr">
        <is>
          <t>GÄVLEBORGS LÄN</t>
        </is>
      </c>
      <c r="G62" t="inlineStr">
        <is>
          <t>SANDVIKEN</t>
        </is>
      </c>
      <c r="I62" t="n">
        <v>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HYPERLINK("https://klasma.github.io/Logging_2181/artfynd/A 1083-2026 artfynd.xlsx", "A 1083-2026")</f>
        <v/>
      </c>
      <c r="X62">
        <f>HYPERLINK("https://klasma.github.io/Logging_2181/kartor/A 1083-2026 karta.png", "A 1083-2026")</f>
        <v/>
      </c>
      <c r="Y62">
        <f>HYPERLINK("https://klasma.github.io/Logging_2181/kartor_geotiff/A 1083-2026 georefererad karta.tif", "A 1083-2026")</f>
        <v/>
      </c>
      <c r="AA62">
        <f>HYPERLINK("https://klasma.github.io/Logging_2181/klagomål/A 1083-2026 FSC-klagomål.docx", "A 1083-2026")</f>
        <v/>
      </c>
      <c r="AB62">
        <f>HYPERLINK("https://klasma.github.io/Logging_2181/klagomålsmail/A 1083-2026 FSC-klagomål mail.docx", "A 1083-2026")</f>
        <v/>
      </c>
      <c r="AC62">
        <f>HYPERLINK("https://klasma.github.io/Logging_2181/tillsyn/A 1083-2026 tillsynsbegäran.docx", "A 1083-2026")</f>
        <v/>
      </c>
      <c r="AD62">
        <f>HYPERLINK("https://klasma.github.io/Logging_2181/tillsynsmail/A 1083-2026 tillsynsbegäran mail.docx", "A 1083-2026")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46326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46326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1988-2026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46035</v>
      </c>
      <c r="E65" s="1" t="n">
        <v>46326</v>
      </c>
      <c r="F65" t="inlineStr">
        <is>
          <t>GÄVLEBORGS LÄN</t>
        </is>
      </c>
      <c r="G65" t="inlineStr">
        <is>
          <t>SANDVIKEN</t>
        </is>
      </c>
      <c r="I65" t="n">
        <v>2.6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Grönpyrola</t>
        </is>
      </c>
      <c r="W65">
        <f>HYPERLINK("https://klasma.github.io/Logging_2181/artfynd/A 1988-2026 artfynd.xlsx", "A 1988-2026")</f>
        <v/>
      </c>
      <c r="X65">
        <f>HYPERLINK("https://klasma.github.io/Logging_2181/kartor/A 1988-2026 karta.png", "A 1988-2026")</f>
        <v/>
      </c>
      <c r="Y65">
        <f>HYPERLINK("https://klasma.github.io/Logging_2181/kartor_geotiff/A 1988-2026 georefererad karta.tif", "A 1988-2026")</f>
        <v/>
      </c>
      <c r="AA65">
        <f>HYPERLINK("https://klasma.github.io/Logging_2181/klagomål/A 1988-2026 FSC-klagomål.docx", "A 1988-2026")</f>
        <v/>
      </c>
      <c r="AB65">
        <f>HYPERLINK("https://klasma.github.io/Logging_2181/klagomålsmail/A 1988-2026 FSC-klagomål mail.docx", "A 1988-2026")</f>
        <v/>
      </c>
      <c r="AC65">
        <f>HYPERLINK("https://klasma.github.io/Logging_2181/tillsyn/A 1988-2026 tillsynsbegäran.docx", "A 1988-2026")</f>
        <v/>
      </c>
      <c r="AD65">
        <f>HYPERLINK("https://klasma.github.io/Logging_2181/tillsynsmail/A 1988-2026 tillsynsbegäran mail.docx", "A 1988-2026")</f>
        <v/>
      </c>
    </row>
    <row r="66" ht="15" customHeight="1">
      <c r="A66" t="inlineStr">
        <is>
          <t>A 3316-2023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44949</v>
      </c>
      <c r="E66" s="1" t="n">
        <v>46326</v>
      </c>
      <c r="F66" t="inlineStr">
        <is>
          <t>GÄVLEBORGS LÄN</t>
        </is>
      </c>
      <c r="G66" t="inlineStr">
        <is>
          <t>SANDVIKEN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HYPERLINK("https://klasma.github.io/Logging_2181/artfynd/A 3316-2023 artfynd.xlsx", "A 3316-2023")</f>
        <v/>
      </c>
      <c r="X66">
        <f>HYPERLINK("https://klasma.github.io/Logging_2181/kartor/A 3316-2023 karta.png", "A 3316-2023")</f>
        <v/>
      </c>
      <c r="Y66">
        <f>HYPERLINK("https://klasma.github.io/Logging_2181/kartor_geotiff/A 3316-2023 georefererad karta.tif", "A 3316-2023")</f>
        <v/>
      </c>
      <c r="AA66">
        <f>HYPERLINK("https://klasma.github.io/Logging_2181/klagomål/A 3316-2023 FSC-klagomål.docx", "A 3316-2023")</f>
        <v/>
      </c>
      <c r="AB66">
        <f>HYPERLINK("https://klasma.github.io/Logging_2181/klagomålsmail/A 3316-2023 FSC-klagomål mail.docx", "A 3316-2023")</f>
        <v/>
      </c>
      <c r="AC66">
        <f>HYPERLINK("https://klasma.github.io/Logging_2181/tillsyn/A 3316-2023 tillsynsbegäran.docx", "A 3316-2023")</f>
        <v/>
      </c>
      <c r="AD66">
        <f>HYPERLINK("https://klasma.github.io/Logging_2181/tillsynsmail/A 3316-2023 tillsynsbegäran mail.docx", "A 3316-2023")</f>
        <v/>
      </c>
      <c r="AE66">
        <f>HYPERLINK("https://klasma.github.io/Logging_2181/fåglar/A 3316-2023 prioriterade fågelarter.docx", "A 3316-2023")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46326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15729-2022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46326</v>
      </c>
      <c r="F68" t="inlineStr">
        <is>
          <t>GÄVLEBORGS LÄN</t>
        </is>
      </c>
      <c r="G68" t="inlineStr">
        <is>
          <t>SANDVIKEN</t>
        </is>
      </c>
      <c r="I68" t="n">
        <v>2.1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HYPERLINK("https://klasma.github.io/Logging_2181/artfynd/A 15729-2022 artfynd.xlsx", "A 15729-2022")</f>
        <v/>
      </c>
      <c r="X68">
        <f>HYPERLINK("https://klasma.github.io/Logging_2181/kartor/A 15729-2022 karta.png", "A 15729-2022")</f>
        <v/>
      </c>
      <c r="Y68">
        <f>HYPERLINK("https://klasma.github.io/Logging_2181/kartor_geotiff/A 15729-2022 georefererad karta.tif", "A 15729-2022")</f>
        <v/>
      </c>
      <c r="Z68">
        <f>HYPERLINK("https://klasma.github.io/Logging_2181/knärot/A 15729-2022 karta knärot.png", "A 15729-2022")</f>
        <v/>
      </c>
      <c r="AA68">
        <f>HYPERLINK("https://klasma.github.io/Logging_2181/klagomål/A 15729-2022 FSC-klagomål.docx", "A 15729-2022")</f>
        <v/>
      </c>
      <c r="AB68">
        <f>HYPERLINK("https://klasma.github.io/Logging_2181/klagomålsmail/A 15729-2022 FSC-klagomål mail.docx", "A 15729-2022")</f>
        <v/>
      </c>
      <c r="AC68">
        <f>HYPERLINK("https://klasma.github.io/Logging_2181/tillsyn/A 15729-2022 tillsynsbegäran.docx", "A 15729-2022")</f>
        <v/>
      </c>
      <c r="AD68">
        <f>HYPERLINK("https://klasma.github.io/Logging_2181/tillsynsmail/A 15729-2022 tillsynsbegäran mail.docx", "A 15729-2022")</f>
        <v/>
      </c>
    </row>
    <row r="69" ht="15" customHeight="1">
      <c r="A69" t="inlineStr">
        <is>
          <t>A 45427-2023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46326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HYPERLINK("https://klasma.github.io/Logging_2181/artfynd/A 45427-2023 artfynd.xlsx", "A 45427-2023")</f>
        <v/>
      </c>
      <c r="X69">
        <f>HYPERLINK("https://klasma.github.io/Logging_2181/kartor/A 45427-2023 karta.png", "A 45427-2023")</f>
        <v/>
      </c>
      <c r="Y69">
        <f>HYPERLINK("https://klasma.github.io/Logging_2181/kartor_geotiff/A 45427-2023 georefererad karta.tif", "A 45427-2023")</f>
        <v/>
      </c>
      <c r="AA69">
        <f>HYPERLINK("https://klasma.github.io/Logging_2181/klagomål/A 45427-2023 FSC-klagomål.docx", "A 45427-2023")</f>
        <v/>
      </c>
      <c r="AB69">
        <f>HYPERLINK("https://klasma.github.io/Logging_2181/klagomålsmail/A 45427-2023 FSC-klagomål mail.docx", "A 45427-2023")</f>
        <v/>
      </c>
      <c r="AC69">
        <f>HYPERLINK("https://klasma.github.io/Logging_2181/tillsyn/A 45427-2023 tillsynsbegäran.docx", "A 45427-2023")</f>
        <v/>
      </c>
      <c r="AD69">
        <f>HYPERLINK("https://klasma.github.io/Logging_2181/tillsynsmail/A 45427-2023 tillsynsbegäran mail.docx", "A 45427-2023")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46326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36417-2025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45868</v>
      </c>
      <c r="E71" s="1" t="n">
        <v>46326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3.9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HYPERLINK("https://klasma.github.io/Logging_2181/artfynd/A 36417-2025 artfynd.xlsx", "A 36417-2025")</f>
        <v/>
      </c>
      <c r="X71">
        <f>HYPERLINK("https://klasma.github.io/Logging_2181/kartor/A 36417-2025 karta.png", "A 36417-2025")</f>
        <v/>
      </c>
      <c r="Y71">
        <f>HYPERLINK("https://klasma.github.io/Logging_2181/kartor_geotiff/A 36417-2025 georefererad karta.tif", "A 36417-2025")</f>
        <v/>
      </c>
      <c r="Z71">
        <f>HYPERLINK("https://klasma.github.io/Logging_2181/knärot/A 36417-2025 karta knärot.png", "A 36417-2025")</f>
        <v/>
      </c>
      <c r="AA71">
        <f>HYPERLINK("https://klasma.github.io/Logging_2181/klagomål/A 36417-2025 FSC-klagomål.docx", "A 36417-2025")</f>
        <v/>
      </c>
      <c r="AB71">
        <f>HYPERLINK("https://klasma.github.io/Logging_2181/klagomålsmail/A 36417-2025 FSC-klagomål mail.docx", "A 36417-2025")</f>
        <v/>
      </c>
      <c r="AC71">
        <f>HYPERLINK("https://klasma.github.io/Logging_2181/tillsyn/A 36417-2025 tillsynsbegäran.docx", "A 36417-2025")</f>
        <v/>
      </c>
      <c r="AD71">
        <f>HYPERLINK("https://klasma.github.io/Logging_2181/tillsynsmail/A 36417-2025 tillsynsbegäran mail.docx", "A 36417-2025")</f>
        <v/>
      </c>
    </row>
    <row r="72" ht="15" customHeight="1">
      <c r="A72" t="inlineStr">
        <is>
          <t>A 38350-2025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46326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väst AB</t>
        </is>
      </c>
      <c r="I72" t="n">
        <v>25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Brandticka</t>
        </is>
      </c>
      <c r="W72">
        <f>HYPERLINK("https://klasma.github.io/Logging_2181/artfynd/A 38350-2025 artfynd.xlsx", "A 38350-2025")</f>
        <v/>
      </c>
      <c r="X72">
        <f>HYPERLINK("https://klasma.github.io/Logging_2181/kartor/A 38350-2025 karta.png", "A 38350-2025")</f>
        <v/>
      </c>
      <c r="Y72">
        <f>HYPERLINK("https://klasma.github.io/Logging_2181/kartor_geotiff/A 38350-2025 georefererad karta.tif", "A 38350-2025")</f>
        <v/>
      </c>
      <c r="AA72">
        <f>HYPERLINK("https://klasma.github.io/Logging_2181/klagomål/A 38350-2025 FSC-klagomål.docx", "A 38350-2025")</f>
        <v/>
      </c>
      <c r="AB72">
        <f>HYPERLINK("https://klasma.github.io/Logging_2181/klagomålsmail/A 38350-2025 FSC-klagomål mail.docx", "A 38350-2025")</f>
        <v/>
      </c>
      <c r="AC72">
        <f>HYPERLINK("https://klasma.github.io/Logging_2181/tillsyn/A 38350-2025 tillsynsbegäran.docx", "A 38350-2025")</f>
        <v/>
      </c>
      <c r="AD72">
        <f>HYPERLINK("https://klasma.github.io/Logging_2181/tillsynsmail/A 38350-2025 tillsynsbegäran mail.docx", "A 38350-2025")</f>
        <v/>
      </c>
    </row>
    <row r="73" ht="15" customHeight="1">
      <c r="A73" t="inlineStr">
        <is>
          <t>A 7393-2026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46326</v>
      </c>
      <c r="F73" t="inlineStr">
        <is>
          <t>GÄVLEBORGS LÄN</t>
        </is>
      </c>
      <c r="G73" t="inlineStr">
        <is>
          <t>SANDVIKEN</t>
        </is>
      </c>
      <c r="I73" t="n">
        <v>6.7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Brunklöver</t>
        </is>
      </c>
      <c r="W73">
        <f>HYPERLINK("https://klasma.github.io/Logging_2181/artfynd/A 7393-2026 artfynd.xlsx", "A 7393-2026")</f>
        <v/>
      </c>
      <c r="X73">
        <f>HYPERLINK("https://klasma.github.io/Logging_2181/kartor/A 7393-2026 karta.png", "A 7393-2026")</f>
        <v/>
      </c>
      <c r="Y73">
        <f>HYPERLINK("https://klasma.github.io/Logging_2181/kartor_geotiff/A 7393-2026 georefererad karta.tif", "A 7393-2026")</f>
        <v/>
      </c>
      <c r="AA73">
        <f>HYPERLINK("https://klasma.github.io/Logging_2181/klagomål/A 7393-2026 FSC-klagomål.docx", "A 7393-2026")</f>
        <v/>
      </c>
      <c r="AB73">
        <f>HYPERLINK("https://klasma.github.io/Logging_2181/klagomålsmail/A 7393-2026 FSC-klagomål mail.docx", "A 7393-2026")</f>
        <v/>
      </c>
      <c r="AC73">
        <f>HYPERLINK("https://klasma.github.io/Logging_2181/tillsyn/A 7393-2026 tillsynsbegäran.docx", "A 7393-2026")</f>
        <v/>
      </c>
      <c r="AD73">
        <f>HYPERLINK("https://klasma.github.io/Logging_2181/tillsynsmail/A 7393-2026 tillsynsbegäran mail.docx", "A 7393-2026")</f>
        <v/>
      </c>
    </row>
    <row r="74" ht="15" customHeight="1">
      <c r="A74" t="inlineStr">
        <is>
          <t>A 9267-2026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46326</v>
      </c>
      <c r="F74" t="inlineStr">
        <is>
          <t>GÄVLEBORGS LÄN</t>
        </is>
      </c>
      <c r="G74" t="inlineStr">
        <is>
          <t>SANDVIKEN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Gullpudra</t>
        </is>
      </c>
      <c r="W74">
        <f>HYPERLINK("https://klasma.github.io/Logging_2181/artfynd/A 9267-2026 artfynd.xlsx", "A 9267-2026")</f>
        <v/>
      </c>
      <c r="X74">
        <f>HYPERLINK("https://klasma.github.io/Logging_2181/kartor/A 9267-2026 karta.png", "A 9267-2026")</f>
        <v/>
      </c>
      <c r="Y74">
        <f>HYPERLINK("https://klasma.github.io/Logging_2181/kartor_geotiff/A 9267-2026 georefererad karta.tif", "A 9267-2026")</f>
        <v/>
      </c>
      <c r="AA74">
        <f>HYPERLINK("https://klasma.github.io/Logging_2181/klagomål/A 9267-2026 FSC-klagomål.docx", "A 9267-2026")</f>
        <v/>
      </c>
      <c r="AB74">
        <f>HYPERLINK("https://klasma.github.io/Logging_2181/klagomålsmail/A 9267-2026 FSC-klagomål mail.docx", "A 9267-2026")</f>
        <v/>
      </c>
      <c r="AC74">
        <f>HYPERLINK("https://klasma.github.io/Logging_2181/tillsyn/A 9267-2026 tillsynsbegäran.docx", "A 9267-2026")</f>
        <v/>
      </c>
      <c r="AD74">
        <f>HYPERLINK("https://klasma.github.io/Logging_2181/tillsynsmail/A 9267-2026 tillsynsbegäran mail.docx", "A 9267-2026")</f>
        <v/>
      </c>
    </row>
    <row r="75" ht="15" customHeight="1">
      <c r="A75" t="inlineStr">
        <is>
          <t>A 11784-2026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46326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HYPERLINK("https://klasma.github.io/Logging_2181/artfynd/A 11784-2026 artfynd.xlsx", "A 11784-2026")</f>
        <v/>
      </c>
      <c r="X75">
        <f>HYPERLINK("https://klasma.github.io/Logging_2181/kartor/A 11784-2026 karta.png", "A 11784-2026")</f>
        <v/>
      </c>
      <c r="Y75">
        <f>HYPERLINK("https://klasma.github.io/Logging_2181/kartor_geotiff/A 11784-2026 georefererad karta.tif", "A 11784-2026")</f>
        <v/>
      </c>
      <c r="AA75">
        <f>HYPERLINK("https://klasma.github.io/Logging_2181/klagomål/A 11784-2026 FSC-klagomål.docx", "A 11784-2026")</f>
        <v/>
      </c>
      <c r="AB75">
        <f>HYPERLINK("https://klasma.github.io/Logging_2181/klagomålsmail/A 11784-2026 FSC-klagomål mail.docx", "A 11784-2026")</f>
        <v/>
      </c>
      <c r="AC75">
        <f>HYPERLINK("https://klasma.github.io/Logging_2181/tillsyn/A 11784-2026 tillsynsbegäran.docx", "A 11784-2026")</f>
        <v/>
      </c>
      <c r="AD75">
        <f>HYPERLINK("https://klasma.github.io/Logging_2181/tillsynsmail/A 11784-2026 tillsynsbegäran mail.docx", "A 11784-2026")</f>
        <v/>
      </c>
    </row>
    <row r="76" ht="15" customHeight="1">
      <c r="A76" t="inlineStr">
        <is>
          <t>A 25479-2023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46326</v>
      </c>
      <c r="F76" t="inlineStr">
        <is>
          <t>GÄVLEBORGS LÄN</t>
        </is>
      </c>
      <c r="G76" t="inlineStr">
        <is>
          <t>SANDVIKEN</t>
        </is>
      </c>
      <c r="I76" t="n">
        <v>4.1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Grönpyrola</t>
        </is>
      </c>
      <c r="W76">
        <f>HYPERLINK("https://klasma.github.io/Logging_2181/artfynd/A 25479-2023 artfynd.xlsx", "A 25479-2023")</f>
        <v/>
      </c>
      <c r="X76">
        <f>HYPERLINK("https://klasma.github.io/Logging_2181/kartor/A 25479-2023 karta.png", "A 25479-2023")</f>
        <v/>
      </c>
      <c r="Y76">
        <f>HYPERLINK("https://klasma.github.io/Logging_2181/kartor_geotiff/A 25479-2023 georefererad karta.tif", "A 25479-2023")</f>
        <v/>
      </c>
      <c r="AA76">
        <f>HYPERLINK("https://klasma.github.io/Logging_2181/klagomål/A 25479-2023 FSC-klagomål.docx", "A 25479-2023")</f>
        <v/>
      </c>
      <c r="AB76">
        <f>HYPERLINK("https://klasma.github.io/Logging_2181/klagomålsmail/A 25479-2023 FSC-klagomål mail.docx", "A 25479-2023")</f>
        <v/>
      </c>
      <c r="AC76">
        <f>HYPERLINK("https://klasma.github.io/Logging_2181/tillsyn/A 25479-2023 tillsynsbegäran.docx", "A 25479-2023")</f>
        <v/>
      </c>
      <c r="AD76">
        <f>HYPERLINK("https://klasma.github.io/Logging_2181/tillsynsmail/A 25479-2023 tillsynsbegäran mail.docx", "A 25479-2023")</f>
        <v/>
      </c>
    </row>
    <row r="77" ht="15" customHeight="1">
      <c r="A77" t="inlineStr">
        <is>
          <t>A 57934-2025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45981</v>
      </c>
      <c r="E77" s="1" t="n">
        <v>46326</v>
      </c>
      <c r="F77" t="inlineStr">
        <is>
          <t>GÄVLEBORGS LÄN</t>
        </is>
      </c>
      <c r="G77" t="inlineStr">
        <is>
          <t>SANDVIKEN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Grönsiska</t>
        </is>
      </c>
      <c r="W77">
        <f>HYPERLINK("https://klasma.github.io/Logging_2181/artfynd/A 57934-2025 artfynd.xlsx", "A 57934-2025")</f>
        <v/>
      </c>
      <c r="X77">
        <f>HYPERLINK("https://klasma.github.io/Logging_2181/kartor/A 57934-2025 karta.png", "A 57934-2025")</f>
        <v/>
      </c>
      <c r="Y77">
        <f>HYPERLINK("https://klasma.github.io/Logging_2181/kartor_geotiff/A 57934-2025 georefererad karta.tif", "A 57934-2025")</f>
        <v/>
      </c>
      <c r="AA77">
        <f>HYPERLINK("https://klasma.github.io/Logging_2181/klagomål/A 57934-2025 FSC-klagomål.docx", "A 57934-2025")</f>
        <v/>
      </c>
      <c r="AB77">
        <f>HYPERLINK("https://klasma.github.io/Logging_2181/klagomålsmail/A 57934-2025 FSC-klagomål mail.docx", "A 57934-2025")</f>
        <v/>
      </c>
      <c r="AC77">
        <f>HYPERLINK("https://klasma.github.io/Logging_2181/tillsyn/A 57934-2025 tillsynsbegäran.docx", "A 57934-2025")</f>
        <v/>
      </c>
      <c r="AD77">
        <f>HYPERLINK("https://klasma.github.io/Logging_2181/tillsynsmail/A 57934-2025 tillsynsbegäran mail.docx", "A 57934-2025")</f>
        <v/>
      </c>
    </row>
    <row r="78" ht="15" customHeight="1">
      <c r="A78" t="inlineStr">
        <is>
          <t>A 13645-2026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46326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HYPERLINK("https://klasma.github.io/Logging_2181/artfynd/A 13645-2026 artfynd.xlsx", "A 13645-2026")</f>
        <v/>
      </c>
      <c r="X78">
        <f>HYPERLINK("https://klasma.github.io/Logging_2181/kartor/A 13645-2026 karta.png", "A 13645-2026")</f>
        <v/>
      </c>
      <c r="Y78">
        <f>HYPERLINK("https://klasma.github.io/Logging_2181/kartor_geotiff/A 13645-2026 georefererad karta.tif", "A 13645-2026")</f>
        <v/>
      </c>
      <c r="AA78">
        <f>HYPERLINK("https://klasma.github.io/Logging_2181/klagomål/A 13645-2026 FSC-klagomål.docx", "A 13645-2026")</f>
        <v/>
      </c>
      <c r="AB78">
        <f>HYPERLINK("https://klasma.github.io/Logging_2181/klagomålsmail/A 13645-2026 FSC-klagomål mail.docx", "A 13645-2026")</f>
        <v/>
      </c>
      <c r="AC78">
        <f>HYPERLINK("https://klasma.github.io/Logging_2181/tillsyn/A 13645-2026 tillsynsbegäran.docx", "A 13645-2026")</f>
        <v/>
      </c>
      <c r="AD78">
        <f>HYPERLINK("https://klasma.github.io/Logging_2181/tillsynsmail/A 13645-2026 tillsynsbegäran mail.docx", "A 13645-2026")</f>
        <v/>
      </c>
      <c r="AE78">
        <f>HYPERLINK("https://klasma.github.io/Logging_2181/fåglar/A 13645-2026 prioriterade fågelarter.docx", "A 13645-2026")</f>
        <v/>
      </c>
    </row>
    <row r="79" ht="15" customHeight="1">
      <c r="A79" t="inlineStr">
        <is>
          <t>A 14835-2026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46104</v>
      </c>
      <c r="E79" s="1" t="n">
        <v>46326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2.5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Höstlåsbräken</t>
        </is>
      </c>
      <c r="W79">
        <f>HYPERLINK("https://klasma.github.io/Logging_2181/artfynd/A 14835-2026 artfynd.xlsx", "A 14835-2026")</f>
        <v/>
      </c>
      <c r="X79">
        <f>HYPERLINK("https://klasma.github.io/Logging_2181/kartor/A 14835-2026 karta.png", "A 14835-2026")</f>
        <v/>
      </c>
      <c r="Y79">
        <f>HYPERLINK("https://klasma.github.io/Logging_2181/kartor_geotiff/A 14835-2026 georefererad karta.tif", "A 14835-2026")</f>
        <v/>
      </c>
      <c r="AA79">
        <f>HYPERLINK("https://klasma.github.io/Logging_2181/klagomål/A 14835-2026 FSC-klagomål.docx", "A 14835-2026")</f>
        <v/>
      </c>
      <c r="AB79">
        <f>HYPERLINK("https://klasma.github.io/Logging_2181/klagomålsmail/A 14835-2026 FSC-klagomål mail.docx", "A 14835-2026")</f>
        <v/>
      </c>
      <c r="AC79">
        <f>HYPERLINK("https://klasma.github.io/Logging_2181/tillsyn/A 14835-2026 tillsynsbegäran.docx", "A 14835-2026")</f>
        <v/>
      </c>
      <c r="AD79">
        <f>HYPERLINK("https://klasma.github.io/Logging_2181/tillsynsmail/A 14835-2026 tillsynsbegäran mail.docx", "A 14835-2026")</f>
        <v/>
      </c>
    </row>
    <row r="80" ht="15" customHeight="1">
      <c r="A80" t="inlineStr">
        <is>
          <t>A 448-2026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46021</v>
      </c>
      <c r="E80" s="1" t="n">
        <v>46326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Dvärghäxört</t>
        </is>
      </c>
      <c r="W80">
        <f>HYPERLINK("https://klasma.github.io/Logging_2181/artfynd/A 448-2026 artfynd.xlsx", "A 448-2026")</f>
        <v/>
      </c>
      <c r="X80">
        <f>HYPERLINK("https://klasma.github.io/Logging_2181/kartor/A 448-2026 karta.png", "A 448-2026")</f>
        <v/>
      </c>
      <c r="Y80">
        <f>HYPERLINK("https://klasma.github.io/Logging_2181/kartor_geotiff/A 448-2026 georefererad karta.tif", "A 448-2026")</f>
        <v/>
      </c>
      <c r="AA80">
        <f>HYPERLINK("https://klasma.github.io/Logging_2181/klagomål/A 448-2026 FSC-klagomål.docx", "A 448-2026")</f>
        <v/>
      </c>
      <c r="AB80">
        <f>HYPERLINK("https://klasma.github.io/Logging_2181/klagomålsmail/A 448-2026 FSC-klagomål mail.docx", "A 448-2026")</f>
        <v/>
      </c>
      <c r="AC80">
        <f>HYPERLINK("https://klasma.github.io/Logging_2181/tillsyn/A 448-2026 tillsynsbegäran.docx", "A 448-2026")</f>
        <v/>
      </c>
      <c r="AD80">
        <f>HYPERLINK("https://klasma.github.io/Logging_2181/tillsynsmail/A 448-2026 tillsynsbegäran mail.docx", "A 448-2026")</f>
        <v/>
      </c>
    </row>
    <row r="81" ht="15" customHeight="1">
      <c r="A81" t="inlineStr">
        <is>
          <t>A 15121-2026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46326</v>
      </c>
      <c r="F81" t="inlineStr">
        <is>
          <t>GÄVLEBORGS LÄN</t>
        </is>
      </c>
      <c r="G81" t="inlineStr">
        <is>
          <t>SANDVIKEN</t>
        </is>
      </c>
      <c r="I81" t="n">
        <v>2.7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Brandticka</t>
        </is>
      </c>
      <c r="W81">
        <f>HYPERLINK("https://klasma.github.io/Logging_2181/artfynd/A 15121-2026 artfynd.xlsx", "A 15121-2026")</f>
        <v/>
      </c>
      <c r="X81">
        <f>HYPERLINK("https://klasma.github.io/Logging_2181/kartor/A 15121-2026 karta.png", "A 15121-2026")</f>
        <v/>
      </c>
      <c r="Y81">
        <f>HYPERLINK("https://klasma.github.io/Logging_2181/kartor_geotiff/A 15121-2026 georefererad karta.tif", "A 15121-2026")</f>
        <v/>
      </c>
      <c r="AA81">
        <f>HYPERLINK("https://klasma.github.io/Logging_2181/klagomål/A 15121-2026 FSC-klagomål.docx", "A 15121-2026")</f>
        <v/>
      </c>
      <c r="AB81">
        <f>HYPERLINK("https://klasma.github.io/Logging_2181/klagomålsmail/A 15121-2026 FSC-klagomål mail.docx", "A 15121-2026")</f>
        <v/>
      </c>
      <c r="AC81">
        <f>HYPERLINK("https://klasma.github.io/Logging_2181/tillsyn/A 15121-2026 tillsynsbegäran.docx", "A 15121-2026")</f>
        <v/>
      </c>
      <c r="AD81">
        <f>HYPERLINK("https://klasma.github.io/Logging_2181/tillsynsmail/A 15121-2026 tillsynsbegäran mail.docx", "A 15121-2026")</f>
        <v/>
      </c>
    </row>
    <row r="82" ht="15" customHeight="1">
      <c r="A82" t="inlineStr">
        <is>
          <t>A 17062-2026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46326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5.7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Vårärt</t>
        </is>
      </c>
      <c r="W82">
        <f>HYPERLINK("https://klasma.github.io/Logging_2181/artfynd/A 17062-2026 artfynd.xlsx", "A 17062-2026")</f>
        <v/>
      </c>
      <c r="X82">
        <f>HYPERLINK("https://klasma.github.io/Logging_2181/kartor/A 17062-2026 karta.png", "A 17062-2026")</f>
        <v/>
      </c>
      <c r="Y82">
        <f>HYPERLINK("https://klasma.github.io/Logging_2181/kartor_geotiff/A 17062-2026 georefererad karta.tif", "A 17062-2026")</f>
        <v/>
      </c>
      <c r="AA82">
        <f>HYPERLINK("https://klasma.github.io/Logging_2181/klagomål/A 17062-2026 FSC-klagomål.docx", "A 17062-2026")</f>
        <v/>
      </c>
      <c r="AB82">
        <f>HYPERLINK("https://klasma.github.io/Logging_2181/klagomålsmail/A 17062-2026 FSC-klagomål mail.docx", "A 17062-2026")</f>
        <v/>
      </c>
      <c r="AC82">
        <f>HYPERLINK("https://klasma.github.io/Logging_2181/tillsyn/A 17062-2026 tillsynsbegäran.docx", "A 17062-2026")</f>
        <v/>
      </c>
      <c r="AD82">
        <f>HYPERLINK("https://klasma.github.io/Logging_2181/tillsynsmail/A 17062-2026 tillsynsbegäran mail.docx", "A 17062-2026")</f>
        <v/>
      </c>
    </row>
    <row r="83" ht="15" customHeight="1">
      <c r="A83" t="inlineStr">
        <is>
          <t>A 17364-2026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46326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17364-2026 artfynd.xlsx", "A 17364-2026")</f>
        <v/>
      </c>
      <c r="X83">
        <f>HYPERLINK("https://klasma.github.io/Logging_2181/kartor/A 17364-2026 karta.png", "A 17364-2026")</f>
        <v/>
      </c>
      <c r="Y83">
        <f>HYPERLINK("https://klasma.github.io/Logging_2181/kartor_geotiff/A 17364-2026 georefererad karta.tif", "A 17364-2026")</f>
        <v/>
      </c>
      <c r="AA83">
        <f>HYPERLINK("https://klasma.github.io/Logging_2181/klagomål/A 17364-2026 FSC-klagomål.docx", "A 17364-2026")</f>
        <v/>
      </c>
      <c r="AB83">
        <f>HYPERLINK("https://klasma.github.io/Logging_2181/klagomålsmail/A 17364-2026 FSC-klagomål mail.docx", "A 17364-2026")</f>
        <v/>
      </c>
      <c r="AC83">
        <f>HYPERLINK("https://klasma.github.io/Logging_2181/tillsyn/A 17364-2026 tillsynsbegäran.docx", "A 17364-2026")</f>
        <v/>
      </c>
      <c r="AD83">
        <f>HYPERLINK("https://klasma.github.io/Logging_2181/tillsynsmail/A 17364-2026 tillsynsbegäran mail.docx", "A 17364-2026")</f>
        <v/>
      </c>
    </row>
    <row r="84" ht="15" customHeight="1">
      <c r="A84" t="inlineStr">
        <is>
          <t>A 22275-2024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46326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Ekorrbär</t>
        </is>
      </c>
      <c r="W84">
        <f>HYPERLINK("https://klasma.github.io/Logging_2181/artfynd/A 22275-2024 artfynd.xlsx", "A 22275-2024")</f>
        <v/>
      </c>
      <c r="X84">
        <f>HYPERLINK("https://klasma.github.io/Logging_2181/kartor/A 22275-2024 karta.png", "A 22275-2024")</f>
        <v/>
      </c>
      <c r="Y84">
        <f>HYPERLINK("https://klasma.github.io/Logging_2181/kartor_geotiff/A 22275-2024 georefererad karta.tif", "A 22275-2024")</f>
        <v/>
      </c>
      <c r="AA84">
        <f>HYPERLINK("https://klasma.github.io/Logging_2181/klagomål/A 22275-2024 FSC-klagomål.docx", "A 22275-2024")</f>
        <v/>
      </c>
      <c r="AB84">
        <f>HYPERLINK("https://klasma.github.io/Logging_2181/klagomålsmail/A 22275-2024 FSC-klagomål mail.docx", "A 22275-2024")</f>
        <v/>
      </c>
      <c r="AC84">
        <f>HYPERLINK("https://klasma.github.io/Logging_2181/tillsyn/A 22275-2024 tillsynsbegäran.docx", "A 22275-2024")</f>
        <v/>
      </c>
      <c r="AD84">
        <f>HYPERLINK("https://klasma.github.io/Logging_2181/tillsynsmail/A 22275-2024 tillsynsbegäran mail.docx", "A 22275-2024")</f>
        <v/>
      </c>
    </row>
    <row r="85" ht="15" customHeight="1">
      <c r="A85" t="inlineStr">
        <is>
          <t>A 5015-2023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46326</v>
      </c>
      <c r="F85" t="inlineStr">
        <is>
          <t>GÄVLEBORGS LÄN</t>
        </is>
      </c>
      <c r="G85" t="inlineStr">
        <is>
          <t>SANDVIKEN</t>
        </is>
      </c>
      <c r="I85" t="n">
        <v>7.8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HYPERLINK("https://klasma.github.io/Logging_2181/artfynd/A 5015-2023 artfynd.xlsx", "A 5015-2023")</f>
        <v/>
      </c>
      <c r="X85">
        <f>HYPERLINK("https://klasma.github.io/Logging_2181/kartor/A 5015-2023 karta.png", "A 5015-2023")</f>
        <v/>
      </c>
      <c r="Y85">
        <f>HYPERLINK("https://klasma.github.io/Logging_2181/kartor_geotiff/A 5015-2023 georefererad karta.tif", "A 5015-2023")</f>
        <v/>
      </c>
      <c r="AA85">
        <f>HYPERLINK("https://klasma.github.io/Logging_2181/klagomål/A 5015-2023 FSC-klagomål.docx", "A 5015-2023")</f>
        <v/>
      </c>
      <c r="AB85">
        <f>HYPERLINK("https://klasma.github.io/Logging_2181/klagomålsmail/A 5015-2023 FSC-klagomål mail.docx", "A 5015-2023")</f>
        <v/>
      </c>
      <c r="AC85">
        <f>HYPERLINK("https://klasma.github.io/Logging_2181/tillsyn/A 5015-2023 tillsynsbegäran.docx", "A 5015-2023")</f>
        <v/>
      </c>
      <c r="AD85">
        <f>HYPERLINK("https://klasma.github.io/Logging_2181/tillsynsmail/A 5015-2023 tillsynsbegäran mail.docx", "A 5015-2023")</f>
        <v/>
      </c>
    </row>
    <row r="86" ht="15" customHeight="1">
      <c r="A86" t="inlineStr">
        <is>
          <t>A 19272-2026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46133</v>
      </c>
      <c r="E86" s="1" t="n">
        <v>46326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9.4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Nattviol</t>
        </is>
      </c>
      <c r="W86">
        <f>HYPERLINK("https://klasma.github.io/Logging_2181/artfynd/A 19272-2026 artfynd.xlsx", "A 19272-2026")</f>
        <v/>
      </c>
      <c r="X86">
        <f>HYPERLINK("https://klasma.github.io/Logging_2181/kartor/A 19272-2026 karta.png", "A 19272-2026")</f>
        <v/>
      </c>
      <c r="Y86">
        <f>HYPERLINK("https://klasma.github.io/Logging_2181/kartor_geotiff/A 19272-2026 georefererad karta.tif", "A 19272-2026")</f>
        <v/>
      </c>
      <c r="AA86">
        <f>HYPERLINK("https://klasma.github.io/Logging_2181/klagomål/A 19272-2026 FSC-klagomål.docx", "A 19272-2026")</f>
        <v/>
      </c>
      <c r="AB86">
        <f>HYPERLINK("https://klasma.github.io/Logging_2181/klagomålsmail/A 19272-2026 FSC-klagomål mail.docx", "A 19272-2026")</f>
        <v/>
      </c>
      <c r="AC86">
        <f>HYPERLINK("https://klasma.github.io/Logging_2181/tillsyn/A 19272-2026 tillsynsbegäran.docx", "A 19272-2026")</f>
        <v/>
      </c>
      <c r="AD86">
        <f>HYPERLINK("https://klasma.github.io/Logging_2181/tillsynsmail/A 19272-2026 tillsynsbegäran mail.docx", "A 19272-2026")</f>
        <v/>
      </c>
    </row>
    <row r="87" ht="15" customHeight="1">
      <c r="A87" t="inlineStr">
        <is>
          <t>A 4324-2026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46326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11.2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Järpe</t>
        </is>
      </c>
      <c r="W87">
        <f>HYPERLINK("https://klasma.github.io/Logging_2181/artfynd/A 4324-2026 artfynd.xlsx", "A 4324-2026")</f>
        <v/>
      </c>
      <c r="X87">
        <f>HYPERLINK("https://klasma.github.io/Logging_2181/kartor/A 4324-2026 karta.png", "A 4324-2026")</f>
        <v/>
      </c>
      <c r="Y87">
        <f>HYPERLINK("https://klasma.github.io/Logging_2181/kartor_geotiff/A 4324-2026 georefererad karta.tif", "A 4324-2026")</f>
        <v/>
      </c>
      <c r="AA87">
        <f>HYPERLINK("https://klasma.github.io/Logging_2181/klagomål/A 4324-2026 FSC-klagomål.docx", "A 4324-2026")</f>
        <v/>
      </c>
      <c r="AB87">
        <f>HYPERLINK("https://klasma.github.io/Logging_2181/klagomålsmail/A 4324-2026 FSC-klagomål mail.docx", "A 4324-2026")</f>
        <v/>
      </c>
      <c r="AC87">
        <f>HYPERLINK("https://klasma.github.io/Logging_2181/tillsyn/A 4324-2026 tillsynsbegäran.docx", "A 4324-2026")</f>
        <v/>
      </c>
      <c r="AD87">
        <f>HYPERLINK("https://klasma.github.io/Logging_2181/tillsynsmail/A 4324-2026 tillsynsbegäran mail.docx", "A 4324-2026")</f>
        <v/>
      </c>
      <c r="AE87">
        <f>HYPERLINK("https://klasma.github.io/Logging_2181/fåglar/A 4324-2026 prioriterade fågelarter.docx", "A 4324-2026")</f>
        <v/>
      </c>
    </row>
    <row r="88" ht="15" customHeight="1">
      <c r="A88" t="inlineStr">
        <is>
          <t>A 6972-2026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46326</v>
      </c>
      <c r="F88" t="inlineStr">
        <is>
          <t>GÄVLEBORGS LÄN</t>
        </is>
      </c>
      <c r="G88" t="inlineStr">
        <is>
          <t>SANDVIKEN</t>
        </is>
      </c>
      <c r="H88" t="inlineStr">
        <is>
          <t>Naturvårdsverket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Svartvit flugsnappare</t>
        </is>
      </c>
      <c r="W88">
        <f>HYPERLINK("https://klasma.github.io/Logging_2181/artfynd/A 6972-2026 artfynd.xlsx", "A 6972-2026")</f>
        <v/>
      </c>
      <c r="X88">
        <f>HYPERLINK("https://klasma.github.io/Logging_2181/kartor/A 6972-2026 karta.png", "A 6972-2026")</f>
        <v/>
      </c>
      <c r="Y88">
        <f>HYPERLINK("https://klasma.github.io/Logging_2181/kartor_geotiff/A 6972-2026 georefererad karta.tif", "A 6972-2026")</f>
        <v/>
      </c>
      <c r="AA88">
        <f>HYPERLINK("https://klasma.github.io/Logging_2181/klagomål/A 6972-2026 FSC-klagomål.docx", "A 6972-2026")</f>
        <v/>
      </c>
      <c r="AB88">
        <f>HYPERLINK("https://klasma.github.io/Logging_2181/klagomålsmail/A 6972-2026 FSC-klagomål mail.docx", "A 6972-2026")</f>
        <v/>
      </c>
      <c r="AC88">
        <f>HYPERLINK("https://klasma.github.io/Logging_2181/tillsyn/A 6972-2026 tillsynsbegäran.docx", "A 6972-2026")</f>
        <v/>
      </c>
      <c r="AD88">
        <f>HYPERLINK("https://klasma.github.io/Logging_2181/tillsynsmail/A 6972-2026 tillsynsbegäran mail.docx", "A 6972-2026")</f>
        <v/>
      </c>
    </row>
    <row r="89" ht="15" customHeight="1">
      <c r="A89" t="inlineStr">
        <is>
          <t>A 41349-2025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46326</v>
      </c>
      <c r="F89" t="inlineStr">
        <is>
          <t>GÄVLEBORGS LÄN</t>
        </is>
      </c>
      <c r="G89" t="inlineStr">
        <is>
          <t>SANDVIKEN</t>
        </is>
      </c>
      <c r="I89" t="n">
        <v>3.7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HYPERLINK("https://klasma.github.io/Logging_2181/artfynd/A 41349-2025 artfynd.xlsx", "A 41349-2025")</f>
        <v/>
      </c>
      <c r="X89">
        <f>HYPERLINK("https://klasma.github.io/Logging_2181/kartor/A 41349-2025 karta.png", "A 41349-2025")</f>
        <v/>
      </c>
      <c r="Y89">
        <f>HYPERLINK("https://klasma.github.io/Logging_2181/kartor_geotiff/A 41349-2025 georefererad karta.tif", "A 41349-2025")</f>
        <v/>
      </c>
      <c r="AA89">
        <f>HYPERLINK("https://klasma.github.io/Logging_2181/klagomål/A 41349-2025 FSC-klagomål.docx", "A 41349-2025")</f>
        <v/>
      </c>
      <c r="AB89">
        <f>HYPERLINK("https://klasma.github.io/Logging_2181/klagomålsmail/A 41349-2025 FSC-klagomål mail.docx", "A 41349-2025")</f>
        <v/>
      </c>
      <c r="AC89">
        <f>HYPERLINK("https://klasma.github.io/Logging_2181/tillsyn/A 41349-2025 tillsynsbegäran.docx", "A 41349-2025")</f>
        <v/>
      </c>
      <c r="AD89">
        <f>HYPERLINK("https://klasma.github.io/Logging_2181/tillsynsmail/A 41349-2025 tillsynsbegäran mail.docx", "A 41349-2025")</f>
        <v/>
      </c>
    </row>
    <row r="90" ht="15" customHeight="1">
      <c r="A90" t="inlineStr">
        <is>
          <t>A 21532-2026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46326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21532-2026 artfynd.xlsx", "A 21532-2026")</f>
        <v/>
      </c>
      <c r="X90">
        <f>HYPERLINK("https://klasma.github.io/Logging_2181/kartor/A 21532-2026 karta.png", "A 21532-2026")</f>
        <v/>
      </c>
      <c r="Y90">
        <f>HYPERLINK("https://klasma.github.io/Logging_2181/kartor_geotiff/A 21532-2026 georefererad karta.tif", "A 21532-2026")</f>
        <v/>
      </c>
      <c r="AA90">
        <f>HYPERLINK("https://klasma.github.io/Logging_2181/klagomål/A 21532-2026 FSC-klagomål.docx", "A 21532-2026")</f>
        <v/>
      </c>
      <c r="AB90">
        <f>HYPERLINK("https://klasma.github.io/Logging_2181/klagomålsmail/A 21532-2026 FSC-klagomål mail.docx", "A 21532-2026")</f>
        <v/>
      </c>
      <c r="AC90">
        <f>HYPERLINK("https://klasma.github.io/Logging_2181/tillsyn/A 21532-2026 tillsynsbegäran.docx", "A 21532-2026")</f>
        <v/>
      </c>
      <c r="AD90">
        <f>HYPERLINK("https://klasma.github.io/Logging_2181/tillsynsmail/A 21532-2026 tillsynsbegäran mail.docx", "A 21532-2026")</f>
        <v/>
      </c>
    </row>
    <row r="91" ht="15" customHeight="1">
      <c r="A91" t="inlineStr">
        <is>
          <t>A 24171-2026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46326</v>
      </c>
      <c r="F91" t="inlineStr">
        <is>
          <t>GÄVLEBORGS LÄN</t>
        </is>
      </c>
      <c r="G91" t="inlineStr">
        <is>
          <t>SANDVIKEN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Svedjenäva</t>
        </is>
      </c>
      <c r="W91">
        <f>HYPERLINK("https://klasma.github.io/Logging_2181/artfynd/A 24171-2026 artfynd.xlsx", "A 24171-2026")</f>
        <v/>
      </c>
      <c r="X91">
        <f>HYPERLINK("https://klasma.github.io/Logging_2181/kartor/A 24171-2026 karta.png", "A 24171-2026")</f>
        <v/>
      </c>
      <c r="Y91">
        <f>HYPERLINK("https://klasma.github.io/Logging_2181/kartor_geotiff/A 24171-2026 georefererad karta.tif", "A 24171-2026")</f>
        <v/>
      </c>
      <c r="AA91">
        <f>HYPERLINK("https://klasma.github.io/Logging_2181/klagomål/A 24171-2026 FSC-klagomål.docx", "A 24171-2026")</f>
        <v/>
      </c>
      <c r="AB91">
        <f>HYPERLINK("https://klasma.github.io/Logging_2181/klagomålsmail/A 24171-2026 FSC-klagomål mail.docx", "A 24171-2026")</f>
        <v/>
      </c>
      <c r="AC91">
        <f>HYPERLINK("https://klasma.github.io/Logging_2181/tillsyn/A 24171-2026 tillsynsbegäran.docx", "A 24171-2026")</f>
        <v/>
      </c>
      <c r="AD91">
        <f>HYPERLINK("https://klasma.github.io/Logging_2181/tillsynsmail/A 24171-2026 tillsynsbegäran mail.docx", "A 24171-2026")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46326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46326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46326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46326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46326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31311-2026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46219</v>
      </c>
      <c r="E97" s="1" t="n">
        <v>46326</v>
      </c>
      <c r="F97" t="inlineStr">
        <is>
          <t>GÄVLEBORGS LÄN</t>
        </is>
      </c>
      <c r="G97" t="inlineStr">
        <is>
          <t>SANDVIKEN</t>
        </is>
      </c>
      <c r="I97" t="n">
        <v>1.7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padda</t>
        </is>
      </c>
      <c r="W97">
        <f>HYPERLINK("https://klasma.github.io/Logging_2181/artfynd/A 31311-2026 artfynd.xlsx", "A 31311-2026")</f>
        <v/>
      </c>
      <c r="X97">
        <f>HYPERLINK("https://klasma.github.io/Logging_2181/kartor/A 31311-2026 karta.png", "A 31311-2026")</f>
        <v/>
      </c>
      <c r="Y97">
        <f>HYPERLINK("https://klasma.github.io/Logging_2181/kartor_geotiff/A 31311-2026 georefererad karta.tif", "A 31311-2026")</f>
        <v/>
      </c>
      <c r="AA97">
        <f>HYPERLINK("https://klasma.github.io/Logging_2181/klagomål/A 31311-2026 FSC-klagomål.docx", "A 31311-2026")</f>
        <v/>
      </c>
      <c r="AB97">
        <f>HYPERLINK("https://klasma.github.io/Logging_2181/klagomålsmail/A 31311-2026 FSC-klagomål mail.docx", "A 31311-2026")</f>
        <v/>
      </c>
      <c r="AC97">
        <f>HYPERLINK("https://klasma.github.io/Logging_2181/tillsyn/A 31311-2026 tillsynsbegäran.docx", "A 31311-2026")</f>
        <v/>
      </c>
      <c r="AD97">
        <f>HYPERLINK("https://klasma.github.io/Logging_2181/tillsynsmail/A 31311-2026 tillsynsbegäran mail.docx", "A 31311-2026")</f>
        <v/>
      </c>
    </row>
    <row r="98" ht="15" customHeight="1">
      <c r="A98" t="inlineStr">
        <is>
          <t>A 32539-2026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46326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Grönsiska</t>
        </is>
      </c>
      <c r="W98">
        <f>HYPERLINK("https://klasma.github.io/Logging_2181/artfynd/A 32539-2026 artfynd.xlsx", "A 32539-2026")</f>
        <v/>
      </c>
      <c r="X98">
        <f>HYPERLINK("https://klasma.github.io/Logging_2181/kartor/A 32539-2026 karta.png", "A 32539-2026")</f>
        <v/>
      </c>
      <c r="Y98">
        <f>HYPERLINK("https://klasma.github.io/Logging_2181/kartor_geotiff/A 32539-2026 georefererad karta.tif", "A 32539-2026")</f>
        <v/>
      </c>
      <c r="AA98">
        <f>HYPERLINK("https://klasma.github.io/Logging_2181/klagomål/A 32539-2026 FSC-klagomål.docx", "A 32539-2026")</f>
        <v/>
      </c>
      <c r="AB98">
        <f>HYPERLINK("https://klasma.github.io/Logging_2181/klagomålsmail/A 32539-2026 FSC-klagomål mail.docx", "A 32539-2026")</f>
        <v/>
      </c>
      <c r="AC98">
        <f>HYPERLINK("https://klasma.github.io/Logging_2181/tillsyn/A 32539-2026 tillsynsbegäran.docx", "A 32539-2026")</f>
        <v/>
      </c>
      <c r="AD98">
        <f>HYPERLINK("https://klasma.github.io/Logging_2181/tillsynsmail/A 32539-2026 tillsynsbegäran mail.docx", "A 32539-2026")</f>
        <v/>
      </c>
    </row>
    <row r="99" ht="15" customHeight="1">
      <c r="A99" t="inlineStr">
        <is>
          <t>A 32544-2026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46326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3.8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HYPERLINK("https://klasma.github.io/Logging_2181/artfynd/A 32544-2026 artfynd.xlsx", "A 32544-2026")</f>
        <v/>
      </c>
      <c r="X99">
        <f>HYPERLINK("https://klasma.github.io/Logging_2181/kartor/A 32544-2026 karta.png", "A 32544-2026")</f>
        <v/>
      </c>
      <c r="Y99">
        <f>HYPERLINK("https://klasma.github.io/Logging_2181/kartor_geotiff/A 32544-2026 georefererad karta.tif", "A 32544-2026")</f>
        <v/>
      </c>
      <c r="AA99">
        <f>HYPERLINK("https://klasma.github.io/Logging_2181/klagomål/A 32544-2026 FSC-klagomål.docx", "A 32544-2026")</f>
        <v/>
      </c>
      <c r="AB99">
        <f>HYPERLINK("https://klasma.github.io/Logging_2181/klagomålsmail/A 32544-2026 FSC-klagomål mail.docx", "A 32544-2026")</f>
        <v/>
      </c>
      <c r="AC99">
        <f>HYPERLINK("https://klasma.github.io/Logging_2181/tillsyn/A 32544-2026 tillsynsbegäran.docx", "A 32544-2026")</f>
        <v/>
      </c>
      <c r="AD99">
        <f>HYPERLINK("https://klasma.github.io/Logging_2181/tillsynsmail/A 32544-2026 tillsynsbegäran mail.docx", "A 32544-2026")</f>
        <v/>
      </c>
    </row>
    <row r="100" ht="15" customHeight="1">
      <c r="A100" t="inlineStr">
        <is>
          <t>A 32533-2026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46326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Järnsparv</t>
        </is>
      </c>
      <c r="W100">
        <f>HYPERLINK("https://klasma.github.io/Logging_2181/artfynd/A 32533-2026 artfynd.xlsx", "A 32533-2026")</f>
        <v/>
      </c>
      <c r="X100">
        <f>HYPERLINK("https://klasma.github.io/Logging_2181/kartor/A 32533-2026 karta.png", "A 32533-2026")</f>
        <v/>
      </c>
      <c r="Y100">
        <f>HYPERLINK("https://klasma.github.io/Logging_2181/kartor_geotiff/A 32533-2026 georefererad karta.tif", "A 32533-2026")</f>
        <v/>
      </c>
      <c r="AA100">
        <f>HYPERLINK("https://klasma.github.io/Logging_2181/klagomål/A 32533-2026 FSC-klagomål.docx", "A 32533-2026")</f>
        <v/>
      </c>
      <c r="AB100">
        <f>HYPERLINK("https://klasma.github.io/Logging_2181/klagomålsmail/A 32533-2026 FSC-klagomål mail.docx", "A 32533-2026")</f>
        <v/>
      </c>
      <c r="AC100">
        <f>HYPERLINK("https://klasma.github.io/Logging_2181/tillsyn/A 32533-2026 tillsynsbegäran.docx", "A 32533-2026")</f>
        <v/>
      </c>
      <c r="AD100">
        <f>HYPERLINK("https://klasma.github.io/Logging_2181/tillsynsmail/A 32533-2026 tillsynsbegäran mail.docx", "A 32533-2026")</f>
        <v/>
      </c>
      <c r="AE100">
        <f>HYPERLINK("https://klasma.github.io/Logging_2181/fåglar/A 32533-2026 prioriterade fågelarter.docx", "A 32533-2026")</f>
        <v/>
      </c>
    </row>
    <row r="101" ht="15" customHeight="1">
      <c r="A101" t="inlineStr">
        <is>
          <t>A 23225-2026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46162</v>
      </c>
      <c r="E101" s="1" t="n">
        <v>46326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öst AB</t>
        </is>
      </c>
      <c r="I101" t="n">
        <v>1.3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Rödvingetrast</t>
        </is>
      </c>
      <c r="W101">
        <f>HYPERLINK("https://klasma.github.io/Logging_2181/artfynd/A 23225-2026 artfynd.xlsx", "A 23225-2026")</f>
        <v/>
      </c>
      <c r="X101">
        <f>HYPERLINK("https://klasma.github.io/Logging_2181/kartor/A 23225-2026 karta.png", "A 23225-2026")</f>
        <v/>
      </c>
      <c r="Y101">
        <f>HYPERLINK("https://klasma.github.io/Logging_2181/kartor_geotiff/A 23225-2026 georefererad karta.tif", "A 23225-2026")</f>
        <v/>
      </c>
      <c r="AA101">
        <f>HYPERLINK("https://klasma.github.io/Logging_2181/klagomål/A 23225-2026 FSC-klagomål.docx", "A 23225-2026")</f>
        <v/>
      </c>
      <c r="AB101">
        <f>HYPERLINK("https://klasma.github.io/Logging_2181/klagomålsmail/A 23225-2026 FSC-klagomål mail.docx", "A 23225-2026")</f>
        <v/>
      </c>
      <c r="AC101">
        <f>HYPERLINK("https://klasma.github.io/Logging_2181/tillsyn/A 23225-2026 tillsynsbegäran.docx", "A 23225-2026")</f>
        <v/>
      </c>
      <c r="AD101">
        <f>HYPERLINK("https://klasma.github.io/Logging_2181/tillsynsmail/A 23225-2026 tillsynsbegäran mail.docx", "A 23225-2026")</f>
        <v/>
      </c>
      <c r="AE101">
        <f>HYPERLINK("https://klasma.github.io/Logging_2181/fåglar/A 23225-2026 prioriterade fågelarter.docx", "A 23225-2026")</f>
        <v/>
      </c>
    </row>
    <row r="102" ht="15" customHeight="1">
      <c r="A102" t="inlineStr">
        <is>
          <t>A 34406-2026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46326</v>
      </c>
      <c r="F102" t="inlineStr">
        <is>
          <t>GÄVLEBORGS LÄN</t>
        </is>
      </c>
      <c r="G102" t="inlineStr">
        <is>
          <t>SANDVIKEN</t>
        </is>
      </c>
      <c r="I102" t="n">
        <v>15.1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Loppstarr</t>
        </is>
      </c>
      <c r="W102">
        <f>HYPERLINK("https://klasma.github.io/Logging_2181/artfynd/A 34406-2026 artfynd.xlsx", "A 34406-2026")</f>
        <v/>
      </c>
      <c r="X102">
        <f>HYPERLINK("https://klasma.github.io/Logging_2181/kartor/A 34406-2026 karta.png", "A 34406-2026")</f>
        <v/>
      </c>
      <c r="Y102">
        <f>HYPERLINK("https://klasma.github.io/Logging_2181/kartor_geotiff/A 34406-2026 georefererad karta.tif", "A 34406-2026")</f>
        <v/>
      </c>
      <c r="AA102">
        <f>HYPERLINK("https://klasma.github.io/Logging_2181/klagomål/A 34406-2026 FSC-klagomål.docx", "A 34406-2026")</f>
        <v/>
      </c>
      <c r="AB102">
        <f>HYPERLINK("https://klasma.github.io/Logging_2181/klagomålsmail/A 34406-2026 FSC-klagomål mail.docx", "A 34406-2026")</f>
        <v/>
      </c>
      <c r="AC102">
        <f>HYPERLINK("https://klasma.github.io/Logging_2181/tillsyn/A 34406-2026 tillsynsbegäran.docx", "A 34406-2026")</f>
        <v/>
      </c>
      <c r="AD102">
        <f>HYPERLINK("https://klasma.github.io/Logging_2181/tillsynsmail/A 34406-2026 tillsynsbegäran mail.docx", "A 34406-2026")</f>
        <v/>
      </c>
    </row>
    <row r="103" ht="15" customHeight="1">
      <c r="A103" t="inlineStr">
        <is>
          <t>A 42115-2023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45177</v>
      </c>
      <c r="E103" s="1" t="n">
        <v>46326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HYPERLINK("https://klasma.github.io/Logging_2181/artfynd/A 42115-2023 artfynd.xlsx", "A 42115-2023")</f>
        <v/>
      </c>
      <c r="X103">
        <f>HYPERLINK("https://klasma.github.io/Logging_2181/kartor/A 42115-2023 karta.png", "A 42115-2023")</f>
        <v/>
      </c>
      <c r="Y103">
        <f>HYPERLINK("https://klasma.github.io/Logging_2181/kartor_geotiff/A 42115-2023 georefererad karta.tif", "A 42115-2023")</f>
        <v/>
      </c>
      <c r="AA103">
        <f>HYPERLINK("https://klasma.github.io/Logging_2181/klagomål/A 42115-2023 FSC-klagomål.docx", "A 42115-2023")</f>
        <v/>
      </c>
      <c r="AB103">
        <f>HYPERLINK("https://klasma.github.io/Logging_2181/klagomålsmail/A 42115-2023 FSC-klagomål mail.docx", "A 42115-2023")</f>
        <v/>
      </c>
      <c r="AC103">
        <f>HYPERLINK("https://klasma.github.io/Logging_2181/tillsyn/A 42115-2023 tillsynsbegäran.docx", "A 42115-2023")</f>
        <v/>
      </c>
      <c r="AD103">
        <f>HYPERLINK("https://klasma.github.io/Logging_2181/tillsynsmail/A 42115-2023 tillsynsbegäran mail.docx", "A 42115-2023")</f>
        <v/>
      </c>
      <c r="AE103">
        <f>HYPERLINK("https://klasma.github.io/Logging_2181/fåglar/A 42115-2023 prioriterade fågelarter.docx", "A 42115-2023")</f>
        <v/>
      </c>
    </row>
    <row r="104" ht="15" customHeight="1">
      <c r="A104" t="inlineStr">
        <is>
          <t>A 41792-2026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46303</v>
      </c>
      <c r="E104" s="1" t="n">
        <v>46326</v>
      </c>
      <c r="F104" t="inlineStr">
        <is>
          <t>GÄVLEBORGS LÄN</t>
        </is>
      </c>
      <c r="G104" t="inlineStr">
        <is>
          <t>SANDVIKEN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41792-2026 artfynd.xlsx", "A 41792-2026")</f>
        <v/>
      </c>
      <c r="X104">
        <f>HYPERLINK("https://klasma.github.io/Logging_2181/kartor/A 41792-2026 karta.png", "A 41792-2026")</f>
        <v/>
      </c>
      <c r="Y104">
        <f>HYPERLINK("https://klasma.github.io/Logging_2181/kartor_geotiff/A 41792-2026 georefererad karta.tif", "A 41792-2026")</f>
        <v/>
      </c>
      <c r="AA104">
        <f>HYPERLINK("https://klasma.github.io/Logging_2181/klagomål/A 41792-2026 FSC-klagomål.docx", "A 41792-2026")</f>
        <v/>
      </c>
      <c r="AB104">
        <f>HYPERLINK("https://klasma.github.io/Logging_2181/klagomålsmail/A 41792-2026 FSC-klagomål mail.docx", "A 41792-2026")</f>
        <v/>
      </c>
      <c r="AC104">
        <f>HYPERLINK("https://klasma.github.io/Logging_2181/tillsyn/A 41792-2026 tillsynsbegäran.docx", "A 41792-2026")</f>
        <v/>
      </c>
      <c r="AD104">
        <f>HYPERLINK("https://klasma.github.io/Logging_2181/tillsynsmail/A 41792-2026 tillsynsbegäran mail.docx", "A 41792-2026")</f>
        <v/>
      </c>
    </row>
    <row r="105" ht="15" customHeight="1">
      <c r="A105" t="inlineStr">
        <is>
          <t>A 41678-2026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46301</v>
      </c>
      <c r="E105" s="1" t="n">
        <v>46326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HYPERLINK("https://klasma.github.io/Logging_2181/artfynd/A 41678-2026 artfynd.xlsx", "A 41678-2026")</f>
        <v/>
      </c>
      <c r="X105">
        <f>HYPERLINK("https://klasma.github.io/Logging_2181/kartor/A 41678-2026 karta.png", "A 41678-2026")</f>
        <v/>
      </c>
      <c r="Y105">
        <f>HYPERLINK("https://klasma.github.io/Logging_2181/kartor_geotiff/A 41678-2026 georefererad karta.tif", "A 41678-2026")</f>
        <v/>
      </c>
      <c r="AA105">
        <f>HYPERLINK("https://klasma.github.io/Logging_2181/klagomål/A 41678-2026 FSC-klagomål.docx", "A 41678-2026")</f>
        <v/>
      </c>
      <c r="AB105">
        <f>HYPERLINK("https://klasma.github.io/Logging_2181/klagomålsmail/A 41678-2026 FSC-klagomål mail.docx", "A 41678-2026")</f>
        <v/>
      </c>
      <c r="AC105">
        <f>HYPERLINK("https://klasma.github.io/Logging_2181/tillsyn/A 41678-2026 tillsynsbegäran.docx", "A 41678-2026")</f>
        <v/>
      </c>
      <c r="AD105">
        <f>HYPERLINK("https://klasma.github.io/Logging_2181/tillsynsmail/A 41678-2026 tillsynsbegäran mail.docx", "A 41678-2026")</f>
        <v/>
      </c>
    </row>
    <row r="106" ht="15" customHeight="1">
      <c r="A106" t="inlineStr">
        <is>
          <t>A 42018-2026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46304</v>
      </c>
      <c r="E106" s="1" t="n">
        <v>46326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Kransmossa</t>
        </is>
      </c>
      <c r="W106">
        <f>HYPERLINK("https://klasma.github.io/Logging_2181/artfynd/A 42018-2026 artfynd.xlsx", "A 42018-2026")</f>
        <v/>
      </c>
      <c r="X106">
        <f>HYPERLINK("https://klasma.github.io/Logging_2181/kartor/A 42018-2026 karta.png", "A 42018-2026")</f>
        <v/>
      </c>
      <c r="Y106">
        <f>HYPERLINK("https://klasma.github.io/Logging_2181/kartor_geotiff/A 42018-2026 georefererad karta.tif", "A 42018-2026")</f>
        <v/>
      </c>
      <c r="AA106">
        <f>HYPERLINK("https://klasma.github.io/Logging_2181/klagomål/A 42018-2026 FSC-klagomål.docx", "A 42018-2026")</f>
        <v/>
      </c>
      <c r="AB106">
        <f>HYPERLINK("https://klasma.github.io/Logging_2181/klagomålsmail/A 42018-2026 FSC-klagomål mail.docx", "A 42018-2026")</f>
        <v/>
      </c>
      <c r="AC106">
        <f>HYPERLINK("https://klasma.github.io/Logging_2181/tillsyn/A 42018-2026 tillsynsbegäran.docx", "A 42018-2026")</f>
        <v/>
      </c>
      <c r="AD106">
        <f>HYPERLINK("https://klasma.github.io/Logging_2181/tillsynsmail/A 42018-2026 tillsynsbegäran mail.docx", "A 42018-2026")</f>
        <v/>
      </c>
    </row>
    <row r="107" ht="15" customHeight="1">
      <c r="A107" t="inlineStr">
        <is>
          <t>A 35419-2026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46326</v>
      </c>
      <c r="F107" t="inlineStr">
        <is>
          <t>GÄVLEBORGS LÄN</t>
        </is>
      </c>
      <c r="G107" t="inlineStr">
        <is>
          <t>SANDVIKEN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HYPERLINK("https://klasma.github.io/Logging_2181/artfynd/A 35419-2026 artfynd.xlsx", "A 35419-2026")</f>
        <v/>
      </c>
      <c r="X107">
        <f>HYPERLINK("https://klasma.github.io/Logging_2181/kartor/A 35419-2026 karta.png", "A 35419-2026")</f>
        <v/>
      </c>
      <c r="Y107">
        <f>HYPERLINK("https://klasma.github.io/Logging_2181/kartor_geotiff/A 35419-2026 georefererad karta.tif", "A 35419-2026")</f>
        <v/>
      </c>
      <c r="AA107">
        <f>HYPERLINK("https://klasma.github.io/Logging_2181/klagomål/A 35419-2026 FSC-klagomål.docx", "A 35419-2026")</f>
        <v/>
      </c>
      <c r="AB107">
        <f>HYPERLINK("https://klasma.github.io/Logging_2181/klagomålsmail/A 35419-2026 FSC-klagomål mail.docx", "A 35419-2026")</f>
        <v/>
      </c>
      <c r="AC107">
        <f>HYPERLINK("https://klasma.github.io/Logging_2181/tillsyn/A 35419-2026 tillsynsbegäran.docx", "A 35419-2026")</f>
        <v/>
      </c>
      <c r="AD107">
        <f>HYPERLINK("https://klasma.github.io/Logging_2181/tillsynsmail/A 35419-2026 tillsynsbegäran mail.docx", "A 35419-2026")</f>
        <v/>
      </c>
    </row>
    <row r="108" ht="15" customHeight="1">
      <c r="A108" t="inlineStr">
        <is>
          <t>A 35540-2026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46326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Lopplummer (aggregat)</t>
        </is>
      </c>
      <c r="W108">
        <f>HYPERLINK("https://klasma.github.io/Logging_2181/artfynd/A 35540-2026 artfynd.xlsx", "A 35540-2026")</f>
        <v/>
      </c>
      <c r="X108">
        <f>HYPERLINK("https://klasma.github.io/Logging_2181/kartor/A 35540-2026 karta.png", "A 35540-2026")</f>
        <v/>
      </c>
      <c r="Y108">
        <f>HYPERLINK("https://klasma.github.io/Logging_2181/kartor_geotiff/A 35540-2026 georefererad karta.tif", "A 35540-2026")</f>
        <v/>
      </c>
      <c r="AA108">
        <f>HYPERLINK("https://klasma.github.io/Logging_2181/klagomål/A 35540-2026 FSC-klagomål.docx", "A 35540-2026")</f>
        <v/>
      </c>
      <c r="AB108">
        <f>HYPERLINK("https://klasma.github.io/Logging_2181/klagomålsmail/A 35540-2026 FSC-klagomål mail.docx", "A 35540-2026")</f>
        <v/>
      </c>
      <c r="AC108">
        <f>HYPERLINK("https://klasma.github.io/Logging_2181/tillsyn/A 35540-2026 tillsynsbegäran.docx", "A 35540-2026")</f>
        <v/>
      </c>
      <c r="AD108">
        <f>HYPERLINK("https://klasma.github.io/Logging_2181/tillsynsmail/A 35540-2026 tillsynsbegäran mail.docx", "A 35540-2026")</f>
        <v/>
      </c>
    </row>
    <row r="109" ht="15" customHeight="1">
      <c r="A109" t="inlineStr">
        <is>
          <t>A 35479-2026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46326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groda</t>
        </is>
      </c>
      <c r="W109">
        <f>HYPERLINK("https://klasma.github.io/Logging_2181/artfynd/A 35479-2026 artfynd.xlsx", "A 35479-2026")</f>
        <v/>
      </c>
      <c r="X109">
        <f>HYPERLINK("https://klasma.github.io/Logging_2181/kartor/A 35479-2026 karta.png", "A 35479-2026")</f>
        <v/>
      </c>
      <c r="Y109">
        <f>HYPERLINK("https://klasma.github.io/Logging_2181/kartor_geotiff/A 35479-2026 georefererad karta.tif", "A 35479-2026")</f>
        <v/>
      </c>
      <c r="AA109">
        <f>HYPERLINK("https://klasma.github.io/Logging_2181/klagomål/A 35479-2026 FSC-klagomål.docx", "A 35479-2026")</f>
        <v/>
      </c>
      <c r="AB109">
        <f>HYPERLINK("https://klasma.github.io/Logging_2181/klagomålsmail/A 35479-2026 FSC-klagomål mail.docx", "A 35479-2026")</f>
        <v/>
      </c>
      <c r="AC109">
        <f>HYPERLINK("https://klasma.github.io/Logging_2181/tillsyn/A 35479-2026 tillsynsbegäran.docx", "A 35479-2026")</f>
        <v/>
      </c>
      <c r="AD109">
        <f>HYPERLINK("https://klasma.github.io/Logging_2181/tillsynsmail/A 35479-2026 tillsynsbegäran mail.docx", "A 35479-2026")</f>
        <v/>
      </c>
    </row>
    <row r="110" ht="15" customHeight="1">
      <c r="A110" t="inlineStr">
        <is>
          <t>A 36596-2026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46269</v>
      </c>
      <c r="E110" s="1" t="n">
        <v>46326</v>
      </c>
      <c r="F110" t="inlineStr">
        <is>
          <t>GÄVLEBORGS LÄN</t>
        </is>
      </c>
      <c r="G110" t="inlineStr">
        <is>
          <t>SANDVIKEN</t>
        </is>
      </c>
      <c r="I110" t="n">
        <v>10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HYPERLINK("https://klasma.github.io/Logging_2181/artfynd/A 36596-2026 artfynd.xlsx", "A 36596-2026")</f>
        <v/>
      </c>
      <c r="X110">
        <f>HYPERLINK("https://klasma.github.io/Logging_2181/kartor/A 36596-2026 karta.png", "A 36596-2026")</f>
        <v/>
      </c>
      <c r="Y110">
        <f>HYPERLINK("https://klasma.github.io/Logging_2181/kartor_geotiff/A 36596-2026 georefererad karta.tif", "A 36596-2026")</f>
        <v/>
      </c>
      <c r="AA110">
        <f>HYPERLINK("https://klasma.github.io/Logging_2181/klagomål/A 36596-2026 FSC-klagomål.docx", "A 36596-2026")</f>
        <v/>
      </c>
      <c r="AB110">
        <f>HYPERLINK("https://klasma.github.io/Logging_2181/klagomålsmail/A 36596-2026 FSC-klagomål mail.docx", "A 36596-2026")</f>
        <v/>
      </c>
      <c r="AC110">
        <f>HYPERLINK("https://klasma.github.io/Logging_2181/tillsyn/A 36596-2026 tillsynsbegäran.docx", "A 36596-2026")</f>
        <v/>
      </c>
      <c r="AD110">
        <f>HYPERLINK("https://klasma.github.io/Logging_2181/tillsynsmail/A 36596-2026 tillsynsbegäran mail.docx", "A 36596-2026")</f>
        <v/>
      </c>
    </row>
    <row r="111" ht="15" customHeight="1">
      <c r="A111" t="inlineStr">
        <is>
          <t>A 43566-2026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46311</v>
      </c>
      <c r="E111" s="1" t="n">
        <v>46326</v>
      </c>
      <c r="F111" t="inlineStr">
        <is>
          <t>GÄVLEBORGS LÄN</t>
        </is>
      </c>
      <c r="G111" t="inlineStr">
        <is>
          <t>SANDVIKEN</t>
        </is>
      </c>
      <c r="H111" t="inlineStr">
        <is>
          <t>Bergvik skog väst AB</t>
        </is>
      </c>
      <c r="I111" t="n">
        <v>24.3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Mosippa</t>
        </is>
      </c>
      <c r="W111">
        <f>HYPERLINK("https://klasma.github.io/Logging_2181/artfynd/A 43566-2026 artfynd.xlsx", "A 43566-2026")</f>
        <v/>
      </c>
      <c r="X111">
        <f>HYPERLINK("https://klasma.github.io/Logging_2181/kartor/A 43566-2026 karta.png", "A 43566-2026")</f>
        <v/>
      </c>
      <c r="Y111">
        <f>HYPERLINK("https://klasma.github.io/Logging_2181/kartor_geotiff/A 43566-2026 georefererad karta.tif", "A 43566-2026")</f>
        <v/>
      </c>
      <c r="AA111">
        <f>HYPERLINK("https://klasma.github.io/Logging_2181/klagomål/A 43566-2026 FSC-klagomål.docx", "A 43566-2026")</f>
        <v/>
      </c>
      <c r="AB111">
        <f>HYPERLINK("https://klasma.github.io/Logging_2181/klagomålsmail/A 43566-2026 FSC-klagomål mail.docx", "A 43566-2026")</f>
        <v/>
      </c>
      <c r="AC111">
        <f>HYPERLINK("https://klasma.github.io/Logging_2181/tillsyn/A 43566-2026 tillsynsbegäran.docx", "A 43566-2026")</f>
        <v/>
      </c>
      <c r="AD111">
        <f>HYPERLINK("https://klasma.github.io/Logging_2181/tillsynsmail/A 43566-2026 tillsynsbegäran mail.docx", "A 43566-2026")</f>
        <v/>
      </c>
    </row>
    <row r="112" ht="15" customHeight="1">
      <c r="A112" t="inlineStr">
        <is>
          <t>A 38109-2026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46281</v>
      </c>
      <c r="E112" s="1" t="n">
        <v>46326</v>
      </c>
      <c r="F112" t="inlineStr">
        <is>
          <t>GÄVLEBORGS LÄN</t>
        </is>
      </c>
      <c r="G112" t="inlineStr">
        <is>
          <t>SANDVIKEN</t>
        </is>
      </c>
      <c r="H112" t="inlineStr">
        <is>
          <t>Bergvik skog öst AB</t>
        </is>
      </c>
      <c r="I112" t="n">
        <v>11.9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Linmåra/småsnärjmåra</t>
        </is>
      </c>
      <c r="W112">
        <f>HYPERLINK("https://klasma.github.io/Logging_2181/artfynd/A 38109-2026 artfynd.xlsx", "A 38109-2026")</f>
        <v/>
      </c>
      <c r="X112">
        <f>HYPERLINK("https://klasma.github.io/Logging_2181/kartor/A 38109-2026 karta.png", "A 38109-2026")</f>
        <v/>
      </c>
      <c r="Y112">
        <f>HYPERLINK("https://klasma.github.io/Logging_2181/kartor_geotiff/A 38109-2026 georefererad karta.tif", "A 38109-2026")</f>
        <v/>
      </c>
      <c r="AA112">
        <f>HYPERLINK("https://klasma.github.io/Logging_2181/klagomål/A 38109-2026 FSC-klagomål.docx", "A 38109-2026")</f>
        <v/>
      </c>
      <c r="AB112">
        <f>HYPERLINK("https://klasma.github.io/Logging_2181/klagomålsmail/A 38109-2026 FSC-klagomål mail.docx", "A 38109-2026")</f>
        <v/>
      </c>
      <c r="AC112">
        <f>HYPERLINK("https://klasma.github.io/Logging_2181/tillsyn/A 38109-2026 tillsynsbegäran.docx", "A 38109-2026")</f>
        <v/>
      </c>
      <c r="AD112">
        <f>HYPERLINK("https://klasma.github.io/Logging_2181/tillsynsmail/A 38109-2026 tillsynsbegäran mail.docx", "A 38109-2026")</f>
        <v/>
      </c>
    </row>
    <row r="113" ht="15" customHeight="1">
      <c r="A113" t="inlineStr">
        <is>
          <t>S 242-2024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45319</v>
      </c>
      <c r="E113" s="1" t="n">
        <v>46326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51.8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242-2024 artfynd.xlsx", "S 242-2024")</f>
        <v/>
      </c>
      <c r="X113">
        <f>HYPERLINK("https://klasma.github.io/Logging_2181/kartor/S 242-2024 karta.png", "S 242-2024")</f>
        <v/>
      </c>
      <c r="Y113">
        <f>HYPERLINK("https://klasma.github.io/Logging_2181/kartor_geotiff/S 242-2024 georefererad karta.tif", "S 242-2024")</f>
        <v/>
      </c>
      <c r="AA113">
        <f>HYPERLINK("https://klasma.github.io/Logging_2181/klagomål/S 242-2024 FSC-klagomål.docx", "S 242-2024")</f>
        <v/>
      </c>
      <c r="AB113">
        <f>HYPERLINK("https://klasma.github.io/Logging_2181/klagomålsmail/S 242-2024 FSC-klagomål mail.docx", "S 242-2024")</f>
        <v/>
      </c>
      <c r="AC113">
        <f>HYPERLINK("https://klasma.github.io/Logging_2181/tillsyn/S 242-2024 tillsynsbegäran.docx", "S 242-2024")</f>
        <v/>
      </c>
      <c r="AD113">
        <f>HYPERLINK("https://klasma.github.io/Logging_2181/tillsynsmail/S 242-2024 tillsynsbegäran mail.docx", "S 242-2024")</f>
        <v/>
      </c>
      <c r="AE113">
        <f>HYPERLINK("https://klasma.github.io/Logging_2181/fåglar/S 242-2024 prioriterade fågelarter.docx", "S 242-2024")</f>
        <v/>
      </c>
    </row>
    <row r="114" ht="15" customHeight="1">
      <c r="A114" t="inlineStr">
        <is>
          <t>S 1687-2023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45064</v>
      </c>
      <c r="E114" s="1" t="n">
        <v>46326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HYPERLINK("https://klasma.github.io/Logging_2181/artfynd/S 1687-2023 artfynd.xlsx", "S 1687-2023")</f>
        <v/>
      </c>
      <c r="X114">
        <f>HYPERLINK("https://klasma.github.io/Logging_2181/kartor/S 1687-2023 karta.png", "S 1687-2023")</f>
        <v/>
      </c>
      <c r="Y114">
        <f>HYPERLINK("https://klasma.github.io/Logging_2181/kartor_geotiff/S 1687-2023 georefererad karta.tif", "S 1687-2023")</f>
        <v/>
      </c>
      <c r="AA114">
        <f>HYPERLINK("https://klasma.github.io/Logging_2181/klagomål/S 1687-2023 FSC-klagomål.docx", "S 1687-2023")</f>
        <v/>
      </c>
      <c r="AB114">
        <f>HYPERLINK("https://klasma.github.io/Logging_2181/klagomålsmail/S 1687-2023 FSC-klagomål mail.docx", "S 1687-2023")</f>
        <v/>
      </c>
      <c r="AC114">
        <f>HYPERLINK("https://klasma.github.io/Logging_2181/tillsyn/S 1687-2023 tillsynsbegäran.docx", "S 1687-2023")</f>
        <v/>
      </c>
      <c r="AD114">
        <f>HYPERLINK("https://klasma.github.io/Logging_2181/tillsynsmail/S 1687-2023 tillsynsbegäran mail.docx", "S 1687-2023")</f>
        <v/>
      </c>
    </row>
    <row r="115" ht="15" customHeight="1">
      <c r="A115" t="inlineStr">
        <is>
          <t>S 504-2025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45706</v>
      </c>
      <c r="E115" s="1" t="n">
        <v>46326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19.3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Fläcknycklar</t>
        </is>
      </c>
      <c r="W115">
        <f>HYPERLINK("https://klasma.github.io/Logging_2181/artfynd/S 504-2025 artfynd.xlsx", "S 504-2025")</f>
        <v/>
      </c>
      <c r="X115">
        <f>HYPERLINK("https://klasma.github.io/Logging_2181/kartor/S 504-2025 karta.png", "S 504-2025")</f>
        <v/>
      </c>
      <c r="Y115">
        <f>HYPERLINK("https://klasma.github.io/Logging_2181/kartor_geotiff/S 504-2025 georefererad karta.tif", "S 504-2025")</f>
        <v/>
      </c>
      <c r="AA115">
        <f>HYPERLINK("https://klasma.github.io/Logging_2181/klagomål/S 504-2025 FSC-klagomål.docx", "S 504-2025")</f>
        <v/>
      </c>
      <c r="AB115">
        <f>HYPERLINK("https://klasma.github.io/Logging_2181/klagomålsmail/S 504-2025 FSC-klagomål mail.docx", "S 504-2025")</f>
        <v/>
      </c>
      <c r="AC115">
        <f>HYPERLINK("https://klasma.github.io/Logging_2181/tillsyn/S 504-2025 tillsynsbegäran.docx", "S 504-2025")</f>
        <v/>
      </c>
      <c r="AD115">
        <f>HYPERLINK("https://klasma.github.io/Logging_2181/tillsynsmail/S 504-2025 tillsynsbegäran mail.docx", "S 504-2025")</f>
        <v/>
      </c>
    </row>
    <row r="116" ht="15" customHeight="1">
      <c r="A116" t="inlineStr">
        <is>
          <t>S 412-2025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45699</v>
      </c>
      <c r="E116" s="1" t="n">
        <v>46326</v>
      </c>
      <c r="F116" t="inlineStr">
        <is>
          <t>GÄVLEBORGS LÄN</t>
        </is>
      </c>
      <c r="G116" t="inlineStr">
        <is>
          <t>SANDVIKEN</t>
        </is>
      </c>
      <c r="H116" t="inlineStr">
        <is>
          <t>Bergvik skog öst AB</t>
        </is>
      </c>
      <c r="I116" t="n">
        <v>21.2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Aspbarkgnagare</t>
        </is>
      </c>
      <c r="W116">
        <f>HYPERLINK("https://klasma.github.io/Logging_2181/artfynd/S 412-2025 artfynd.xlsx", "S 412-2025")</f>
        <v/>
      </c>
      <c r="X116">
        <f>HYPERLINK("https://klasma.github.io/Logging_2181/kartor/S 412-2025 karta.png", "S 412-2025")</f>
        <v/>
      </c>
      <c r="Y116">
        <f>HYPERLINK("https://klasma.github.io/Logging_2181/kartor_geotiff/S 412-2025 georefererad karta.tif", "S 412-2025")</f>
        <v/>
      </c>
      <c r="AA116">
        <f>HYPERLINK("https://klasma.github.io/Logging_2181/klagomål/S 412-2025 FSC-klagomål.docx", "S 412-2025")</f>
        <v/>
      </c>
      <c r="AB116">
        <f>HYPERLINK("https://klasma.github.io/Logging_2181/klagomålsmail/S 412-2025 FSC-klagomål mail.docx", "S 412-2025")</f>
        <v/>
      </c>
      <c r="AC116">
        <f>HYPERLINK("https://klasma.github.io/Logging_2181/tillsyn/S 412-2025 tillsynsbegäran.docx", "S 412-2025")</f>
        <v/>
      </c>
      <c r="AD116">
        <f>HYPERLINK("https://klasma.github.io/Logging_2181/tillsynsmail/S 412-2025 tillsynsbegäran mail.docx", "S 412-2025")</f>
        <v/>
      </c>
    </row>
    <row r="117" ht="15" customHeight="1">
      <c r="A117" t="inlineStr">
        <is>
          <t>S 501-2025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45706</v>
      </c>
      <c r="E117" s="1" t="n">
        <v>46326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20.6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HYPERLINK("https://klasma.github.io/Logging_2181/artfynd/S 501-2025 artfynd.xlsx", "S 501-2025")</f>
        <v/>
      </c>
      <c r="X117">
        <f>HYPERLINK("https://klasma.github.io/Logging_2181/kartor/S 501-2025 karta.png", "S 501-2025")</f>
        <v/>
      </c>
      <c r="Y117">
        <f>HYPERLINK("https://klasma.github.io/Logging_2181/kartor_geotiff/S 501-2025 georefererad karta.tif", "S 501-2025")</f>
        <v/>
      </c>
      <c r="AA117">
        <f>HYPERLINK("https://klasma.github.io/Logging_2181/klagomål/S 501-2025 FSC-klagomål.docx", "S 501-2025")</f>
        <v/>
      </c>
      <c r="AB117">
        <f>HYPERLINK("https://klasma.github.io/Logging_2181/klagomålsmail/S 501-2025 FSC-klagomål mail.docx", "S 501-2025")</f>
        <v/>
      </c>
      <c r="AC117">
        <f>HYPERLINK("https://klasma.github.io/Logging_2181/tillsyn/S 501-2025 tillsynsbegäran.docx", "S 501-2025")</f>
        <v/>
      </c>
      <c r="AD117">
        <f>HYPERLINK("https://klasma.github.io/Logging_2181/tillsynsmail/S 501-2025 tillsynsbegäran mail.docx", "S 501-2025")</f>
        <v/>
      </c>
      <c r="AE117">
        <f>HYPERLINK("https://klasma.github.io/Logging_2181/fåglar/S 501-2025 prioriterade fågelarter.docx", "S 501-2025")</f>
        <v/>
      </c>
    </row>
    <row r="118" ht="15" customHeight="1">
      <c r="A118" t="inlineStr">
        <is>
          <t>S 1025-2026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46122</v>
      </c>
      <c r="E118" s="1" t="n">
        <v>46326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62.8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Bivråk</t>
        </is>
      </c>
      <c r="W118">
        <f>HYPERLINK("https://klasma.github.io/Logging_2181/artfynd/S 1025-2026 artfynd.xlsx", "S 1025-2026")</f>
        <v/>
      </c>
      <c r="X118">
        <f>HYPERLINK("https://klasma.github.io/Logging_2181/kartor/S 1025-2026 karta.png", "S 1025-2026")</f>
        <v/>
      </c>
      <c r="Y118">
        <f>HYPERLINK("https://klasma.github.io/Logging_2181/kartor_geotiff/S 1025-2026 georefererad karta.tif", "S 1025-2026")</f>
        <v/>
      </c>
      <c r="AA118">
        <f>HYPERLINK("https://klasma.github.io/Logging_2181/klagomål/S 1025-2026 FSC-klagomål.docx", "S 1025-2026")</f>
        <v/>
      </c>
      <c r="AB118">
        <f>HYPERLINK("https://klasma.github.io/Logging_2181/klagomålsmail/S 1025-2026 FSC-klagomål mail.docx", "S 1025-2026")</f>
        <v/>
      </c>
      <c r="AC118">
        <f>HYPERLINK("https://klasma.github.io/Logging_2181/tillsyn/S 1025-2026 tillsynsbegäran.docx", "S 1025-2026")</f>
        <v/>
      </c>
      <c r="AD118">
        <f>HYPERLINK("https://klasma.github.io/Logging_2181/tillsynsmail/S 1025-2026 tillsynsbegäran mail.docx", "S 1025-2026")</f>
        <v/>
      </c>
      <c r="AE118">
        <f>HYPERLINK("https://klasma.github.io/Logging_2181/fåglar/S 1025-2026 prioriterade fågelarter.docx", "S 1025-2026")</f>
        <v/>
      </c>
    </row>
    <row r="119" ht="15" customHeight="1">
      <c r="A119" t="inlineStr">
        <is>
          <t>A 51162-2022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44868</v>
      </c>
      <c r="E119" s="1" t="n">
        <v>46326</v>
      </c>
      <c r="F119" t="inlineStr">
        <is>
          <t>GÄVLEBORGS LÄN</t>
        </is>
      </c>
      <c r="G119" t="inlineStr">
        <is>
          <t>SANDVIKEN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63086-2021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46326</v>
      </c>
      <c r="F120" t="inlineStr">
        <is>
          <t>GÄVLEBORGS LÄN</t>
        </is>
      </c>
      <c r="G120" t="inlineStr">
        <is>
          <t>SANDVIKEN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46326</v>
      </c>
      <c r="F121" t="inlineStr">
        <is>
          <t>GÄVLEBORGS LÄN</t>
        </is>
      </c>
      <c r="G121" t="inlineStr">
        <is>
          <t>SANDVIKEN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46326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46326</v>
      </c>
      <c r="F123" t="inlineStr">
        <is>
          <t>GÄVLEBORGS LÄN</t>
        </is>
      </c>
      <c r="G123" t="inlineStr">
        <is>
          <t>SANDVIKEN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61729-2021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46326</v>
      </c>
      <c r="F124" t="inlineStr">
        <is>
          <t>GÄVLEBORGS LÄN</t>
        </is>
      </c>
      <c r="G124" t="inlineStr">
        <is>
          <t>SANDVIKEN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46326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46326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46326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46326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46326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46326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46326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46326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46326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46326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46326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46326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46326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46326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46326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46326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46326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46326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46326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46326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46326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46326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46326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46326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46326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46326</v>
      </c>
      <c r="F150" t="inlineStr">
        <is>
          <t>GÄVLEBORGS LÄN</t>
        </is>
      </c>
      <c r="G150" t="inlineStr">
        <is>
          <t>SANDVIKEN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46326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46326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46326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46326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46326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46326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46326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46326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46326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46326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46326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46326</v>
      </c>
      <c r="F162" t="inlineStr">
        <is>
          <t>GÄVLEBORGS LÄN</t>
        </is>
      </c>
      <c r="G162" t="inlineStr">
        <is>
          <t>SANDVIKEN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46326</v>
      </c>
      <c r="F163" t="inlineStr">
        <is>
          <t>GÄVLEBORGS LÄN</t>
        </is>
      </c>
      <c r="G163" t="inlineStr">
        <is>
          <t>SANDVIKEN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46326</v>
      </c>
      <c r="F164" t="inlineStr">
        <is>
          <t>GÄVLEBORGS LÄN</t>
        </is>
      </c>
      <c r="G164" t="inlineStr">
        <is>
          <t>SANDVIKEN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46326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46326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46326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46326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46326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46326</v>
      </c>
      <c r="F170" t="inlineStr">
        <is>
          <t>GÄVLEBORGS LÄN</t>
        </is>
      </c>
      <c r="G170" t="inlineStr">
        <is>
          <t>SANDVIKEN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46326</v>
      </c>
      <c r="F171" t="inlineStr">
        <is>
          <t>GÄVLEBORGS LÄN</t>
        </is>
      </c>
      <c r="G171" t="inlineStr">
        <is>
          <t>SANDVIKEN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46326</v>
      </c>
      <c r="F172" t="inlineStr">
        <is>
          <t>GÄVLEBORGS LÄN</t>
        </is>
      </c>
      <c r="G172" t="inlineStr">
        <is>
          <t>SANDVIKEN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46326</v>
      </c>
      <c r="F173" t="inlineStr">
        <is>
          <t>GÄVLEBORGS LÄN</t>
        </is>
      </c>
      <c r="G173" t="inlineStr">
        <is>
          <t>SANDVIKEN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46326</v>
      </c>
      <c r="F174" t="inlineStr">
        <is>
          <t>GÄVLEBORGS LÄN</t>
        </is>
      </c>
      <c r="G174" t="inlineStr">
        <is>
          <t>SANDVIKEN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46326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46326</v>
      </c>
      <c r="F176" t="inlineStr">
        <is>
          <t>GÄVLEBORGS LÄN</t>
        </is>
      </c>
      <c r="G176" t="inlineStr">
        <is>
          <t>SANDVIKEN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45126</v>
      </c>
      <c r="E177" s="1" t="n">
        <v>46326</v>
      </c>
      <c r="F177" t="inlineStr">
        <is>
          <t>GÄVLEBORGS LÄN</t>
        </is>
      </c>
      <c r="G177" t="inlineStr">
        <is>
          <t>SANDVIKEN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46326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46326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46326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väst AB</t>
        </is>
      </c>
      <c r="I180" t="n">
        <v>14.2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46326</v>
      </c>
      <c r="F181" t="inlineStr">
        <is>
          <t>GÄVLEBORGS LÄN</t>
        </is>
      </c>
      <c r="G181" t="inlineStr">
        <is>
          <t>SANDVIKEN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46326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46326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46326</v>
      </c>
      <c r="F184" t="inlineStr">
        <is>
          <t>GÄVLEBORGS LÄN</t>
        </is>
      </c>
      <c r="G184" t="inlineStr">
        <is>
          <t>SANDVIKEN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46326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46326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46326</v>
      </c>
      <c r="F187" t="inlineStr">
        <is>
          <t>GÄVLEBORGS LÄN</t>
        </is>
      </c>
      <c r="G187" t="inlineStr">
        <is>
          <t>SANDVIKEN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46326</v>
      </c>
      <c r="F188" t="inlineStr">
        <is>
          <t>GÄVLEBORGS LÄN</t>
        </is>
      </c>
      <c r="G188" t="inlineStr">
        <is>
          <t>SANDVIKEN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46326</v>
      </c>
      <c r="F189" t="inlineStr">
        <is>
          <t>GÄVLEBORGS LÄN</t>
        </is>
      </c>
      <c r="G189" t="inlineStr">
        <is>
          <t>SANDVIKEN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46326</v>
      </c>
      <c r="F190" t="inlineStr">
        <is>
          <t>GÄVLEBORGS LÄN</t>
        </is>
      </c>
      <c r="G190" t="inlineStr">
        <is>
          <t>SANDVIKEN</t>
        </is>
      </c>
      <c r="I190" t="n">
        <v>11.1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46326</v>
      </c>
      <c r="F191" t="inlineStr">
        <is>
          <t>GÄVLEBORGS LÄN</t>
        </is>
      </c>
      <c r="G191" t="inlineStr">
        <is>
          <t>SANDVIKEN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46326</v>
      </c>
      <c r="F192" t="inlineStr">
        <is>
          <t>GÄVLEBORGS LÄN</t>
        </is>
      </c>
      <c r="G192" t="inlineStr">
        <is>
          <t>SANDVIKEN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46326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46326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45810</v>
      </c>
      <c r="E195" s="1" t="n">
        <v>46326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46326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öst AB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45649</v>
      </c>
      <c r="E197" s="1" t="n">
        <v>46326</v>
      </c>
      <c r="F197" t="inlineStr">
        <is>
          <t>GÄVLEBORGS LÄN</t>
        </is>
      </c>
      <c r="G197" t="inlineStr">
        <is>
          <t>SANDVIKEN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46326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46326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46326</v>
      </c>
      <c r="F200" t="inlineStr">
        <is>
          <t>GÄVLEBORGS LÄN</t>
        </is>
      </c>
      <c r="G200" t="inlineStr">
        <is>
          <t>SANDVIKEN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46326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45589</v>
      </c>
      <c r="E202" s="1" t="n">
        <v>46326</v>
      </c>
      <c r="F202" t="inlineStr">
        <is>
          <t>GÄVLEBORGS LÄN</t>
        </is>
      </c>
      <c r="G202" t="inlineStr">
        <is>
          <t>SANDVIKEN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46326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46326</v>
      </c>
      <c r="F204" t="inlineStr">
        <is>
          <t>GÄVLEBORGS LÄN</t>
        </is>
      </c>
      <c r="G204" t="inlineStr">
        <is>
          <t>SANDVIKEN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46326</v>
      </c>
      <c r="F205" t="inlineStr">
        <is>
          <t>GÄVLEBORGS LÄN</t>
        </is>
      </c>
      <c r="G205" t="inlineStr">
        <is>
          <t>SANDVIKEN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46326</v>
      </c>
      <c r="F206" t="inlineStr">
        <is>
          <t>GÄVLEBORGS LÄN</t>
        </is>
      </c>
      <c r="G206" t="inlineStr">
        <is>
          <t>SANDVIKEN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46326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46326</v>
      </c>
      <c r="F208" t="inlineStr">
        <is>
          <t>GÄVLEBORGS LÄN</t>
        </is>
      </c>
      <c r="G208" t="inlineStr">
        <is>
          <t>SANDVIKEN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46326</v>
      </c>
      <c r="F209" t="inlineStr">
        <is>
          <t>GÄVLEBORGS LÄN</t>
        </is>
      </c>
      <c r="G209" t="inlineStr">
        <is>
          <t>SANDVIKEN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46326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46326</v>
      </c>
      <c r="F211" t="inlineStr">
        <is>
          <t>GÄVLEBORGS LÄN</t>
        </is>
      </c>
      <c r="G211" t="inlineStr">
        <is>
          <t>SANDVIKEN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46326</v>
      </c>
      <c r="F212" t="inlineStr">
        <is>
          <t>GÄVLEBORGS LÄN</t>
        </is>
      </c>
      <c r="G212" t="inlineStr">
        <is>
          <t>SANDVIKEN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46326</v>
      </c>
      <c r="F213" t="inlineStr">
        <is>
          <t>GÄVLEBORGS LÄN</t>
        </is>
      </c>
      <c r="G213" t="inlineStr">
        <is>
          <t>SANDVIKEN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46326</v>
      </c>
      <c r="F214" t="inlineStr">
        <is>
          <t>GÄVLEBORGS LÄN</t>
        </is>
      </c>
      <c r="G214" t="inlineStr">
        <is>
          <t>SANDVIKEN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46326</v>
      </c>
      <c r="F215" t="inlineStr">
        <is>
          <t>GÄVLEBORGS LÄN</t>
        </is>
      </c>
      <c r="G215" t="inlineStr">
        <is>
          <t>SANDVIKEN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45899</v>
      </c>
      <c r="E216" s="1" t="n">
        <v>46326</v>
      </c>
      <c r="F216" t="inlineStr">
        <is>
          <t>GÄVLEBORGS LÄN</t>
        </is>
      </c>
      <c r="G216" t="inlineStr">
        <is>
          <t>SANDVIKEN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46326</v>
      </c>
      <c r="F217" t="inlineStr">
        <is>
          <t>GÄVLEBORGS LÄN</t>
        </is>
      </c>
      <c r="G217" t="inlineStr">
        <is>
          <t>SANDVIKEN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46326</v>
      </c>
      <c r="F218" t="inlineStr">
        <is>
          <t>GÄVLEBORGS LÄN</t>
        </is>
      </c>
      <c r="G218" t="inlineStr">
        <is>
          <t>SANDVIKEN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46326</v>
      </c>
      <c r="F219" t="inlineStr">
        <is>
          <t>GÄVLEBORGS LÄN</t>
        </is>
      </c>
      <c r="G219" t="inlineStr">
        <is>
          <t>SANDVIKEN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46326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väst AB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46326</v>
      </c>
      <c r="F221" t="inlineStr">
        <is>
          <t>GÄVLEBORGS LÄN</t>
        </is>
      </c>
      <c r="G221" t="inlineStr">
        <is>
          <t>SANDVIKEN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46326</v>
      </c>
      <c r="F222" t="inlineStr">
        <is>
          <t>GÄVLEBORGS LÄN</t>
        </is>
      </c>
      <c r="G222" t="inlineStr">
        <is>
          <t>SANDVIKEN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45615</v>
      </c>
      <c r="E223" s="1" t="n">
        <v>46326</v>
      </c>
      <c r="F223" t="inlineStr">
        <is>
          <t>GÄVLEBORGS LÄN</t>
        </is>
      </c>
      <c r="G223" t="inlineStr">
        <is>
          <t>SANDVIKEN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46326</v>
      </c>
      <c r="F224" t="inlineStr">
        <is>
          <t>GÄVLEBORGS LÄN</t>
        </is>
      </c>
      <c r="G224" t="inlineStr">
        <is>
          <t>SANDVIKEN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46326</v>
      </c>
      <c r="F225" t="inlineStr">
        <is>
          <t>GÄVLEBORGS LÄN</t>
        </is>
      </c>
      <c r="G225" t="inlineStr">
        <is>
          <t>SANDVIKEN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46326</v>
      </c>
      <c r="F226" t="inlineStr">
        <is>
          <t>GÄVLEBORGS LÄN</t>
        </is>
      </c>
      <c r="G226" t="inlineStr">
        <is>
          <t>SANDVIKEN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46326</v>
      </c>
      <c r="F227" t="inlineStr">
        <is>
          <t>GÄVLEBORGS LÄN</t>
        </is>
      </c>
      <c r="G227" t="inlineStr">
        <is>
          <t>SANDVIKEN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46326</v>
      </c>
      <c r="F228" t="inlineStr">
        <is>
          <t>GÄVLEBORGS LÄN</t>
        </is>
      </c>
      <c r="G228" t="inlineStr">
        <is>
          <t>SANDVIKEN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44813</v>
      </c>
      <c r="E229" s="1" t="n">
        <v>46326</v>
      </c>
      <c r="F229" t="inlineStr">
        <is>
          <t>GÄVLEBORGS LÄN</t>
        </is>
      </c>
      <c r="G229" t="inlineStr">
        <is>
          <t>SANDVIKEN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52772-2023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46326</v>
      </c>
      <c r="F230" t="inlineStr">
        <is>
          <t>GÄVLEBORGS LÄN</t>
        </is>
      </c>
      <c r="G230" t="inlineStr">
        <is>
          <t>SANDVIKEN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46326</v>
      </c>
      <c r="F231" t="inlineStr">
        <is>
          <t>GÄVLEBORGS LÄN</t>
        </is>
      </c>
      <c r="G231" t="inlineStr">
        <is>
          <t>SANDVIKEN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46326</v>
      </c>
      <c r="F232" t="inlineStr">
        <is>
          <t>GÄVLEBORGS LÄN</t>
        </is>
      </c>
      <c r="G232" t="inlineStr">
        <is>
          <t>SANDVIKEN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46326</v>
      </c>
      <c r="F233" t="inlineStr">
        <is>
          <t>GÄVLEBORGS LÄN</t>
        </is>
      </c>
      <c r="G233" t="inlineStr">
        <is>
          <t>SANDVIKEN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46326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30843-2025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45831</v>
      </c>
      <c r="E235" s="1" t="n">
        <v>46326</v>
      </c>
      <c r="F235" t="inlineStr">
        <is>
          <t>GÄVLEBORGS LÄN</t>
        </is>
      </c>
      <c r="G235" t="inlineStr">
        <is>
          <t>SANDVIKEN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45480</v>
      </c>
      <c r="E236" s="1" t="n">
        <v>46326</v>
      </c>
      <c r="F236" t="inlineStr">
        <is>
          <t>GÄVLEBORGS LÄN</t>
        </is>
      </c>
      <c r="G236" t="inlineStr">
        <is>
          <t>SANDVIKEN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46326</v>
      </c>
      <c r="F237" t="inlineStr">
        <is>
          <t>GÄVLEBORGS LÄN</t>
        </is>
      </c>
      <c r="G237" t="inlineStr">
        <is>
          <t>SANDVIKEN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44797</v>
      </c>
      <c r="E238" s="1" t="n">
        <v>46326</v>
      </c>
      <c r="F238" t="inlineStr">
        <is>
          <t>GÄVLEBORGS LÄN</t>
        </is>
      </c>
      <c r="G238" t="inlineStr">
        <is>
          <t>SANDVIKEN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46326</v>
      </c>
      <c r="F239" t="inlineStr">
        <is>
          <t>GÄVLEBORGS LÄN</t>
        </is>
      </c>
      <c r="G239" t="inlineStr">
        <is>
          <t>SANDVIKEN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46326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46326</v>
      </c>
      <c r="F241" t="inlineStr">
        <is>
          <t>GÄVLEBORGS LÄN</t>
        </is>
      </c>
      <c r="G241" t="inlineStr">
        <is>
          <t>SANDVIKEN</t>
        </is>
      </c>
      <c r="H241" t="inlineStr">
        <is>
          <t>Bergvik skog öst AB</t>
        </is>
      </c>
      <c r="I241" t="n">
        <v>27.3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46326</v>
      </c>
      <c r="F242" t="inlineStr">
        <is>
          <t>GÄVLEBORGS LÄN</t>
        </is>
      </c>
      <c r="G242" t="inlineStr">
        <is>
          <t>SANDVIKEN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46326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45916</v>
      </c>
      <c r="E244" s="1" t="n">
        <v>46326</v>
      </c>
      <c r="F244" t="inlineStr">
        <is>
          <t>GÄVLEBORGS LÄN</t>
        </is>
      </c>
      <c r="G244" t="inlineStr">
        <is>
          <t>SANDVIKEN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46326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46326</v>
      </c>
      <c r="F246" t="inlineStr">
        <is>
          <t>GÄVLEBORGS LÄN</t>
        </is>
      </c>
      <c r="G246" t="inlineStr">
        <is>
          <t>SANDVIKEN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45842</v>
      </c>
      <c r="E247" s="1" t="n">
        <v>46326</v>
      </c>
      <c r="F247" t="inlineStr">
        <is>
          <t>GÄVLEBORGS LÄN</t>
        </is>
      </c>
      <c r="G247" t="inlineStr">
        <is>
          <t>SANDVIKEN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44804</v>
      </c>
      <c r="E248" s="1" t="n">
        <v>46326</v>
      </c>
      <c r="F248" t="inlineStr">
        <is>
          <t>GÄVLEBORGS LÄN</t>
        </is>
      </c>
      <c r="G248" t="inlineStr">
        <is>
          <t>SANDVIKEN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46326</v>
      </c>
      <c r="F249" t="inlineStr">
        <is>
          <t>GÄVLEBORGS LÄN</t>
        </is>
      </c>
      <c r="G249" t="inlineStr">
        <is>
          <t>SANDVIKEN</t>
        </is>
      </c>
      <c r="H249" t="inlineStr">
        <is>
          <t>Kyrkan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46326</v>
      </c>
      <c r="F250" t="inlineStr">
        <is>
          <t>GÄVLEBORGS LÄN</t>
        </is>
      </c>
      <c r="G250" t="inlineStr">
        <is>
          <t>SANDVIKEN</t>
        </is>
      </c>
      <c r="H250" t="inlineStr">
        <is>
          <t>Kyrkan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46326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46326</v>
      </c>
      <c r="F252" t="inlineStr">
        <is>
          <t>GÄVLEBORGS LÄN</t>
        </is>
      </c>
      <c r="G252" t="inlineStr">
        <is>
          <t>SANDVIKEN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46326</v>
      </c>
      <c r="F253" t="inlineStr">
        <is>
          <t>GÄVLEBORGS LÄN</t>
        </is>
      </c>
      <c r="G253" t="inlineStr">
        <is>
          <t>SANDVIKEN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46269-2025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46326</v>
      </c>
      <c r="F254" t="inlineStr">
        <is>
          <t>GÄVLEBORGS LÄN</t>
        </is>
      </c>
      <c r="G254" t="inlineStr">
        <is>
          <t>SANDVIKEN</t>
        </is>
      </c>
      <c r="I254" t="n">
        <v>10.3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46326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45112</v>
      </c>
      <c r="E256" s="1" t="n">
        <v>46326</v>
      </c>
      <c r="F256" t="inlineStr">
        <is>
          <t>GÄVLEBORGS LÄN</t>
        </is>
      </c>
      <c r="G256" t="inlineStr">
        <is>
          <t>SANDVIKEN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46326</v>
      </c>
      <c r="F257" t="inlineStr">
        <is>
          <t>GÄVLEBORGS LÄN</t>
        </is>
      </c>
      <c r="G257" t="inlineStr">
        <is>
          <t>SANDVIKEN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46326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45863</v>
      </c>
      <c r="E259" s="1" t="n">
        <v>46326</v>
      </c>
      <c r="F259" t="inlineStr">
        <is>
          <t>GÄVLEBORGS LÄN</t>
        </is>
      </c>
      <c r="G259" t="inlineStr">
        <is>
          <t>SANDVIKEN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36107-2025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45866</v>
      </c>
      <c r="E260" s="1" t="n">
        <v>46326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46326</v>
      </c>
      <c r="F261" t="inlineStr">
        <is>
          <t>GÄVLEBORGS LÄN</t>
        </is>
      </c>
      <c r="G261" t="inlineStr">
        <is>
          <t>SANDVIKEN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45866</v>
      </c>
      <c r="E262" s="1" t="n">
        <v>46326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46326</v>
      </c>
      <c r="F263" t="inlineStr">
        <is>
          <t>GÄVLEBORGS LÄN</t>
        </is>
      </c>
      <c r="G263" t="inlineStr">
        <is>
          <t>SANDVIKEN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46326</v>
      </c>
      <c r="F264" t="inlineStr">
        <is>
          <t>GÄVLEBORGS LÄN</t>
        </is>
      </c>
      <c r="G264" t="inlineStr">
        <is>
          <t>SANDVIKEN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46326</v>
      </c>
      <c r="F265" t="inlineStr">
        <is>
          <t>GÄVLEBORGS LÄN</t>
        </is>
      </c>
      <c r="G265" t="inlineStr">
        <is>
          <t>SANDVIKEN</t>
        </is>
      </c>
      <c r="H265" t="inlineStr">
        <is>
          <t>Kommuner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46326</v>
      </c>
      <c r="F266" t="inlineStr">
        <is>
          <t>GÄVLEBORGS LÄN</t>
        </is>
      </c>
      <c r="G266" t="inlineStr">
        <is>
          <t>SANDVIKEN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46326</v>
      </c>
      <c r="F267" t="inlineStr">
        <is>
          <t>GÄVLEBORGS LÄN</t>
        </is>
      </c>
      <c r="G267" t="inlineStr">
        <is>
          <t>SANDVIKEN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46326</v>
      </c>
      <c r="F268" t="inlineStr">
        <is>
          <t>GÄVLEBORGS LÄN</t>
        </is>
      </c>
      <c r="G268" t="inlineStr">
        <is>
          <t>SANDVIKEN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45867</v>
      </c>
      <c r="E269" s="1" t="n">
        <v>46326</v>
      </c>
      <c r="F269" t="inlineStr">
        <is>
          <t>GÄVLEBORGS LÄN</t>
        </is>
      </c>
      <c r="G269" t="inlineStr">
        <is>
          <t>SANDVIKEN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46326</v>
      </c>
      <c r="F270" t="inlineStr">
        <is>
          <t>GÄVLEBORGS LÄN</t>
        </is>
      </c>
      <c r="G270" t="inlineStr">
        <is>
          <t>SANDVIKEN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32849-2022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44784</v>
      </c>
      <c r="E271" s="1" t="n">
        <v>46326</v>
      </c>
      <c r="F271" t="inlineStr">
        <is>
          <t>GÄVLEBORGS LÄN</t>
        </is>
      </c>
      <c r="G271" t="inlineStr">
        <is>
          <t>SANDVIKEN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46326</v>
      </c>
      <c r="F272" t="inlineStr">
        <is>
          <t>GÄVLEBORGS LÄN</t>
        </is>
      </c>
      <c r="G272" t="inlineStr">
        <is>
          <t>SANDVIKEN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45870</v>
      </c>
      <c r="E273" s="1" t="n">
        <v>46326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46326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46326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46326</v>
      </c>
      <c r="F276" t="inlineStr">
        <is>
          <t>GÄVLEBORGS LÄN</t>
        </is>
      </c>
      <c r="G276" t="inlineStr">
        <is>
          <t>SANDVIKEN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45540</v>
      </c>
      <c r="E277" s="1" t="n">
        <v>46326</v>
      </c>
      <c r="F277" t="inlineStr">
        <is>
          <t>GÄVLEBORGS LÄN</t>
        </is>
      </c>
      <c r="G277" t="inlineStr">
        <is>
          <t>SANDVIKEN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56150-2023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45240</v>
      </c>
      <c r="E278" s="1" t="n">
        <v>46326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46326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46326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väst AB</t>
        </is>
      </c>
      <c r="I280" t="n">
        <v>10.1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46326</v>
      </c>
      <c r="F281" t="inlineStr">
        <is>
          <t>GÄVLEBORGS LÄN</t>
        </is>
      </c>
      <c r="G281" t="inlineStr">
        <is>
          <t>SANDVIKEN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46326</v>
      </c>
      <c r="F282" t="inlineStr">
        <is>
          <t>GÄVLEBORGS LÄN</t>
        </is>
      </c>
      <c r="G282" t="inlineStr">
        <is>
          <t>SANDVIKEN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46326</v>
      </c>
      <c r="F283" t="inlineStr">
        <is>
          <t>GÄVLEBORGS LÄN</t>
        </is>
      </c>
      <c r="G283" t="inlineStr">
        <is>
          <t>SANDVIKEN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46326</v>
      </c>
      <c r="F284" t="inlineStr">
        <is>
          <t>GÄVLEBORGS LÄN</t>
        </is>
      </c>
      <c r="G284" t="inlineStr">
        <is>
          <t>SANDVIKEN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46326</v>
      </c>
      <c r="F285" t="inlineStr">
        <is>
          <t>GÄVLEBORGS LÄN</t>
        </is>
      </c>
      <c r="G285" t="inlineStr">
        <is>
          <t>SANDVIKEN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45939</v>
      </c>
      <c r="E286" s="1" t="n">
        <v>46326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49217-2025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45938</v>
      </c>
      <c r="E287" s="1" t="n">
        <v>46326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46326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46326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45943</v>
      </c>
      <c r="E290" s="1" t="n">
        <v>46326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46326</v>
      </c>
      <c r="F291" t="inlineStr">
        <is>
          <t>GÄVLEBORGS LÄN</t>
        </is>
      </c>
      <c r="G291" t="inlineStr">
        <is>
          <t>SANDVIKEN</t>
        </is>
      </c>
      <c r="H291" t="inlineStr">
        <is>
          <t>Kommuner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46326</v>
      </c>
      <c r="F292" t="inlineStr">
        <is>
          <t>GÄVLEBORGS LÄN</t>
        </is>
      </c>
      <c r="G292" t="inlineStr">
        <is>
          <t>SANDVIKEN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46326</v>
      </c>
      <c r="F293" t="inlineStr">
        <is>
          <t>GÄVLEBORGS LÄN</t>
        </is>
      </c>
      <c r="G293" t="inlineStr">
        <is>
          <t>SANDVIKEN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46326</v>
      </c>
      <c r="F294" t="inlineStr">
        <is>
          <t>GÄVLEBORGS LÄN</t>
        </is>
      </c>
      <c r="G294" t="inlineStr">
        <is>
          <t>SANDVIKEN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46326</v>
      </c>
      <c r="F295" t="inlineStr">
        <is>
          <t>GÄVLEBORGS LÄN</t>
        </is>
      </c>
      <c r="G295" t="inlineStr">
        <is>
          <t>SANDVIKEN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46326</v>
      </c>
      <c r="F296" t="inlineStr">
        <is>
          <t>GÄVLEBORGS LÄN</t>
        </is>
      </c>
      <c r="G296" t="inlineStr">
        <is>
          <t>SANDVIKEN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46326</v>
      </c>
      <c r="F297" t="inlineStr">
        <is>
          <t>GÄVLEBORGS LÄN</t>
        </is>
      </c>
      <c r="G297" t="inlineStr">
        <is>
          <t>SANDVIKEN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46326</v>
      </c>
      <c r="F298" t="inlineStr">
        <is>
          <t>GÄVLEBORGS LÄN</t>
        </is>
      </c>
      <c r="G298" t="inlineStr">
        <is>
          <t>SANDVIKEN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50851-2025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45946</v>
      </c>
      <c r="E299" s="1" t="n">
        <v>46326</v>
      </c>
      <c r="F299" t="inlineStr">
        <is>
          <t>GÄVLEBORGS LÄN</t>
        </is>
      </c>
      <c r="G299" t="inlineStr">
        <is>
          <t>SANDVIKEN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45467</v>
      </c>
      <c r="E300" s="1" t="n">
        <v>46326</v>
      </c>
      <c r="F300" t="inlineStr">
        <is>
          <t>GÄVLEBORGS LÄN</t>
        </is>
      </c>
      <c r="G300" t="inlineStr">
        <is>
          <t>SANDVIKEN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46326</v>
      </c>
      <c r="F301" t="inlineStr">
        <is>
          <t>GÄVLEBORGS LÄN</t>
        </is>
      </c>
      <c r="G301" t="inlineStr">
        <is>
          <t>SANDVIKEN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46326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46326</v>
      </c>
      <c r="F303" t="inlineStr">
        <is>
          <t>GÄVLEBORGS LÄN</t>
        </is>
      </c>
      <c r="G303" t="inlineStr">
        <is>
          <t>SANDVIKEN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45883</v>
      </c>
      <c r="E304" s="1" t="n">
        <v>46326</v>
      </c>
      <c r="F304" t="inlineStr">
        <is>
          <t>GÄVLEBORGS LÄN</t>
        </is>
      </c>
      <c r="G304" t="inlineStr">
        <is>
          <t>SANDVIKEN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46326</v>
      </c>
      <c r="F305" t="inlineStr">
        <is>
          <t>GÄVLEBORGS LÄN</t>
        </is>
      </c>
      <c r="G305" t="inlineStr">
        <is>
          <t>SANDVIKEN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61694-2021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44501</v>
      </c>
      <c r="E306" s="1" t="n">
        <v>46326</v>
      </c>
      <c r="F306" t="inlineStr">
        <is>
          <t>GÄVLEBORGS LÄN</t>
        </is>
      </c>
      <c r="G306" t="inlineStr">
        <is>
          <t>SANDVIKEN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46326</v>
      </c>
      <c r="F307" t="inlineStr">
        <is>
          <t>GÄVLEBORGS LÄN</t>
        </is>
      </c>
      <c r="G307" t="inlineStr">
        <is>
          <t>SANDVIKEN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46326</v>
      </c>
      <c r="F308" t="inlineStr">
        <is>
          <t>GÄVLEBORGS LÄN</t>
        </is>
      </c>
      <c r="G308" t="inlineStr">
        <is>
          <t>SANDVIKEN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72997-2021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44549</v>
      </c>
      <c r="E309" s="1" t="n">
        <v>46326</v>
      </c>
      <c r="F309" t="inlineStr">
        <is>
          <t>GÄVLEBORGS LÄN</t>
        </is>
      </c>
      <c r="G309" t="inlineStr">
        <is>
          <t>SANDVIKEN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45701</v>
      </c>
      <c r="E310" s="1" t="n">
        <v>46326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46326</v>
      </c>
      <c r="F311" t="inlineStr">
        <is>
          <t>GÄVLEBORGS LÄN</t>
        </is>
      </c>
      <c r="G311" t="inlineStr">
        <is>
          <t>SANDVIKEN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46326</v>
      </c>
      <c r="F312" t="inlineStr">
        <is>
          <t>GÄVLEBORGS LÄN</t>
        </is>
      </c>
      <c r="G312" t="inlineStr">
        <is>
          <t>SANDVIKEN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46326</v>
      </c>
      <c r="F313" t="inlineStr">
        <is>
          <t>GÄVLEBORGS LÄN</t>
        </is>
      </c>
      <c r="G313" t="inlineStr">
        <is>
          <t>SANDVIKEN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46063</v>
      </c>
      <c r="E314" s="1" t="n">
        <v>46326</v>
      </c>
      <c r="F314" t="inlineStr">
        <is>
          <t>GÄVLEBORGS LÄN</t>
        </is>
      </c>
      <c r="G314" t="inlineStr">
        <is>
          <t>SANDVIKEN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19421-2025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45769</v>
      </c>
      <c r="E315" s="1" t="n">
        <v>46326</v>
      </c>
      <c r="F315" t="inlineStr">
        <is>
          <t>GÄVLEBORGS LÄN</t>
        </is>
      </c>
      <c r="G315" t="inlineStr">
        <is>
          <t>SANDVIKEN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46326</v>
      </c>
      <c r="F316" t="inlineStr">
        <is>
          <t>GÄVLEBORGS LÄN</t>
        </is>
      </c>
      <c r="G316" t="inlineStr">
        <is>
          <t>SANDVIKEN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46326</v>
      </c>
      <c r="F317" t="inlineStr">
        <is>
          <t>GÄVLEBORGS LÄN</t>
        </is>
      </c>
      <c r="G317" t="inlineStr">
        <is>
          <t>SANDVIKEN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7914-2026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46326</v>
      </c>
      <c r="F318" t="inlineStr">
        <is>
          <t>GÄVLEBORGS LÄN</t>
        </is>
      </c>
      <c r="G318" t="inlineStr">
        <is>
          <t>SANDVIKEN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46326</v>
      </c>
      <c r="F319" t="inlineStr">
        <is>
          <t>GÄVLEBORGS LÄN</t>
        </is>
      </c>
      <c r="G319" t="inlineStr">
        <is>
          <t>SANDVIKEN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45390</v>
      </c>
      <c r="E320" s="1" t="n">
        <v>46326</v>
      </c>
      <c r="F320" t="inlineStr">
        <is>
          <t>GÄVLEBORGS LÄN</t>
        </is>
      </c>
      <c r="G320" t="inlineStr">
        <is>
          <t>SANDVIKEN</t>
        </is>
      </c>
      <c r="H320" t="inlineStr">
        <is>
          <t>Kyrkan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46326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46326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väst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46326</v>
      </c>
      <c r="F323" t="inlineStr">
        <is>
          <t>GÄVLEBORGS LÄN</t>
        </is>
      </c>
      <c r="G323" t="inlineStr">
        <is>
          <t>SANDVIKEN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46326</v>
      </c>
      <c r="F324" t="inlineStr">
        <is>
          <t>GÄVLEBORGS LÄN</t>
        </is>
      </c>
      <c r="G324" t="inlineStr">
        <is>
          <t>SANDVIKEN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46326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46326</v>
      </c>
      <c r="F326" t="inlineStr">
        <is>
          <t>GÄVLEBORGS LÄN</t>
        </is>
      </c>
      <c r="G326" t="inlineStr">
        <is>
          <t>SANDVIKEN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45660</v>
      </c>
      <c r="E327" s="1" t="n">
        <v>46326</v>
      </c>
      <c r="F327" t="inlineStr">
        <is>
          <t>GÄVLEBORGS LÄN</t>
        </is>
      </c>
      <c r="G327" t="inlineStr">
        <is>
          <t>SANDVIKEN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46326</v>
      </c>
      <c r="F328" t="inlineStr">
        <is>
          <t>GÄVLEBORGS LÄN</t>
        </is>
      </c>
      <c r="G328" t="inlineStr">
        <is>
          <t>SANDVIKEN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46065</v>
      </c>
      <c r="E329" s="1" t="n">
        <v>46326</v>
      </c>
      <c r="F329" t="inlineStr">
        <is>
          <t>GÄVLEBORGS LÄN</t>
        </is>
      </c>
      <c r="G329" t="inlineStr">
        <is>
          <t>SANDVIKEN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45330</v>
      </c>
      <c r="E330" s="1" t="n">
        <v>46326</v>
      </c>
      <c r="F330" t="inlineStr">
        <is>
          <t>GÄVLEBORGS LÄN</t>
        </is>
      </c>
      <c r="G330" t="inlineStr">
        <is>
          <t>SANDVIKEN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46326</v>
      </c>
      <c r="F331" t="inlineStr">
        <is>
          <t>GÄVLEBORGS LÄN</t>
        </is>
      </c>
      <c r="G331" t="inlineStr">
        <is>
          <t>SANDVIKEN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46326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46326</v>
      </c>
      <c r="F333" t="inlineStr">
        <is>
          <t>GÄVLEBORGS LÄN</t>
        </is>
      </c>
      <c r="G333" t="inlineStr">
        <is>
          <t>SANDVIKEN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46326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  <c r="Z334">
        <f>HYPERLINK("https://klasma.github.io/Logging_2181/knärot/A 52786-2025 karta knärot.png", "A 52786-2025")</f>
        <v/>
      </c>
      <c r="AA334">
        <f>HYPERLINK("https://klasma.github.io/Logging_2181/klagomål/A 52786-2025 FSC-klagomål.docx", "A 52786-2025")</f>
        <v/>
      </c>
      <c r="AB334">
        <f>HYPERLINK("https://klasma.github.io/Logging_2181/klagomålsmail/A 52786-2025 FSC-klagomål mail.docx", "A 52786-2025")</f>
        <v/>
      </c>
      <c r="AC334">
        <f>HYPERLINK("https://klasma.github.io/Logging_2181/tillsyn/A 52786-2025 tillsynsbegäran.docx", "A 52786-2025")</f>
        <v/>
      </c>
      <c r="AD334">
        <f>HYPERLINK("https://klasma.github.io/Logging_2181/tillsynsmail/A 52786-2025 tillsynsbegäran mail.docx", "A 52786-2025")</f>
        <v/>
      </c>
    </row>
    <row r="335" ht="15" customHeight="1">
      <c r="A335" t="inlineStr">
        <is>
          <t>A 8719-2026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46326</v>
      </c>
      <c r="F335" t="inlineStr">
        <is>
          <t>GÄVLEBORGS LÄN</t>
        </is>
      </c>
      <c r="G335" t="inlineStr">
        <is>
          <t>SANDVIKEN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46326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46326</v>
      </c>
      <c r="F337" t="inlineStr">
        <is>
          <t>GÄVLEBORGS LÄN</t>
        </is>
      </c>
      <c r="G337" t="inlineStr">
        <is>
          <t>SANDVIKEN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46326</v>
      </c>
      <c r="F338" t="inlineStr">
        <is>
          <t>GÄVLEBORGS LÄN</t>
        </is>
      </c>
      <c r="G338" t="inlineStr">
        <is>
          <t>SANDVIKEN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46326</v>
      </c>
      <c r="F339" t="inlineStr">
        <is>
          <t>GÄVLEBORGS LÄN</t>
        </is>
      </c>
      <c r="G339" t="inlineStr">
        <is>
          <t>SANDVIKEN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46326</v>
      </c>
      <c r="F340" t="inlineStr">
        <is>
          <t>GÄVLEBORGS LÄN</t>
        </is>
      </c>
      <c r="G340" t="inlineStr">
        <is>
          <t>SANDVIKEN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45478</v>
      </c>
      <c r="E341" s="1" t="n">
        <v>46326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46326</v>
      </c>
      <c r="F342" t="inlineStr">
        <is>
          <t>GÄVLEBORGS LÄN</t>
        </is>
      </c>
      <c r="G342" t="inlineStr">
        <is>
          <t>SANDVIKEN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45120</v>
      </c>
      <c r="E343" s="1" t="n">
        <v>46326</v>
      </c>
      <c r="F343" t="inlineStr">
        <is>
          <t>GÄVLEBORGS LÄN</t>
        </is>
      </c>
      <c r="G343" t="inlineStr">
        <is>
          <t>SANDVIKEN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46326</v>
      </c>
      <c r="F344" t="inlineStr">
        <is>
          <t>GÄVLEBORGS LÄN</t>
        </is>
      </c>
      <c r="G344" t="inlineStr">
        <is>
          <t>SANDVIKEN</t>
        </is>
      </c>
      <c r="H344" t="inlineStr">
        <is>
          <t>Naturvårdsverket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46073</v>
      </c>
      <c r="E345" s="1" t="n">
        <v>46326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46072</v>
      </c>
      <c r="E346" s="1" t="n">
        <v>46326</v>
      </c>
      <c r="F346" t="inlineStr">
        <is>
          <t>GÄVLEBORGS LÄN</t>
        </is>
      </c>
      <c r="G346" t="inlineStr">
        <is>
          <t>SANDVIKEN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46072</v>
      </c>
      <c r="E347" s="1" t="n">
        <v>46326</v>
      </c>
      <c r="F347" t="inlineStr">
        <is>
          <t>GÄVLEBORGS LÄN</t>
        </is>
      </c>
      <c r="G347" t="inlineStr">
        <is>
          <t>SANDVIKEN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46326</v>
      </c>
      <c r="F348" t="inlineStr">
        <is>
          <t>GÄVLEBORGS LÄN</t>
        </is>
      </c>
      <c r="G348" t="inlineStr">
        <is>
          <t>SANDVIKEN</t>
        </is>
      </c>
      <c r="H348" t="inlineStr">
        <is>
          <t>Naturvårdsverket</t>
        </is>
      </c>
      <c r="I348" t="n">
        <v>19.5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46326</v>
      </c>
      <c r="F349" t="inlineStr">
        <is>
          <t>GÄVLEBORGS LÄN</t>
        </is>
      </c>
      <c r="G349" t="inlineStr">
        <is>
          <t>SANDVIKEN</t>
        </is>
      </c>
      <c r="H349" t="inlineStr">
        <is>
          <t>Kommuner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46074</v>
      </c>
      <c r="E350" s="1" t="n">
        <v>46326</v>
      </c>
      <c r="F350" t="inlineStr">
        <is>
          <t>GÄVLEBORGS LÄN</t>
        </is>
      </c>
      <c r="G350" t="inlineStr">
        <is>
          <t>SANDVIKEN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46326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46326</v>
      </c>
      <c r="F352" t="inlineStr">
        <is>
          <t>GÄVLEBORGS LÄN</t>
        </is>
      </c>
      <c r="G352" t="inlineStr">
        <is>
          <t>SANDVIKEN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46326</v>
      </c>
      <c r="F353" t="inlineStr">
        <is>
          <t>GÄVLEBORGS LÄN</t>
        </is>
      </c>
      <c r="G353" t="inlineStr">
        <is>
          <t>SANDVIKEN</t>
        </is>
      </c>
      <c r="H353" t="inlineStr">
        <is>
          <t>Sveaskog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46326</v>
      </c>
      <c r="F354" t="inlineStr">
        <is>
          <t>GÄVLEBORGS LÄN</t>
        </is>
      </c>
      <c r="G354" t="inlineStr">
        <is>
          <t>SANDVIKEN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46326</v>
      </c>
      <c r="F355" t="inlineStr">
        <is>
          <t>GÄVLEBORGS LÄN</t>
        </is>
      </c>
      <c r="G355" t="inlineStr">
        <is>
          <t>SANDVIKEN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46326</v>
      </c>
      <c r="F356" t="inlineStr">
        <is>
          <t>GÄVLEBORGS LÄN</t>
        </is>
      </c>
      <c r="G356" t="inlineStr">
        <is>
          <t>SANDVIKEN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46326</v>
      </c>
      <c r="F357" t="inlineStr">
        <is>
          <t>GÄVLEBORGS LÄN</t>
        </is>
      </c>
      <c r="G357" t="inlineStr">
        <is>
          <t>SANDVIKEN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10808-2026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46326</v>
      </c>
      <c r="F358" t="inlineStr">
        <is>
          <t>GÄVLEBORGS LÄN</t>
        </is>
      </c>
      <c r="G358" t="inlineStr">
        <is>
          <t>SANDVIKEN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46326</v>
      </c>
      <c r="F359" t="inlineStr">
        <is>
          <t>GÄVLEBORGS LÄN</t>
        </is>
      </c>
      <c r="G359" t="inlineStr">
        <is>
          <t>SANDVIKEN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46326</v>
      </c>
      <c r="F360" t="inlineStr">
        <is>
          <t>GÄVLEBORGS LÄN</t>
        </is>
      </c>
      <c r="G360" t="inlineStr">
        <is>
          <t>SANDVIKEN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46326</v>
      </c>
      <c r="F361" t="inlineStr">
        <is>
          <t>GÄVLEBORGS LÄN</t>
        </is>
      </c>
      <c r="G361" t="inlineStr">
        <is>
          <t>SANDVIKEN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56587-2025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46326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46326</v>
      </c>
      <c r="F363" t="inlineStr">
        <is>
          <t>GÄVLEBORGS LÄN</t>
        </is>
      </c>
      <c r="G363" t="inlineStr">
        <is>
          <t>SANDVIKEN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46080</v>
      </c>
      <c r="E364" s="1" t="n">
        <v>46326</v>
      </c>
      <c r="F364" t="inlineStr">
        <is>
          <t>GÄVLEBORGS LÄN</t>
        </is>
      </c>
      <c r="G364" t="inlineStr">
        <is>
          <t>SANDVIKEN</t>
        </is>
      </c>
      <c r="I364" t="n">
        <v>14.5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45977</v>
      </c>
      <c r="E365" s="1" t="n">
        <v>46326</v>
      </c>
      <c r="F365" t="inlineStr">
        <is>
          <t>GÄVLEBORGS LÄN</t>
        </is>
      </c>
      <c r="G365" t="inlineStr">
        <is>
          <t>SANDVIKEN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46326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46084</v>
      </c>
      <c r="E367" s="1" t="n">
        <v>46326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10.5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45070</v>
      </c>
      <c r="E368" s="1" t="n">
        <v>46326</v>
      </c>
      <c r="F368" t="inlineStr">
        <is>
          <t>GÄVLEBORGS LÄN</t>
        </is>
      </c>
      <c r="G368" t="inlineStr">
        <is>
          <t>SANDVIKEN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56755-2025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46326</v>
      </c>
      <c r="F369" t="inlineStr">
        <is>
          <t>GÄVLEBORGS LÄN</t>
        </is>
      </c>
      <c r="G369" t="inlineStr">
        <is>
          <t>SANDVIKEN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46326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46326</v>
      </c>
      <c r="F371" t="inlineStr">
        <is>
          <t>GÄVLEBORGS LÄN</t>
        </is>
      </c>
      <c r="G371" t="inlineStr">
        <is>
          <t>SANDVIKEN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45087</v>
      </c>
      <c r="E372" s="1" t="n">
        <v>46326</v>
      </c>
      <c r="F372" t="inlineStr">
        <is>
          <t>GÄVLEBORGS LÄN</t>
        </is>
      </c>
      <c r="G372" t="inlineStr">
        <is>
          <t>SANDVIKEN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46326</v>
      </c>
      <c r="F373" t="inlineStr">
        <is>
          <t>GÄVLEBORGS LÄN</t>
        </is>
      </c>
      <c r="G373" t="inlineStr">
        <is>
          <t>SANDVIKEN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35252-2024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45530</v>
      </c>
      <c r="E374" s="1" t="n">
        <v>46326</v>
      </c>
      <c r="F374" t="inlineStr">
        <is>
          <t>GÄVLEBORGS LÄN</t>
        </is>
      </c>
      <c r="G374" t="inlineStr">
        <is>
          <t>SANDVIKEN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32291-2024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45512</v>
      </c>
      <c r="E375" s="1" t="n">
        <v>46326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46326</v>
      </c>
      <c r="F376" t="inlineStr">
        <is>
          <t>GÄVLEBORGS LÄN</t>
        </is>
      </c>
      <c r="G376" t="inlineStr">
        <is>
          <t>SANDVIKEN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46326</v>
      </c>
      <c r="F377" t="inlineStr">
        <is>
          <t>GÄVLEBORGS LÄN</t>
        </is>
      </c>
      <c r="G377" t="inlineStr">
        <is>
          <t>SANDVIKEN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46326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46326</v>
      </c>
      <c r="F379" t="inlineStr">
        <is>
          <t>GÄVLEBORGS LÄN</t>
        </is>
      </c>
      <c r="G379" t="inlineStr">
        <is>
          <t>SANDVIKEN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46326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46326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45983</v>
      </c>
      <c r="E382" s="1" t="n">
        <v>46326</v>
      </c>
      <c r="F382" t="inlineStr">
        <is>
          <t>GÄVLEBORGS LÄN</t>
        </is>
      </c>
      <c r="G382" t="inlineStr">
        <is>
          <t>SANDVIKEN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46086</v>
      </c>
      <c r="E383" s="1" t="n">
        <v>46326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45984</v>
      </c>
      <c r="E384" s="1" t="n">
        <v>46326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46326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45984</v>
      </c>
      <c r="E386" s="1" t="n">
        <v>46326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45984</v>
      </c>
      <c r="E387" s="1" t="n">
        <v>46326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12146-2026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46326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36671-2023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45153</v>
      </c>
      <c r="E389" s="1" t="n">
        <v>46326</v>
      </c>
      <c r="F389" t="inlineStr">
        <is>
          <t>GÄVLEBORGS LÄN</t>
        </is>
      </c>
      <c r="G389" t="inlineStr">
        <is>
          <t>SANDVIKEN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46326</v>
      </c>
      <c r="F390" t="inlineStr">
        <is>
          <t>GÄVLEBORGS LÄN</t>
        </is>
      </c>
      <c r="G390" t="inlineStr">
        <is>
          <t>SANDVIKEN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46326</v>
      </c>
      <c r="F391" t="inlineStr">
        <is>
          <t>GÄVLEBORGS LÄN</t>
        </is>
      </c>
      <c r="G391" t="inlineStr">
        <is>
          <t>SANDVIKEN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46086</v>
      </c>
      <c r="E392" s="1" t="n">
        <v>46326</v>
      </c>
      <c r="F392" t="inlineStr">
        <is>
          <t>GÄVLEBORGS LÄN</t>
        </is>
      </c>
      <c r="G392" t="inlineStr">
        <is>
          <t>SANDVIKEN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46086</v>
      </c>
      <c r="E393" s="1" t="n">
        <v>46326</v>
      </c>
      <c r="F393" t="inlineStr">
        <is>
          <t>GÄVLEBORGS LÄN</t>
        </is>
      </c>
      <c r="G393" t="inlineStr">
        <is>
          <t>SANDVIKEN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12099-2026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46086</v>
      </c>
      <c r="E394" s="1" t="n">
        <v>46326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12081-2026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46086</v>
      </c>
      <c r="E395" s="1" t="n">
        <v>46326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45981</v>
      </c>
      <c r="E396" s="1" t="n">
        <v>46326</v>
      </c>
      <c r="F396" t="inlineStr">
        <is>
          <t>GÄVLEBORGS LÄN</t>
        </is>
      </c>
      <c r="G396" t="inlineStr">
        <is>
          <t>SANDVIKEN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46326</v>
      </c>
      <c r="F397" t="inlineStr">
        <is>
          <t>GÄVLEBORGS LÄN</t>
        </is>
      </c>
      <c r="G397" t="inlineStr">
        <is>
          <t>SANDVIKEN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46086</v>
      </c>
      <c r="E398" s="1" t="n">
        <v>46326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12098-2026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46086</v>
      </c>
      <c r="E399" s="1" t="n">
        <v>46326</v>
      </c>
      <c r="F399" t="inlineStr">
        <is>
          <t>GÄVLEBORGS LÄN</t>
        </is>
      </c>
      <c r="G399" t="inlineStr">
        <is>
          <t>SANDVIKEN</t>
        </is>
      </c>
      <c r="H399" t="inlineStr">
        <is>
          <t>Bergvik skog öst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58592-2025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46326</v>
      </c>
      <c r="F400" t="inlineStr">
        <is>
          <t>GÄVLEBORGS LÄN</t>
        </is>
      </c>
      <c r="G400" t="inlineStr">
        <is>
          <t>SANDVIKEN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45261</v>
      </c>
      <c r="E401" s="1" t="n">
        <v>46326</v>
      </c>
      <c r="F401" t="inlineStr">
        <is>
          <t>GÄVLEBORGS LÄN</t>
        </is>
      </c>
      <c r="G401" t="inlineStr">
        <is>
          <t>SANDVIKEN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44918</v>
      </c>
      <c r="E402" s="1" t="n">
        <v>46326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45331-2024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45576</v>
      </c>
      <c r="E403" s="1" t="n">
        <v>46326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46087</v>
      </c>
      <c r="E404" s="1" t="n">
        <v>46326</v>
      </c>
      <c r="F404" t="inlineStr">
        <is>
          <t>GÄVLEBORGS LÄN</t>
        </is>
      </c>
      <c r="G404" t="inlineStr">
        <is>
          <t>SANDVIKEN</t>
        </is>
      </c>
      <c r="I404" t="n">
        <v>9.4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45271</v>
      </c>
      <c r="E405" s="1" t="n">
        <v>46326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44918</v>
      </c>
      <c r="E406" s="1" t="n">
        <v>46326</v>
      </c>
      <c r="F406" t="inlineStr">
        <is>
          <t>GÄVLEBORGS LÄN</t>
        </is>
      </c>
      <c r="G406" t="inlineStr">
        <is>
          <t>SANDVIKEN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46326</v>
      </c>
      <c r="F407" t="inlineStr">
        <is>
          <t>GÄVLEBORGS LÄN</t>
        </is>
      </c>
      <c r="G407" t="inlineStr">
        <is>
          <t>SANDVIKEN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46326</v>
      </c>
      <c r="F408" t="inlineStr">
        <is>
          <t>GÄVLEBORGS LÄN</t>
        </is>
      </c>
      <c r="G408" t="inlineStr">
        <is>
          <t>SANDVIKEN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46326</v>
      </c>
      <c r="F409" t="inlineStr">
        <is>
          <t>GÄVLEBORGS LÄN</t>
        </is>
      </c>
      <c r="G409" t="inlineStr">
        <is>
          <t>SANDVIKEN</t>
        </is>
      </c>
      <c r="I409" t="n">
        <v>10.2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46326</v>
      </c>
      <c r="F410" t="inlineStr">
        <is>
          <t>GÄVLEBORGS LÄN</t>
        </is>
      </c>
      <c r="G410" t="inlineStr">
        <is>
          <t>SANDVIKEN</t>
        </is>
      </c>
      <c r="H410" t="inlineStr">
        <is>
          <t>Kommuner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46326</v>
      </c>
      <c r="F411" t="inlineStr">
        <is>
          <t>GÄVLEBORGS LÄN</t>
        </is>
      </c>
      <c r="G411" t="inlineStr">
        <is>
          <t>SANDVIKEN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58182-2023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46326</v>
      </c>
      <c r="F412" t="inlineStr">
        <is>
          <t>GÄVLEBORGS LÄN</t>
        </is>
      </c>
      <c r="G412" t="inlineStr">
        <is>
          <t>SANDVIKEN</t>
        </is>
      </c>
      <c r="I412" t="n">
        <v>8.1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45404</v>
      </c>
      <c r="E413" s="1" t="n">
        <v>46326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46326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46326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27.2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46326</v>
      </c>
      <c r="F416" t="inlineStr">
        <is>
          <t>GÄVLEBORGS LÄN</t>
        </is>
      </c>
      <c r="G416" t="inlineStr">
        <is>
          <t>SANDVIKEN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45069</v>
      </c>
      <c r="E417" s="1" t="n">
        <v>46326</v>
      </c>
      <c r="F417" t="inlineStr">
        <is>
          <t>GÄVLEBORGS LÄN</t>
        </is>
      </c>
      <c r="G417" t="inlineStr">
        <is>
          <t>SANDVIKEN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45666</v>
      </c>
      <c r="E418" s="1" t="n">
        <v>46326</v>
      </c>
      <c r="F418" t="inlineStr">
        <is>
          <t>GÄVLEBORGS LÄN</t>
        </is>
      </c>
      <c r="G418" t="inlineStr">
        <is>
          <t>SANDVIKEN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45755</v>
      </c>
      <c r="E419" s="1" t="n">
        <v>46326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12891-2026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46326</v>
      </c>
      <c r="F420" t="inlineStr">
        <is>
          <t>GÄVLEBORGS LÄN</t>
        </is>
      </c>
      <c r="G420" t="inlineStr">
        <is>
          <t>SANDVIKEN</t>
        </is>
      </c>
      <c r="H420" t="inlineStr">
        <is>
          <t>Naturvårdsverket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46326</v>
      </c>
      <c r="F421" t="inlineStr">
        <is>
          <t>GÄVLEBORGS LÄN</t>
        </is>
      </c>
      <c r="G421" t="inlineStr">
        <is>
          <t>SANDVIKEN</t>
        </is>
      </c>
      <c r="H421" t="inlineStr">
        <is>
          <t>Naturvårdsverket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60952-2025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46326</v>
      </c>
      <c r="F422" t="inlineStr">
        <is>
          <t>GÄVLEBORGS LÄN</t>
        </is>
      </c>
      <c r="G422" t="inlineStr">
        <is>
          <t>SANDVIKEN</t>
        </is>
      </c>
      <c r="I422" t="n">
        <v>9.6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46091</v>
      </c>
      <c r="E423" s="1" t="n">
        <v>46326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46326</v>
      </c>
      <c r="F424" t="inlineStr">
        <is>
          <t>GÄVLEBORGS LÄN</t>
        </is>
      </c>
      <c r="G424" t="inlineStr">
        <is>
          <t>SANDVIKEN</t>
        </is>
      </c>
      <c r="H424" t="inlineStr">
        <is>
          <t>Kommuner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46326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11756-2023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44994</v>
      </c>
      <c r="E426" s="1" t="n">
        <v>46326</v>
      </c>
      <c r="F426" t="inlineStr">
        <is>
          <t>GÄVLEBORGS LÄN</t>
        </is>
      </c>
      <c r="G426" t="inlineStr">
        <is>
          <t>SANDVIKEN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44994</v>
      </c>
      <c r="E427" s="1" t="n">
        <v>46326</v>
      </c>
      <c r="F427" t="inlineStr">
        <is>
          <t>GÄVLEBORGS LÄN</t>
        </is>
      </c>
      <c r="G427" t="inlineStr">
        <is>
          <t>SANDVIKEN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46326</v>
      </c>
      <c r="F428" t="inlineStr">
        <is>
          <t>GÄVLEBORGS LÄN</t>
        </is>
      </c>
      <c r="G428" t="inlineStr">
        <is>
          <t>SANDVIKEN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12893-2026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46092</v>
      </c>
      <c r="E429" s="1" t="n">
        <v>46326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46091</v>
      </c>
      <c r="E430" s="1" t="n">
        <v>46326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13138-2026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46326</v>
      </c>
      <c r="F431" t="inlineStr">
        <is>
          <t>GÄVLEBORGS LÄN</t>
        </is>
      </c>
      <c r="G431" t="inlineStr">
        <is>
          <t>SANDVIKEN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17256-2024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45414</v>
      </c>
      <c r="E432" s="1" t="n">
        <v>46326</v>
      </c>
      <c r="F432" t="inlineStr">
        <is>
          <t>GÄVLEBORGS LÄN</t>
        </is>
      </c>
      <c r="G432" t="inlineStr">
        <is>
          <t>SANDVIKEN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45649</v>
      </c>
      <c r="E433" s="1" t="n">
        <v>46326</v>
      </c>
      <c r="F433" t="inlineStr">
        <is>
          <t>GÄVLEBORGS LÄN</t>
        </is>
      </c>
      <c r="G433" t="inlineStr">
        <is>
          <t>SANDVIKEN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46326</v>
      </c>
      <c r="F434" t="inlineStr">
        <is>
          <t>GÄVLEBORGS LÄN</t>
        </is>
      </c>
      <c r="G434" t="inlineStr">
        <is>
          <t>SANDVIKEN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46326</v>
      </c>
      <c r="F435" t="inlineStr">
        <is>
          <t>GÄVLEBORGS LÄN</t>
        </is>
      </c>
      <c r="G435" t="inlineStr">
        <is>
          <t>SANDVIKEN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13108-2026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46326</v>
      </c>
      <c r="F436" t="inlineStr">
        <is>
          <t>GÄVLEBORGS LÄN</t>
        </is>
      </c>
      <c r="G436" t="inlineStr">
        <is>
          <t>SANDVIKEN</t>
        </is>
      </c>
      <c r="I436" t="n">
        <v>22.5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46326</v>
      </c>
      <c r="F437" t="inlineStr">
        <is>
          <t>GÄVLEBORGS LÄN</t>
        </is>
      </c>
      <c r="G437" t="inlineStr">
        <is>
          <t>SANDVIKEN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46326</v>
      </c>
      <c r="F438" t="inlineStr">
        <is>
          <t>GÄVLEBORGS LÄN</t>
        </is>
      </c>
      <c r="G438" t="inlineStr">
        <is>
          <t>SANDVIKEN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46036</v>
      </c>
      <c r="E439" s="1" t="n">
        <v>46326</v>
      </c>
      <c r="F439" t="inlineStr">
        <is>
          <t>GÄVLEBORGS LÄN</t>
        </is>
      </c>
      <c r="G439" t="inlineStr">
        <is>
          <t>SANDVIKEN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46326</v>
      </c>
      <c r="F440" t="inlineStr">
        <is>
          <t>GÄVLEBORGS LÄN</t>
        </is>
      </c>
      <c r="G440" t="inlineStr">
        <is>
          <t>SANDVIKEN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46326</v>
      </c>
      <c r="F441" t="inlineStr">
        <is>
          <t>GÄVLEBORGS LÄN</t>
        </is>
      </c>
      <c r="G441" t="inlineStr">
        <is>
          <t>SANDVIKEN</t>
        </is>
      </c>
      <c r="H441" t="inlineStr">
        <is>
          <t>Kommuner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46326</v>
      </c>
      <c r="F442" t="inlineStr">
        <is>
          <t>GÄVLEBORGS LÄN</t>
        </is>
      </c>
      <c r="G442" t="inlineStr">
        <is>
          <t>SANDVIKEN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46326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61020-2025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45999</v>
      </c>
      <c r="E444" s="1" t="n">
        <v>46326</v>
      </c>
      <c r="F444" t="inlineStr">
        <is>
          <t>GÄVLEBORGS LÄN</t>
        </is>
      </c>
      <c r="G444" t="inlineStr">
        <is>
          <t>SANDVIKEN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46326</v>
      </c>
      <c r="F445" t="inlineStr">
        <is>
          <t>GÄVLEBORGS LÄN</t>
        </is>
      </c>
      <c r="G445" t="inlineStr">
        <is>
          <t>SANDVIKEN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46095</v>
      </c>
      <c r="E446" s="1" t="n">
        <v>46326</v>
      </c>
      <c r="F446" t="inlineStr">
        <is>
          <t>GÄVLEBORGS LÄN</t>
        </is>
      </c>
      <c r="G446" t="inlineStr">
        <is>
          <t>SANDVIKEN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46095</v>
      </c>
      <c r="E447" s="1" t="n">
        <v>46326</v>
      </c>
      <c r="F447" t="inlineStr">
        <is>
          <t>GÄVLEBORGS LÄN</t>
        </is>
      </c>
      <c r="G447" t="inlineStr">
        <is>
          <t>SANDVIKEN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46095</v>
      </c>
      <c r="E448" s="1" t="n">
        <v>46326</v>
      </c>
      <c r="F448" t="inlineStr">
        <is>
          <t>GÄVLEBORGS LÄN</t>
        </is>
      </c>
      <c r="G448" t="inlineStr">
        <is>
          <t>SANDVIKEN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46095</v>
      </c>
      <c r="E449" s="1" t="n">
        <v>46326</v>
      </c>
      <c r="F449" t="inlineStr">
        <is>
          <t>GÄVLEBORGS LÄN</t>
        </is>
      </c>
      <c r="G449" t="inlineStr">
        <is>
          <t>SANDVIKEN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46326</v>
      </c>
      <c r="F450" t="inlineStr">
        <is>
          <t>GÄVLEBORGS LÄN</t>
        </is>
      </c>
      <c r="G450" t="inlineStr">
        <is>
          <t>SANDVIKEN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45730</v>
      </c>
      <c r="E451" s="1" t="n">
        <v>46326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45730</v>
      </c>
      <c r="E452" s="1" t="n">
        <v>46326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46326</v>
      </c>
      <c r="F453" t="inlineStr">
        <is>
          <t>GÄVLEBORGS LÄN</t>
        </is>
      </c>
      <c r="G453" t="inlineStr">
        <is>
          <t>SANDVIKEN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46095</v>
      </c>
      <c r="E454" s="1" t="n">
        <v>46326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46097</v>
      </c>
      <c r="E455" s="1" t="n">
        <v>46326</v>
      </c>
      <c r="F455" t="inlineStr">
        <is>
          <t>GÄVLEBORGS LÄN</t>
        </is>
      </c>
      <c r="G455" t="inlineStr">
        <is>
          <t>SANDVIKEN</t>
        </is>
      </c>
      <c r="H455" t="inlineStr">
        <is>
          <t>Kommuner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46326</v>
      </c>
      <c r="F456" t="inlineStr">
        <is>
          <t>GÄVLEBORGS LÄN</t>
        </is>
      </c>
      <c r="G456" t="inlineStr">
        <is>
          <t>SANDVIKEN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46326</v>
      </c>
      <c r="F457" t="inlineStr">
        <is>
          <t>GÄVLEBORGS LÄN</t>
        </is>
      </c>
      <c r="G457" t="inlineStr">
        <is>
          <t>SANDVIKEN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60891-2023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45261</v>
      </c>
      <c r="E458" s="1" t="n">
        <v>46326</v>
      </c>
      <c r="F458" t="inlineStr">
        <is>
          <t>GÄVLEBORGS LÄN</t>
        </is>
      </c>
      <c r="G458" t="inlineStr">
        <is>
          <t>SANDVIKEN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45293</v>
      </c>
      <c r="E459" s="1" t="n">
        <v>46326</v>
      </c>
      <c r="F459" t="inlineStr">
        <is>
          <t>GÄVLEBORGS LÄN</t>
        </is>
      </c>
      <c r="G459" t="inlineStr">
        <is>
          <t>SANDVIKEN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45293</v>
      </c>
      <c r="E460" s="1" t="n">
        <v>46326</v>
      </c>
      <c r="F460" t="inlineStr">
        <is>
          <t>GÄVLEBORGS LÄN</t>
        </is>
      </c>
      <c r="G460" t="inlineStr">
        <is>
          <t>SANDVIKEN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46100</v>
      </c>
      <c r="E461" s="1" t="n">
        <v>46326</v>
      </c>
      <c r="F461" t="inlineStr">
        <is>
          <t>GÄVLEBORGS LÄN</t>
        </is>
      </c>
      <c r="G461" t="inlineStr">
        <is>
          <t>SANDVIKEN</t>
        </is>
      </c>
      <c r="H461" t="inlineStr">
        <is>
          <t>Sveaskog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14094-2026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46326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46326</v>
      </c>
      <c r="F463" t="inlineStr">
        <is>
          <t>GÄVLEBORGS LÄN</t>
        </is>
      </c>
      <c r="G463" t="inlineStr">
        <is>
          <t>SANDVIKEN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46326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46326</v>
      </c>
      <c r="F465" t="inlineStr">
        <is>
          <t>GÄVLEBORGS LÄN</t>
        </is>
      </c>
      <c r="G465" t="inlineStr">
        <is>
          <t>SANDVIKEN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46326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46101</v>
      </c>
      <c r="E467" s="1" t="n">
        <v>46326</v>
      </c>
      <c r="F467" t="inlineStr">
        <is>
          <t>GÄVLEBORGS LÄN</t>
        </is>
      </c>
      <c r="G467" t="inlineStr">
        <is>
          <t>SANDVIKEN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14649-2026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46326</v>
      </c>
      <c r="F468" t="inlineStr">
        <is>
          <t>GÄVLEBORGS LÄN</t>
        </is>
      </c>
      <c r="G468" t="inlineStr">
        <is>
          <t>SANDVIKEN</t>
        </is>
      </c>
      <c r="H468" t="inlineStr">
        <is>
          <t>Kommuner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46021</v>
      </c>
      <c r="E469" s="1" t="n">
        <v>46326</v>
      </c>
      <c r="F469" t="inlineStr">
        <is>
          <t>GÄVLEBORGS LÄN</t>
        </is>
      </c>
      <c r="G469" t="inlineStr">
        <is>
          <t>SANDVIKEN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45321</v>
      </c>
      <c r="E470" s="1" t="n">
        <v>46326</v>
      </c>
      <c r="F470" t="inlineStr">
        <is>
          <t>GÄVLEBORGS LÄN</t>
        </is>
      </c>
      <c r="G470" t="inlineStr">
        <is>
          <t>SANDVIKEN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62459-2023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45268</v>
      </c>
      <c r="E471" s="1" t="n">
        <v>46326</v>
      </c>
      <c r="F471" t="inlineStr">
        <is>
          <t>GÄVLEBORGS LÄN</t>
        </is>
      </c>
      <c r="G471" t="inlineStr">
        <is>
          <t>SANDVIKEN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15529-2026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46326</v>
      </c>
      <c r="F472" t="inlineStr">
        <is>
          <t>GÄVLEBORGS LÄN</t>
        </is>
      </c>
      <c r="G472" t="inlineStr">
        <is>
          <t>SANDVIKEN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46105</v>
      </c>
      <c r="E473" s="1" t="n">
        <v>46326</v>
      </c>
      <c r="F473" t="inlineStr">
        <is>
          <t>GÄVLEBORGS LÄN</t>
        </is>
      </c>
      <c r="G473" t="inlineStr">
        <is>
          <t>SANDVIKEN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46326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46326</v>
      </c>
      <c r="F475" t="inlineStr">
        <is>
          <t>GÄVLEBORGS LÄN</t>
        </is>
      </c>
      <c r="G475" t="inlineStr">
        <is>
          <t>SANDVIKEN</t>
        </is>
      </c>
      <c r="H475" t="inlineStr">
        <is>
          <t>Kommuner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15861-2026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46326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16019-2026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46108</v>
      </c>
      <c r="E477" s="1" t="n">
        <v>46326</v>
      </c>
      <c r="F477" t="inlineStr">
        <is>
          <t>GÄVLEBORGS LÄN</t>
        </is>
      </c>
      <c r="G477" t="inlineStr">
        <is>
          <t>SANDVIKEN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16060-2026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46326</v>
      </c>
      <c r="F478" t="inlineStr">
        <is>
          <t>GÄVLEBORGS LÄN</t>
        </is>
      </c>
      <c r="G478" t="inlineStr">
        <is>
          <t>SANDVIKEN</t>
        </is>
      </c>
      <c r="H478" t="inlineStr">
        <is>
          <t>Kommuner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16242-2026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46326</v>
      </c>
      <c r="F479" t="inlineStr">
        <is>
          <t>GÄVLEBORGS LÄN</t>
        </is>
      </c>
      <c r="G479" t="inlineStr">
        <is>
          <t>SANDVIKEN</t>
        </is>
      </c>
      <c r="H479" t="inlineStr">
        <is>
          <t>Kommuner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46326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46326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46326</v>
      </c>
      <c r="F482" t="inlineStr">
        <is>
          <t>GÄVLEBORGS LÄN</t>
        </is>
      </c>
      <c r="G482" t="inlineStr">
        <is>
          <t>SANDVIKEN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46326</v>
      </c>
      <c r="F483" t="inlineStr">
        <is>
          <t>GÄVLEBORGS LÄN</t>
        </is>
      </c>
      <c r="G483" t="inlineStr">
        <is>
          <t>SANDVIKEN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46114</v>
      </c>
      <c r="E484" s="1" t="n">
        <v>46326</v>
      </c>
      <c r="F484" t="inlineStr">
        <is>
          <t>GÄVLEBORGS LÄN</t>
        </is>
      </c>
      <c r="G484" t="inlineStr">
        <is>
          <t>SANDVIKEN</t>
        </is>
      </c>
      <c r="I484" t="n">
        <v>10.3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46115</v>
      </c>
      <c r="E485" s="1" t="n">
        <v>46326</v>
      </c>
      <c r="F485" t="inlineStr">
        <is>
          <t>GÄVLEBORGS LÄN</t>
        </is>
      </c>
      <c r="G485" t="inlineStr">
        <is>
          <t>SANDVIKEN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17182-2026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46116</v>
      </c>
      <c r="E486" s="1" t="n">
        <v>46326</v>
      </c>
      <c r="F486" t="inlineStr">
        <is>
          <t>GÄVLEBORGS LÄN</t>
        </is>
      </c>
      <c r="G486" t="inlineStr">
        <is>
          <t>SANDVIKEN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17165-2026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46115</v>
      </c>
      <c r="E487" s="1" t="n">
        <v>46326</v>
      </c>
      <c r="F487" t="inlineStr">
        <is>
          <t>GÄVLEBORGS LÄN</t>
        </is>
      </c>
      <c r="G487" t="inlineStr">
        <is>
          <t>SANDVIKEN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46115</v>
      </c>
      <c r="E488" s="1" t="n">
        <v>46326</v>
      </c>
      <c r="F488" t="inlineStr">
        <is>
          <t>GÄVLEBORGS LÄN</t>
        </is>
      </c>
      <c r="G488" t="inlineStr">
        <is>
          <t>SANDVIKEN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17180-2026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46116</v>
      </c>
      <c r="E489" s="1" t="n">
        <v>46326</v>
      </c>
      <c r="F489" t="inlineStr">
        <is>
          <t>GÄVLEBORGS LÄN</t>
        </is>
      </c>
      <c r="G489" t="inlineStr">
        <is>
          <t>SANDVIKEN</t>
        </is>
      </c>
      <c r="I489" t="n">
        <v>8.9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45196</v>
      </c>
      <c r="E490" s="1" t="n">
        <v>46326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46115</v>
      </c>
      <c r="E491" s="1" t="n">
        <v>46326</v>
      </c>
      <c r="F491" t="inlineStr">
        <is>
          <t>GÄVLEBORGS LÄN</t>
        </is>
      </c>
      <c r="G491" t="inlineStr">
        <is>
          <t>SANDVIKEN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17183-2026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46116</v>
      </c>
      <c r="E492" s="1" t="n">
        <v>46326</v>
      </c>
      <c r="F492" t="inlineStr">
        <is>
          <t>GÄVLEBORGS LÄN</t>
        </is>
      </c>
      <c r="G492" t="inlineStr">
        <is>
          <t>SANDVIKEN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46115</v>
      </c>
      <c r="E493" s="1" t="n">
        <v>46326</v>
      </c>
      <c r="F493" t="inlineStr">
        <is>
          <t>GÄVLEBORGS LÄN</t>
        </is>
      </c>
      <c r="G493" t="inlineStr">
        <is>
          <t>SANDVIKEN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46115</v>
      </c>
      <c r="E494" s="1" t="n">
        <v>46326</v>
      </c>
      <c r="F494" t="inlineStr">
        <is>
          <t>GÄVLEBORGS LÄN</t>
        </is>
      </c>
      <c r="G494" t="inlineStr">
        <is>
          <t>SANDVIKEN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17359-2026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46326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46326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46119</v>
      </c>
      <c r="E497" s="1" t="n">
        <v>46326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46326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46326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46326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46326</v>
      </c>
      <c r="F501" t="inlineStr">
        <is>
          <t>GÄVLEBORGS LÄN</t>
        </is>
      </c>
      <c r="G501" t="inlineStr">
        <is>
          <t>SANDVIKEN</t>
        </is>
      </c>
      <c r="H501" t="inlineStr">
        <is>
          <t>Sveaskog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65098-2023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45288</v>
      </c>
      <c r="E502" s="1" t="n">
        <v>46326</v>
      </c>
      <c r="F502" t="inlineStr">
        <is>
          <t>GÄVLEBORGS LÄN</t>
        </is>
      </c>
      <c r="G502" t="inlineStr">
        <is>
          <t>SANDVIKEN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35185-2022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44797</v>
      </c>
      <c r="E503" s="1" t="n">
        <v>46326</v>
      </c>
      <c r="F503" t="inlineStr">
        <is>
          <t>GÄVLEBORGS LÄN</t>
        </is>
      </c>
      <c r="G503" t="inlineStr">
        <is>
          <t>SANDVIKEN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46326</v>
      </c>
      <c r="F504" t="inlineStr">
        <is>
          <t>GÄVLEBORGS LÄN</t>
        </is>
      </c>
      <c r="G504" t="inlineStr">
        <is>
          <t>SANDVIKEN</t>
        </is>
      </c>
      <c r="H504" t="inlineStr">
        <is>
          <t>Naturvårdsverket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46326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17596-2026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46326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52785-2023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45226</v>
      </c>
      <c r="E507" s="1" t="n">
        <v>46326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45701</v>
      </c>
      <c r="E508" s="1" t="n">
        <v>46326</v>
      </c>
      <c r="F508" t="inlineStr">
        <is>
          <t>GÄVLEBORGS LÄN</t>
        </is>
      </c>
      <c r="G508" t="inlineStr">
        <is>
          <t>SANDVIKEN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46326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46326</v>
      </c>
      <c r="F510" t="inlineStr">
        <is>
          <t>GÄVLEBORGS LÄN</t>
        </is>
      </c>
      <c r="G510" t="inlineStr">
        <is>
          <t>SANDVIKEN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71995-2021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44544</v>
      </c>
      <c r="E511" s="1" t="n">
        <v>46326</v>
      </c>
      <c r="F511" t="inlineStr">
        <is>
          <t>GÄVLEBORGS LÄN</t>
        </is>
      </c>
      <c r="G511" t="inlineStr">
        <is>
          <t>SANDVIKEN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46326</v>
      </c>
      <c r="F512" t="inlineStr">
        <is>
          <t>GÄVLEBORGS LÄN</t>
        </is>
      </c>
      <c r="G512" t="inlineStr">
        <is>
          <t>SANDVIKEN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46326</v>
      </c>
      <c r="F513" t="inlineStr">
        <is>
          <t>GÄVLEBORGS LÄN</t>
        </is>
      </c>
      <c r="G513" t="inlineStr">
        <is>
          <t>SANDVIKEN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46326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46326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46129</v>
      </c>
      <c r="E516" s="1" t="n">
        <v>46326</v>
      </c>
      <c r="F516" t="inlineStr">
        <is>
          <t>GÄVLEBORGS LÄN</t>
        </is>
      </c>
      <c r="G516" t="inlineStr">
        <is>
          <t>SANDVIKEN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46128</v>
      </c>
      <c r="E517" s="1" t="n">
        <v>46326</v>
      </c>
      <c r="F517" t="inlineStr">
        <is>
          <t>GÄVLEBORGS LÄN</t>
        </is>
      </c>
      <c r="G517" t="inlineStr">
        <is>
          <t>SANDVIKEN</t>
        </is>
      </c>
      <c r="H517" t="inlineStr">
        <is>
          <t>Sveaskog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44988</v>
      </c>
      <c r="E518" s="1" t="n">
        <v>46326</v>
      </c>
      <c r="F518" t="inlineStr">
        <is>
          <t>GÄVLEBORGS LÄN</t>
        </is>
      </c>
      <c r="G518" t="inlineStr">
        <is>
          <t>SANDVIKEN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46129</v>
      </c>
      <c r="E519" s="1" t="n">
        <v>46326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48799-2023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45209</v>
      </c>
      <c r="E520" s="1" t="n">
        <v>46326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46326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46129</v>
      </c>
      <c r="E522" s="1" t="n">
        <v>46326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46129</v>
      </c>
      <c r="E523" s="1" t="n">
        <v>46326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46326</v>
      </c>
      <c r="F524" t="inlineStr">
        <is>
          <t>GÄVLEBORGS LÄN</t>
        </is>
      </c>
      <c r="G524" t="inlineStr">
        <is>
          <t>SANDVIKEN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46128</v>
      </c>
      <c r="E525" s="1" t="n">
        <v>46326</v>
      </c>
      <c r="F525" t="inlineStr">
        <is>
          <t>GÄVLEBORGS LÄN</t>
        </is>
      </c>
      <c r="G525" t="inlineStr">
        <is>
          <t>SANDVIKEN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46132</v>
      </c>
      <c r="E526" s="1" t="n">
        <v>46326</v>
      </c>
      <c r="F526" t="inlineStr">
        <is>
          <t>GÄVLEBORGS LÄN</t>
        </is>
      </c>
      <c r="G526" t="inlineStr">
        <is>
          <t>SANDVIKEN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45159</v>
      </c>
      <c r="E527" s="1" t="n">
        <v>46326</v>
      </c>
      <c r="F527" t="inlineStr">
        <is>
          <t>GÄVLEBORGS LÄN</t>
        </is>
      </c>
      <c r="G527" t="inlineStr">
        <is>
          <t>SANDVIKEN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19018-2026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46130</v>
      </c>
      <c r="E528" s="1" t="n">
        <v>46326</v>
      </c>
      <c r="F528" t="inlineStr">
        <is>
          <t>GÄVLEBORGS LÄN</t>
        </is>
      </c>
      <c r="G528" t="inlineStr">
        <is>
          <t>SANDVIKEN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46326</v>
      </c>
      <c r="F529" t="inlineStr">
        <is>
          <t>GÄVLEBORGS LÄN</t>
        </is>
      </c>
      <c r="G529" t="inlineStr">
        <is>
          <t>SANDVIKEN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12732-2026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46326</v>
      </c>
      <c r="F530" t="inlineStr">
        <is>
          <t>GÄVLEBORGS LÄN</t>
        </is>
      </c>
      <c r="G530" t="inlineStr">
        <is>
          <t>SANDVIKEN</t>
        </is>
      </c>
      <c r="H530" t="inlineStr">
        <is>
          <t>Naturvårdsverket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46326</v>
      </c>
      <c r="F531" t="inlineStr">
        <is>
          <t>GÄVLEBORGS LÄN</t>
        </is>
      </c>
      <c r="G531" t="inlineStr">
        <is>
          <t>SANDVIKEN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46326</v>
      </c>
      <c r="F532" t="inlineStr">
        <is>
          <t>GÄVLEBORGS LÄN</t>
        </is>
      </c>
      <c r="G532" t="inlineStr">
        <is>
          <t>SANDVIKEN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46326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46132</v>
      </c>
      <c r="E534" s="1" t="n">
        <v>46326</v>
      </c>
      <c r="F534" t="inlineStr">
        <is>
          <t>GÄVLEBORGS LÄN</t>
        </is>
      </c>
      <c r="G534" t="inlineStr">
        <is>
          <t>SANDVIKEN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12675-2026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46091</v>
      </c>
      <c r="E535" s="1" t="n">
        <v>46326</v>
      </c>
      <c r="F535" t="inlineStr">
        <is>
          <t>GÄVLEBORGS LÄN</t>
        </is>
      </c>
      <c r="G535" t="inlineStr">
        <is>
          <t>SANDVIKEN</t>
        </is>
      </c>
      <c r="H535" t="inlineStr">
        <is>
          <t>Naturvårdsverket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19865-2026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46135</v>
      </c>
      <c r="E536" s="1" t="n">
        <v>46326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19827-2026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46135</v>
      </c>
      <c r="E537" s="1" t="n">
        <v>46326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16.4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46086</v>
      </c>
      <c r="E538" s="1" t="n">
        <v>46326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46326</v>
      </c>
      <c r="F539" t="inlineStr">
        <is>
          <t>GÄVLEBORGS LÄN</t>
        </is>
      </c>
      <c r="G539" t="inlineStr">
        <is>
          <t>SANDVIKEN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46326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12776-2026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46091</v>
      </c>
      <c r="E541" s="1" t="n">
        <v>46326</v>
      </c>
      <c r="F541" t="inlineStr">
        <is>
          <t>GÄVLEBORGS LÄN</t>
        </is>
      </c>
      <c r="G541" t="inlineStr">
        <is>
          <t>SANDVIKEN</t>
        </is>
      </c>
      <c r="H541" t="inlineStr">
        <is>
          <t>Naturvårdsverket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31317-2023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46326</v>
      </c>
      <c r="F542" t="inlineStr">
        <is>
          <t>GÄVLEBORGS LÄN</t>
        </is>
      </c>
      <c r="G542" t="inlineStr">
        <is>
          <t>SANDVIKEN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46326</v>
      </c>
      <c r="F543" t="inlineStr">
        <is>
          <t>GÄVLEBORGS LÄN</t>
        </is>
      </c>
      <c r="G543" t="inlineStr">
        <is>
          <t>SANDVIKEN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45722</v>
      </c>
      <c r="E544" s="1" t="n">
        <v>46326</v>
      </c>
      <c r="F544" t="inlineStr">
        <is>
          <t>GÄVLEBORGS LÄN</t>
        </is>
      </c>
      <c r="G544" t="inlineStr">
        <is>
          <t>SANDVIKEN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46036</v>
      </c>
      <c r="E545" s="1" t="n">
        <v>46326</v>
      </c>
      <c r="F545" t="inlineStr">
        <is>
          <t>GÄVLEBORGS LÄN</t>
        </is>
      </c>
      <c r="G545" t="inlineStr">
        <is>
          <t>SANDVIKEN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45303</v>
      </c>
      <c r="E546" s="1" t="n">
        <v>46326</v>
      </c>
      <c r="F546" t="inlineStr">
        <is>
          <t>GÄVLEBORGS LÄN</t>
        </is>
      </c>
      <c r="G546" t="inlineStr">
        <is>
          <t>SANDVIKEN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49209-2024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45595</v>
      </c>
      <c r="E547" s="1" t="n">
        <v>46326</v>
      </c>
      <c r="F547" t="inlineStr">
        <is>
          <t>GÄVLEBORGS LÄN</t>
        </is>
      </c>
      <c r="G547" t="inlineStr">
        <is>
          <t>SANDVIKEN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42495-2025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45905</v>
      </c>
      <c r="E548" s="1" t="n">
        <v>46326</v>
      </c>
      <c r="F548" t="inlineStr">
        <is>
          <t>GÄVLEBORGS LÄN</t>
        </is>
      </c>
      <c r="G548" t="inlineStr">
        <is>
          <t>SANDVIKEN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45666</v>
      </c>
      <c r="E549" s="1" t="n">
        <v>46326</v>
      </c>
      <c r="F549" t="inlineStr">
        <is>
          <t>GÄVLEBORGS LÄN</t>
        </is>
      </c>
      <c r="G549" t="inlineStr">
        <is>
          <t>SANDVIKEN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45709</v>
      </c>
      <c r="E550" s="1" t="n">
        <v>46326</v>
      </c>
      <c r="F550" t="inlineStr">
        <is>
          <t>GÄVLEBORGS LÄN</t>
        </is>
      </c>
      <c r="G550" t="inlineStr">
        <is>
          <t>SANDVIKEN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46326</v>
      </c>
      <c r="F551" t="inlineStr">
        <is>
          <t>GÄVLEBORGS LÄN</t>
        </is>
      </c>
      <c r="G551" t="inlineStr">
        <is>
          <t>SANDVIKEN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7624-2023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44972</v>
      </c>
      <c r="E552" s="1" t="n">
        <v>46326</v>
      </c>
      <c r="F552" t="inlineStr">
        <is>
          <t>GÄVLEBORGS LÄN</t>
        </is>
      </c>
      <c r="G552" t="inlineStr">
        <is>
          <t>SANDVIKEN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49706-2023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45212</v>
      </c>
      <c r="E553" s="1" t="n">
        <v>46326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46326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19499-2026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46326</v>
      </c>
      <c r="F555" t="inlineStr">
        <is>
          <t>GÄVLEBORGS LÄN</t>
        </is>
      </c>
      <c r="G555" t="inlineStr">
        <is>
          <t>SANDVIKEN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46326</v>
      </c>
      <c r="F556" t="inlineStr">
        <is>
          <t>GÄVLEBORGS LÄN</t>
        </is>
      </c>
      <c r="G556" t="inlineStr">
        <is>
          <t>SANDVIKEN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45721</v>
      </c>
      <c r="E557" s="1" t="n">
        <v>46326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45721</v>
      </c>
      <c r="E558" s="1" t="n">
        <v>46326</v>
      </c>
      <c r="F558" t="inlineStr">
        <is>
          <t>GÄVLEBORGS LÄN</t>
        </is>
      </c>
      <c r="G558" t="inlineStr">
        <is>
          <t>SANDVIKEN</t>
        </is>
      </c>
      <c r="H558" t="inlineStr">
        <is>
          <t>Sveaskog</t>
        </is>
      </c>
      <c r="I558" t="n">
        <v>10.9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10580-2025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45721</v>
      </c>
      <c r="E559" s="1" t="n">
        <v>46326</v>
      </c>
      <c r="F559" t="inlineStr">
        <is>
          <t>GÄVLEBORGS LÄN</t>
        </is>
      </c>
      <c r="G559" t="inlineStr">
        <is>
          <t>SANDVIKEN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55539-2023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45238</v>
      </c>
      <c r="E560" s="1" t="n">
        <v>46326</v>
      </c>
      <c r="F560" t="inlineStr">
        <is>
          <t>GÄVLEBORGS LÄN</t>
        </is>
      </c>
      <c r="G560" t="inlineStr">
        <is>
          <t>SANDVIKEN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46061</v>
      </c>
      <c r="E561" s="1" t="n">
        <v>46326</v>
      </c>
      <c r="F561" t="inlineStr">
        <is>
          <t>GÄVLEBORGS LÄN</t>
        </is>
      </c>
      <c r="G561" t="inlineStr">
        <is>
          <t>SANDVIKEN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46326</v>
      </c>
      <c r="F562" t="inlineStr">
        <is>
          <t>GÄVLEBORGS LÄN</t>
        </is>
      </c>
      <c r="G562" t="inlineStr">
        <is>
          <t>SANDVIKEN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23162-2023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45075</v>
      </c>
      <c r="E563" s="1" t="n">
        <v>46326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46326</v>
      </c>
      <c r="F564" t="inlineStr">
        <is>
          <t>GÄVLEBORGS LÄN</t>
        </is>
      </c>
      <c r="G564" t="inlineStr">
        <is>
          <t>SANDVIKEN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46326</v>
      </c>
      <c r="F565" t="inlineStr">
        <is>
          <t>GÄVLEBORGS LÄN</t>
        </is>
      </c>
      <c r="G565" t="inlineStr">
        <is>
          <t>SANDVIKEN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42107-2024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46326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45483</v>
      </c>
      <c r="E567" s="1" t="n">
        <v>46326</v>
      </c>
      <c r="F567" t="inlineStr">
        <is>
          <t>GÄVLEBORGS LÄN</t>
        </is>
      </c>
      <c r="G567" t="inlineStr">
        <is>
          <t>SANDVIKEN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46326</v>
      </c>
      <c r="F568" t="inlineStr">
        <is>
          <t>GÄVLEBORGS LÄN</t>
        </is>
      </c>
      <c r="G568" t="inlineStr">
        <is>
          <t>SANDVIKEN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19910-2026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46136</v>
      </c>
      <c r="E569" s="1" t="n">
        <v>46326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46326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6.6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8698-2024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46326</v>
      </c>
      <c r="F571" t="inlineStr">
        <is>
          <t>GÄVLEBORGS LÄN</t>
        </is>
      </c>
      <c r="G571" t="inlineStr">
        <is>
          <t>SANDVIKEN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46046</v>
      </c>
      <c r="E572" s="1" t="n">
        <v>46326</v>
      </c>
      <c r="F572" t="inlineStr">
        <is>
          <t>GÄVLEBORGS LÄN</t>
        </is>
      </c>
      <c r="G572" t="inlineStr">
        <is>
          <t>SANDVIKEN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40745-2024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45558</v>
      </c>
      <c r="E573" s="1" t="n">
        <v>46326</v>
      </c>
      <c r="F573" t="inlineStr">
        <is>
          <t>GÄVLEBORGS LÄN</t>
        </is>
      </c>
      <c r="G573" t="inlineStr">
        <is>
          <t>SANDVIKEN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45602</v>
      </c>
      <c r="E574" s="1" t="n">
        <v>46326</v>
      </c>
      <c r="F574" t="inlineStr">
        <is>
          <t>GÄVLEBORGS LÄN</t>
        </is>
      </c>
      <c r="G574" t="inlineStr">
        <is>
          <t>SANDVIKEN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13194-2025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45735</v>
      </c>
      <c r="E575" s="1" t="n">
        <v>46326</v>
      </c>
      <c r="F575" t="inlineStr">
        <is>
          <t>GÄVLEBORGS LÄN</t>
        </is>
      </c>
      <c r="G575" t="inlineStr">
        <is>
          <t>SANDVIKEN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9601-2026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46326</v>
      </c>
      <c r="F576" t="inlineStr">
        <is>
          <t>GÄVLEBORGS LÄN</t>
        </is>
      </c>
      <c r="G576" t="inlineStr">
        <is>
          <t>SANDVIKEN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19904-2026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46136</v>
      </c>
      <c r="E577" s="1" t="n">
        <v>46326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10.9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46069</v>
      </c>
      <c r="E578" s="1" t="n">
        <v>46326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43090-2023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45182</v>
      </c>
      <c r="E579" s="1" t="n">
        <v>46326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45917</v>
      </c>
      <c r="E580" s="1" t="n">
        <v>46326</v>
      </c>
      <c r="F580" t="inlineStr">
        <is>
          <t>GÄVLEBORGS LÄN</t>
        </is>
      </c>
      <c r="G580" t="inlineStr">
        <is>
          <t>SANDVIKEN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45102-2022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44843</v>
      </c>
      <c r="E581" s="1" t="n">
        <v>46326</v>
      </c>
      <c r="F581" t="inlineStr">
        <is>
          <t>GÄVLEBORGS LÄN</t>
        </is>
      </c>
      <c r="G581" t="inlineStr">
        <is>
          <t>SANDVIKEN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46326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36656-2024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45537</v>
      </c>
      <c r="E583" s="1" t="n">
        <v>46326</v>
      </c>
      <c r="F583" t="inlineStr">
        <is>
          <t>GÄVLEBORGS LÄN</t>
        </is>
      </c>
      <c r="G583" t="inlineStr">
        <is>
          <t>SANDVIKEN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21178-2025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45779</v>
      </c>
      <c r="E584" s="1" t="n">
        <v>46326</v>
      </c>
      <c r="F584" t="inlineStr">
        <is>
          <t>GÄVLEBORGS LÄN</t>
        </is>
      </c>
      <c r="G584" t="inlineStr">
        <is>
          <t>SANDVIKEN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45327</v>
      </c>
      <c r="E585" s="1" t="n">
        <v>46326</v>
      </c>
      <c r="F585" t="inlineStr">
        <is>
          <t>GÄVLEBORGS LÄN</t>
        </is>
      </c>
      <c r="G585" t="inlineStr">
        <is>
          <t>SANDVIKEN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46326</v>
      </c>
      <c r="F586" t="inlineStr">
        <is>
          <t>GÄVLEBORGS LÄN</t>
        </is>
      </c>
      <c r="G586" t="inlineStr">
        <is>
          <t>SANDVIKEN</t>
        </is>
      </c>
      <c r="H586" t="inlineStr">
        <is>
          <t>Kommuner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46326</v>
      </c>
      <c r="F587" t="inlineStr">
        <is>
          <t>GÄVLEBORGS LÄN</t>
        </is>
      </c>
      <c r="G587" t="inlineStr">
        <is>
          <t>SANDVIKEN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11967-2025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45728</v>
      </c>
      <c r="E588" s="1" t="n">
        <v>46326</v>
      </c>
      <c r="F588" t="inlineStr">
        <is>
          <t>GÄVLEBORGS LÄN</t>
        </is>
      </c>
      <c r="G588" t="inlineStr">
        <is>
          <t>SANDVIKEN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6956-2026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46057</v>
      </c>
      <c r="E589" s="1" t="n">
        <v>46326</v>
      </c>
      <c r="F589" t="inlineStr">
        <is>
          <t>GÄVLEBORGS LÄN</t>
        </is>
      </c>
      <c r="G589" t="inlineStr">
        <is>
          <t>SANDVIKEN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46326</v>
      </c>
      <c r="F590" t="inlineStr">
        <is>
          <t>GÄVLEBORGS LÄN</t>
        </is>
      </c>
      <c r="G590" t="inlineStr">
        <is>
          <t>SANDVIKEN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46069</v>
      </c>
      <c r="E591" s="1" t="n">
        <v>46326</v>
      </c>
      <c r="F591" t="inlineStr">
        <is>
          <t>GÄVLEBORGS LÄN</t>
        </is>
      </c>
      <c r="G591" t="inlineStr">
        <is>
          <t>SANDVIKEN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8570-2026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46326</v>
      </c>
      <c r="F592" t="inlineStr">
        <is>
          <t>GÄVLEBORGS LÄN</t>
        </is>
      </c>
      <c r="G592" t="inlineStr">
        <is>
          <t>SANDVIKEN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46326</v>
      </c>
      <c r="F593" t="inlineStr">
        <is>
          <t>GÄVLEBORGS LÄN</t>
        </is>
      </c>
      <c r="G593" t="inlineStr">
        <is>
          <t>SANDVIKEN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7349-2026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46326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7073-2026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46326</v>
      </c>
      <c r="F595" t="inlineStr">
        <is>
          <t>GÄVLEBORGS LÄN</t>
        </is>
      </c>
      <c r="G595" t="inlineStr">
        <is>
          <t>SANDVIKEN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12477-2026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46090</v>
      </c>
      <c r="E596" s="1" t="n">
        <v>46326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46326</v>
      </c>
      <c r="F597" t="inlineStr">
        <is>
          <t>GÄVLEBORGS LÄN</t>
        </is>
      </c>
      <c r="G597" t="inlineStr">
        <is>
          <t>SANDVIKEN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37697-2022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44810</v>
      </c>
      <c r="E598" s="1" t="n">
        <v>46326</v>
      </c>
      <c r="F598" t="inlineStr">
        <is>
          <t>GÄVLEBORGS LÄN</t>
        </is>
      </c>
      <c r="G598" t="inlineStr">
        <is>
          <t>SANDVIKEN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46326</v>
      </c>
      <c r="F599" t="inlineStr">
        <is>
          <t>GÄVLEBORGS LÄN</t>
        </is>
      </c>
      <c r="G599" t="inlineStr">
        <is>
          <t>SANDVIKEN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46055</v>
      </c>
      <c r="E600" s="1" t="n">
        <v>46326</v>
      </c>
      <c r="F600" t="inlineStr">
        <is>
          <t>GÄVLEBORGS LÄN</t>
        </is>
      </c>
      <c r="G600" t="inlineStr">
        <is>
          <t>SANDVIKEN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46326</v>
      </c>
      <c r="F601" t="inlineStr">
        <is>
          <t>GÄVLEBORGS LÄN</t>
        </is>
      </c>
      <c r="G601" t="inlineStr">
        <is>
          <t>SANDVIKEN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46326</v>
      </c>
      <c r="F602" t="inlineStr">
        <is>
          <t>GÄVLEBORGS LÄN</t>
        </is>
      </c>
      <c r="G602" t="inlineStr">
        <is>
          <t>SANDVIKEN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20636-2026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46141</v>
      </c>
      <c r="E603" s="1" t="n">
        <v>46326</v>
      </c>
      <c r="F603" t="inlineStr">
        <is>
          <t>GÄVLEBORGS LÄN</t>
        </is>
      </c>
      <c r="G603" t="inlineStr">
        <is>
          <t>SANDVIKEN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45210</v>
      </c>
      <c r="E604" s="1" t="n">
        <v>46326</v>
      </c>
      <c r="F604" t="inlineStr">
        <is>
          <t>GÄVLEBORGS LÄN</t>
        </is>
      </c>
      <c r="G604" t="inlineStr">
        <is>
          <t>SANDVIKEN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46326</v>
      </c>
      <c r="F605" t="inlineStr">
        <is>
          <t>GÄVLEBORGS LÄN</t>
        </is>
      </c>
      <c r="G605" t="inlineStr">
        <is>
          <t>SANDVIKEN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3748-2022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44586</v>
      </c>
      <c r="E606" s="1" t="n">
        <v>46326</v>
      </c>
      <c r="F606" t="inlineStr">
        <is>
          <t>GÄVLEBORGS LÄN</t>
        </is>
      </c>
      <c r="G606" t="inlineStr">
        <is>
          <t>SANDVIKEN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38319-2025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45883</v>
      </c>
      <c r="E607" s="1" t="n">
        <v>46326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58911-2023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45250</v>
      </c>
      <c r="E608" s="1" t="n">
        <v>46326</v>
      </c>
      <c r="F608" t="inlineStr">
        <is>
          <t>GÄVLEBORGS LÄN</t>
        </is>
      </c>
      <c r="G608" t="inlineStr">
        <is>
          <t>SANDVIKEN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11894-2026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46326</v>
      </c>
      <c r="F609" t="inlineStr">
        <is>
          <t>GÄVLEBORGS LÄN</t>
        </is>
      </c>
      <c r="G609" t="inlineStr">
        <is>
          <t>SANDVIKEN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46326</v>
      </c>
      <c r="F610" t="inlineStr">
        <is>
          <t>GÄVLEBORGS LÄN</t>
        </is>
      </c>
      <c r="G610" t="inlineStr">
        <is>
          <t>SANDVIKEN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46031</v>
      </c>
      <c r="E611" s="1" t="n">
        <v>46326</v>
      </c>
      <c r="F611" t="inlineStr">
        <is>
          <t>GÄVLEBORGS LÄN</t>
        </is>
      </c>
      <c r="G611" t="inlineStr">
        <is>
          <t>SANDVIKEN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12427-2026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46326</v>
      </c>
      <c r="F612" t="inlineStr">
        <is>
          <t>GÄVLEBORGS LÄN</t>
        </is>
      </c>
      <c r="G612" t="inlineStr">
        <is>
          <t>SANDVIKEN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867-2026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46326</v>
      </c>
      <c r="F613" t="inlineStr">
        <is>
          <t>GÄVLEBORGS LÄN</t>
        </is>
      </c>
      <c r="G613" t="inlineStr">
        <is>
          <t>SANDVIKEN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46326</v>
      </c>
      <c r="F614" t="inlineStr">
        <is>
          <t>GÄVLEBORGS LÄN</t>
        </is>
      </c>
      <c r="G614" t="inlineStr">
        <is>
          <t>SANDVIKEN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45112</v>
      </c>
      <c r="E615" s="1" t="n">
        <v>46326</v>
      </c>
      <c r="F615" t="inlineStr">
        <is>
          <t>GÄVLEBORGS LÄN</t>
        </is>
      </c>
      <c r="G615" t="inlineStr">
        <is>
          <t>SANDVIKEN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15237-2026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46326</v>
      </c>
      <c r="F616" t="inlineStr">
        <is>
          <t>GÄVLEBORGS LÄN</t>
        </is>
      </c>
      <c r="G616" t="inlineStr">
        <is>
          <t>SANDVIKEN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20917-2026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46142</v>
      </c>
      <c r="E617" s="1" t="n">
        <v>46326</v>
      </c>
      <c r="F617" t="inlineStr">
        <is>
          <t>GÄVLEBORGS LÄN</t>
        </is>
      </c>
      <c r="G617" t="inlineStr">
        <is>
          <t>SANDVIKEN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46326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46326</v>
      </c>
      <c r="F619" t="inlineStr">
        <is>
          <t>GÄVLEBORGS LÄN</t>
        </is>
      </c>
      <c r="G619" t="inlineStr">
        <is>
          <t>SANDVIKEN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21377-2026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46326</v>
      </c>
      <c r="F620" t="inlineStr">
        <is>
          <t>GÄVLEBORGS LÄN</t>
        </is>
      </c>
      <c r="G620" t="inlineStr">
        <is>
          <t>SANDVIKEN</t>
        </is>
      </c>
      <c r="H620" t="inlineStr">
        <is>
          <t>Kommuner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21288-2026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46326</v>
      </c>
      <c r="F621" t="inlineStr">
        <is>
          <t>GÄVLEBORGS LÄN</t>
        </is>
      </c>
      <c r="G621" t="inlineStr">
        <is>
          <t>SANDVIKEN</t>
        </is>
      </c>
      <c r="H621" t="inlineStr">
        <is>
          <t>Kommuner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21334-2026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46326</v>
      </c>
      <c r="F622" t="inlineStr">
        <is>
          <t>GÄVLEBORGS LÄN</t>
        </is>
      </c>
      <c r="G622" t="inlineStr">
        <is>
          <t>SANDVIKEN</t>
        </is>
      </c>
      <c r="H622" t="inlineStr">
        <is>
          <t>Kommuner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46147</v>
      </c>
      <c r="E623" s="1" t="n">
        <v>46326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21343-2026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46147</v>
      </c>
      <c r="E624" s="1" t="n">
        <v>46326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46326</v>
      </c>
      <c r="F625" t="inlineStr">
        <is>
          <t>GÄVLEBORGS LÄN</t>
        </is>
      </c>
      <c r="G625" t="inlineStr">
        <is>
          <t>SANDVIKEN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63309-2023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45274</v>
      </c>
      <c r="E626" s="1" t="n">
        <v>46326</v>
      </c>
      <c r="F626" t="inlineStr">
        <is>
          <t>GÄVLEBORGS LÄN</t>
        </is>
      </c>
      <c r="G626" t="inlineStr">
        <is>
          <t>SANDVIKEN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46148</v>
      </c>
      <c r="E627" s="1" t="n">
        <v>46326</v>
      </c>
      <c r="F627" t="inlineStr">
        <is>
          <t>GÄVLEBORGS LÄN</t>
        </is>
      </c>
      <c r="G627" t="inlineStr">
        <is>
          <t>SANDVIKEN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27987-2024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45476</v>
      </c>
      <c r="E628" s="1" t="n">
        <v>46326</v>
      </c>
      <c r="F628" t="inlineStr">
        <is>
          <t>GÄVLEBORGS LÄN</t>
        </is>
      </c>
      <c r="G628" t="inlineStr">
        <is>
          <t>SANDVIKEN</t>
        </is>
      </c>
      <c r="H628" t="inlineStr">
        <is>
          <t>Kommuner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46151</v>
      </c>
      <c r="E629" s="1" t="n">
        <v>46326</v>
      </c>
      <c r="F629" t="inlineStr">
        <is>
          <t>GÄVLEBORGS LÄN</t>
        </is>
      </c>
      <c r="G629" t="inlineStr">
        <is>
          <t>SANDVIKEN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46050</v>
      </c>
      <c r="E630" s="1" t="n">
        <v>46326</v>
      </c>
      <c r="F630" t="inlineStr">
        <is>
          <t>GÄVLEBORGS LÄN</t>
        </is>
      </c>
      <c r="G630" t="inlineStr">
        <is>
          <t>SANDVIKEN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46326</v>
      </c>
      <c r="F631" t="inlineStr">
        <is>
          <t>GÄVLEBORGS LÄN</t>
        </is>
      </c>
      <c r="G631" t="inlineStr">
        <is>
          <t>SANDVIKEN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46326</v>
      </c>
      <c r="F632" t="inlineStr">
        <is>
          <t>GÄVLEBORGS LÄN</t>
        </is>
      </c>
      <c r="G632" t="inlineStr">
        <is>
          <t>SANDVIKEN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46326</v>
      </c>
      <c r="F633" t="inlineStr">
        <is>
          <t>GÄVLEBORGS LÄN</t>
        </is>
      </c>
      <c r="G633" t="inlineStr">
        <is>
          <t>SANDVIKEN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46153</v>
      </c>
      <c r="E634" s="1" t="n">
        <v>46326</v>
      </c>
      <c r="F634" t="inlineStr">
        <is>
          <t>GÄVLEBORGS LÄN</t>
        </is>
      </c>
      <c r="G634" t="inlineStr">
        <is>
          <t>SANDVIKEN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46108</v>
      </c>
      <c r="E635" s="1" t="n">
        <v>46326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46326</v>
      </c>
      <c r="F636" t="inlineStr">
        <is>
          <t>GÄVLEBORGS LÄN</t>
        </is>
      </c>
      <c r="G636" t="inlineStr">
        <is>
          <t>SANDVIKEN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45279-2023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45191</v>
      </c>
      <c r="E637" s="1" t="n">
        <v>46326</v>
      </c>
      <c r="F637" t="inlineStr">
        <is>
          <t>GÄVLEBORGS LÄN</t>
        </is>
      </c>
      <c r="G637" t="inlineStr">
        <is>
          <t>SANDVIKEN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46326</v>
      </c>
      <c r="F638" t="inlineStr">
        <is>
          <t>GÄVLEBORGS LÄN</t>
        </is>
      </c>
      <c r="G638" t="inlineStr">
        <is>
          <t>SANDVIKEN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45376</v>
      </c>
      <c r="E639" s="1" t="n">
        <v>46326</v>
      </c>
      <c r="F639" t="inlineStr">
        <is>
          <t>GÄVLEBORGS LÄN</t>
        </is>
      </c>
      <c r="G639" t="inlineStr">
        <is>
          <t>SANDVIKEN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46326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12120-2026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46086</v>
      </c>
      <c r="E641" s="1" t="n">
        <v>46326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23217-2023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45075</v>
      </c>
      <c r="E642" s="1" t="n">
        <v>46326</v>
      </c>
      <c r="F642" t="inlineStr">
        <is>
          <t>GÄVLEBORGS LÄN</t>
        </is>
      </c>
      <c r="G642" t="inlineStr">
        <is>
          <t>SANDVIKEN</t>
        </is>
      </c>
      <c r="H642" t="inlineStr">
        <is>
          <t>Sveaskog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46326</v>
      </c>
      <c r="F643" t="inlineStr">
        <is>
          <t>GÄVLEBORGS LÄN</t>
        </is>
      </c>
      <c r="G643" t="inlineStr">
        <is>
          <t>SANDVIKEN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46326</v>
      </c>
      <c r="F644" t="inlineStr">
        <is>
          <t>GÄVLEBORGS LÄN</t>
        </is>
      </c>
      <c r="G644" t="inlineStr">
        <is>
          <t>SANDVIKEN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46108</v>
      </c>
      <c r="E645" s="1" t="n">
        <v>46326</v>
      </c>
      <c r="F645" t="inlineStr">
        <is>
          <t>GÄVLEBORGS LÄN</t>
        </is>
      </c>
      <c r="G645" t="inlineStr">
        <is>
          <t>SANDVIKEN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42069-2024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46326</v>
      </c>
      <c r="F646" t="inlineStr">
        <is>
          <t>GÄVLEBORGS LÄN</t>
        </is>
      </c>
      <c r="G646" t="inlineStr">
        <is>
          <t>SANDVIKEN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23144-2026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46161</v>
      </c>
      <c r="E647" s="1" t="n">
        <v>46326</v>
      </c>
      <c r="F647" t="inlineStr">
        <is>
          <t>GÄVLEBORGS LÄN</t>
        </is>
      </c>
      <c r="G647" t="inlineStr">
        <is>
          <t>SANDVIKEN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45069</v>
      </c>
      <c r="E648" s="1" t="n">
        <v>46326</v>
      </c>
      <c r="F648" t="inlineStr">
        <is>
          <t>GÄVLEBORGS LÄN</t>
        </is>
      </c>
      <c r="G648" t="inlineStr">
        <is>
          <t>SANDVIKEN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46107</v>
      </c>
      <c r="E649" s="1" t="n">
        <v>46326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46326</v>
      </c>
      <c r="F650" t="inlineStr">
        <is>
          <t>GÄVLEBORGS LÄN</t>
        </is>
      </c>
      <c r="G650" t="inlineStr">
        <is>
          <t>SANDVIKEN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23085-2023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45075</v>
      </c>
      <c r="E651" s="1" t="n">
        <v>46326</v>
      </c>
      <c r="F651" t="inlineStr">
        <is>
          <t>GÄVLEBORGS LÄN</t>
        </is>
      </c>
      <c r="G651" t="inlineStr">
        <is>
          <t>SANDVIKEN</t>
        </is>
      </c>
      <c r="I651" t="n">
        <v>8.300000000000001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36833-2022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44805</v>
      </c>
      <c r="E652" s="1" t="n">
        <v>46326</v>
      </c>
      <c r="F652" t="inlineStr">
        <is>
          <t>GÄVLEBORGS LÄN</t>
        </is>
      </c>
      <c r="G652" t="inlineStr">
        <is>
          <t>SANDVIKEN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46326</v>
      </c>
      <c r="F653" t="inlineStr">
        <is>
          <t>GÄVLEBORGS LÄN</t>
        </is>
      </c>
      <c r="G653" t="inlineStr">
        <is>
          <t>SANDVIKEN</t>
        </is>
      </c>
      <c r="H653" t="inlineStr">
        <is>
          <t>Övriga statliga verk och myndigheter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46326</v>
      </c>
      <c r="F654" t="inlineStr">
        <is>
          <t>GÄVLEBORGS LÄN</t>
        </is>
      </c>
      <c r="G654" t="inlineStr">
        <is>
          <t>SANDVIKEN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28063-2023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45099</v>
      </c>
      <c r="E655" s="1" t="n">
        <v>46326</v>
      </c>
      <c r="F655" t="inlineStr">
        <is>
          <t>GÄVLEBORGS LÄN</t>
        </is>
      </c>
      <c r="G655" t="inlineStr">
        <is>
          <t>SANDVIKEN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23493-2026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46326</v>
      </c>
      <c r="F656" t="inlineStr">
        <is>
          <t>GÄVLEBORGS LÄN</t>
        </is>
      </c>
      <c r="G656" t="inlineStr">
        <is>
          <t>SANDVIKEN</t>
        </is>
      </c>
      <c r="H656" t="inlineStr">
        <is>
          <t>Övriga statliga verk och myndigheter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59738-2022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44908</v>
      </c>
      <c r="E657" s="1" t="n">
        <v>46326</v>
      </c>
      <c r="F657" t="inlineStr">
        <is>
          <t>GÄVLEBORGS LÄN</t>
        </is>
      </c>
      <c r="G657" t="inlineStr">
        <is>
          <t>SANDVIKEN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46326</v>
      </c>
      <c r="F658" t="inlineStr">
        <is>
          <t>GÄVLEBORGS LÄN</t>
        </is>
      </c>
      <c r="G658" t="inlineStr">
        <is>
          <t>SANDVIKEN</t>
        </is>
      </c>
      <c r="I658" t="n">
        <v>14.2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46326</v>
      </c>
      <c r="F659" t="inlineStr">
        <is>
          <t>GÄVLEBORGS LÄN</t>
        </is>
      </c>
      <c r="G659" t="inlineStr">
        <is>
          <t>SANDVIKEN</t>
        </is>
      </c>
      <c r="H659" t="inlineStr">
        <is>
          <t>Övriga statliga verk och myndigheter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46326</v>
      </c>
      <c r="F660" t="inlineStr">
        <is>
          <t>GÄVLEBORGS LÄN</t>
        </is>
      </c>
      <c r="G660" t="inlineStr">
        <is>
          <t>SANDVIKEN</t>
        </is>
      </c>
      <c r="H660" t="inlineStr">
        <is>
          <t>Övriga statliga verk och myndigheter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46163</v>
      </c>
      <c r="E661" s="1" t="n">
        <v>46326</v>
      </c>
      <c r="F661" t="inlineStr">
        <is>
          <t>GÄVLEBORGS LÄN</t>
        </is>
      </c>
      <c r="G661" t="inlineStr">
        <is>
          <t>SANDVIKEN</t>
        </is>
      </c>
      <c r="H661" t="inlineStr">
        <is>
          <t>Övriga statliga verk och myndigheter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59661-2024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45639</v>
      </c>
      <c r="E662" s="1" t="n">
        <v>46326</v>
      </c>
      <c r="F662" t="inlineStr">
        <is>
          <t>GÄVLEBORGS LÄN</t>
        </is>
      </c>
      <c r="G662" t="inlineStr">
        <is>
          <t>SANDVIKEN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46165</v>
      </c>
      <c r="E663" s="1" t="n">
        <v>46326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46326</v>
      </c>
      <c r="F664" t="inlineStr">
        <is>
          <t>GÄVLEBORGS LÄN</t>
        </is>
      </c>
      <c r="G664" t="inlineStr">
        <is>
          <t>SANDVIKEN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46165</v>
      </c>
      <c r="E665" s="1" t="n">
        <v>46326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7.9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46165</v>
      </c>
      <c r="E666" s="1" t="n">
        <v>46326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23823-2026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46165</v>
      </c>
      <c r="E667" s="1" t="n">
        <v>46326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46165</v>
      </c>
      <c r="E668" s="1" t="n">
        <v>46326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3456-2024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45320</v>
      </c>
      <c r="E669" s="1" t="n">
        <v>46326</v>
      </c>
      <c r="F669" t="inlineStr">
        <is>
          <t>GÄVLEBORGS LÄN</t>
        </is>
      </c>
      <c r="G669" t="inlineStr">
        <is>
          <t>SANDVIKEN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46169</v>
      </c>
      <c r="E670" s="1" t="n">
        <v>46326</v>
      </c>
      <c r="F670" t="inlineStr">
        <is>
          <t>GÄVLEBORGS LÄN</t>
        </is>
      </c>
      <c r="G670" t="inlineStr">
        <is>
          <t>SANDVIKEN</t>
        </is>
      </c>
      <c r="H670" t="inlineStr">
        <is>
          <t>Kommuner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24149-2026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46326</v>
      </c>
      <c r="F671" t="inlineStr">
        <is>
          <t>GÄVLEBORGS LÄN</t>
        </is>
      </c>
      <c r="G671" t="inlineStr">
        <is>
          <t>SANDVIKEN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24177-2026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46326</v>
      </c>
      <c r="F672" t="inlineStr">
        <is>
          <t>GÄVLEBORGS LÄN</t>
        </is>
      </c>
      <c r="G672" t="inlineStr">
        <is>
          <t>SANDVIKEN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46326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8.9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24356-2026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46326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46326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24303-2026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46169</v>
      </c>
      <c r="E676" s="1" t="n">
        <v>46326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11778-2024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45374</v>
      </c>
      <c r="E677" s="1" t="n">
        <v>46326</v>
      </c>
      <c r="F677" t="inlineStr">
        <is>
          <t>GÄVLEBORGS LÄN</t>
        </is>
      </c>
      <c r="G677" t="inlineStr">
        <is>
          <t>SANDVIKEN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47710-2022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44854</v>
      </c>
      <c r="E678" s="1" t="n">
        <v>46326</v>
      </c>
      <c r="F678" t="inlineStr">
        <is>
          <t>GÄVLEBORGS LÄN</t>
        </is>
      </c>
      <c r="G678" t="inlineStr">
        <is>
          <t>SANDVIKEN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46171</v>
      </c>
      <c r="E679" s="1" t="n">
        <v>46326</v>
      </c>
      <c r="F679" t="inlineStr">
        <is>
          <t>GÄVLEBORGS LÄN</t>
        </is>
      </c>
      <c r="G679" t="inlineStr">
        <is>
          <t>SANDVIKEN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48300-2023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45205</v>
      </c>
      <c r="E680" s="1" t="n">
        <v>46326</v>
      </c>
      <c r="F680" t="inlineStr">
        <is>
          <t>GÄVLEBORGS LÄN</t>
        </is>
      </c>
      <c r="G680" t="inlineStr">
        <is>
          <t>SANDVIKEN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46326</v>
      </c>
      <c r="F681" t="inlineStr">
        <is>
          <t>GÄVLEBORGS LÄN</t>
        </is>
      </c>
      <c r="G681" t="inlineStr">
        <is>
          <t>SANDVIKEN</t>
        </is>
      </c>
      <c r="I681" t="n">
        <v>6.9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4483-2026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46045</v>
      </c>
      <c r="E682" s="1" t="n">
        <v>46326</v>
      </c>
      <c r="F682" t="inlineStr">
        <is>
          <t>GÄVLEBORGS LÄN</t>
        </is>
      </c>
      <c r="G682" t="inlineStr">
        <is>
          <t>SANDVIKEN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46326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44101-2023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45188</v>
      </c>
      <c r="E684" s="1" t="n">
        <v>46326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29297-2024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45483</v>
      </c>
      <c r="E685" s="1" t="n">
        <v>46326</v>
      </c>
      <c r="F685" t="inlineStr">
        <is>
          <t>GÄVLEBORGS LÄN</t>
        </is>
      </c>
      <c r="G685" t="inlineStr">
        <is>
          <t>SANDVIKEN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46326</v>
      </c>
      <c r="F686" t="inlineStr">
        <is>
          <t>GÄVLEBORGS LÄN</t>
        </is>
      </c>
      <c r="G686" t="inlineStr">
        <is>
          <t>SANDVIKEN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53007-2023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45226</v>
      </c>
      <c r="E687" s="1" t="n">
        <v>46326</v>
      </c>
      <c r="F687" t="inlineStr">
        <is>
          <t>GÄVLEBORGS LÄN</t>
        </is>
      </c>
      <c r="G687" t="inlineStr">
        <is>
          <t>SANDVIKEN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46326</v>
      </c>
      <c r="F688" t="inlineStr">
        <is>
          <t>GÄVLEBORGS LÄN</t>
        </is>
      </c>
      <c r="G688" t="inlineStr">
        <is>
          <t>SANDVIKEN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39566-2022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44818</v>
      </c>
      <c r="E689" s="1" t="n">
        <v>46326</v>
      </c>
      <c r="F689" t="inlineStr">
        <is>
          <t>GÄVLEBORGS LÄN</t>
        </is>
      </c>
      <c r="G689" t="inlineStr">
        <is>
          <t>SANDVIKEN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44988</v>
      </c>
      <c r="E690" s="1" t="n">
        <v>46326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46326</v>
      </c>
      <c r="F691" t="inlineStr">
        <is>
          <t>GÄVLEBORGS LÄN</t>
        </is>
      </c>
      <c r="G691" t="inlineStr">
        <is>
          <t>SANDVIKEN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46326</v>
      </c>
      <c r="F692" t="inlineStr">
        <is>
          <t>GÄVLEBORGS LÄN</t>
        </is>
      </c>
      <c r="G692" t="inlineStr">
        <is>
          <t>SANDVIKEN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25412-2026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46176</v>
      </c>
      <c r="E693" s="1" t="n">
        <v>46326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46176</v>
      </c>
      <c r="E694" s="1" t="n">
        <v>46326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46326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25691-2026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46178</v>
      </c>
      <c r="E696" s="1" t="n">
        <v>46326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44875</v>
      </c>
      <c r="E697" s="1" t="n">
        <v>46326</v>
      </c>
      <c r="F697" t="inlineStr">
        <is>
          <t>GÄVLEBORGS LÄN</t>
        </is>
      </c>
      <c r="G697" t="inlineStr">
        <is>
          <t>SANDVIKEN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46178</v>
      </c>
      <c r="E698" s="1" t="n">
        <v>46326</v>
      </c>
      <c r="F698" t="inlineStr">
        <is>
          <t>GÄVLEBORGS LÄN</t>
        </is>
      </c>
      <c r="G698" t="inlineStr">
        <is>
          <t>SANDVIKEN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25842-2026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46326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8940-2026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46069</v>
      </c>
      <c r="E700" s="1" t="n">
        <v>46326</v>
      </c>
      <c r="F700" t="inlineStr">
        <is>
          <t>GÄVLEBORGS LÄN</t>
        </is>
      </c>
      <c r="G700" t="inlineStr">
        <is>
          <t>SANDVIKEN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30721-2023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45112</v>
      </c>
      <c r="E701" s="1" t="n">
        <v>46326</v>
      </c>
      <c r="F701" t="inlineStr">
        <is>
          <t>GÄVLEBORGS LÄN</t>
        </is>
      </c>
      <c r="G701" t="inlineStr">
        <is>
          <t>SANDVIKEN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46326</v>
      </c>
      <c r="F702" t="inlineStr">
        <is>
          <t>GÄVLEBORGS LÄN</t>
        </is>
      </c>
      <c r="G702" t="inlineStr">
        <is>
          <t>SANDVIKEN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46326</v>
      </c>
      <c r="F703" t="inlineStr">
        <is>
          <t>GÄVLEBORGS LÄN</t>
        </is>
      </c>
      <c r="G703" t="inlineStr">
        <is>
          <t>SANDVIKEN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34946-2022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44796</v>
      </c>
      <c r="E704" s="1" t="n">
        <v>46326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38200-2024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45545</v>
      </c>
      <c r="E705" s="1" t="n">
        <v>46326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26763-2026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46184</v>
      </c>
      <c r="E706" s="1" t="n">
        <v>46326</v>
      </c>
      <c r="F706" t="inlineStr">
        <is>
          <t>GÄVLEBORGS LÄN</t>
        </is>
      </c>
      <c r="G706" t="inlineStr">
        <is>
          <t>SANDVIKEN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26780-2026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46326</v>
      </c>
      <c r="F707" t="inlineStr">
        <is>
          <t>GÄVLEBORGS LÄN</t>
        </is>
      </c>
      <c r="G707" t="inlineStr">
        <is>
          <t>SANDVIKEN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22238-2023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45070</v>
      </c>
      <c r="E708" s="1" t="n">
        <v>46326</v>
      </c>
      <c r="F708" t="inlineStr">
        <is>
          <t>GÄVLEBORGS LÄN</t>
        </is>
      </c>
      <c r="G708" t="inlineStr">
        <is>
          <t>SANDVIKEN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46326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44956</v>
      </c>
      <c r="E710" s="1" t="n">
        <v>46326</v>
      </c>
      <c r="F710" t="inlineStr">
        <is>
          <t>GÄVLEBORGS LÄN</t>
        </is>
      </c>
      <c r="G710" t="inlineStr">
        <is>
          <t>SANDVIKEN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716-2024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45300</v>
      </c>
      <c r="E711" s="1" t="n">
        <v>46326</v>
      </c>
      <c r="F711" t="inlineStr">
        <is>
          <t>GÄVLEBORGS LÄN</t>
        </is>
      </c>
      <c r="G711" t="inlineStr">
        <is>
          <t>SANDVIKEN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64801-2023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45282</v>
      </c>
      <c r="E712" s="1" t="n">
        <v>46326</v>
      </c>
      <c r="F712" t="inlineStr">
        <is>
          <t>GÄVLEBORGS LÄN</t>
        </is>
      </c>
      <c r="G712" t="inlineStr">
        <is>
          <t>SANDVIKEN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46326</v>
      </c>
      <c r="F713" t="inlineStr">
        <is>
          <t>GÄVLEBORGS LÄN</t>
        </is>
      </c>
      <c r="G713" t="inlineStr">
        <is>
          <t>SANDVIKEN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26872-2026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46326</v>
      </c>
      <c r="F714" t="inlineStr">
        <is>
          <t>GÄVLEBORGS LÄN</t>
        </is>
      </c>
      <c r="G714" t="inlineStr">
        <is>
          <t>SANDVIKEN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26964-2026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46326</v>
      </c>
      <c r="F715" t="inlineStr">
        <is>
          <t>GÄVLEBORGS LÄN</t>
        </is>
      </c>
      <c r="G715" t="inlineStr">
        <is>
          <t>SANDVIKEN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26818-2026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46326</v>
      </c>
      <c r="F716" t="inlineStr">
        <is>
          <t>GÄVLEBORGS LÄN</t>
        </is>
      </c>
      <c r="G716" t="inlineStr">
        <is>
          <t>SANDVIKEN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50765-2024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45602</v>
      </c>
      <c r="E717" s="1" t="n">
        <v>46326</v>
      </c>
      <c r="F717" t="inlineStr">
        <is>
          <t>GÄVLEBORGS LÄN</t>
        </is>
      </c>
      <c r="G717" t="inlineStr">
        <is>
          <t>SANDVIKEN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58363-2022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44901</v>
      </c>
      <c r="E718" s="1" t="n">
        <v>46326</v>
      </c>
      <c r="F718" t="inlineStr">
        <is>
          <t>GÄVLEBORGS LÄN</t>
        </is>
      </c>
      <c r="G718" t="inlineStr">
        <is>
          <t>SANDVIKEN</t>
        </is>
      </c>
      <c r="I718" t="n">
        <v>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58983-2023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45252</v>
      </c>
      <c r="E719" s="1" t="n">
        <v>46326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27588-2026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46190</v>
      </c>
      <c r="E720" s="1" t="n">
        <v>46326</v>
      </c>
      <c r="F720" t="inlineStr">
        <is>
          <t>GÄVLEBORGS LÄN</t>
        </is>
      </c>
      <c r="G720" t="inlineStr">
        <is>
          <t>SANDVIKEN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14720-2026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46101</v>
      </c>
      <c r="E721" s="1" t="n">
        <v>46326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24465-2023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45082</v>
      </c>
      <c r="E722" s="1" t="n">
        <v>46326</v>
      </c>
      <c r="F722" t="inlineStr">
        <is>
          <t>GÄVLEBORGS LÄN</t>
        </is>
      </c>
      <c r="G722" t="inlineStr">
        <is>
          <t>SANDVIKEN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2290-2025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45673</v>
      </c>
      <c r="E723" s="1" t="n">
        <v>46326</v>
      </c>
      <c r="F723" t="inlineStr">
        <is>
          <t>GÄVLEBORGS LÄN</t>
        </is>
      </c>
      <c r="G723" t="inlineStr">
        <is>
          <t>SANDVIKEN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1676-2026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46326</v>
      </c>
      <c r="F724" t="inlineStr">
        <is>
          <t>GÄVLEBORGS LÄN</t>
        </is>
      </c>
      <c r="G724" t="inlineStr">
        <is>
          <t>SANDVIKEN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27743-2026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46191</v>
      </c>
      <c r="E725" s="1" t="n">
        <v>46326</v>
      </c>
      <c r="F725" t="inlineStr">
        <is>
          <t>GÄVLEBORGS LÄN</t>
        </is>
      </c>
      <c r="G725" t="inlineStr">
        <is>
          <t>SANDVIKEN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28845-2026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46195</v>
      </c>
      <c r="E726" s="1" t="n">
        <v>46326</v>
      </c>
      <c r="F726" t="inlineStr">
        <is>
          <t>GÄVLEBORGS LÄN</t>
        </is>
      </c>
      <c r="G726" t="inlineStr">
        <is>
          <t>SANDVIKEN</t>
        </is>
      </c>
      <c r="H726" t="inlineStr">
        <is>
          <t>Sveaskog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28369-2026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46326</v>
      </c>
      <c r="F727" t="inlineStr">
        <is>
          <t>GÄVLEBORGS LÄN</t>
        </is>
      </c>
      <c r="G727" t="inlineStr">
        <is>
          <t>SANDVIKEN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46326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46196</v>
      </c>
      <c r="E729" s="1" t="n">
        <v>46326</v>
      </c>
      <c r="F729" t="inlineStr">
        <is>
          <t>GÄVLEBORGS LÄN</t>
        </is>
      </c>
      <c r="G729" t="inlineStr">
        <is>
          <t>SANDVIKEN</t>
        </is>
      </c>
      <c r="H729" t="inlineStr">
        <is>
          <t>Sveaskog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28346-2026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46196</v>
      </c>
      <c r="E730" s="1" t="n">
        <v>46326</v>
      </c>
      <c r="F730" t="inlineStr">
        <is>
          <t>GÄVLEBORGS LÄN</t>
        </is>
      </c>
      <c r="G730" t="inlineStr">
        <is>
          <t>SANDVIKEN</t>
        </is>
      </c>
      <c r="H730" t="inlineStr">
        <is>
          <t>Sveaskog</t>
        </is>
      </c>
      <c r="I730" t="n">
        <v>11.9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45668</v>
      </c>
      <c r="E731" s="1" t="n">
        <v>46326</v>
      </c>
      <c r="F731" t="inlineStr">
        <is>
          <t>GÄVLEBORGS LÄN</t>
        </is>
      </c>
      <c r="G731" t="inlineStr">
        <is>
          <t>SANDVIKEN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60908-2022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44914</v>
      </c>
      <c r="E732" s="1" t="n">
        <v>46326</v>
      </c>
      <c r="F732" t="inlineStr">
        <is>
          <t>GÄVLEBORGS LÄN</t>
        </is>
      </c>
      <c r="G732" t="inlineStr">
        <is>
          <t>SANDVIKEN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46326</v>
      </c>
      <c r="F733" t="inlineStr">
        <is>
          <t>GÄVLEBORGS LÄN</t>
        </is>
      </c>
      <c r="G733" t="inlineStr">
        <is>
          <t>SANDVIKEN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59841-2023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45257</v>
      </c>
      <c r="E734" s="1" t="n">
        <v>46326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4783-2025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45688</v>
      </c>
      <c r="E735" s="1" t="n">
        <v>46326</v>
      </c>
      <c r="F735" t="inlineStr">
        <is>
          <t>GÄVLEBORGS LÄN</t>
        </is>
      </c>
      <c r="G735" t="inlineStr">
        <is>
          <t>SANDVIKEN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27006-2023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45094</v>
      </c>
      <c r="E736" s="1" t="n">
        <v>46326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29115-2026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46201</v>
      </c>
      <c r="E737" s="1" t="n">
        <v>46326</v>
      </c>
      <c r="F737" t="inlineStr">
        <is>
          <t>GÄVLEBORGS LÄN</t>
        </is>
      </c>
      <c r="G737" t="inlineStr">
        <is>
          <t>SANDVIKEN</t>
        </is>
      </c>
      <c r="H737" t="inlineStr">
        <is>
          <t>Kommuner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46177-2022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44847</v>
      </c>
      <c r="E738" s="1" t="n">
        <v>46326</v>
      </c>
      <c r="F738" t="inlineStr">
        <is>
          <t>GÄVLEBORGS LÄN</t>
        </is>
      </c>
      <c r="G738" t="inlineStr">
        <is>
          <t>SANDVIKEN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46202</v>
      </c>
      <c r="E739" s="1" t="n">
        <v>46326</v>
      </c>
      <c r="F739" t="inlineStr">
        <is>
          <t>GÄVLEBORGS LÄN</t>
        </is>
      </c>
      <c r="G739" t="inlineStr">
        <is>
          <t>SANDVIKEN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19346-2023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45049</v>
      </c>
      <c r="E740" s="1" t="n">
        <v>46326</v>
      </c>
      <c r="F740" t="inlineStr">
        <is>
          <t>GÄVLEBORGS LÄN</t>
        </is>
      </c>
      <c r="G740" t="inlineStr">
        <is>
          <t>SANDVIKEN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61363-2023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45264</v>
      </c>
      <c r="E741" s="1" t="n">
        <v>46326</v>
      </c>
      <c r="F741" t="inlineStr">
        <is>
          <t>GÄVLEBORGS LÄN</t>
        </is>
      </c>
      <c r="G741" t="inlineStr">
        <is>
          <t>SANDVIKEN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46482-2023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45197</v>
      </c>
      <c r="E742" s="1" t="n">
        <v>46326</v>
      </c>
      <c r="F742" t="inlineStr">
        <is>
          <t>GÄVLEBORGS LÄN</t>
        </is>
      </c>
      <c r="G742" t="inlineStr">
        <is>
          <t>SANDVIKEN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29682-2026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46326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29726-2026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46326</v>
      </c>
      <c r="F744" t="inlineStr">
        <is>
          <t>GÄVLEBORGS LÄN</t>
        </is>
      </c>
      <c r="G744" t="inlineStr">
        <is>
          <t>SANDVIKEN</t>
        </is>
      </c>
      <c r="H744" t="inlineStr">
        <is>
          <t>Naturvårdsverket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46326</v>
      </c>
      <c r="F745" t="inlineStr">
        <is>
          <t>GÄVLEBORGS LÄN</t>
        </is>
      </c>
      <c r="G745" t="inlineStr">
        <is>
          <t>SANDVIKEN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29572-2026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46326</v>
      </c>
      <c r="F746" t="inlineStr">
        <is>
          <t>GÄVLEBORGS LÄN</t>
        </is>
      </c>
      <c r="G746" t="inlineStr">
        <is>
          <t>SANDVIKEN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46326</v>
      </c>
      <c r="F747" t="inlineStr">
        <is>
          <t>GÄVLEBORGS LÄN</t>
        </is>
      </c>
      <c r="G747" t="inlineStr">
        <is>
          <t>SANDVIKEN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29620-2026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46326</v>
      </c>
      <c r="F748" t="inlineStr">
        <is>
          <t>GÄVLEBORGS LÄN</t>
        </is>
      </c>
      <c r="G748" t="inlineStr">
        <is>
          <t>SANDVIKEN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50797-2023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45217</v>
      </c>
      <c r="E749" s="1" t="n">
        <v>46326</v>
      </c>
      <c r="F749" t="inlineStr">
        <is>
          <t>GÄVLEBORGS LÄN</t>
        </is>
      </c>
      <c r="G749" t="inlineStr">
        <is>
          <t>SANDVIKEN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44564</v>
      </c>
      <c r="E750" s="1" t="n">
        <v>46326</v>
      </c>
      <c r="F750" t="inlineStr">
        <is>
          <t>GÄVLEBORGS LÄN</t>
        </is>
      </c>
      <c r="G750" t="inlineStr">
        <is>
          <t>SANDVIKEN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22851-2026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46160</v>
      </c>
      <c r="E751" s="1" t="n">
        <v>46326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29833-2026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46205</v>
      </c>
      <c r="E752" s="1" t="n">
        <v>46326</v>
      </c>
      <c r="F752" t="inlineStr">
        <is>
          <t>GÄVLEBORGS LÄN</t>
        </is>
      </c>
      <c r="G752" t="inlineStr">
        <is>
          <t>SANDVIKEN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46326</v>
      </c>
      <c r="F753" t="inlineStr">
        <is>
          <t>GÄVLEBORGS LÄN</t>
        </is>
      </c>
      <c r="G753" t="inlineStr">
        <is>
          <t>SANDVIKEN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73331-2021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44551</v>
      </c>
      <c r="E754" s="1" t="n">
        <v>46326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41790-2024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45561</v>
      </c>
      <c r="E755" s="1" t="n">
        <v>46326</v>
      </c>
      <c r="F755" t="inlineStr">
        <is>
          <t>GÄVLEBORGS LÄN</t>
        </is>
      </c>
      <c r="G755" t="inlineStr">
        <is>
          <t>SANDVIKEN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21456-2023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45063</v>
      </c>
      <c r="E756" s="1" t="n">
        <v>46326</v>
      </c>
      <c r="F756" t="inlineStr">
        <is>
          <t>GÄVLEBORGS LÄN</t>
        </is>
      </c>
      <c r="G756" t="inlineStr">
        <is>
          <t>SANDVIKEN</t>
        </is>
      </c>
      <c r="H756" t="inlineStr">
        <is>
          <t>Kommuner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46326</v>
      </c>
      <c r="F757" t="inlineStr">
        <is>
          <t>GÄVLEBORGS LÄN</t>
        </is>
      </c>
      <c r="G757" t="inlineStr">
        <is>
          <t>SANDVIKEN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15788-2025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45748</v>
      </c>
      <c r="E758" s="1" t="n">
        <v>46326</v>
      </c>
      <c r="F758" t="inlineStr">
        <is>
          <t>GÄVLEBORGS LÄN</t>
        </is>
      </c>
      <c r="G758" t="inlineStr">
        <is>
          <t>SANDVIKEN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1062-2026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46030</v>
      </c>
      <c r="E759" s="1" t="n">
        <v>46326</v>
      </c>
      <c r="F759" t="inlineStr">
        <is>
          <t>GÄVLEBORGS LÄN</t>
        </is>
      </c>
      <c r="G759" t="inlineStr">
        <is>
          <t>SANDVIKEN</t>
        </is>
      </c>
      <c r="I759" t="n">
        <v>10.2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58797-2024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45636</v>
      </c>
      <c r="E760" s="1" t="n">
        <v>46326</v>
      </c>
      <c r="F760" t="inlineStr">
        <is>
          <t>GÄVLEBORGS LÄN</t>
        </is>
      </c>
      <c r="G760" t="inlineStr">
        <is>
          <t>SANDVIKEN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24992-2023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45085</v>
      </c>
      <c r="E761" s="1" t="n">
        <v>46326</v>
      </c>
      <c r="F761" t="inlineStr">
        <is>
          <t>GÄVLEBORGS LÄN</t>
        </is>
      </c>
      <c r="G761" t="inlineStr">
        <is>
          <t>SANDVIKEN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31314-2026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46219</v>
      </c>
      <c r="E762" s="1" t="n">
        <v>46326</v>
      </c>
      <c r="F762" t="inlineStr">
        <is>
          <t>GÄVLEBORGS LÄN</t>
        </is>
      </c>
      <c r="G762" t="inlineStr">
        <is>
          <t>SANDVIKEN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61100-2025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46000</v>
      </c>
      <c r="E763" s="1" t="n">
        <v>46326</v>
      </c>
      <c r="F763" t="inlineStr">
        <is>
          <t>GÄVLEBORGS LÄN</t>
        </is>
      </c>
      <c r="G763" t="inlineStr">
        <is>
          <t>SANDVIKEN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31802-2026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46230</v>
      </c>
      <c r="E764" s="1" t="n">
        <v>46326</v>
      </c>
      <c r="F764" t="inlineStr">
        <is>
          <t>GÄVLEBORGS LÄN</t>
        </is>
      </c>
      <c r="G764" t="inlineStr">
        <is>
          <t>SANDVIKEN</t>
        </is>
      </c>
      <c r="H764" t="inlineStr">
        <is>
          <t>Kommuner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46230</v>
      </c>
      <c r="E765" s="1" t="n">
        <v>46326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11.2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7056-2025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45701</v>
      </c>
      <c r="E766" s="1" t="n">
        <v>46326</v>
      </c>
      <c r="F766" t="inlineStr">
        <is>
          <t>GÄVLEBORGS LÄN</t>
        </is>
      </c>
      <c r="G766" t="inlineStr">
        <is>
          <t>SANDVIKEN</t>
        </is>
      </c>
      <c r="I766" t="n">
        <v>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31723-2026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46227</v>
      </c>
      <c r="E767" s="1" t="n">
        <v>46326</v>
      </c>
      <c r="F767" t="inlineStr">
        <is>
          <t>GÄVLEBORGS LÄN</t>
        </is>
      </c>
      <c r="G767" t="inlineStr">
        <is>
          <t>SANDVIKEN</t>
        </is>
      </c>
      <c r="H767" t="inlineStr">
        <is>
          <t>Kommuner</t>
        </is>
      </c>
      <c r="I767" t="n">
        <v>9.300000000000001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6765-2025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45700</v>
      </c>
      <c r="E768" s="1" t="n">
        <v>46326</v>
      </c>
      <c r="F768" t="inlineStr">
        <is>
          <t>GÄVLEBORGS LÄN</t>
        </is>
      </c>
      <c r="G768" t="inlineStr">
        <is>
          <t>SANDVIKEN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47889-2022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44855</v>
      </c>
      <c r="E769" s="1" t="n">
        <v>46326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29972-2022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44756</v>
      </c>
      <c r="E770" s="1" t="n">
        <v>46326</v>
      </c>
      <c r="F770" t="inlineStr">
        <is>
          <t>GÄVLEBORGS LÄN</t>
        </is>
      </c>
      <c r="G770" t="inlineStr">
        <is>
          <t>SANDVIKEN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16385-2023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45022</v>
      </c>
      <c r="E771" s="1" t="n">
        <v>46326</v>
      </c>
      <c r="F771" t="inlineStr">
        <is>
          <t>GÄVLEBORGS LÄN</t>
        </is>
      </c>
      <c r="G771" t="inlineStr">
        <is>
          <t>SANDVIKEN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45463</v>
      </c>
      <c r="E772" s="1" t="n">
        <v>46326</v>
      </c>
      <c r="F772" t="inlineStr">
        <is>
          <t>GÄVLEBORGS LÄN</t>
        </is>
      </c>
      <c r="G772" t="inlineStr">
        <is>
          <t>SANDVIKEN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45541</v>
      </c>
      <c r="E773" s="1" t="n">
        <v>46326</v>
      </c>
      <c r="F773" t="inlineStr">
        <is>
          <t>GÄVLEBORGS LÄN</t>
        </is>
      </c>
      <c r="G773" t="inlineStr">
        <is>
          <t>SANDVIKEN</t>
        </is>
      </c>
      <c r="H773" t="inlineStr">
        <is>
          <t>Sveaskog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37643-2024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45541</v>
      </c>
      <c r="E774" s="1" t="n">
        <v>46326</v>
      </c>
      <c r="F774" t="inlineStr">
        <is>
          <t>GÄVLEBORGS LÄN</t>
        </is>
      </c>
      <c r="G774" t="inlineStr">
        <is>
          <t>SANDVIKEN</t>
        </is>
      </c>
      <c r="H774" t="inlineStr">
        <is>
          <t>Sveaskog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7886-2026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46063</v>
      </c>
      <c r="E775" s="1" t="n">
        <v>46326</v>
      </c>
      <c r="F775" t="inlineStr">
        <is>
          <t>GÄVLEBORGS LÄN</t>
        </is>
      </c>
      <c r="G775" t="inlineStr">
        <is>
          <t>SANDVIKEN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39157-2026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46287</v>
      </c>
      <c r="E776" s="1" t="n">
        <v>46326</v>
      </c>
      <c r="F776" t="inlineStr">
        <is>
          <t>GÄVLEBORGS LÄN</t>
        </is>
      </c>
      <c r="G776" t="inlineStr">
        <is>
          <t>SANDVIKEN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3899-2022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44587</v>
      </c>
      <c r="E777" s="1" t="n">
        <v>46326</v>
      </c>
      <c r="F777" t="inlineStr">
        <is>
          <t>GÄVLEBORGS LÄN</t>
        </is>
      </c>
      <c r="G777" t="inlineStr">
        <is>
          <t>SANDVIKEN</t>
        </is>
      </c>
      <c r="H777" t="inlineStr">
        <is>
          <t>Kyrkan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45327</v>
      </c>
      <c r="E778" s="1" t="n">
        <v>46326</v>
      </c>
      <c r="F778" t="inlineStr">
        <is>
          <t>GÄVLEBORGS LÄN</t>
        </is>
      </c>
      <c r="G778" t="inlineStr">
        <is>
          <t>SANDVIKEN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33007-2026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46244</v>
      </c>
      <c r="E779" s="1" t="n">
        <v>46326</v>
      </c>
      <c r="F779" t="inlineStr">
        <is>
          <t>GÄVLEBORGS LÄN</t>
        </is>
      </c>
      <c r="G779" t="inlineStr">
        <is>
          <t>SANDVIKEN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29661-2026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46326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38995-2026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46287</v>
      </c>
      <c r="E781" s="1" t="n">
        <v>46326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19269-2025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45769</v>
      </c>
      <c r="E782" s="1" t="n">
        <v>46326</v>
      </c>
      <c r="F782" t="inlineStr">
        <is>
          <t>GÄVLEBORGS LÄN</t>
        </is>
      </c>
      <c r="G782" t="inlineStr">
        <is>
          <t>SANDVIKEN</t>
        </is>
      </c>
      <c r="I782" t="n">
        <v>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39155-2026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46287</v>
      </c>
      <c r="E783" s="1" t="n">
        <v>46326</v>
      </c>
      <c r="F783" t="inlineStr">
        <is>
          <t>GÄVLEBORGS LÄN</t>
        </is>
      </c>
      <c r="G783" t="inlineStr">
        <is>
          <t>SANDVIKEN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32875-2026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46326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39396-2026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46288</v>
      </c>
      <c r="E785" s="1" t="n">
        <v>46326</v>
      </c>
      <c r="F785" t="inlineStr">
        <is>
          <t>GÄVLEBORGS LÄN</t>
        </is>
      </c>
      <c r="G785" t="inlineStr">
        <is>
          <t>SANDVIKEN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48435-2024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45590</v>
      </c>
      <c r="E786" s="1" t="n">
        <v>46326</v>
      </c>
      <c r="F786" t="inlineStr">
        <is>
          <t>GÄVLEBORGS LÄN</t>
        </is>
      </c>
      <c r="G786" t="inlineStr">
        <is>
          <t>SANDVIKEN</t>
        </is>
      </c>
      <c r="I786" t="n">
        <v>6.7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39393-2026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46288</v>
      </c>
      <c r="E787" s="1" t="n">
        <v>46326</v>
      </c>
      <c r="F787" t="inlineStr">
        <is>
          <t>GÄVLEBORGS LÄN</t>
        </is>
      </c>
      <c r="G787" t="inlineStr">
        <is>
          <t>SANDVIKEN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2131-2025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45672</v>
      </c>
      <c r="E788" s="1" t="n">
        <v>46326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49518-2023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45211</v>
      </c>
      <c r="E789" s="1" t="n">
        <v>46326</v>
      </c>
      <c r="F789" t="inlineStr">
        <is>
          <t>GÄVLEBORGS LÄN</t>
        </is>
      </c>
      <c r="G789" t="inlineStr">
        <is>
          <t>SANDVIKEN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44566</v>
      </c>
      <c r="E790" s="1" t="n">
        <v>46326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36656-2023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45153</v>
      </c>
      <c r="E791" s="1" t="n">
        <v>46326</v>
      </c>
      <c r="F791" t="inlineStr">
        <is>
          <t>GÄVLEBORGS LÄN</t>
        </is>
      </c>
      <c r="G791" t="inlineStr">
        <is>
          <t>SANDVIKEN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16258-2023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45022</v>
      </c>
      <c r="E792" s="1" t="n">
        <v>46326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väst AB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46326</v>
      </c>
      <c r="F793" t="inlineStr">
        <is>
          <t>GÄVLEBORGS LÄN</t>
        </is>
      </c>
      <c r="G793" t="inlineStr">
        <is>
          <t>SANDVIKEN</t>
        </is>
      </c>
      <c r="H793" t="inlineStr">
        <is>
          <t>Kommuner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45779</v>
      </c>
      <c r="E794" s="1" t="n">
        <v>46326</v>
      </c>
      <c r="F794" t="inlineStr">
        <is>
          <t>GÄVLEBORGS LÄN</t>
        </is>
      </c>
      <c r="G794" t="inlineStr">
        <is>
          <t>SANDVIKEN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37459-2024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45540</v>
      </c>
      <c r="E795" s="1" t="n">
        <v>46326</v>
      </c>
      <c r="F795" t="inlineStr">
        <is>
          <t>GÄVLEBORGS LÄN</t>
        </is>
      </c>
      <c r="G795" t="inlineStr">
        <is>
          <t>SANDVIKEN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48319-2023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46326</v>
      </c>
      <c r="F796" t="inlineStr">
        <is>
          <t>GÄVLEBORGS LÄN</t>
        </is>
      </c>
      <c r="G796" t="inlineStr">
        <is>
          <t>SANDVIKEN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55446-2024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45622</v>
      </c>
      <c r="E797" s="1" t="n">
        <v>46326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45679</v>
      </c>
      <c r="E798" s="1" t="n">
        <v>46326</v>
      </c>
      <c r="F798" t="inlineStr">
        <is>
          <t>GÄVLEBORGS LÄN</t>
        </is>
      </c>
      <c r="G798" t="inlineStr">
        <is>
          <t>SANDVIKEN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40460-2024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45555</v>
      </c>
      <c r="E799" s="1" t="n">
        <v>46326</v>
      </c>
      <c r="F799" t="inlineStr">
        <is>
          <t>GÄVLEBORGS LÄN</t>
        </is>
      </c>
      <c r="G799" t="inlineStr">
        <is>
          <t>SANDVIKEN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41284-2023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45174</v>
      </c>
      <c r="E800" s="1" t="n">
        <v>46326</v>
      </c>
      <c r="F800" t="inlineStr">
        <is>
          <t>GÄVLEBORGS LÄN</t>
        </is>
      </c>
      <c r="G800" t="inlineStr">
        <is>
          <t>SANDVIKEN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69521-2021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44531</v>
      </c>
      <c r="E801" s="1" t="n">
        <v>46326</v>
      </c>
      <c r="F801" t="inlineStr">
        <is>
          <t>GÄVLEBORGS LÄN</t>
        </is>
      </c>
      <c r="G801" t="inlineStr">
        <is>
          <t>SANDVIKEN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56019-2023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45240</v>
      </c>
      <c r="E802" s="1" t="n">
        <v>46326</v>
      </c>
      <c r="F802" t="inlineStr">
        <is>
          <t>GÄVLEBORGS LÄN</t>
        </is>
      </c>
      <c r="G802" t="inlineStr">
        <is>
          <t>SANDVIKEN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46247</v>
      </c>
      <c r="E803" s="1" t="n">
        <v>46326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42950-2023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45178</v>
      </c>
      <c r="E804" s="1" t="n">
        <v>46326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väst AB</t>
        </is>
      </c>
      <c r="I804" t="n">
        <v>16.5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33623-2024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45520</v>
      </c>
      <c r="E805" s="1" t="n">
        <v>46326</v>
      </c>
      <c r="F805" t="inlineStr">
        <is>
          <t>GÄVLEBORGS LÄN</t>
        </is>
      </c>
      <c r="G805" t="inlineStr">
        <is>
          <t>SANDVIKEN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34429-2024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45525</v>
      </c>
      <c r="E806" s="1" t="n">
        <v>46326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46252</v>
      </c>
      <c r="E807" s="1" t="n">
        <v>46326</v>
      </c>
      <c r="F807" t="inlineStr">
        <is>
          <t>GÄVLEBORGS LÄN</t>
        </is>
      </c>
      <c r="G807" t="inlineStr">
        <is>
          <t>SANDVIKEN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46196</v>
      </c>
      <c r="E808" s="1" t="n">
        <v>46326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27533-2026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46190</v>
      </c>
      <c r="E809" s="1" t="n">
        <v>46326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15682-2024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45404</v>
      </c>
      <c r="E810" s="1" t="n">
        <v>46326</v>
      </c>
      <c r="F810" t="inlineStr">
        <is>
          <t>GÄVLEBORGS LÄN</t>
        </is>
      </c>
      <c r="G810" t="inlineStr">
        <is>
          <t>SANDVIKEN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44289-2023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45188</v>
      </c>
      <c r="E811" s="1" t="n">
        <v>46326</v>
      </c>
      <c r="F811" t="inlineStr">
        <is>
          <t>GÄVLEBORGS LÄN</t>
        </is>
      </c>
      <c r="G811" t="inlineStr">
        <is>
          <t>SANDVIKEN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27872-2024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45475</v>
      </c>
      <c r="E812" s="1" t="n">
        <v>46326</v>
      </c>
      <c r="F812" t="inlineStr">
        <is>
          <t>GÄVLEBORGS LÄN</t>
        </is>
      </c>
      <c r="G812" t="inlineStr">
        <is>
          <t>SANDVIKEN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33877-2026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46251</v>
      </c>
      <c r="E813" s="1" t="n">
        <v>46326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23228-2026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46162</v>
      </c>
      <c r="E814" s="1" t="n">
        <v>46326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2358-2025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45673</v>
      </c>
      <c r="E815" s="1" t="n">
        <v>46326</v>
      </c>
      <c r="F815" t="inlineStr">
        <is>
          <t>GÄVLEBORGS LÄN</t>
        </is>
      </c>
      <c r="G815" t="inlineStr">
        <is>
          <t>SANDVIKEN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32989-2026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46326</v>
      </c>
      <c r="F816" t="inlineStr">
        <is>
          <t>GÄVLEBORGS LÄN</t>
        </is>
      </c>
      <c r="G816" t="inlineStr">
        <is>
          <t>SANDVIKEN</t>
        </is>
      </c>
      <c r="H816" t="inlineStr">
        <is>
          <t>Kommuner</t>
        </is>
      </c>
      <c r="I816" t="n">
        <v>8.6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34253-2026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46253</v>
      </c>
      <c r="E817" s="1" t="n">
        <v>46326</v>
      </c>
      <c r="F817" t="inlineStr">
        <is>
          <t>GÄVLEBORGS LÄN</t>
        </is>
      </c>
      <c r="G817" t="inlineStr">
        <is>
          <t>SANDVIKEN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18725-2025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45763</v>
      </c>
      <c r="E818" s="1" t="n">
        <v>46326</v>
      </c>
      <c r="F818" t="inlineStr">
        <is>
          <t>GÄVLEBORGS LÄN</t>
        </is>
      </c>
      <c r="G818" t="inlineStr">
        <is>
          <t>SANDVIKEN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64000-2023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45278</v>
      </c>
      <c r="E819" s="1" t="n">
        <v>46326</v>
      </c>
      <c r="F819" t="inlineStr">
        <is>
          <t>GÄVLEBORGS LÄN</t>
        </is>
      </c>
      <c r="G819" t="inlineStr">
        <is>
          <t>SANDVIKEN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46049</v>
      </c>
      <c r="E820" s="1" t="n">
        <v>46326</v>
      </c>
      <c r="F820" t="inlineStr">
        <is>
          <t>GÄVLEBORGS LÄN</t>
        </is>
      </c>
      <c r="G820" t="inlineStr">
        <is>
          <t>SANDVIKEN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61301-2025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46000</v>
      </c>
      <c r="E821" s="1" t="n">
        <v>46326</v>
      </c>
      <c r="F821" t="inlineStr">
        <is>
          <t>GÄVLEBORGS LÄN</t>
        </is>
      </c>
      <c r="G821" t="inlineStr">
        <is>
          <t>SANDVIKEN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17735-2024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45418</v>
      </c>
      <c r="E822" s="1" t="n">
        <v>46326</v>
      </c>
      <c r="F822" t="inlineStr">
        <is>
          <t>GÄVLEBORGS LÄN</t>
        </is>
      </c>
      <c r="G822" t="inlineStr">
        <is>
          <t>SANDVIKEN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53322-2024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45614</v>
      </c>
      <c r="E823" s="1" t="n">
        <v>46326</v>
      </c>
      <c r="F823" t="inlineStr">
        <is>
          <t>GÄVLEBORGS LÄN</t>
        </is>
      </c>
      <c r="G823" t="inlineStr">
        <is>
          <t>SANDVIKEN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58200-2025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45984</v>
      </c>
      <c r="E824" s="1" t="n">
        <v>46326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7351-2026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46058</v>
      </c>
      <c r="E825" s="1" t="n">
        <v>46326</v>
      </c>
      <c r="F825" t="inlineStr">
        <is>
          <t>GÄVLEBORGS LÄN</t>
        </is>
      </c>
      <c r="G825" t="inlineStr">
        <is>
          <t>SANDVIKEN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7352-2026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46058</v>
      </c>
      <c r="E826" s="1" t="n">
        <v>46326</v>
      </c>
      <c r="F826" t="inlineStr">
        <is>
          <t>GÄVLEBORGS LÄN</t>
        </is>
      </c>
      <c r="G826" t="inlineStr">
        <is>
          <t>SANDVIKEN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46254</v>
      </c>
      <c r="E827" s="1" t="n">
        <v>46326</v>
      </c>
      <c r="F827" t="inlineStr">
        <is>
          <t>GÄVLEBORGS LÄN</t>
        </is>
      </c>
      <c r="G827" t="inlineStr">
        <is>
          <t>SANDVIKEN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7350-2026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46058</v>
      </c>
      <c r="E828" s="1" t="n">
        <v>46326</v>
      </c>
      <c r="F828" t="inlineStr">
        <is>
          <t>GÄVLEBORGS LÄN</t>
        </is>
      </c>
      <c r="G828" t="inlineStr">
        <is>
          <t>SANDVIKEN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33874-2026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46251</v>
      </c>
      <c r="E829" s="1" t="n">
        <v>46326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8611-2026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46065</v>
      </c>
      <c r="E830" s="1" t="n">
        <v>46326</v>
      </c>
      <c r="F830" t="inlineStr">
        <is>
          <t>GÄVLEBORGS LÄN</t>
        </is>
      </c>
      <c r="G830" t="inlineStr">
        <is>
          <t>SANDVIKEN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25835-2026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46178</v>
      </c>
      <c r="E831" s="1" t="n">
        <v>46326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32998-2026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46244</v>
      </c>
      <c r="E832" s="1" t="n">
        <v>46326</v>
      </c>
      <c r="F832" t="inlineStr">
        <is>
          <t>GÄVLEBORGS LÄN</t>
        </is>
      </c>
      <c r="G832" t="inlineStr">
        <is>
          <t>SANDVIKEN</t>
        </is>
      </c>
      <c r="H832" t="inlineStr">
        <is>
          <t>Kommuner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33873-2026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46251</v>
      </c>
      <c r="E833" s="1" t="n">
        <v>46326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58198-2025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45984</v>
      </c>
      <c r="E834" s="1" t="n">
        <v>46326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29616-2026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46204</v>
      </c>
      <c r="E835" s="1" t="n">
        <v>46326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46255</v>
      </c>
      <c r="E836" s="1" t="n">
        <v>46326</v>
      </c>
      <c r="F836" t="inlineStr">
        <is>
          <t>GÄVLEBORGS LÄN</t>
        </is>
      </c>
      <c r="G836" t="inlineStr">
        <is>
          <t>SANDVIKEN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19186-2026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46132</v>
      </c>
      <c r="E837" s="1" t="n">
        <v>46326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46326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29608-2026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46204</v>
      </c>
      <c r="E839" s="1" t="n">
        <v>46326</v>
      </c>
      <c r="F839" t="inlineStr">
        <is>
          <t>GÄVLEBORGS LÄN</t>
        </is>
      </c>
      <c r="G839" t="inlineStr">
        <is>
          <t>SANDVIKEN</t>
        </is>
      </c>
      <c r="I839" t="n">
        <v>5.4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34879-2026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46258</v>
      </c>
      <c r="E840" s="1" t="n">
        <v>46326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12656-2026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46091</v>
      </c>
      <c r="E841" s="1" t="n">
        <v>46326</v>
      </c>
      <c r="F841" t="inlineStr">
        <is>
          <t>GÄVLEBORGS LÄN</t>
        </is>
      </c>
      <c r="G841" t="inlineStr">
        <is>
          <t>SANDVIKEN</t>
        </is>
      </c>
      <c r="H841" t="inlineStr">
        <is>
          <t>Naturvårdsverket</t>
        </is>
      </c>
      <c r="I841" t="n">
        <v>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13580-2026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46095</v>
      </c>
      <c r="E842" s="1" t="n">
        <v>46326</v>
      </c>
      <c r="F842" t="inlineStr">
        <is>
          <t>GÄVLEBORGS LÄN</t>
        </is>
      </c>
      <c r="G842" t="inlineStr">
        <is>
          <t>SANDVIKEN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41328-2026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46301</v>
      </c>
      <c r="E843" s="1" t="n">
        <v>46326</v>
      </c>
      <c r="F843" t="inlineStr">
        <is>
          <t>GÄVLEBORGS LÄN</t>
        </is>
      </c>
      <c r="G843" t="inlineStr">
        <is>
          <t>SANDVIKEN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13581-2026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46095</v>
      </c>
      <c r="E844" s="1" t="n">
        <v>46326</v>
      </c>
      <c r="F844" t="inlineStr">
        <is>
          <t>GÄVLEBORGS LÄN</t>
        </is>
      </c>
      <c r="G844" t="inlineStr">
        <is>
          <t>SANDVIKEN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17164-2026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46115</v>
      </c>
      <c r="E845" s="1" t="n">
        <v>46326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18218-2026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46126</v>
      </c>
      <c r="E846" s="1" t="n">
        <v>46326</v>
      </c>
      <c r="F846" t="inlineStr">
        <is>
          <t>GÄVLEBORGS LÄN</t>
        </is>
      </c>
      <c r="G846" t="inlineStr">
        <is>
          <t>SANDVIKEN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25841-2026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46326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46326</v>
      </c>
      <c r="F848" t="inlineStr">
        <is>
          <t>GÄVLEBORGS LÄN</t>
        </is>
      </c>
      <c r="G848" t="inlineStr">
        <is>
          <t>SANDVIKEN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29613-2026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46204</v>
      </c>
      <c r="E849" s="1" t="n">
        <v>46326</v>
      </c>
      <c r="F849" t="inlineStr">
        <is>
          <t>GÄVLEBORGS LÄN</t>
        </is>
      </c>
      <c r="G849" t="inlineStr">
        <is>
          <t>SANDVIKEN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34603-2026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46255</v>
      </c>
      <c r="E850" s="1" t="n">
        <v>46326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34608-2026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46326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35107-2026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46260</v>
      </c>
      <c r="E852" s="1" t="n">
        <v>46326</v>
      </c>
      <c r="F852" t="inlineStr">
        <is>
          <t>GÄVLEBORGS LÄN</t>
        </is>
      </c>
      <c r="G852" t="inlineStr">
        <is>
          <t>SANDVIKEN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23539-2026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46163</v>
      </c>
      <c r="E853" s="1" t="n">
        <v>46326</v>
      </c>
      <c r="F853" t="inlineStr">
        <is>
          <t>GÄVLEBORGS LÄN</t>
        </is>
      </c>
      <c r="G853" t="inlineStr">
        <is>
          <t>SANDVIKEN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4169-2026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46044</v>
      </c>
      <c r="E854" s="1" t="n">
        <v>46326</v>
      </c>
      <c r="F854" t="inlineStr">
        <is>
          <t>GÄVLEBORGS LÄN</t>
        </is>
      </c>
      <c r="G854" t="inlineStr">
        <is>
          <t>SANDVIKEN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7825-2026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46062</v>
      </c>
      <c r="E855" s="1" t="n">
        <v>46326</v>
      </c>
      <c r="F855" t="inlineStr">
        <is>
          <t>GÄVLEBORGS LÄN</t>
        </is>
      </c>
      <c r="G855" t="inlineStr">
        <is>
          <t>SANDVIKEN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34997-2026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46259</v>
      </c>
      <c r="E856" s="1" t="n">
        <v>46326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11800-2026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46085</v>
      </c>
      <c r="E857" s="1" t="n">
        <v>46326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12857-2026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46092</v>
      </c>
      <c r="E858" s="1" t="n">
        <v>46326</v>
      </c>
      <c r="F858" t="inlineStr">
        <is>
          <t>GÄVLEBORGS LÄN</t>
        </is>
      </c>
      <c r="G858" t="inlineStr">
        <is>
          <t>SANDVIKEN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42243-2026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46307</v>
      </c>
      <c r="E859" s="1" t="n">
        <v>46326</v>
      </c>
      <c r="F859" t="inlineStr">
        <is>
          <t>GÄVLEBORGS LÄN</t>
        </is>
      </c>
      <c r="G859" t="inlineStr">
        <is>
          <t>SANDVIKEN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35481-2026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46262</v>
      </c>
      <c r="E860" s="1" t="n">
        <v>46326</v>
      </c>
      <c r="F860" t="inlineStr">
        <is>
          <t>GÄVLEBORGS LÄN</t>
        </is>
      </c>
      <c r="G860" t="inlineStr">
        <is>
          <t>SANDVIKEN</t>
        </is>
      </c>
      <c r="H860" t="inlineStr">
        <is>
          <t>Kommuner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35576-2026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46262</v>
      </c>
      <c r="E861" s="1" t="n">
        <v>46326</v>
      </c>
      <c r="F861" t="inlineStr">
        <is>
          <t>GÄVLEBORGS LÄN</t>
        </is>
      </c>
      <c r="G861" t="inlineStr">
        <is>
          <t>SANDVIKEN</t>
        </is>
      </c>
      <c r="H861" t="inlineStr">
        <is>
          <t>Naturvårdsverket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35320-2026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46261</v>
      </c>
      <c r="E862" s="1" t="n">
        <v>46326</v>
      </c>
      <c r="F862" t="inlineStr">
        <is>
          <t>GÄVLEBORGS LÄN</t>
        </is>
      </c>
      <c r="G862" t="inlineStr">
        <is>
          <t>SANDVIKEN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46326</v>
      </c>
      <c r="F863" t="inlineStr">
        <is>
          <t>GÄVLEBORGS LÄN</t>
        </is>
      </c>
      <c r="G863" t="inlineStr">
        <is>
          <t>SANDVIKEN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35317-2026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46326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35578-2026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46262</v>
      </c>
      <c r="E865" s="1" t="n">
        <v>46326</v>
      </c>
      <c r="F865" t="inlineStr">
        <is>
          <t>GÄVLEBORGS LÄN</t>
        </is>
      </c>
      <c r="G865" t="inlineStr">
        <is>
          <t>SANDVIKEN</t>
        </is>
      </c>
      <c r="H865" t="inlineStr">
        <is>
          <t>Naturvårdsverket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35324-2026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46326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35325-2026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46326</v>
      </c>
      <c r="F867" t="inlineStr">
        <is>
          <t>GÄVLEBORGS LÄN</t>
        </is>
      </c>
      <c r="G867" t="inlineStr">
        <is>
          <t>SANDVIKEN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46326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5.3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35348-2026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46261</v>
      </c>
      <c r="E869" s="1" t="n">
        <v>46326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35376-2026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46326</v>
      </c>
      <c r="F870" t="inlineStr">
        <is>
          <t>GÄVLEBORGS LÄN</t>
        </is>
      </c>
      <c r="G870" t="inlineStr">
        <is>
          <t>SANDVIKEN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42325-2026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46307</v>
      </c>
      <c r="E871" s="1" t="n">
        <v>46326</v>
      </c>
      <c r="F871" t="inlineStr">
        <is>
          <t>GÄVLEBORGS LÄN</t>
        </is>
      </c>
      <c r="G871" t="inlineStr">
        <is>
          <t>SANDVIKEN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35253-2026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46326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35255-2026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46326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35345-2026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46326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35575-2026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46326</v>
      </c>
      <c r="F875" t="inlineStr">
        <is>
          <t>GÄVLEBORGS LÄN</t>
        </is>
      </c>
      <c r="G875" t="inlineStr">
        <is>
          <t>SANDVIKEN</t>
        </is>
      </c>
      <c r="H875" t="inlineStr">
        <is>
          <t>Naturvårdsverket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35432-2026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46262</v>
      </c>
      <c r="E876" s="1" t="n">
        <v>46326</v>
      </c>
      <c r="F876" t="inlineStr">
        <is>
          <t>GÄVLEBORGS LÄN</t>
        </is>
      </c>
      <c r="G876" t="inlineStr">
        <is>
          <t>SANDVIKEN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35451-2026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46262</v>
      </c>
      <c r="E877" s="1" t="n">
        <v>46326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35414-2026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46326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35420-2026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46326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46326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46326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35434-2026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46262</v>
      </c>
      <c r="E882" s="1" t="n">
        <v>46326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41125-2026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46300</v>
      </c>
      <c r="E883" s="1" t="n">
        <v>46326</v>
      </c>
      <c r="F883" t="inlineStr">
        <is>
          <t>GÄVLEBORGS LÄN</t>
        </is>
      </c>
      <c r="G883" t="inlineStr">
        <is>
          <t>SANDVIKEN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35863-2026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46266</v>
      </c>
      <c r="E884" s="1" t="n">
        <v>46326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35865-2026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46266</v>
      </c>
      <c r="E885" s="1" t="n">
        <v>46326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42925-2026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46310</v>
      </c>
      <c r="E886" s="1" t="n">
        <v>46326</v>
      </c>
      <c r="F886" t="inlineStr">
        <is>
          <t>GÄVLEBORGS LÄN</t>
        </is>
      </c>
      <c r="G886" t="inlineStr">
        <is>
          <t>SANDVIKEN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1974-2026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46326</v>
      </c>
      <c r="F887" t="inlineStr">
        <is>
          <t>GÄVLEBORGS LÄN</t>
        </is>
      </c>
      <c r="G887" t="inlineStr">
        <is>
          <t>SANDVIKEN</t>
        </is>
      </c>
      <c r="I887" t="n">
        <v>6.9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35492-2026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46262</v>
      </c>
      <c r="E888" s="1" t="n">
        <v>46326</v>
      </c>
      <c r="F888" t="inlineStr">
        <is>
          <t>GÄVLEBORGS LÄN</t>
        </is>
      </c>
      <c r="G888" t="inlineStr">
        <is>
          <t>SANDVIKEN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43283-2026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46314</v>
      </c>
      <c r="E889" s="1" t="n">
        <v>46326</v>
      </c>
      <c r="F889" t="inlineStr">
        <is>
          <t>GÄVLEBORGS LÄN</t>
        </is>
      </c>
      <c r="G889" t="inlineStr">
        <is>
          <t>SANDVIKEN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43286-2026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46314</v>
      </c>
      <c r="E890" s="1" t="n">
        <v>46326</v>
      </c>
      <c r="F890" t="inlineStr">
        <is>
          <t>GÄVLEBORGS LÄN</t>
        </is>
      </c>
      <c r="G890" t="inlineStr">
        <is>
          <t>SANDVIKEN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43284-2026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46314</v>
      </c>
      <c r="E891" s="1" t="n">
        <v>46326</v>
      </c>
      <c r="F891" t="inlineStr">
        <is>
          <t>GÄVLEBORGS LÄN</t>
        </is>
      </c>
      <c r="G891" t="inlineStr">
        <is>
          <t>SANDVIKEN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43304-2026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46314</v>
      </c>
      <c r="E892" s="1" t="n">
        <v>46326</v>
      </c>
      <c r="F892" t="inlineStr">
        <is>
          <t>GÄVLEBORGS LÄN</t>
        </is>
      </c>
      <c r="G892" t="inlineStr">
        <is>
          <t>SANDVIKEN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37024-2026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46273</v>
      </c>
      <c r="E893" s="1" t="n">
        <v>46326</v>
      </c>
      <c r="F893" t="inlineStr">
        <is>
          <t>GÄVLEBORGS LÄN</t>
        </is>
      </c>
      <c r="G893" t="inlineStr">
        <is>
          <t>SANDVIKEN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15340-2026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46105</v>
      </c>
      <c r="E894" s="1" t="n">
        <v>46326</v>
      </c>
      <c r="F894" t="inlineStr">
        <is>
          <t>GÄVLEBORGS LÄN</t>
        </is>
      </c>
      <c r="G894" t="inlineStr">
        <is>
          <t>SANDVIKEN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37455-2026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46275</v>
      </c>
      <c r="E895" s="1" t="n">
        <v>46326</v>
      </c>
      <c r="F895" t="inlineStr">
        <is>
          <t>GÄVLEBORGS LÄN</t>
        </is>
      </c>
      <c r="G895" t="inlineStr">
        <is>
          <t>SANDVIKEN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44910-2026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46323</v>
      </c>
      <c r="E896" s="1" t="n">
        <v>46326</v>
      </c>
      <c r="F896" t="inlineStr">
        <is>
          <t>GÄVLEBORGS LÄN</t>
        </is>
      </c>
      <c r="G896" t="inlineStr">
        <is>
          <t>SANDVIKEN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38047-2026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46280</v>
      </c>
      <c r="E897" s="1" t="n">
        <v>46326</v>
      </c>
      <c r="F897" t="inlineStr">
        <is>
          <t>GÄVLEBORGS LÄN</t>
        </is>
      </c>
      <c r="G897" t="inlineStr">
        <is>
          <t>SANDVIKEN</t>
        </is>
      </c>
      <c r="H897" t="inlineStr">
        <is>
          <t>Kommuner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23476-2026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46163</v>
      </c>
      <c r="E898" s="1" t="n">
        <v>46326</v>
      </c>
      <c r="F898" t="inlineStr">
        <is>
          <t>GÄVLEBORGS LÄN</t>
        </is>
      </c>
      <c r="G898" t="inlineStr">
        <is>
          <t>SANDVIKEN</t>
        </is>
      </c>
      <c r="H898" t="inlineStr">
        <is>
          <t>Övriga statliga verk och myndigheter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45210-2026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46325</v>
      </c>
      <c r="E899" s="1" t="n">
        <v>46326</v>
      </c>
      <c r="F899" t="inlineStr">
        <is>
          <t>GÄVLEBORGS LÄN</t>
        </is>
      </c>
      <c r="G899" t="inlineStr">
        <is>
          <t>SANDVIKEN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45193-2026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46325</v>
      </c>
      <c r="E900" s="1" t="n">
        <v>46326</v>
      </c>
      <c r="F900" t="inlineStr">
        <is>
          <t>GÄVLEBORGS LÄN</t>
        </is>
      </c>
      <c r="G900" t="inlineStr">
        <is>
          <t>SANDVIKEN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46326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219-2024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45316</v>
      </c>
      <c r="E902" s="1" t="n">
        <v>46326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198-2024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45315</v>
      </c>
      <c r="E903" s="1" t="n">
        <v>46326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64.59999999999999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2574-2023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45142</v>
      </c>
      <c r="E904" s="1" t="n">
        <v>46326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31.8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10363-2021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44550</v>
      </c>
      <c r="E905" s="1" t="n">
        <v>46326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73.3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513-2025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45706</v>
      </c>
      <c r="E906" s="1" t="n">
        <v>46326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46326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46326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46326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46326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46326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46326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46326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2026-10-31T03:25:05Z</dcterms:created>
  <dcterms:modified xmlns:dcterms="http://purl.org/dc/terms/" xmlns:xsi="http://www.w3.org/2001/XMLSchema-instance" xsi:type="dcterms:W3CDTF">2026-10-31T03:25:06Z</dcterms:modified>
</cp:coreProperties>
</file>