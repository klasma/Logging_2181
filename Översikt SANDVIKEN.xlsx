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46302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46302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46302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14696-2026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46302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3.1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12</v>
      </c>
      <c r="U12" t="n">
        <v>0</v>
      </c>
      <c r="V12" s="2" t="inlineStr">
        <is>
          <t>Garnlav
Knärot
Dropptaggsvamp
Motaggsvamp</t>
        </is>
      </c>
      <c r="W12">
        <f>HYPERLINK("https://klasma.github.io/Logging_2181/artfynd/A 14696-2026 artfynd.xlsx", "A 14696-2026")</f>
        <v/>
      </c>
      <c r="X12">
        <f>HYPERLINK("https://klasma.github.io/Logging_2181/kartor/A 14696-2026 karta.png", "A 14696-2026")</f>
        <v/>
      </c>
      <c r="Y12">
        <f>HYPERLINK("https://klasma.github.io/Logging_2181/kartor_geotiff/A 14696-2026 georefererad karta.tif", "A 14696-2026")</f>
        <v/>
      </c>
      <c r="Z12">
        <f>HYPERLINK("https://klasma.github.io/Logging_2181/knärot/A 14696-2026 karta knärot.png", "A 14696-2026")</f>
        <v/>
      </c>
      <c r="AA12">
        <f>HYPERLINK("https://klasma.github.io/Logging_2181/klagomål/A 14696-2026 FSC-klagomål.docx", "A 14696-2026")</f>
        <v/>
      </c>
      <c r="AB12">
        <f>HYPERLINK("https://klasma.github.io/Logging_2181/klagomålsmail/A 14696-2026 FSC-klagomål mail.docx", "A 14696-2026")</f>
        <v/>
      </c>
      <c r="AC12">
        <f>HYPERLINK("https://klasma.github.io/Logging_2181/tillsyn/A 14696-2026 tillsynsbegäran.docx", "A 14696-2026")</f>
        <v/>
      </c>
      <c r="AD12">
        <f>HYPERLINK("https://klasma.github.io/Logging_2181/tillsynsmail/A 14696-2026 tillsynsbegäran mail.docx", "A 14696-2026")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46302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46302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46302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15650-2024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46302</v>
      </c>
      <c r="F18" t="inlineStr">
        <is>
          <t>GÄVLEBORGS LÄN</t>
        </is>
      </c>
      <c r="G18" t="inlineStr">
        <is>
          <t>SANDVIKEN</t>
        </is>
      </c>
      <c r="H18" t="inlineStr">
        <is>
          <t>Bergvik skog öst AB</t>
        </is>
      </c>
      <c r="I18" t="n">
        <v>9.300000000000001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20</v>
      </c>
      <c r="U18" t="n">
        <v>20</v>
      </c>
      <c r="V18" s="2" t="inlineStr">
        <is>
          <t>Knärot
Dropptaggsvamp
Fjällig taggsvamp s.str.
Grönpyrola</t>
        </is>
      </c>
      <c r="W18">
        <f>HYPERLINK("https://klasma.github.io/Logging_2181/artfynd/A 15650-2024 artfynd.xlsx", "A 15650-2024")</f>
        <v/>
      </c>
      <c r="X18">
        <f>HYPERLINK("https://klasma.github.io/Logging_2181/kartor/A 15650-2024 karta.png", "A 15650-2024")</f>
        <v/>
      </c>
      <c r="Y18">
        <f>HYPERLINK("https://klasma.github.io/Logging_2181/kartor_geotiff/A 15650-2024 georefererad karta.tif", "A 15650-2024")</f>
        <v/>
      </c>
      <c r="Z18">
        <f>HYPERLINK("https://klasma.github.io/Logging_2181/knärot/A 15650-2024 karta knärot.png", "A 15650-2024")</f>
        <v/>
      </c>
      <c r="AA18">
        <f>HYPERLINK("https://klasma.github.io/Logging_2181/klagomål/A 15650-2024 FSC-klagomål.docx", "A 15650-2024")</f>
        <v/>
      </c>
      <c r="AB18">
        <f>HYPERLINK("https://klasma.github.io/Logging_2181/klagomålsmail/A 15650-2024 FSC-klagomål mail.docx", "A 15650-2024")</f>
        <v/>
      </c>
      <c r="AC18">
        <f>HYPERLINK("https://klasma.github.io/Logging_2181/tillsyn/A 15650-2024 tillsynsbegäran.docx", "A 15650-2024")</f>
        <v/>
      </c>
      <c r="AD18">
        <f>HYPERLINK("https://klasma.github.io/Logging_2181/tillsynsmail/A 15650-2024 tillsynsbegäran mail.docx", "A 15650-2024")</f>
        <v/>
      </c>
    </row>
    <row r="19" ht="15" customHeight="1">
      <c r="A19" t="inlineStr">
        <is>
          <t>S 2083-2020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44103</v>
      </c>
      <c r="E19" s="1" t="n">
        <v>46302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48.1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Garnlav
Jättesvampmal
Tjäder
Revlummer</t>
        </is>
      </c>
      <c r="W19">
        <f>HYPERLINK("https://klasma.github.io/Logging_2181/artfynd/S 2083-2020 artfynd.xlsx", "S 2083-2020")</f>
        <v/>
      </c>
      <c r="X19">
        <f>HYPERLINK("https://klasma.github.io/Logging_2181/kartor/S 2083-2020 karta.png", "S 2083-2020")</f>
        <v/>
      </c>
      <c r="Y19">
        <f>HYPERLINK("https://klasma.github.io/Logging_2181/kartor_geotiff/S 2083-2020 georefererad karta.tif", "S 2083-2020")</f>
        <v/>
      </c>
      <c r="AA19">
        <f>HYPERLINK("https://klasma.github.io/Logging_2181/klagomål/S 2083-2020 FSC-klagomål.docx", "S 2083-2020")</f>
        <v/>
      </c>
      <c r="AB19">
        <f>HYPERLINK("https://klasma.github.io/Logging_2181/klagomålsmail/S 2083-2020 FSC-klagomål mail.docx", "S 2083-2020")</f>
        <v/>
      </c>
      <c r="AC19">
        <f>HYPERLINK("https://klasma.github.io/Logging_2181/tillsyn/S 2083-2020 tillsynsbegäran.docx", "S 2083-2020")</f>
        <v/>
      </c>
      <c r="AD19">
        <f>HYPERLINK("https://klasma.github.io/Logging_2181/tillsynsmail/S 2083-2020 tillsynsbegäran mail.docx", "S 2083-2020")</f>
        <v/>
      </c>
      <c r="AE19">
        <f>HYPERLINK("https://klasma.github.io/Logging_2181/fåglar/S 2083-2020 prioriterade fågelarter.docx", "S 2083-2020")</f>
        <v/>
      </c>
    </row>
    <row r="20" ht="15" customHeight="1">
      <c r="A20" t="inlineStr">
        <is>
          <t>S 1038-2026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46125</v>
      </c>
      <c r="E20" s="1" t="n">
        <v>46302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110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Garnlav
Ullticka
Vedticka
Revlummer</t>
        </is>
      </c>
      <c r="W20">
        <f>HYPERLINK("https://klasma.github.io/Logging_2181/artfynd/S 1038-2026 artfynd.xlsx", "S 1038-2026")</f>
        <v/>
      </c>
      <c r="X20">
        <f>HYPERLINK("https://klasma.github.io/Logging_2181/kartor/S 1038-2026 karta.png", "S 1038-2026")</f>
        <v/>
      </c>
      <c r="Y20">
        <f>HYPERLINK("https://klasma.github.io/Logging_2181/kartor_geotiff/S 1038-2026 georefererad karta.tif", "S 1038-2026")</f>
        <v/>
      </c>
      <c r="AA20">
        <f>HYPERLINK("https://klasma.github.io/Logging_2181/klagomål/S 1038-2026 FSC-klagomål.docx", "S 1038-2026")</f>
        <v/>
      </c>
      <c r="AB20">
        <f>HYPERLINK("https://klasma.github.io/Logging_2181/klagomålsmail/S 1038-2026 FSC-klagomål mail.docx", "S 1038-2026")</f>
        <v/>
      </c>
      <c r="AC20">
        <f>HYPERLINK("https://klasma.github.io/Logging_2181/tillsyn/S 1038-2026 tillsynsbegäran.docx", "S 1038-2026")</f>
        <v/>
      </c>
      <c r="AD20">
        <f>HYPERLINK("https://klasma.github.io/Logging_2181/tillsynsmail/S 1038-2026 tillsynsbegäran mail.docx", "S 1038-2026")</f>
        <v/>
      </c>
    </row>
    <row r="21" ht="15" customHeight="1">
      <c r="A21" t="inlineStr">
        <is>
          <t>A 63033-2021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44505</v>
      </c>
      <c r="E21" s="1" t="n">
        <v>46302</v>
      </c>
      <c r="F21" t="inlineStr">
        <is>
          <t>GÄVLEBORGS LÄN</t>
        </is>
      </c>
      <c r="G21" t="inlineStr">
        <is>
          <t>SANDVIKEN</t>
        </is>
      </c>
      <c r="I21" t="n">
        <v>0.5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Järnsparv
Talltita
Kungsfågel</t>
        </is>
      </c>
      <c r="W21">
        <f>HYPERLINK("https://klasma.github.io/Logging_2181/artfynd/A 63033-2021 artfynd.xlsx", "A 63033-2021")</f>
        <v/>
      </c>
      <c r="X21">
        <f>HYPERLINK("https://klasma.github.io/Logging_2181/kartor/A 63033-2021 karta.png", "A 63033-2021")</f>
        <v/>
      </c>
      <c r="Y21">
        <f>HYPERLINK("https://klasma.github.io/Logging_2181/kartor_geotiff/A 63033-2021 georefererad karta.tif", "A 63033-2021")</f>
        <v/>
      </c>
      <c r="AA21">
        <f>HYPERLINK("https://klasma.github.io/Logging_2181/klagomål/A 63033-2021 FSC-klagomål.docx", "A 63033-2021")</f>
        <v/>
      </c>
      <c r="AB21">
        <f>HYPERLINK("https://klasma.github.io/Logging_2181/klagomålsmail/A 63033-2021 FSC-klagomål mail.docx", "A 63033-2021")</f>
        <v/>
      </c>
      <c r="AC21">
        <f>HYPERLINK("https://klasma.github.io/Logging_2181/tillsyn/A 63033-2021 tillsynsbegäran.docx", "A 63033-2021")</f>
        <v/>
      </c>
      <c r="AD21">
        <f>HYPERLINK("https://klasma.github.io/Logging_2181/tillsynsmail/A 63033-2021 tillsynsbegäran mail.docx", "A 63033-2021")</f>
        <v/>
      </c>
      <c r="AE21">
        <f>HYPERLINK("https://klasma.github.io/Logging_2181/fåglar/A 63033-2021 prioriterade fågelarter.docx", "A 63033-2021")</f>
        <v/>
      </c>
    </row>
    <row r="22" ht="15" customHeight="1">
      <c r="A22" t="inlineStr">
        <is>
          <t>A 12192-2026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46086</v>
      </c>
      <c r="E22" s="1" t="n">
        <v>46302</v>
      </c>
      <c r="F22" t="inlineStr">
        <is>
          <t>GÄVLEBORGS LÄN</t>
        </is>
      </c>
      <c r="G22" t="inlineStr">
        <is>
          <t>SANDVIKEN</t>
        </is>
      </c>
      <c r="I22" t="n">
        <v>0.6</v>
      </c>
      <c r="J22" t="n">
        <v>3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7</v>
      </c>
      <c r="U22" t="n">
        <v>7</v>
      </c>
      <c r="V22" s="2" t="inlineStr">
        <is>
          <t>Knärot
Tretåig hackspett
Spillkråka</t>
        </is>
      </c>
      <c r="W22">
        <f>HYPERLINK("https://klasma.github.io/Logging_2181/artfynd/A 12192-2026 artfynd.xlsx", "A 12192-2026")</f>
        <v/>
      </c>
      <c r="X22">
        <f>HYPERLINK("https://klasma.github.io/Logging_2181/kartor/A 12192-2026 karta.png", "A 12192-2026")</f>
        <v/>
      </c>
      <c r="Y22">
        <f>HYPERLINK("https://klasma.github.io/Logging_2181/kartor_geotiff/A 12192-2026 georefererad karta.tif", "A 12192-2026")</f>
        <v/>
      </c>
      <c r="Z22">
        <f>HYPERLINK("https://klasma.github.io/Logging_2181/knärot/A 12192-2026 karta knärot.png", "A 12192-2026")</f>
        <v/>
      </c>
      <c r="AA22">
        <f>HYPERLINK("https://klasma.github.io/Logging_2181/klagomål/A 12192-2026 FSC-klagomål.docx", "A 12192-2026")</f>
        <v/>
      </c>
      <c r="AB22">
        <f>HYPERLINK("https://klasma.github.io/Logging_2181/klagomålsmail/A 12192-2026 FSC-klagomål mail.docx", "A 12192-2026")</f>
        <v/>
      </c>
      <c r="AC22">
        <f>HYPERLINK("https://klasma.github.io/Logging_2181/tillsyn/A 12192-2026 tillsynsbegäran.docx", "A 12192-2026")</f>
        <v/>
      </c>
      <c r="AD22">
        <f>HYPERLINK("https://klasma.github.io/Logging_2181/tillsynsmail/A 12192-2026 tillsynsbegäran mail.docx", "A 12192-2026")</f>
        <v/>
      </c>
      <c r="AE22">
        <f>HYPERLINK("https://klasma.github.io/Logging_2181/fåglar/A 12192-2026 prioriterade fågelarter.docx", "A 12192-2026")</f>
        <v/>
      </c>
    </row>
    <row r="23" ht="15" customHeight="1">
      <c r="A23" t="inlineStr">
        <is>
          <t>A 12696-2026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46302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Blåsippa
Fläcknycklar
Äkta lopplummer</t>
        </is>
      </c>
      <c r="W23">
        <f>HYPERLINK("https://klasma.github.io/Logging_2181/artfynd/A 12696-2026 artfynd.xlsx", "A 12696-2026")</f>
        <v/>
      </c>
      <c r="X23">
        <f>HYPERLINK("https://klasma.github.io/Logging_2181/kartor/A 12696-2026 karta.png", "A 12696-2026")</f>
        <v/>
      </c>
      <c r="Y23">
        <f>HYPERLINK("https://klasma.github.io/Logging_2181/kartor_geotiff/A 12696-2026 georefererad karta.tif", "A 12696-2026")</f>
        <v/>
      </c>
      <c r="AA23">
        <f>HYPERLINK("https://klasma.github.io/Logging_2181/klagomål/A 12696-2026 FSC-klagomål.docx", "A 12696-2026")</f>
        <v/>
      </c>
      <c r="AB23">
        <f>HYPERLINK("https://klasma.github.io/Logging_2181/klagomålsmail/A 12696-2026 FSC-klagomål mail.docx", "A 12696-2026")</f>
        <v/>
      </c>
      <c r="AC23">
        <f>HYPERLINK("https://klasma.github.io/Logging_2181/tillsyn/A 12696-2026 tillsynsbegäran.docx", "A 12696-2026")</f>
        <v/>
      </c>
      <c r="AD23">
        <f>HYPERLINK("https://klasma.github.io/Logging_2181/tillsynsmail/A 12696-2026 tillsynsbegäran mail.docx", "A 12696-2026")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46302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26047-2026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46181</v>
      </c>
      <c r="E25" s="1" t="n">
        <v>46302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8.199999999999999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Blå taggsvamp
Talltita
Kungsfågel</t>
        </is>
      </c>
      <c r="W25">
        <f>HYPERLINK("https://klasma.github.io/Logging_2181/artfynd/A 26047-2026 artfynd.xlsx", "A 26047-2026")</f>
        <v/>
      </c>
      <c r="X25">
        <f>HYPERLINK("https://klasma.github.io/Logging_2181/kartor/A 26047-2026 karta.png", "A 26047-2026")</f>
        <v/>
      </c>
      <c r="Y25">
        <f>HYPERLINK("https://klasma.github.io/Logging_2181/kartor_geotiff/A 26047-2026 georefererad karta.tif", "A 26047-2026")</f>
        <v/>
      </c>
      <c r="AA25">
        <f>HYPERLINK("https://klasma.github.io/Logging_2181/klagomål/A 26047-2026 FSC-klagomål.docx", "A 26047-2026")</f>
        <v/>
      </c>
      <c r="AB25">
        <f>HYPERLINK("https://klasma.github.io/Logging_2181/klagomålsmail/A 26047-2026 FSC-klagomål mail.docx", "A 26047-2026")</f>
        <v/>
      </c>
      <c r="AC25">
        <f>HYPERLINK("https://klasma.github.io/Logging_2181/tillsyn/A 26047-2026 tillsynsbegäran.docx", "A 26047-2026")</f>
        <v/>
      </c>
      <c r="AD25">
        <f>HYPERLINK("https://klasma.github.io/Logging_2181/tillsynsmail/A 26047-2026 tillsynsbegäran mail.docx", "A 26047-2026")</f>
        <v/>
      </c>
      <c r="AE25">
        <f>HYPERLINK("https://klasma.github.io/Logging_2181/fåglar/A 26047-2026 prioriterade fågelarter.docx", "A 26047-2026")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46302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46302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46302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46302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46302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46302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S 241-2024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45319</v>
      </c>
      <c r="E32" s="1" t="n">
        <v>46302</v>
      </c>
      <c r="F32" t="inlineStr">
        <is>
          <t>GÄVLEBORGS LÄN</t>
        </is>
      </c>
      <c r="G32" t="inlineStr">
        <is>
          <t>SANDVIKEN</t>
        </is>
      </c>
      <c r="H32" t="inlineStr">
        <is>
          <t>Sveaskog</t>
        </is>
      </c>
      <c r="I32" t="n">
        <v>49.6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Garnlav
Vedticka
Revlummer</t>
        </is>
      </c>
      <c r="W32">
        <f>HYPERLINK("https://klasma.github.io/Logging_2181/artfynd/S 241-2024 artfynd.xlsx", "S 241-2024")</f>
        <v/>
      </c>
      <c r="X32">
        <f>HYPERLINK("https://klasma.github.io/Logging_2181/kartor/S 241-2024 karta.png", "S 241-2024")</f>
        <v/>
      </c>
      <c r="Y32">
        <f>HYPERLINK("https://klasma.github.io/Logging_2181/kartor_geotiff/S 241-2024 georefererad karta.tif", "S 241-2024")</f>
        <v/>
      </c>
      <c r="AA32">
        <f>HYPERLINK("https://klasma.github.io/Logging_2181/klagomål/S 241-2024 FSC-klagomål.docx", "S 241-2024")</f>
        <v/>
      </c>
      <c r="AB32">
        <f>HYPERLINK("https://klasma.github.io/Logging_2181/klagomålsmail/S 241-2024 FSC-klagomål mail.docx", "S 241-2024")</f>
        <v/>
      </c>
      <c r="AC32">
        <f>HYPERLINK("https://klasma.github.io/Logging_2181/tillsyn/S 241-2024 tillsynsbegäran.docx", "S 241-2024")</f>
        <v/>
      </c>
      <c r="AD32">
        <f>HYPERLINK("https://klasma.github.io/Logging_2181/tillsynsmail/S 241-2024 tillsynsbegäran mail.docx", "S 241-2024")</f>
        <v/>
      </c>
    </row>
    <row r="33" ht="15" customHeight="1">
      <c r="A33" t="inlineStr">
        <is>
          <t>A 21297-2022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44705</v>
      </c>
      <c r="E33" s="1" t="n">
        <v>46302</v>
      </c>
      <c r="F33" t="inlineStr">
        <is>
          <t>GÄVLEBORGS LÄN</t>
        </is>
      </c>
      <c r="G33" t="inlineStr">
        <is>
          <t>SANDVIKEN</t>
        </is>
      </c>
      <c r="I33" t="n">
        <v>1.5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Skinnlav</t>
        </is>
      </c>
      <c r="W33">
        <f>HYPERLINK("https://klasma.github.io/Logging_2181/artfynd/A 21297-2022 artfynd.xlsx", "A 21297-2022")</f>
        <v/>
      </c>
      <c r="X33">
        <f>HYPERLINK("https://klasma.github.io/Logging_2181/kartor/A 21297-2022 karta.png", "A 21297-2022")</f>
        <v/>
      </c>
      <c r="Y33">
        <f>HYPERLINK("https://klasma.github.io/Logging_2181/kartor_geotiff/A 21297-2022 georefererad karta.tif", "A 21297-2022")</f>
        <v/>
      </c>
      <c r="AA33">
        <f>HYPERLINK("https://klasma.github.io/Logging_2181/klagomål/A 21297-2022 FSC-klagomål.docx", "A 21297-2022")</f>
        <v/>
      </c>
      <c r="AB33">
        <f>HYPERLINK("https://klasma.github.io/Logging_2181/klagomålsmail/A 21297-2022 FSC-klagomål mail.docx", "A 21297-2022")</f>
        <v/>
      </c>
      <c r="AC33">
        <f>HYPERLINK("https://klasma.github.io/Logging_2181/tillsyn/A 21297-2022 tillsynsbegäran.docx", "A 21297-2022")</f>
        <v/>
      </c>
      <c r="AD33">
        <f>HYPERLINK("https://klasma.github.io/Logging_2181/tillsynsmail/A 21297-2022 tillsynsbegäran mail.docx", "A 21297-2022")</f>
        <v/>
      </c>
    </row>
    <row r="34" ht="15" customHeight="1">
      <c r="A34" t="inlineStr">
        <is>
          <t>A 21196-2024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45440</v>
      </c>
      <c r="E34" s="1" t="n">
        <v>46302</v>
      </c>
      <c r="F34" t="inlineStr">
        <is>
          <t>GÄVLEBORGS LÄN</t>
        </is>
      </c>
      <c r="G34" t="inlineStr">
        <is>
          <t>SANDVIKEN</t>
        </is>
      </c>
      <c r="H34" t="inlineStr">
        <is>
          <t>Kommuner</t>
        </is>
      </c>
      <c r="I34" t="n">
        <v>45.5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Lappuggla
Ullticka</t>
        </is>
      </c>
      <c r="W34">
        <f>HYPERLINK("https://klasma.github.io/Logging_2181/artfynd/A 21196-2024 artfynd.xlsx", "A 21196-2024")</f>
        <v/>
      </c>
      <c r="X34">
        <f>HYPERLINK("https://klasma.github.io/Logging_2181/kartor/A 21196-2024 karta.png", "A 21196-2024")</f>
        <v/>
      </c>
      <c r="Y34">
        <f>HYPERLINK("https://klasma.github.io/Logging_2181/kartor_geotiff/A 21196-2024 georefererad karta.tif", "A 21196-2024")</f>
        <v/>
      </c>
      <c r="AA34">
        <f>HYPERLINK("https://klasma.github.io/Logging_2181/klagomål/A 21196-2024 FSC-klagomål.docx", "A 21196-2024")</f>
        <v/>
      </c>
      <c r="AB34">
        <f>HYPERLINK("https://klasma.github.io/Logging_2181/klagomålsmail/A 21196-2024 FSC-klagomål mail.docx", "A 21196-2024")</f>
        <v/>
      </c>
      <c r="AC34">
        <f>HYPERLINK("https://klasma.github.io/Logging_2181/tillsyn/A 21196-2024 tillsynsbegäran.docx", "A 21196-2024")</f>
        <v/>
      </c>
      <c r="AD34">
        <f>HYPERLINK("https://klasma.github.io/Logging_2181/tillsynsmail/A 21196-2024 tillsynsbegäran mail.docx", "A 21196-2024")</f>
        <v/>
      </c>
      <c r="AE34">
        <f>HYPERLINK("https://klasma.github.io/Logging_2181/fåglar/A 21196-2024 prioriterade fågelarter.docx", "A 21196-2024")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46302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46302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35523-2022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44799</v>
      </c>
      <c r="E37" s="1" t="n">
        <v>46302</v>
      </c>
      <c r="F37" t="inlineStr">
        <is>
          <t>GÄVLEBORGS LÄN</t>
        </is>
      </c>
      <c r="G37" t="inlineStr">
        <is>
          <t>SANDVIKEN</t>
        </is>
      </c>
      <c r="I37" t="n">
        <v>2.1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Nattviol</t>
        </is>
      </c>
      <c r="W37">
        <f>HYPERLINK("https://klasma.github.io/Logging_2181/artfynd/A 35523-2022 artfynd.xlsx", "A 35523-2022")</f>
        <v/>
      </c>
      <c r="X37">
        <f>HYPERLINK("https://klasma.github.io/Logging_2181/kartor/A 35523-2022 karta.png", "A 35523-2022")</f>
        <v/>
      </c>
      <c r="Y37">
        <f>HYPERLINK("https://klasma.github.io/Logging_2181/kartor_geotiff/A 35523-2022 georefererad karta.tif", "A 35523-2022")</f>
        <v/>
      </c>
      <c r="Z37">
        <f>HYPERLINK("https://klasma.github.io/Logging_2181/knärot/A 35523-2022 karta knärot.png", "A 35523-2022")</f>
        <v/>
      </c>
      <c r="AA37">
        <f>HYPERLINK("https://klasma.github.io/Logging_2181/klagomål/A 35523-2022 FSC-klagomål.docx", "A 35523-2022")</f>
        <v/>
      </c>
      <c r="AB37">
        <f>HYPERLINK("https://klasma.github.io/Logging_2181/klagomålsmail/A 35523-2022 FSC-klagomål mail.docx", "A 35523-2022")</f>
        <v/>
      </c>
      <c r="AC37">
        <f>HYPERLINK("https://klasma.github.io/Logging_2181/tillsyn/A 35523-2022 tillsynsbegäran.docx", "A 35523-2022")</f>
        <v/>
      </c>
      <c r="AD37">
        <f>HYPERLINK("https://klasma.github.io/Logging_2181/tillsynsmail/A 35523-2022 tillsynsbegäran mail.docx", "A 35523-2022")</f>
        <v/>
      </c>
    </row>
    <row r="38" ht="15" customHeight="1">
      <c r="A38" t="inlineStr">
        <is>
          <t>A 7733-2026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46062</v>
      </c>
      <c r="E38" s="1" t="n">
        <v>46302</v>
      </c>
      <c r="F38" t="inlineStr">
        <is>
          <t>GÄVLEBORGS LÄN</t>
        </is>
      </c>
      <c r="G38" t="inlineStr">
        <is>
          <t>SANDVIKEN</t>
        </is>
      </c>
      <c r="I38" t="n">
        <v>6.9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Vedticka</t>
        </is>
      </c>
      <c r="W38">
        <f>HYPERLINK("https://klasma.github.io/Logging_2181/artfynd/A 7733-2026 artfynd.xlsx", "A 7733-2026")</f>
        <v/>
      </c>
      <c r="X38">
        <f>HYPERLINK("https://klasma.github.io/Logging_2181/kartor/A 7733-2026 karta.png", "A 7733-2026")</f>
        <v/>
      </c>
      <c r="Y38">
        <f>HYPERLINK("https://klasma.github.io/Logging_2181/kartor_geotiff/A 7733-2026 georefererad karta.tif", "A 7733-2026")</f>
        <v/>
      </c>
      <c r="Z38">
        <f>HYPERLINK("https://klasma.github.io/Logging_2181/knärot/A 7733-2026 karta knärot.png", "A 7733-2026")</f>
        <v/>
      </c>
      <c r="AA38">
        <f>HYPERLINK("https://klasma.github.io/Logging_2181/klagomål/A 7733-2026 FSC-klagomål.docx", "A 7733-2026")</f>
        <v/>
      </c>
      <c r="AB38">
        <f>HYPERLINK("https://klasma.github.io/Logging_2181/klagomålsmail/A 7733-2026 FSC-klagomål mail.docx", "A 7733-2026")</f>
        <v/>
      </c>
      <c r="AC38">
        <f>HYPERLINK("https://klasma.github.io/Logging_2181/tillsyn/A 7733-2026 tillsynsbegäran.docx", "A 7733-2026")</f>
        <v/>
      </c>
      <c r="AD38">
        <f>HYPERLINK("https://klasma.github.io/Logging_2181/tillsynsmail/A 7733-2026 tillsynsbegäran mail.docx", "A 7733-2026")</f>
        <v/>
      </c>
    </row>
    <row r="39" ht="15" customHeight="1">
      <c r="A39" t="inlineStr">
        <is>
          <t>A 19526-2026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46302</v>
      </c>
      <c r="F39" t="inlineStr">
        <is>
          <t>GÄVLEBORGS LÄN</t>
        </is>
      </c>
      <c r="G39" t="inlineStr">
        <is>
          <t>SANDVIKEN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Kambräken
Lopplummer (aggregat)</t>
        </is>
      </c>
      <c r="W39">
        <f>HYPERLINK("https://klasma.github.io/Logging_2181/artfynd/A 19526-2026 artfynd.xlsx", "A 19526-2026")</f>
        <v/>
      </c>
      <c r="X39">
        <f>HYPERLINK("https://klasma.github.io/Logging_2181/kartor/A 19526-2026 karta.png", "A 19526-2026")</f>
        <v/>
      </c>
      <c r="Y39">
        <f>HYPERLINK("https://klasma.github.io/Logging_2181/kartor_geotiff/A 19526-2026 georefererad karta.tif", "A 19526-2026")</f>
        <v/>
      </c>
      <c r="AA39">
        <f>HYPERLINK("https://klasma.github.io/Logging_2181/klagomål/A 19526-2026 FSC-klagomål.docx", "A 19526-2026")</f>
        <v/>
      </c>
      <c r="AB39">
        <f>HYPERLINK("https://klasma.github.io/Logging_2181/klagomålsmail/A 19526-2026 FSC-klagomål mail.docx", "A 19526-2026")</f>
        <v/>
      </c>
      <c r="AC39">
        <f>HYPERLINK("https://klasma.github.io/Logging_2181/tillsyn/A 19526-2026 tillsynsbegäran.docx", "A 19526-2026")</f>
        <v/>
      </c>
      <c r="AD39">
        <f>HYPERLINK("https://klasma.github.io/Logging_2181/tillsynsmail/A 19526-2026 tillsynsbegäran mail.docx", "A 19526-2026")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46302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46302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46302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46302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35377-2026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46302</v>
      </c>
      <c r="F44" t="inlineStr">
        <is>
          <t>GÄVLEBORGS LÄN</t>
        </is>
      </c>
      <c r="G44" t="inlineStr">
        <is>
          <t>SANDVIKEN</t>
        </is>
      </c>
      <c r="I44" t="n">
        <v>1.8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Garnlav
Tallticka</t>
        </is>
      </c>
      <c r="W44">
        <f>HYPERLINK("https://klasma.github.io/Logging_2181/artfynd/A 35377-2026 artfynd.xlsx", "A 35377-2026")</f>
        <v/>
      </c>
      <c r="X44">
        <f>HYPERLINK("https://klasma.github.io/Logging_2181/kartor/A 35377-2026 karta.png", "A 35377-2026")</f>
        <v/>
      </c>
      <c r="Y44">
        <f>HYPERLINK("https://klasma.github.io/Logging_2181/kartor_geotiff/A 35377-2026 georefererad karta.tif", "A 35377-2026")</f>
        <v/>
      </c>
      <c r="AA44">
        <f>HYPERLINK("https://klasma.github.io/Logging_2181/klagomål/A 35377-2026 FSC-klagomål.docx", "A 35377-2026")</f>
        <v/>
      </c>
      <c r="AB44">
        <f>HYPERLINK("https://klasma.github.io/Logging_2181/klagomålsmail/A 35377-2026 FSC-klagomål mail.docx", "A 35377-2026")</f>
        <v/>
      </c>
      <c r="AC44">
        <f>HYPERLINK("https://klasma.github.io/Logging_2181/tillsyn/A 35377-2026 tillsynsbegäran.docx", "A 35377-2026")</f>
        <v/>
      </c>
      <c r="AD44">
        <f>HYPERLINK("https://klasma.github.io/Logging_2181/tillsynsmail/A 35377-2026 tillsynsbegäran mail.docx", "A 35377-2026")</f>
        <v/>
      </c>
    </row>
    <row r="45" ht="15" customHeight="1">
      <c r="A45" t="inlineStr">
        <is>
          <t>A 42869-2024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46302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6.9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Rödgul trumpetsvamp
Vanlig padda</t>
        </is>
      </c>
      <c r="W45">
        <f>HYPERLINK("https://klasma.github.io/Logging_2181/artfynd/A 42869-2024 artfynd.xlsx", "A 42869-2024")</f>
        <v/>
      </c>
      <c r="X45">
        <f>HYPERLINK("https://klasma.github.io/Logging_2181/kartor/A 42869-2024 karta.png", "A 42869-2024")</f>
        <v/>
      </c>
      <c r="Y45">
        <f>HYPERLINK("https://klasma.github.io/Logging_2181/kartor_geotiff/A 42869-2024 georefererad karta.tif", "A 42869-2024")</f>
        <v/>
      </c>
      <c r="AA45">
        <f>HYPERLINK("https://klasma.github.io/Logging_2181/klagomål/A 42869-2024 FSC-klagomål.docx", "A 42869-2024")</f>
        <v/>
      </c>
      <c r="AB45">
        <f>HYPERLINK("https://klasma.github.io/Logging_2181/klagomålsmail/A 42869-2024 FSC-klagomål mail.docx", "A 42869-2024")</f>
        <v/>
      </c>
      <c r="AC45">
        <f>HYPERLINK("https://klasma.github.io/Logging_2181/tillsyn/A 42869-2024 tillsynsbegäran.docx", "A 42869-2024")</f>
        <v/>
      </c>
      <c r="AD45">
        <f>HYPERLINK("https://klasma.github.io/Logging_2181/tillsynsmail/A 42869-2024 tillsynsbegäran mail.docx", "A 42869-2024")</f>
        <v/>
      </c>
    </row>
    <row r="46" ht="15" customHeight="1">
      <c r="A46" t="inlineStr">
        <is>
          <t>A 39510-2026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46289</v>
      </c>
      <c r="E46" s="1" t="n">
        <v>46302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8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Mörk vedstrit
Plattlummer</t>
        </is>
      </c>
      <c r="W46">
        <f>HYPERLINK("https://klasma.github.io/Logging_2181/artfynd/A 39510-2026 artfynd.xlsx", "A 39510-2026")</f>
        <v/>
      </c>
      <c r="X46">
        <f>HYPERLINK("https://klasma.github.io/Logging_2181/kartor/A 39510-2026 karta.png", "A 39510-2026")</f>
        <v/>
      </c>
      <c r="Y46">
        <f>HYPERLINK("https://klasma.github.io/Logging_2181/kartor_geotiff/A 39510-2026 georefererad karta.tif", "A 39510-2026")</f>
        <v/>
      </c>
      <c r="AA46">
        <f>HYPERLINK("https://klasma.github.io/Logging_2181/klagomål/A 39510-2026 FSC-klagomål.docx", "A 39510-2026")</f>
        <v/>
      </c>
      <c r="AB46">
        <f>HYPERLINK("https://klasma.github.io/Logging_2181/klagomålsmail/A 39510-2026 FSC-klagomål mail.docx", "A 39510-2026")</f>
        <v/>
      </c>
      <c r="AC46">
        <f>HYPERLINK("https://klasma.github.io/Logging_2181/tillsyn/A 39510-2026 tillsynsbegäran.docx", "A 39510-2026")</f>
        <v/>
      </c>
      <c r="AD46">
        <f>HYPERLINK("https://klasma.github.io/Logging_2181/tillsynsmail/A 39510-2026 tillsynsbegäran mail.docx", "A 39510-2026")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46302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15895-2026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46107</v>
      </c>
      <c r="E49" s="1" t="n">
        <v>46302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Mattlummer
Revlummer</t>
        </is>
      </c>
      <c r="W49">
        <f>HYPERLINK("https://klasma.github.io/Logging_2181/artfynd/A 15895-2026 artfynd.xlsx", "A 15895-2026")</f>
        <v/>
      </c>
      <c r="X49">
        <f>HYPERLINK("https://klasma.github.io/Logging_2181/kartor/A 15895-2026 karta.png", "A 15895-2026")</f>
        <v/>
      </c>
      <c r="Y49">
        <f>HYPERLINK("https://klasma.github.io/Logging_2181/kartor_geotiff/A 15895-2026 georefererad karta.tif", "A 15895-2026")</f>
        <v/>
      </c>
      <c r="AA49">
        <f>HYPERLINK("https://klasma.github.io/Logging_2181/klagomål/A 15895-2026 FSC-klagomål.docx", "A 15895-2026")</f>
        <v/>
      </c>
      <c r="AB49">
        <f>HYPERLINK("https://klasma.github.io/Logging_2181/klagomålsmail/A 15895-2026 FSC-klagomål mail.docx", "A 15895-2026")</f>
        <v/>
      </c>
      <c r="AC49">
        <f>HYPERLINK("https://klasma.github.io/Logging_2181/tillsyn/A 15895-2026 tillsynsbegäran.docx", "A 15895-2026")</f>
        <v/>
      </c>
      <c r="AD49">
        <f>HYPERLINK("https://klasma.github.io/Logging_2181/tillsynsmail/A 15895-2026 tillsynsbegäran mail.docx", "A 15895-2026")</f>
        <v/>
      </c>
    </row>
    <row r="50" ht="15" customHeight="1">
      <c r="A50" t="inlineStr">
        <is>
          <t>A 43716-2023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46302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Dropptaggsvamp</t>
        </is>
      </c>
      <c r="W50">
        <f>HYPERLINK("https://klasma.github.io/Logging_2181/artfynd/A 43716-2023 artfynd.xlsx", "A 43716-2023")</f>
        <v/>
      </c>
      <c r="X50">
        <f>HYPERLINK("https://klasma.github.io/Logging_2181/kartor/A 43716-2023 karta.png", "A 43716-2023")</f>
        <v/>
      </c>
      <c r="Y50">
        <f>HYPERLINK("https://klasma.github.io/Logging_2181/kartor_geotiff/A 43716-2023 georefererad karta.tif", "A 43716-2023")</f>
        <v/>
      </c>
      <c r="Z50">
        <f>HYPERLINK("https://klasma.github.io/Logging_2181/knärot/A 43716-2023 karta knärot.png", "A 43716-2023")</f>
        <v/>
      </c>
      <c r="AA50">
        <f>HYPERLINK("https://klasma.github.io/Logging_2181/klagomål/A 43716-2023 FSC-klagomål.docx", "A 43716-2023")</f>
        <v/>
      </c>
      <c r="AB50">
        <f>HYPERLINK("https://klasma.github.io/Logging_2181/klagomålsmail/A 43716-2023 FSC-klagomål mail.docx", "A 43716-2023")</f>
        <v/>
      </c>
      <c r="AC50">
        <f>HYPERLINK("https://klasma.github.io/Logging_2181/tillsyn/A 43716-2023 tillsynsbegäran.docx", "A 43716-2023")</f>
        <v/>
      </c>
      <c r="AD50">
        <f>HYPERLINK("https://klasma.github.io/Logging_2181/tillsynsmail/A 43716-2023 tillsynsbegäran mail.docx", "A 43716-2023")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46302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46302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46302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46302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46302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46302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46302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46302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1083-2026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46302</v>
      </c>
      <c r="F59" t="inlineStr">
        <is>
          <t>GÄVLEBORGS LÄN</t>
        </is>
      </c>
      <c r="G59" t="inlineStr">
        <is>
          <t>SANDVIKEN</t>
        </is>
      </c>
      <c r="I59" t="n">
        <v>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HYPERLINK("https://klasma.github.io/Logging_2181/artfynd/A 1083-2026 artfynd.xlsx", "A 1083-2026")</f>
        <v/>
      </c>
      <c r="X59">
        <f>HYPERLINK("https://klasma.github.io/Logging_2181/kartor/A 1083-2026 karta.png", "A 1083-2026")</f>
        <v/>
      </c>
      <c r="Y59">
        <f>HYPERLINK("https://klasma.github.io/Logging_2181/kartor_geotiff/A 1083-2026 georefererad karta.tif", "A 1083-2026")</f>
        <v/>
      </c>
      <c r="AA59">
        <f>HYPERLINK("https://klasma.github.io/Logging_2181/klagomål/A 1083-2026 FSC-klagomål.docx", "A 1083-2026")</f>
        <v/>
      </c>
      <c r="AB59">
        <f>HYPERLINK("https://klasma.github.io/Logging_2181/klagomålsmail/A 1083-2026 FSC-klagomål mail.docx", "A 1083-2026")</f>
        <v/>
      </c>
      <c r="AC59">
        <f>HYPERLINK("https://klasma.github.io/Logging_2181/tillsyn/A 1083-2026 tillsynsbegäran.docx", "A 1083-2026")</f>
        <v/>
      </c>
      <c r="AD59">
        <f>HYPERLINK("https://klasma.github.io/Logging_2181/tillsynsmail/A 1083-2026 tillsynsbegäran mail.docx", "A 1083-2026")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46302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46302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46302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7393-2026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46302</v>
      </c>
      <c r="F64" t="inlineStr">
        <is>
          <t>GÄVLEBORGS LÄN</t>
        </is>
      </c>
      <c r="G64" t="inlineStr">
        <is>
          <t>SANDVIKEN</t>
        </is>
      </c>
      <c r="I64" t="n">
        <v>6.7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Brunklöver</t>
        </is>
      </c>
      <c r="W64">
        <f>HYPERLINK("https://klasma.github.io/Logging_2181/artfynd/A 7393-2026 artfynd.xlsx", "A 7393-2026")</f>
        <v/>
      </c>
      <c r="X64">
        <f>HYPERLINK("https://klasma.github.io/Logging_2181/kartor/A 7393-2026 karta.png", "A 7393-2026")</f>
        <v/>
      </c>
      <c r="Y64">
        <f>HYPERLINK("https://klasma.github.io/Logging_2181/kartor_geotiff/A 7393-2026 georefererad karta.tif", "A 7393-2026")</f>
        <v/>
      </c>
      <c r="AA64">
        <f>HYPERLINK("https://klasma.github.io/Logging_2181/klagomål/A 7393-2026 FSC-klagomål.docx", "A 7393-2026")</f>
        <v/>
      </c>
      <c r="AB64">
        <f>HYPERLINK("https://klasma.github.io/Logging_2181/klagomålsmail/A 7393-2026 FSC-klagomål mail.docx", "A 7393-2026")</f>
        <v/>
      </c>
      <c r="AC64">
        <f>HYPERLINK("https://klasma.github.io/Logging_2181/tillsyn/A 7393-2026 tillsynsbegäran.docx", "A 7393-2026")</f>
        <v/>
      </c>
      <c r="AD64">
        <f>HYPERLINK("https://klasma.github.io/Logging_2181/tillsynsmail/A 7393-2026 tillsynsbegäran mail.docx", "A 7393-2026")</f>
        <v/>
      </c>
    </row>
    <row r="65" ht="15" customHeight="1">
      <c r="A65" t="inlineStr">
        <is>
          <t>A 3316-2023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44949</v>
      </c>
      <c r="E65" s="1" t="n">
        <v>46302</v>
      </c>
      <c r="F65" t="inlineStr">
        <is>
          <t>GÄVLEBORGS LÄN</t>
        </is>
      </c>
      <c r="G65" t="inlineStr">
        <is>
          <t>SANDVIKEN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HYPERLINK("https://klasma.github.io/Logging_2181/artfynd/A 3316-2023 artfynd.xlsx", "A 3316-2023")</f>
        <v/>
      </c>
      <c r="X65">
        <f>HYPERLINK("https://klasma.github.io/Logging_2181/kartor/A 3316-2023 karta.png", "A 3316-2023")</f>
        <v/>
      </c>
      <c r="Y65">
        <f>HYPERLINK("https://klasma.github.io/Logging_2181/kartor_geotiff/A 3316-2023 georefererad karta.tif", "A 3316-2023")</f>
        <v/>
      </c>
      <c r="AA65">
        <f>HYPERLINK("https://klasma.github.io/Logging_2181/klagomål/A 3316-2023 FSC-klagomål.docx", "A 3316-2023")</f>
        <v/>
      </c>
      <c r="AB65">
        <f>HYPERLINK("https://klasma.github.io/Logging_2181/klagomålsmail/A 3316-2023 FSC-klagomål mail.docx", "A 3316-2023")</f>
        <v/>
      </c>
      <c r="AC65">
        <f>HYPERLINK("https://klasma.github.io/Logging_2181/tillsyn/A 3316-2023 tillsynsbegäran.docx", "A 3316-2023")</f>
        <v/>
      </c>
      <c r="AD65">
        <f>HYPERLINK("https://klasma.github.io/Logging_2181/tillsynsmail/A 3316-2023 tillsynsbegäran mail.docx", "A 3316-2023")</f>
        <v/>
      </c>
      <c r="AE65">
        <f>HYPERLINK("https://klasma.github.io/Logging_2181/fåglar/A 3316-2023 prioriterade fågelarter.docx", "A 3316-2023")</f>
        <v/>
      </c>
    </row>
    <row r="66" ht="15" customHeight="1">
      <c r="A66" t="inlineStr">
        <is>
          <t>A 9267-2026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46069</v>
      </c>
      <c r="E66" s="1" t="n">
        <v>46302</v>
      </c>
      <c r="F66" t="inlineStr">
        <is>
          <t>GÄVLEBORGS LÄN</t>
        </is>
      </c>
      <c r="G66" t="inlineStr">
        <is>
          <t>SANDVIKEN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HYPERLINK("https://klasma.github.io/Logging_2181/artfynd/A 9267-2026 artfynd.xlsx", "A 9267-2026")</f>
        <v/>
      </c>
      <c r="X66">
        <f>HYPERLINK("https://klasma.github.io/Logging_2181/kartor/A 9267-2026 karta.png", "A 9267-2026")</f>
        <v/>
      </c>
      <c r="Y66">
        <f>HYPERLINK("https://klasma.github.io/Logging_2181/kartor_geotiff/A 9267-2026 georefererad karta.tif", "A 9267-2026")</f>
        <v/>
      </c>
      <c r="AA66">
        <f>HYPERLINK("https://klasma.github.io/Logging_2181/klagomål/A 9267-2026 FSC-klagomål.docx", "A 9267-2026")</f>
        <v/>
      </c>
      <c r="AB66">
        <f>HYPERLINK("https://klasma.github.io/Logging_2181/klagomålsmail/A 9267-2026 FSC-klagomål mail.docx", "A 9267-2026")</f>
        <v/>
      </c>
      <c r="AC66">
        <f>HYPERLINK("https://klasma.github.io/Logging_2181/tillsyn/A 9267-2026 tillsynsbegäran.docx", "A 9267-2026")</f>
        <v/>
      </c>
      <c r="AD66">
        <f>HYPERLINK("https://klasma.github.io/Logging_2181/tillsynsmail/A 9267-2026 tillsynsbegäran mail.docx", "A 9267-2026")</f>
        <v/>
      </c>
    </row>
    <row r="67" ht="15" customHeight="1">
      <c r="A67" t="inlineStr">
        <is>
          <t>A 11784-2026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46302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HYPERLINK("https://klasma.github.io/Logging_2181/artfynd/A 11784-2026 artfynd.xlsx", "A 11784-2026")</f>
        <v/>
      </c>
      <c r="X67">
        <f>HYPERLINK("https://klasma.github.io/Logging_2181/kartor/A 11784-2026 karta.png", "A 11784-2026")</f>
        <v/>
      </c>
      <c r="Y67">
        <f>HYPERLINK("https://klasma.github.io/Logging_2181/kartor_geotiff/A 11784-2026 georefererad karta.tif", "A 11784-2026")</f>
        <v/>
      </c>
      <c r="AA67">
        <f>HYPERLINK("https://klasma.github.io/Logging_2181/klagomål/A 11784-2026 FSC-klagomål.docx", "A 11784-2026")</f>
        <v/>
      </c>
      <c r="AB67">
        <f>HYPERLINK("https://klasma.github.io/Logging_2181/klagomålsmail/A 11784-2026 FSC-klagomål mail.docx", "A 11784-2026")</f>
        <v/>
      </c>
      <c r="AC67">
        <f>HYPERLINK("https://klasma.github.io/Logging_2181/tillsyn/A 11784-2026 tillsynsbegäran.docx", "A 11784-2026")</f>
        <v/>
      </c>
      <c r="AD67">
        <f>HYPERLINK("https://klasma.github.io/Logging_2181/tillsynsmail/A 11784-2026 tillsynsbegäran mail.docx", "A 11784-2026")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46302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15729-2022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46302</v>
      </c>
      <c r="F69" t="inlineStr">
        <is>
          <t>GÄVLEBORGS LÄN</t>
        </is>
      </c>
      <c r="G69" t="inlineStr">
        <is>
          <t>SANDVIKEN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HYPERLINK("https://klasma.github.io/Logging_2181/artfynd/A 15729-2022 artfynd.xlsx", "A 15729-2022")</f>
        <v/>
      </c>
      <c r="X69">
        <f>HYPERLINK("https://klasma.github.io/Logging_2181/kartor/A 15729-2022 karta.png", "A 15729-2022")</f>
        <v/>
      </c>
      <c r="Y69">
        <f>HYPERLINK("https://klasma.github.io/Logging_2181/kartor_geotiff/A 15729-2022 georefererad karta.tif", "A 15729-2022")</f>
        <v/>
      </c>
      <c r="Z69">
        <f>HYPERLINK("https://klasma.github.io/Logging_2181/knärot/A 15729-2022 karta knärot.png", "A 15729-2022")</f>
        <v/>
      </c>
      <c r="AA69">
        <f>HYPERLINK("https://klasma.github.io/Logging_2181/klagomål/A 15729-2022 FSC-klagomål.docx", "A 15729-2022")</f>
        <v/>
      </c>
      <c r="AB69">
        <f>HYPERLINK("https://klasma.github.io/Logging_2181/klagomålsmail/A 15729-2022 FSC-klagomål mail.docx", "A 15729-2022")</f>
        <v/>
      </c>
      <c r="AC69">
        <f>HYPERLINK("https://klasma.github.io/Logging_2181/tillsyn/A 15729-2022 tillsynsbegäran.docx", "A 15729-2022")</f>
        <v/>
      </c>
      <c r="AD69">
        <f>HYPERLINK("https://klasma.github.io/Logging_2181/tillsynsmail/A 15729-2022 tillsynsbegäran mail.docx", "A 15729-2022")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46302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46302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46302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45427-2023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45194</v>
      </c>
      <c r="E73" s="1" t="n">
        <v>46302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HYPERLINK("https://klasma.github.io/Logging_2181/artfynd/A 45427-2023 artfynd.xlsx", "A 45427-2023")</f>
        <v/>
      </c>
      <c r="X73">
        <f>HYPERLINK("https://klasma.github.io/Logging_2181/kartor/A 45427-2023 karta.png", "A 45427-2023")</f>
        <v/>
      </c>
      <c r="Y73">
        <f>HYPERLINK("https://klasma.github.io/Logging_2181/kartor_geotiff/A 45427-2023 georefererad karta.tif", "A 45427-2023")</f>
        <v/>
      </c>
      <c r="AA73">
        <f>HYPERLINK("https://klasma.github.io/Logging_2181/klagomål/A 45427-2023 FSC-klagomål.docx", "A 45427-2023")</f>
        <v/>
      </c>
      <c r="AB73">
        <f>HYPERLINK("https://klasma.github.io/Logging_2181/klagomålsmail/A 45427-2023 FSC-klagomål mail.docx", "A 45427-2023")</f>
        <v/>
      </c>
      <c r="AC73">
        <f>HYPERLINK("https://klasma.github.io/Logging_2181/tillsyn/A 45427-2023 tillsynsbegäran.docx", "A 45427-2023")</f>
        <v/>
      </c>
      <c r="AD73">
        <f>HYPERLINK("https://klasma.github.io/Logging_2181/tillsynsmail/A 45427-2023 tillsynsbegäran mail.docx", "A 45427-2023")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46302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15121-2026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46302</v>
      </c>
      <c r="F75" t="inlineStr">
        <is>
          <t>GÄVLEBORGS LÄN</t>
        </is>
      </c>
      <c r="G75" t="inlineStr">
        <is>
          <t>SANDVIKEN</t>
        </is>
      </c>
      <c r="I75" t="n">
        <v>2.7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Brandticka</t>
        </is>
      </c>
      <c r="W75">
        <f>HYPERLINK("https://klasma.github.io/Logging_2181/artfynd/A 15121-2026 artfynd.xlsx", "A 15121-2026")</f>
        <v/>
      </c>
      <c r="X75">
        <f>HYPERLINK("https://klasma.github.io/Logging_2181/kartor/A 15121-2026 karta.png", "A 15121-2026")</f>
        <v/>
      </c>
      <c r="Y75">
        <f>HYPERLINK("https://klasma.github.io/Logging_2181/kartor_geotiff/A 15121-2026 georefererad karta.tif", "A 15121-2026")</f>
        <v/>
      </c>
      <c r="AA75">
        <f>HYPERLINK("https://klasma.github.io/Logging_2181/klagomål/A 15121-2026 FSC-klagomål.docx", "A 15121-2026")</f>
        <v/>
      </c>
      <c r="AB75">
        <f>HYPERLINK("https://klasma.github.io/Logging_2181/klagomålsmail/A 15121-2026 FSC-klagomål mail.docx", "A 15121-2026")</f>
        <v/>
      </c>
      <c r="AC75">
        <f>HYPERLINK("https://klasma.github.io/Logging_2181/tillsyn/A 15121-2026 tillsynsbegäran.docx", "A 15121-2026")</f>
        <v/>
      </c>
      <c r="AD75">
        <f>HYPERLINK("https://klasma.github.io/Logging_2181/tillsynsmail/A 15121-2026 tillsynsbegäran mail.docx", "A 15121-2026")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46302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Vårärt</t>
        </is>
      </c>
      <c r="W76">
        <f>HYPERLINK("https://klasma.github.io/Logging_2181/artfynd/A 17062-2026 artfynd.xlsx", "A 17062-2026")</f>
        <v/>
      </c>
      <c r="X76">
        <f>HYPERLINK("https://klasma.github.io/Logging_2181/kartor/A 17062-2026 karta.png", "A 17062-2026")</f>
        <v/>
      </c>
      <c r="Y76">
        <f>HYPERLINK("https://klasma.github.io/Logging_2181/kartor_geotiff/A 17062-2026 georefererad karta.tif", "A 17062-2026")</f>
        <v/>
      </c>
      <c r="AA76">
        <f>HYPERLINK("https://klasma.github.io/Logging_2181/klagomål/A 17062-2026 FSC-klagomål.docx", "A 17062-2026")</f>
        <v/>
      </c>
      <c r="AB76">
        <f>HYPERLINK("https://klasma.github.io/Logging_2181/klagomålsmail/A 17062-2026 FSC-klagomål mail.docx", "A 17062-2026")</f>
        <v/>
      </c>
      <c r="AC76">
        <f>HYPERLINK("https://klasma.github.io/Logging_2181/tillsyn/A 17062-2026 tillsynsbegäran.docx", "A 17062-2026")</f>
        <v/>
      </c>
      <c r="AD76">
        <f>HYPERLINK("https://klasma.github.io/Logging_2181/tillsynsmail/A 17062-2026 tillsynsbegäran mail.docx", "A 17062-2026")</f>
        <v/>
      </c>
    </row>
    <row r="77" ht="15" customHeight="1">
      <c r="A77" t="inlineStr">
        <is>
          <t>A 36417-2025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46302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3.9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HYPERLINK("https://klasma.github.io/Logging_2181/artfynd/A 36417-2025 artfynd.xlsx", "A 36417-2025")</f>
        <v/>
      </c>
      <c r="X77">
        <f>HYPERLINK("https://klasma.github.io/Logging_2181/kartor/A 36417-2025 karta.png", "A 36417-2025")</f>
        <v/>
      </c>
      <c r="Y77">
        <f>HYPERLINK("https://klasma.github.io/Logging_2181/kartor_geotiff/A 36417-2025 georefererad karta.tif", "A 36417-2025")</f>
        <v/>
      </c>
      <c r="Z77">
        <f>HYPERLINK("https://klasma.github.io/Logging_2181/knärot/A 36417-2025 karta knärot.png", "A 36417-2025")</f>
        <v/>
      </c>
      <c r="AA77">
        <f>HYPERLINK("https://klasma.github.io/Logging_2181/klagomål/A 36417-2025 FSC-klagomål.docx", "A 36417-2025")</f>
        <v/>
      </c>
      <c r="AB77">
        <f>HYPERLINK("https://klasma.github.io/Logging_2181/klagomålsmail/A 36417-2025 FSC-klagomål mail.docx", "A 36417-2025")</f>
        <v/>
      </c>
      <c r="AC77">
        <f>HYPERLINK("https://klasma.github.io/Logging_2181/tillsyn/A 36417-2025 tillsynsbegäran.docx", "A 36417-2025")</f>
        <v/>
      </c>
      <c r="AD77">
        <f>HYPERLINK("https://klasma.github.io/Logging_2181/tillsynsmail/A 36417-2025 tillsynsbegäran mail.docx", "A 36417-2025")</f>
        <v/>
      </c>
    </row>
    <row r="78" ht="15" customHeight="1">
      <c r="A78" t="inlineStr">
        <is>
          <t>A 17364-2026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46119</v>
      </c>
      <c r="E78" s="1" t="n">
        <v>46302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3.2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Höstlåsbräken</t>
        </is>
      </c>
      <c r="W78">
        <f>HYPERLINK("https://klasma.github.io/Logging_2181/artfynd/A 17364-2026 artfynd.xlsx", "A 17364-2026")</f>
        <v/>
      </c>
      <c r="X78">
        <f>HYPERLINK("https://klasma.github.io/Logging_2181/kartor/A 17364-2026 karta.png", "A 17364-2026")</f>
        <v/>
      </c>
      <c r="Y78">
        <f>HYPERLINK("https://klasma.github.io/Logging_2181/kartor_geotiff/A 17364-2026 georefererad karta.tif", "A 17364-2026")</f>
        <v/>
      </c>
      <c r="AA78">
        <f>HYPERLINK("https://klasma.github.io/Logging_2181/klagomål/A 17364-2026 FSC-klagomål.docx", "A 17364-2026")</f>
        <v/>
      </c>
      <c r="AB78">
        <f>HYPERLINK("https://klasma.github.io/Logging_2181/klagomålsmail/A 17364-2026 FSC-klagomål mail.docx", "A 17364-2026")</f>
        <v/>
      </c>
      <c r="AC78">
        <f>HYPERLINK("https://klasma.github.io/Logging_2181/tillsyn/A 17364-2026 tillsynsbegäran.docx", "A 17364-2026")</f>
        <v/>
      </c>
      <c r="AD78">
        <f>HYPERLINK("https://klasma.github.io/Logging_2181/tillsynsmail/A 17364-2026 tillsynsbegäran mail.docx", "A 17364-2026")</f>
        <v/>
      </c>
    </row>
    <row r="79" ht="15" customHeight="1">
      <c r="A79" t="inlineStr">
        <is>
          <t>A 38350-2025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45883</v>
      </c>
      <c r="E79" s="1" t="n">
        <v>46302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väst AB</t>
        </is>
      </c>
      <c r="I79" t="n">
        <v>25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Brandticka</t>
        </is>
      </c>
      <c r="W79">
        <f>HYPERLINK("https://klasma.github.io/Logging_2181/artfynd/A 38350-2025 artfynd.xlsx", "A 38350-2025")</f>
        <v/>
      </c>
      <c r="X79">
        <f>HYPERLINK("https://klasma.github.io/Logging_2181/kartor/A 38350-2025 karta.png", "A 38350-2025")</f>
        <v/>
      </c>
      <c r="Y79">
        <f>HYPERLINK("https://klasma.github.io/Logging_2181/kartor_geotiff/A 38350-2025 georefererad karta.tif", "A 38350-2025")</f>
        <v/>
      </c>
      <c r="AA79">
        <f>HYPERLINK("https://klasma.github.io/Logging_2181/klagomål/A 38350-2025 FSC-klagomål.docx", "A 38350-2025")</f>
        <v/>
      </c>
      <c r="AB79">
        <f>HYPERLINK("https://klasma.github.io/Logging_2181/klagomålsmail/A 38350-2025 FSC-klagomål mail.docx", "A 38350-2025")</f>
        <v/>
      </c>
      <c r="AC79">
        <f>HYPERLINK("https://klasma.github.io/Logging_2181/tillsyn/A 38350-2025 tillsynsbegäran.docx", "A 38350-2025")</f>
        <v/>
      </c>
      <c r="AD79">
        <f>HYPERLINK("https://klasma.github.io/Logging_2181/tillsynsmail/A 38350-2025 tillsynsbegäran mail.docx", "A 38350-2025")</f>
        <v/>
      </c>
    </row>
    <row r="80" ht="15" customHeight="1">
      <c r="A80" t="inlineStr">
        <is>
          <t>A 19272-2026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46133</v>
      </c>
      <c r="E80" s="1" t="n">
        <v>46302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9.4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Nattviol</t>
        </is>
      </c>
      <c r="W80">
        <f>HYPERLINK("https://klasma.github.io/Logging_2181/artfynd/A 19272-2026 artfynd.xlsx", "A 19272-2026")</f>
        <v/>
      </c>
      <c r="X80">
        <f>HYPERLINK("https://klasma.github.io/Logging_2181/kartor/A 19272-2026 karta.png", "A 19272-2026")</f>
        <v/>
      </c>
      <c r="Y80">
        <f>HYPERLINK("https://klasma.github.io/Logging_2181/kartor_geotiff/A 19272-2026 georefererad karta.tif", "A 19272-2026")</f>
        <v/>
      </c>
      <c r="AA80">
        <f>HYPERLINK("https://klasma.github.io/Logging_2181/klagomål/A 19272-2026 FSC-klagomål.docx", "A 19272-2026")</f>
        <v/>
      </c>
      <c r="AB80">
        <f>HYPERLINK("https://klasma.github.io/Logging_2181/klagomålsmail/A 19272-2026 FSC-klagomål mail.docx", "A 19272-2026")</f>
        <v/>
      </c>
      <c r="AC80">
        <f>HYPERLINK("https://klasma.github.io/Logging_2181/tillsyn/A 19272-2026 tillsynsbegäran.docx", "A 19272-2026")</f>
        <v/>
      </c>
      <c r="AD80">
        <f>HYPERLINK("https://klasma.github.io/Logging_2181/tillsynsmail/A 19272-2026 tillsynsbegäran mail.docx", "A 19272-2026")</f>
        <v/>
      </c>
    </row>
    <row r="81" ht="15" customHeight="1">
      <c r="A81" t="inlineStr">
        <is>
          <t>A 57934-2025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45981</v>
      </c>
      <c r="E81" s="1" t="n">
        <v>46302</v>
      </c>
      <c r="F81" t="inlineStr">
        <is>
          <t>GÄVLEBORGS LÄN</t>
        </is>
      </c>
      <c r="G81" t="inlineStr">
        <is>
          <t>SANDVIKEN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Grönsiska</t>
        </is>
      </c>
      <c r="W81">
        <f>HYPERLINK("https://klasma.github.io/Logging_2181/artfynd/A 57934-2025 artfynd.xlsx", "A 57934-2025")</f>
        <v/>
      </c>
      <c r="X81">
        <f>HYPERLINK("https://klasma.github.io/Logging_2181/kartor/A 57934-2025 karta.png", "A 57934-2025")</f>
        <v/>
      </c>
      <c r="Y81">
        <f>HYPERLINK("https://klasma.github.io/Logging_2181/kartor_geotiff/A 57934-2025 georefererad karta.tif", "A 57934-2025")</f>
        <v/>
      </c>
      <c r="AA81">
        <f>HYPERLINK("https://klasma.github.io/Logging_2181/klagomål/A 57934-2025 FSC-klagomål.docx", "A 57934-2025")</f>
        <v/>
      </c>
      <c r="AB81">
        <f>HYPERLINK("https://klasma.github.io/Logging_2181/klagomålsmail/A 57934-2025 FSC-klagomål mail.docx", "A 57934-2025")</f>
        <v/>
      </c>
      <c r="AC81">
        <f>HYPERLINK("https://klasma.github.io/Logging_2181/tillsyn/A 57934-2025 tillsynsbegäran.docx", "A 57934-2025")</f>
        <v/>
      </c>
      <c r="AD81">
        <f>HYPERLINK("https://klasma.github.io/Logging_2181/tillsynsmail/A 57934-2025 tillsynsbegäran mail.docx", "A 57934-2025")</f>
        <v/>
      </c>
    </row>
    <row r="82" ht="15" customHeight="1">
      <c r="A82" t="inlineStr">
        <is>
          <t>A 4324-2026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46302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11.2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HYPERLINK("https://klasma.github.io/Logging_2181/artfynd/A 4324-2026 artfynd.xlsx", "A 4324-2026")</f>
        <v/>
      </c>
      <c r="X82">
        <f>HYPERLINK("https://klasma.github.io/Logging_2181/kartor/A 4324-2026 karta.png", "A 4324-2026")</f>
        <v/>
      </c>
      <c r="Y82">
        <f>HYPERLINK("https://klasma.github.io/Logging_2181/kartor_geotiff/A 4324-2026 georefererad karta.tif", "A 4324-2026")</f>
        <v/>
      </c>
      <c r="AA82">
        <f>HYPERLINK("https://klasma.github.io/Logging_2181/klagomål/A 4324-2026 FSC-klagomål.docx", "A 4324-2026")</f>
        <v/>
      </c>
      <c r="AB82">
        <f>HYPERLINK("https://klasma.github.io/Logging_2181/klagomålsmail/A 4324-2026 FSC-klagomål mail.docx", "A 4324-2026")</f>
        <v/>
      </c>
      <c r="AC82">
        <f>HYPERLINK("https://klasma.github.io/Logging_2181/tillsyn/A 4324-2026 tillsynsbegäran.docx", "A 4324-2026")</f>
        <v/>
      </c>
      <c r="AD82">
        <f>HYPERLINK("https://klasma.github.io/Logging_2181/tillsynsmail/A 4324-2026 tillsynsbegäran mail.docx", "A 4324-2026")</f>
        <v/>
      </c>
      <c r="AE82">
        <f>HYPERLINK("https://klasma.github.io/Logging_2181/fåglar/A 4324-2026 prioriterade fågelarter.docx", "A 4324-2026")</f>
        <v/>
      </c>
    </row>
    <row r="83" ht="15" customHeight="1">
      <c r="A83" t="inlineStr">
        <is>
          <t>A 42115-2023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46302</v>
      </c>
      <c r="F83" t="inlineStr">
        <is>
          <t>GÄVLEBORGS LÄN</t>
        </is>
      </c>
      <c r="G83" t="inlineStr">
        <is>
          <t>SANDVIKEN</t>
        </is>
      </c>
      <c r="H83" t="inlineStr">
        <is>
          <t>Sveaskog</t>
        </is>
      </c>
      <c r="I83" t="n">
        <v>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HYPERLINK("https://klasma.github.io/Logging_2181/artfynd/A 42115-2023 artfynd.xlsx", "A 42115-2023")</f>
        <v/>
      </c>
      <c r="X83">
        <f>HYPERLINK("https://klasma.github.io/Logging_2181/kartor/A 42115-2023 karta.png", "A 42115-2023")</f>
        <v/>
      </c>
      <c r="Y83">
        <f>HYPERLINK("https://klasma.github.io/Logging_2181/kartor_geotiff/A 42115-2023 georefererad karta.tif", "A 42115-2023")</f>
        <v/>
      </c>
      <c r="AA83">
        <f>HYPERLINK("https://klasma.github.io/Logging_2181/klagomål/A 42115-2023 FSC-klagomål.docx", "A 42115-2023")</f>
        <v/>
      </c>
      <c r="AB83">
        <f>HYPERLINK("https://klasma.github.io/Logging_2181/klagomålsmail/A 42115-2023 FSC-klagomål mail.docx", "A 42115-2023")</f>
        <v/>
      </c>
      <c r="AC83">
        <f>HYPERLINK("https://klasma.github.io/Logging_2181/tillsyn/A 42115-2023 tillsynsbegäran.docx", "A 42115-2023")</f>
        <v/>
      </c>
      <c r="AD83">
        <f>HYPERLINK("https://klasma.github.io/Logging_2181/tillsynsmail/A 42115-2023 tillsynsbegäran mail.docx", "A 42115-2023")</f>
        <v/>
      </c>
      <c r="AE83">
        <f>HYPERLINK("https://klasma.github.io/Logging_2181/fåglar/A 42115-2023 prioriterade fågelarter.docx", "A 42115-2023")</f>
        <v/>
      </c>
    </row>
    <row r="84" ht="15" customHeight="1">
      <c r="A84" t="inlineStr">
        <is>
          <t>A 6972-2026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46302</v>
      </c>
      <c r="F84" t="inlineStr">
        <is>
          <t>GÄVLEBORGS LÄN</t>
        </is>
      </c>
      <c r="G84" t="inlineStr">
        <is>
          <t>SANDVIKEN</t>
        </is>
      </c>
      <c r="H84" t="inlineStr">
        <is>
          <t>Naturvårdsverket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6972-2026 artfynd.xlsx", "A 6972-2026")</f>
        <v/>
      </c>
      <c r="X84">
        <f>HYPERLINK("https://klasma.github.io/Logging_2181/kartor/A 6972-2026 karta.png", "A 6972-2026")</f>
        <v/>
      </c>
      <c r="Y84">
        <f>HYPERLINK("https://klasma.github.io/Logging_2181/kartor_geotiff/A 6972-2026 georefererad karta.tif", "A 6972-2026")</f>
        <v/>
      </c>
      <c r="AA84">
        <f>HYPERLINK("https://klasma.github.io/Logging_2181/klagomål/A 6972-2026 FSC-klagomål.docx", "A 6972-2026")</f>
        <v/>
      </c>
      <c r="AB84">
        <f>HYPERLINK("https://klasma.github.io/Logging_2181/klagomålsmail/A 6972-2026 FSC-klagomål mail.docx", "A 6972-2026")</f>
        <v/>
      </c>
      <c r="AC84">
        <f>HYPERLINK("https://klasma.github.io/Logging_2181/tillsyn/A 6972-2026 tillsynsbegäran.docx", "A 6972-2026")</f>
        <v/>
      </c>
      <c r="AD84">
        <f>HYPERLINK("https://klasma.github.io/Logging_2181/tillsynsmail/A 6972-2026 tillsynsbegäran mail.docx", "A 6972-2026")</f>
        <v/>
      </c>
    </row>
    <row r="85" ht="15" customHeight="1">
      <c r="A85" t="inlineStr">
        <is>
          <t>A 41349-2025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46302</v>
      </c>
      <c r="F85" t="inlineStr">
        <is>
          <t>GÄVLEBORGS LÄN</t>
        </is>
      </c>
      <c r="G85" t="inlineStr">
        <is>
          <t>SANDVIKEN</t>
        </is>
      </c>
      <c r="I85" t="n">
        <v>3.7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Skogsklocka</t>
        </is>
      </c>
      <c r="W85">
        <f>HYPERLINK("https://klasma.github.io/Logging_2181/artfynd/A 41349-2025 artfynd.xlsx", "A 41349-2025")</f>
        <v/>
      </c>
      <c r="X85">
        <f>HYPERLINK("https://klasma.github.io/Logging_2181/kartor/A 41349-2025 karta.png", "A 41349-2025")</f>
        <v/>
      </c>
      <c r="Y85">
        <f>HYPERLINK("https://klasma.github.io/Logging_2181/kartor_geotiff/A 41349-2025 georefererad karta.tif", "A 41349-2025")</f>
        <v/>
      </c>
      <c r="AA85">
        <f>HYPERLINK("https://klasma.github.io/Logging_2181/klagomål/A 41349-2025 FSC-klagomål.docx", "A 41349-2025")</f>
        <v/>
      </c>
      <c r="AB85">
        <f>HYPERLINK("https://klasma.github.io/Logging_2181/klagomålsmail/A 41349-2025 FSC-klagomål mail.docx", "A 41349-2025")</f>
        <v/>
      </c>
      <c r="AC85">
        <f>HYPERLINK("https://klasma.github.io/Logging_2181/tillsyn/A 41349-2025 tillsynsbegäran.docx", "A 41349-2025")</f>
        <v/>
      </c>
      <c r="AD85">
        <f>HYPERLINK("https://klasma.github.io/Logging_2181/tillsynsmail/A 41349-2025 tillsynsbegäran mail.docx", "A 41349-2025")</f>
        <v/>
      </c>
    </row>
    <row r="86" ht="15" customHeight="1">
      <c r="A86" t="inlineStr">
        <is>
          <t>A 448-2026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46021</v>
      </c>
      <c r="E86" s="1" t="n">
        <v>46302</v>
      </c>
      <c r="F86" t="inlineStr">
        <is>
          <t>GÄVLEBORGS LÄN</t>
        </is>
      </c>
      <c r="G86" t="inlineStr">
        <is>
          <t>SANDVIKEN</t>
        </is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Dvärghäxört</t>
        </is>
      </c>
      <c r="W86">
        <f>HYPERLINK("https://klasma.github.io/Logging_2181/artfynd/A 448-2026 artfynd.xlsx", "A 448-2026")</f>
        <v/>
      </c>
      <c r="X86">
        <f>HYPERLINK("https://klasma.github.io/Logging_2181/kartor/A 448-2026 karta.png", "A 448-2026")</f>
        <v/>
      </c>
      <c r="Y86">
        <f>HYPERLINK("https://klasma.github.io/Logging_2181/kartor_geotiff/A 448-2026 georefererad karta.tif", "A 448-2026")</f>
        <v/>
      </c>
      <c r="AA86">
        <f>HYPERLINK("https://klasma.github.io/Logging_2181/klagomål/A 448-2026 FSC-klagomål.docx", "A 448-2026")</f>
        <v/>
      </c>
      <c r="AB86">
        <f>HYPERLINK("https://klasma.github.io/Logging_2181/klagomålsmail/A 448-2026 FSC-klagomål mail.docx", "A 448-2026")</f>
        <v/>
      </c>
      <c r="AC86">
        <f>HYPERLINK("https://klasma.github.io/Logging_2181/tillsyn/A 448-2026 tillsynsbegäran.docx", "A 448-2026")</f>
        <v/>
      </c>
      <c r="AD86">
        <f>HYPERLINK("https://klasma.github.io/Logging_2181/tillsynsmail/A 448-2026 tillsynsbegäran mail.docx", "A 448-2026")</f>
        <v/>
      </c>
    </row>
    <row r="87" ht="15" customHeight="1">
      <c r="A87" t="inlineStr">
        <is>
          <t>A 21532-2026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46148</v>
      </c>
      <c r="E87" s="1" t="n">
        <v>46302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21532-2026 artfynd.xlsx", "A 21532-2026")</f>
        <v/>
      </c>
      <c r="X87">
        <f>HYPERLINK("https://klasma.github.io/Logging_2181/kartor/A 21532-2026 karta.png", "A 21532-2026")</f>
        <v/>
      </c>
      <c r="Y87">
        <f>HYPERLINK("https://klasma.github.io/Logging_2181/kartor_geotiff/A 21532-2026 georefererad karta.tif", "A 21532-2026")</f>
        <v/>
      </c>
      <c r="AA87">
        <f>HYPERLINK("https://klasma.github.io/Logging_2181/klagomål/A 21532-2026 FSC-klagomål.docx", "A 21532-2026")</f>
        <v/>
      </c>
      <c r="AB87">
        <f>HYPERLINK("https://klasma.github.io/Logging_2181/klagomålsmail/A 21532-2026 FSC-klagomål mail.docx", "A 21532-2026")</f>
        <v/>
      </c>
      <c r="AC87">
        <f>HYPERLINK("https://klasma.github.io/Logging_2181/tillsyn/A 21532-2026 tillsynsbegäran.docx", "A 21532-2026")</f>
        <v/>
      </c>
      <c r="AD87">
        <f>HYPERLINK("https://klasma.github.io/Logging_2181/tillsynsmail/A 21532-2026 tillsynsbegäran mail.docx", "A 21532-2026")</f>
        <v/>
      </c>
    </row>
    <row r="88" ht="15" customHeight="1">
      <c r="A88" t="inlineStr">
        <is>
          <t>A 24171-2026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46302</v>
      </c>
      <c r="F88" t="inlineStr">
        <is>
          <t>GÄVLEBORGS LÄN</t>
        </is>
      </c>
      <c r="G88" t="inlineStr">
        <is>
          <t>SANDVIKEN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Svedjenäva</t>
        </is>
      </c>
      <c r="W88">
        <f>HYPERLINK("https://klasma.github.io/Logging_2181/artfynd/A 24171-2026 artfynd.xlsx", "A 24171-2026")</f>
        <v/>
      </c>
      <c r="X88">
        <f>HYPERLINK("https://klasma.github.io/Logging_2181/kartor/A 24171-2026 karta.png", "A 24171-2026")</f>
        <v/>
      </c>
      <c r="Y88">
        <f>HYPERLINK("https://klasma.github.io/Logging_2181/kartor_geotiff/A 24171-2026 georefererad karta.tif", "A 24171-2026")</f>
        <v/>
      </c>
      <c r="AA88">
        <f>HYPERLINK("https://klasma.github.io/Logging_2181/klagomål/A 24171-2026 FSC-klagomål.docx", "A 24171-2026")</f>
        <v/>
      </c>
      <c r="AB88">
        <f>HYPERLINK("https://klasma.github.io/Logging_2181/klagomålsmail/A 24171-2026 FSC-klagomål mail.docx", "A 24171-2026")</f>
        <v/>
      </c>
      <c r="AC88">
        <f>HYPERLINK("https://klasma.github.io/Logging_2181/tillsyn/A 24171-2026 tillsynsbegäran.docx", "A 24171-2026")</f>
        <v/>
      </c>
      <c r="AD88">
        <f>HYPERLINK("https://klasma.github.io/Logging_2181/tillsynsmail/A 24171-2026 tillsynsbegäran mail.docx", "A 24171-2026")</f>
        <v/>
      </c>
    </row>
    <row r="89" ht="15" customHeight="1">
      <c r="A89" t="inlineStr">
        <is>
          <t>A 24357-2026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46169</v>
      </c>
      <c r="E89" s="1" t="n">
        <v>46302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5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HYPERLINK("https://klasma.github.io/Logging_2181/artfynd/A 24357-2026 artfynd.xlsx", "A 24357-2026")</f>
        <v/>
      </c>
      <c r="X89">
        <f>HYPERLINK("https://klasma.github.io/Logging_2181/kartor/A 24357-2026 karta.png", "A 24357-2026")</f>
        <v/>
      </c>
      <c r="Y89">
        <f>HYPERLINK("https://klasma.github.io/Logging_2181/kartor_geotiff/A 24357-2026 georefererad karta.tif", "A 24357-2026")</f>
        <v/>
      </c>
      <c r="AA89">
        <f>HYPERLINK("https://klasma.github.io/Logging_2181/klagomål/A 24357-2026 FSC-klagomål.docx", "A 24357-2026")</f>
        <v/>
      </c>
      <c r="AB89">
        <f>HYPERLINK("https://klasma.github.io/Logging_2181/klagomålsmail/A 24357-2026 FSC-klagomål mail.docx", "A 24357-2026")</f>
        <v/>
      </c>
      <c r="AC89">
        <f>HYPERLINK("https://klasma.github.io/Logging_2181/tillsyn/A 24357-2026 tillsynsbegäran.docx", "A 24357-2026")</f>
        <v/>
      </c>
      <c r="AD89">
        <f>HYPERLINK("https://klasma.github.io/Logging_2181/tillsynsmail/A 24357-2026 tillsynsbegäran mail.docx", "A 24357-2026")</f>
        <v/>
      </c>
    </row>
    <row r="90" ht="15" customHeight="1">
      <c r="A90" t="inlineStr">
        <is>
          <t>A 25247-2026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46302</v>
      </c>
      <c r="F90" t="inlineStr">
        <is>
          <t>GÄVLEBORGS LÄN</t>
        </is>
      </c>
      <c r="G90" t="inlineStr">
        <is>
          <t>SANDVIKEN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Skinnlav</t>
        </is>
      </c>
      <c r="W90">
        <f>HYPERLINK("https://klasma.github.io/Logging_2181/artfynd/A 25247-2026 artfynd.xlsx", "A 25247-2026")</f>
        <v/>
      </c>
      <c r="X90">
        <f>HYPERLINK("https://klasma.github.io/Logging_2181/kartor/A 25247-2026 karta.png", "A 25247-2026")</f>
        <v/>
      </c>
      <c r="Y90">
        <f>HYPERLINK("https://klasma.github.io/Logging_2181/kartor_geotiff/A 25247-2026 georefererad karta.tif", "A 25247-2026")</f>
        <v/>
      </c>
      <c r="AA90">
        <f>HYPERLINK("https://klasma.github.io/Logging_2181/klagomål/A 25247-2026 FSC-klagomål.docx", "A 25247-2026")</f>
        <v/>
      </c>
      <c r="AB90">
        <f>HYPERLINK("https://klasma.github.io/Logging_2181/klagomålsmail/A 25247-2026 FSC-klagomål mail.docx", "A 25247-2026")</f>
        <v/>
      </c>
      <c r="AC90">
        <f>HYPERLINK("https://klasma.github.io/Logging_2181/tillsyn/A 25247-2026 tillsynsbegäran.docx", "A 25247-2026")</f>
        <v/>
      </c>
      <c r="AD90">
        <f>HYPERLINK("https://klasma.github.io/Logging_2181/tillsynsmail/A 25247-2026 tillsynsbegäran mail.docx", "A 25247-2026")</f>
        <v/>
      </c>
    </row>
    <row r="91" ht="15" customHeight="1">
      <c r="A91" t="inlineStr">
        <is>
          <t>A 26212-2026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46182</v>
      </c>
      <c r="E91" s="1" t="n">
        <v>46302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HYPERLINK("https://klasma.github.io/Logging_2181/artfynd/A 26212-2026 artfynd.xlsx", "A 26212-2026")</f>
        <v/>
      </c>
      <c r="X91">
        <f>HYPERLINK("https://klasma.github.io/Logging_2181/kartor/A 26212-2026 karta.png", "A 26212-2026")</f>
        <v/>
      </c>
      <c r="Y91">
        <f>HYPERLINK("https://klasma.github.io/Logging_2181/kartor_geotiff/A 26212-2026 georefererad karta.tif", "A 26212-2026")</f>
        <v/>
      </c>
      <c r="Z91">
        <f>HYPERLINK("https://klasma.github.io/Logging_2181/knärot/A 26212-2026 karta knärot.png", "A 26212-2026")</f>
        <v/>
      </c>
      <c r="AA91">
        <f>HYPERLINK("https://klasma.github.io/Logging_2181/klagomål/A 26212-2026 FSC-klagomål.docx", "A 26212-2026")</f>
        <v/>
      </c>
      <c r="AB91">
        <f>HYPERLINK("https://klasma.github.io/Logging_2181/klagomålsmail/A 26212-2026 FSC-klagomål mail.docx", "A 26212-2026")</f>
        <v/>
      </c>
      <c r="AC91">
        <f>HYPERLINK("https://klasma.github.io/Logging_2181/tillsyn/A 26212-2026 tillsynsbegäran.docx", "A 26212-2026")</f>
        <v/>
      </c>
      <c r="AD91">
        <f>HYPERLINK("https://klasma.github.io/Logging_2181/tillsynsmail/A 26212-2026 tillsynsbegäran mail.docx", "A 26212-2026")</f>
        <v/>
      </c>
    </row>
    <row r="92" ht="15" customHeight="1">
      <c r="A92" t="inlineStr">
        <is>
          <t>A 26271-2026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46302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3.8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Fläcknycklar</t>
        </is>
      </c>
      <c r="W92">
        <f>HYPERLINK("https://klasma.github.io/Logging_2181/artfynd/A 26271-2026 artfynd.xlsx", "A 26271-2026")</f>
        <v/>
      </c>
      <c r="X92">
        <f>HYPERLINK("https://klasma.github.io/Logging_2181/kartor/A 26271-2026 karta.png", "A 26271-2026")</f>
        <v/>
      </c>
      <c r="Y92">
        <f>HYPERLINK("https://klasma.github.io/Logging_2181/kartor_geotiff/A 26271-2026 georefererad karta.tif", "A 26271-2026")</f>
        <v/>
      </c>
      <c r="AA92">
        <f>HYPERLINK("https://klasma.github.io/Logging_2181/klagomål/A 26271-2026 FSC-klagomål.docx", "A 26271-2026")</f>
        <v/>
      </c>
      <c r="AB92">
        <f>HYPERLINK("https://klasma.github.io/Logging_2181/klagomålsmail/A 26271-2026 FSC-klagomål mail.docx", "A 26271-2026")</f>
        <v/>
      </c>
      <c r="AC92">
        <f>HYPERLINK("https://klasma.github.io/Logging_2181/tillsyn/A 26271-2026 tillsynsbegäran.docx", "A 26271-2026")</f>
        <v/>
      </c>
      <c r="AD92">
        <f>HYPERLINK("https://klasma.github.io/Logging_2181/tillsynsmail/A 26271-2026 tillsynsbegäran mail.docx", "A 26271-2026")</f>
        <v/>
      </c>
    </row>
    <row r="93" ht="15" customHeight="1">
      <c r="A93" t="inlineStr">
        <is>
          <t>A 25479-2023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46302</v>
      </c>
      <c r="F93" t="inlineStr">
        <is>
          <t>GÄVLEBORGS LÄN</t>
        </is>
      </c>
      <c r="G93" t="inlineStr">
        <is>
          <t>SANDVIKEN</t>
        </is>
      </c>
      <c r="I93" t="n">
        <v>4.1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Grönpyrola</t>
        </is>
      </c>
      <c r="W93">
        <f>HYPERLINK("https://klasma.github.io/Logging_2181/artfynd/A 25479-2023 artfynd.xlsx", "A 25479-2023")</f>
        <v/>
      </c>
      <c r="X93">
        <f>HYPERLINK("https://klasma.github.io/Logging_2181/kartor/A 25479-2023 karta.png", "A 25479-2023")</f>
        <v/>
      </c>
      <c r="Y93">
        <f>HYPERLINK("https://klasma.github.io/Logging_2181/kartor_geotiff/A 25479-2023 georefererad karta.tif", "A 25479-2023")</f>
        <v/>
      </c>
      <c r="AA93">
        <f>HYPERLINK("https://klasma.github.io/Logging_2181/klagomål/A 25479-2023 FSC-klagomål.docx", "A 25479-2023")</f>
        <v/>
      </c>
      <c r="AB93">
        <f>HYPERLINK("https://klasma.github.io/Logging_2181/klagomålsmail/A 25479-2023 FSC-klagomål mail.docx", "A 25479-2023")</f>
        <v/>
      </c>
      <c r="AC93">
        <f>HYPERLINK("https://klasma.github.io/Logging_2181/tillsyn/A 25479-2023 tillsynsbegäran.docx", "A 25479-2023")</f>
        <v/>
      </c>
      <c r="AD93">
        <f>HYPERLINK("https://klasma.github.io/Logging_2181/tillsynsmail/A 25479-2023 tillsynsbegäran mail.docx", "A 25479-2023")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46302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46302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22275-2024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45446</v>
      </c>
      <c r="E96" s="1" t="n">
        <v>46302</v>
      </c>
      <c r="F96" t="inlineStr">
        <is>
          <t>GÄVLEBORGS LÄN</t>
        </is>
      </c>
      <c r="G96" t="inlineStr">
        <is>
          <t>SANDVIKEN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Ekorrbär</t>
        </is>
      </c>
      <c r="W96">
        <f>HYPERLINK("https://klasma.github.io/Logging_2181/artfynd/A 22275-2024 artfynd.xlsx", "A 22275-2024")</f>
        <v/>
      </c>
      <c r="X96">
        <f>HYPERLINK("https://klasma.github.io/Logging_2181/kartor/A 22275-2024 karta.png", "A 22275-2024")</f>
        <v/>
      </c>
      <c r="Y96">
        <f>HYPERLINK("https://klasma.github.io/Logging_2181/kartor_geotiff/A 22275-2024 georefererad karta.tif", "A 22275-2024")</f>
        <v/>
      </c>
      <c r="AA96">
        <f>HYPERLINK("https://klasma.github.io/Logging_2181/klagomål/A 22275-2024 FSC-klagomål.docx", "A 22275-2024")</f>
        <v/>
      </c>
      <c r="AB96">
        <f>HYPERLINK("https://klasma.github.io/Logging_2181/klagomålsmail/A 22275-2024 FSC-klagomål mail.docx", "A 22275-2024")</f>
        <v/>
      </c>
      <c r="AC96">
        <f>HYPERLINK("https://klasma.github.io/Logging_2181/tillsyn/A 22275-2024 tillsynsbegäran.docx", "A 22275-2024")</f>
        <v/>
      </c>
      <c r="AD96">
        <f>HYPERLINK("https://klasma.github.io/Logging_2181/tillsynsmail/A 22275-2024 tillsynsbegäran mail.docx", "A 22275-2024")</f>
        <v/>
      </c>
    </row>
    <row r="97" ht="15" customHeight="1">
      <c r="A97" t="inlineStr">
        <is>
          <t>A 5015-2023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46302</v>
      </c>
      <c r="F97" t="inlineStr">
        <is>
          <t>GÄVLEBORGS LÄN</t>
        </is>
      </c>
      <c r="G97" t="inlineStr">
        <is>
          <t>SANDVIKEN</t>
        </is>
      </c>
      <c r="I97" t="n">
        <v>7.8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Slåtterfibbla</t>
        </is>
      </c>
      <c r="W97">
        <f>HYPERLINK("https://klasma.github.io/Logging_2181/artfynd/A 5015-2023 artfynd.xlsx", "A 5015-2023")</f>
        <v/>
      </c>
      <c r="X97">
        <f>HYPERLINK("https://klasma.github.io/Logging_2181/kartor/A 5015-2023 karta.png", "A 5015-2023")</f>
        <v/>
      </c>
      <c r="Y97">
        <f>HYPERLINK("https://klasma.github.io/Logging_2181/kartor_geotiff/A 5015-2023 georefererad karta.tif", "A 5015-2023")</f>
        <v/>
      </c>
      <c r="AA97">
        <f>HYPERLINK("https://klasma.github.io/Logging_2181/klagomål/A 5015-2023 FSC-klagomål.docx", "A 5015-2023")</f>
        <v/>
      </c>
      <c r="AB97">
        <f>HYPERLINK("https://klasma.github.io/Logging_2181/klagomålsmail/A 5015-2023 FSC-klagomål mail.docx", "A 5015-2023")</f>
        <v/>
      </c>
      <c r="AC97">
        <f>HYPERLINK("https://klasma.github.io/Logging_2181/tillsyn/A 5015-2023 tillsynsbegäran.docx", "A 5015-2023")</f>
        <v/>
      </c>
      <c r="AD97">
        <f>HYPERLINK("https://klasma.github.io/Logging_2181/tillsynsmail/A 5015-2023 tillsynsbegäran mail.docx", "A 5015-2023")</f>
        <v/>
      </c>
    </row>
    <row r="98" ht="15" customHeight="1">
      <c r="A98" t="inlineStr">
        <is>
          <t>A 35419-2026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46261</v>
      </c>
      <c r="E98" s="1" t="n">
        <v>46302</v>
      </c>
      <c r="F98" t="inlineStr">
        <is>
          <t>GÄVLEBORGS LÄN</t>
        </is>
      </c>
      <c r="G98" t="inlineStr">
        <is>
          <t>SANDVIKEN</t>
        </is>
      </c>
      <c r="I98" t="n">
        <v>0.9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HYPERLINK("https://klasma.github.io/Logging_2181/artfynd/A 35419-2026 artfynd.xlsx", "A 35419-2026")</f>
        <v/>
      </c>
      <c r="X98">
        <f>HYPERLINK("https://klasma.github.io/Logging_2181/kartor/A 35419-2026 karta.png", "A 35419-2026")</f>
        <v/>
      </c>
      <c r="Y98">
        <f>HYPERLINK("https://klasma.github.io/Logging_2181/kartor_geotiff/A 35419-2026 georefererad karta.tif", "A 35419-2026")</f>
        <v/>
      </c>
      <c r="AA98">
        <f>HYPERLINK("https://klasma.github.io/Logging_2181/klagomål/A 35419-2026 FSC-klagomål.docx", "A 35419-2026")</f>
        <v/>
      </c>
      <c r="AB98">
        <f>HYPERLINK("https://klasma.github.io/Logging_2181/klagomålsmail/A 35419-2026 FSC-klagomål mail.docx", "A 35419-2026")</f>
        <v/>
      </c>
      <c r="AC98">
        <f>HYPERLINK("https://klasma.github.io/Logging_2181/tillsyn/A 35419-2026 tillsynsbegäran.docx", "A 35419-2026")</f>
        <v/>
      </c>
      <c r="AD98">
        <f>HYPERLINK("https://klasma.github.io/Logging_2181/tillsynsmail/A 35419-2026 tillsynsbegäran mail.docx", "A 35419-2026")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46302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31311-2026 artfynd.xlsx", "A 31311-2026")</f>
        <v/>
      </c>
      <c r="X99">
        <f>HYPERLINK("https://klasma.github.io/Logging_2181/kartor/A 31311-2026 karta.png", "A 31311-2026")</f>
        <v/>
      </c>
      <c r="Y99">
        <f>HYPERLINK("https://klasma.github.io/Logging_2181/kartor_geotiff/A 31311-2026 georefererad karta.tif", "A 31311-2026")</f>
        <v/>
      </c>
      <c r="AA99">
        <f>HYPERLINK("https://klasma.github.io/Logging_2181/klagomål/A 31311-2026 FSC-klagomål.docx", "A 31311-2026")</f>
        <v/>
      </c>
      <c r="AB99">
        <f>HYPERLINK("https://klasma.github.io/Logging_2181/klagomålsmail/A 31311-2026 FSC-klagomål mail.docx", "A 31311-2026")</f>
        <v/>
      </c>
      <c r="AC99">
        <f>HYPERLINK("https://klasma.github.io/Logging_2181/tillsyn/A 31311-2026 tillsynsbegäran.docx", "A 31311-2026")</f>
        <v/>
      </c>
      <c r="AD99">
        <f>HYPERLINK("https://klasma.github.io/Logging_2181/tillsynsmail/A 31311-2026 tillsynsbegäran mail.docx", "A 31311-2026")</f>
        <v/>
      </c>
    </row>
    <row r="100" ht="15" customHeight="1">
      <c r="A100" t="inlineStr">
        <is>
          <t>A 35540-2026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46302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2.4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Lopplummer (aggregat)</t>
        </is>
      </c>
      <c r="W100">
        <f>HYPERLINK("https://klasma.github.io/Logging_2181/artfynd/A 35540-2026 artfynd.xlsx", "A 35540-2026")</f>
        <v/>
      </c>
      <c r="X100">
        <f>HYPERLINK("https://klasma.github.io/Logging_2181/kartor/A 35540-2026 karta.png", "A 35540-2026")</f>
        <v/>
      </c>
      <c r="Y100">
        <f>HYPERLINK("https://klasma.github.io/Logging_2181/kartor_geotiff/A 35540-2026 georefererad karta.tif", "A 35540-2026")</f>
        <v/>
      </c>
      <c r="AA100">
        <f>HYPERLINK("https://klasma.github.io/Logging_2181/klagomål/A 35540-2026 FSC-klagomål.docx", "A 35540-2026")</f>
        <v/>
      </c>
      <c r="AB100">
        <f>HYPERLINK("https://klasma.github.io/Logging_2181/klagomålsmail/A 35540-2026 FSC-klagomål mail.docx", "A 35540-2026")</f>
        <v/>
      </c>
      <c r="AC100">
        <f>HYPERLINK("https://klasma.github.io/Logging_2181/tillsyn/A 35540-2026 tillsynsbegäran.docx", "A 35540-2026")</f>
        <v/>
      </c>
      <c r="AD100">
        <f>HYPERLINK("https://klasma.github.io/Logging_2181/tillsynsmail/A 35540-2026 tillsynsbegäran mail.docx", "A 35540-2026")</f>
        <v/>
      </c>
    </row>
    <row r="101" ht="15" customHeight="1">
      <c r="A101" t="inlineStr">
        <is>
          <t>A 35479-2026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46302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7.3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HYPERLINK("https://klasma.github.io/Logging_2181/artfynd/A 35479-2026 artfynd.xlsx", "A 35479-2026")</f>
        <v/>
      </c>
      <c r="X101">
        <f>HYPERLINK("https://klasma.github.io/Logging_2181/kartor/A 35479-2026 karta.png", "A 35479-2026")</f>
        <v/>
      </c>
      <c r="Y101">
        <f>HYPERLINK("https://klasma.github.io/Logging_2181/kartor_geotiff/A 35479-2026 georefererad karta.tif", "A 35479-2026")</f>
        <v/>
      </c>
      <c r="AA101">
        <f>HYPERLINK("https://klasma.github.io/Logging_2181/klagomål/A 35479-2026 FSC-klagomål.docx", "A 35479-2026")</f>
        <v/>
      </c>
      <c r="AB101">
        <f>HYPERLINK("https://klasma.github.io/Logging_2181/klagomålsmail/A 35479-2026 FSC-klagomål mail.docx", "A 35479-2026")</f>
        <v/>
      </c>
      <c r="AC101">
        <f>HYPERLINK("https://klasma.github.io/Logging_2181/tillsyn/A 35479-2026 tillsynsbegäran.docx", "A 35479-2026")</f>
        <v/>
      </c>
      <c r="AD101">
        <f>HYPERLINK("https://klasma.github.io/Logging_2181/tillsynsmail/A 35479-2026 tillsynsbegäran mail.docx", "A 35479-2026")</f>
        <v/>
      </c>
    </row>
    <row r="102" ht="15" customHeight="1">
      <c r="A102" t="inlineStr">
        <is>
          <t>A 36596-2026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46269</v>
      </c>
      <c r="E102" s="1" t="n">
        <v>46302</v>
      </c>
      <c r="F102" t="inlineStr">
        <is>
          <t>GÄVLEBORGS LÄN</t>
        </is>
      </c>
      <c r="G102" t="inlineStr">
        <is>
          <t>SANDVIKEN</t>
        </is>
      </c>
      <c r="I102" t="n">
        <v>10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36596-2026 artfynd.xlsx", "A 36596-2026")</f>
        <v/>
      </c>
      <c r="X102">
        <f>HYPERLINK("https://klasma.github.io/Logging_2181/kartor/A 36596-2026 karta.png", "A 36596-2026")</f>
        <v/>
      </c>
      <c r="Y102">
        <f>HYPERLINK("https://klasma.github.io/Logging_2181/kartor_geotiff/A 36596-2026 georefererad karta.tif", "A 36596-2026")</f>
        <v/>
      </c>
      <c r="AA102">
        <f>HYPERLINK("https://klasma.github.io/Logging_2181/klagomål/A 36596-2026 FSC-klagomål.docx", "A 36596-2026")</f>
        <v/>
      </c>
      <c r="AB102">
        <f>HYPERLINK("https://klasma.github.io/Logging_2181/klagomålsmail/A 36596-2026 FSC-klagomål mail.docx", "A 36596-2026")</f>
        <v/>
      </c>
      <c r="AC102">
        <f>HYPERLINK("https://klasma.github.io/Logging_2181/tillsyn/A 36596-2026 tillsynsbegäran.docx", "A 36596-2026")</f>
        <v/>
      </c>
      <c r="AD102">
        <f>HYPERLINK("https://klasma.github.io/Logging_2181/tillsynsmail/A 36596-2026 tillsynsbegäran mail.docx", "A 36596-2026")</f>
        <v/>
      </c>
    </row>
    <row r="103" ht="15" customHeight="1">
      <c r="A103" t="inlineStr">
        <is>
          <t>A 38109-2026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46302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öst AB</t>
        </is>
      </c>
      <c r="I103" t="n">
        <v>11.9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Linmåra/småsnärjmåra</t>
        </is>
      </c>
      <c r="W103">
        <f>HYPERLINK("https://klasma.github.io/Logging_2181/artfynd/A 38109-2026 artfynd.xlsx", "A 38109-2026")</f>
        <v/>
      </c>
      <c r="X103">
        <f>HYPERLINK("https://klasma.github.io/Logging_2181/kartor/A 38109-2026 karta.png", "A 38109-2026")</f>
        <v/>
      </c>
      <c r="Y103">
        <f>HYPERLINK("https://klasma.github.io/Logging_2181/kartor_geotiff/A 38109-2026 georefererad karta.tif", "A 38109-2026")</f>
        <v/>
      </c>
      <c r="AA103">
        <f>HYPERLINK("https://klasma.github.io/Logging_2181/klagomål/A 38109-2026 FSC-klagomål.docx", "A 38109-2026")</f>
        <v/>
      </c>
      <c r="AB103">
        <f>HYPERLINK("https://klasma.github.io/Logging_2181/klagomålsmail/A 38109-2026 FSC-klagomål mail.docx", "A 38109-2026")</f>
        <v/>
      </c>
      <c r="AC103">
        <f>HYPERLINK("https://klasma.github.io/Logging_2181/tillsyn/A 38109-2026 tillsynsbegäran.docx", "A 38109-2026")</f>
        <v/>
      </c>
      <c r="AD103">
        <f>HYPERLINK("https://klasma.github.io/Logging_2181/tillsynsmail/A 38109-2026 tillsynsbegäran mail.docx", "A 38109-2026")</f>
        <v/>
      </c>
    </row>
    <row r="104" ht="15" customHeight="1">
      <c r="A104" t="inlineStr">
        <is>
          <t>A 32539-2026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46302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Grönsiska</t>
        </is>
      </c>
      <c r="W104">
        <f>HYPERLINK("https://klasma.github.io/Logging_2181/artfynd/A 32539-2026 artfynd.xlsx", "A 32539-2026")</f>
        <v/>
      </c>
      <c r="X104">
        <f>HYPERLINK("https://klasma.github.io/Logging_2181/kartor/A 32539-2026 karta.png", "A 32539-2026")</f>
        <v/>
      </c>
      <c r="Y104">
        <f>HYPERLINK("https://klasma.github.io/Logging_2181/kartor_geotiff/A 32539-2026 georefererad karta.tif", "A 32539-2026")</f>
        <v/>
      </c>
      <c r="AA104">
        <f>HYPERLINK("https://klasma.github.io/Logging_2181/klagomål/A 32539-2026 FSC-klagomål.docx", "A 32539-2026")</f>
        <v/>
      </c>
      <c r="AB104">
        <f>HYPERLINK("https://klasma.github.io/Logging_2181/klagomålsmail/A 32539-2026 FSC-klagomål mail.docx", "A 32539-2026")</f>
        <v/>
      </c>
      <c r="AC104">
        <f>HYPERLINK("https://klasma.github.io/Logging_2181/tillsyn/A 32539-2026 tillsynsbegäran.docx", "A 32539-2026")</f>
        <v/>
      </c>
      <c r="AD104">
        <f>HYPERLINK("https://klasma.github.io/Logging_2181/tillsynsmail/A 32539-2026 tillsynsbegäran mail.docx", "A 32539-2026")</f>
        <v/>
      </c>
    </row>
    <row r="105" ht="15" customHeight="1">
      <c r="A105" t="inlineStr">
        <is>
          <t>A 32544-2026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46302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HYPERLINK("https://klasma.github.io/Logging_2181/artfynd/A 32544-2026 artfynd.xlsx", "A 32544-2026")</f>
        <v/>
      </c>
      <c r="X105">
        <f>HYPERLINK("https://klasma.github.io/Logging_2181/kartor/A 32544-2026 karta.png", "A 32544-2026")</f>
        <v/>
      </c>
      <c r="Y105">
        <f>HYPERLINK("https://klasma.github.io/Logging_2181/kartor_geotiff/A 32544-2026 georefererad karta.tif", "A 32544-2026")</f>
        <v/>
      </c>
      <c r="AA105">
        <f>HYPERLINK("https://klasma.github.io/Logging_2181/klagomål/A 32544-2026 FSC-klagomål.docx", "A 32544-2026")</f>
        <v/>
      </c>
      <c r="AB105">
        <f>HYPERLINK("https://klasma.github.io/Logging_2181/klagomålsmail/A 32544-2026 FSC-klagomål mail.docx", "A 32544-2026")</f>
        <v/>
      </c>
      <c r="AC105">
        <f>HYPERLINK("https://klasma.github.io/Logging_2181/tillsyn/A 32544-2026 tillsynsbegäran.docx", "A 32544-2026")</f>
        <v/>
      </c>
      <c r="AD105">
        <f>HYPERLINK("https://klasma.github.io/Logging_2181/tillsynsmail/A 32544-2026 tillsynsbegäran mail.docx", "A 32544-2026")</f>
        <v/>
      </c>
    </row>
    <row r="106" ht="15" customHeight="1">
      <c r="A106" t="inlineStr">
        <is>
          <t>A 32533-2026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46302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Järnsparv</t>
        </is>
      </c>
      <c r="W106">
        <f>HYPERLINK("https://klasma.github.io/Logging_2181/artfynd/A 32533-2026 artfynd.xlsx", "A 32533-2026")</f>
        <v/>
      </c>
      <c r="X106">
        <f>HYPERLINK("https://klasma.github.io/Logging_2181/kartor/A 32533-2026 karta.png", "A 32533-2026")</f>
        <v/>
      </c>
      <c r="Y106">
        <f>HYPERLINK("https://klasma.github.io/Logging_2181/kartor_geotiff/A 32533-2026 georefererad karta.tif", "A 32533-2026")</f>
        <v/>
      </c>
      <c r="AA106">
        <f>HYPERLINK("https://klasma.github.io/Logging_2181/klagomål/A 32533-2026 FSC-klagomål.docx", "A 32533-2026")</f>
        <v/>
      </c>
      <c r="AB106">
        <f>HYPERLINK("https://klasma.github.io/Logging_2181/klagomålsmail/A 32533-2026 FSC-klagomål mail.docx", "A 32533-2026")</f>
        <v/>
      </c>
      <c r="AC106">
        <f>HYPERLINK("https://klasma.github.io/Logging_2181/tillsyn/A 32533-2026 tillsynsbegäran.docx", "A 32533-2026")</f>
        <v/>
      </c>
      <c r="AD106">
        <f>HYPERLINK("https://klasma.github.io/Logging_2181/tillsynsmail/A 32533-2026 tillsynsbegäran mail.docx", "A 32533-2026")</f>
        <v/>
      </c>
      <c r="AE106">
        <f>HYPERLINK("https://klasma.github.io/Logging_2181/fåglar/A 32533-2026 prioriterade fågelarter.docx", "A 32533-2026")</f>
        <v/>
      </c>
    </row>
    <row r="107" ht="15" customHeight="1">
      <c r="A107" t="inlineStr">
        <is>
          <t>A 23225-2026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46302</v>
      </c>
      <c r="F107" t="inlineStr">
        <is>
          <t>GÄVLEBORGS LÄN</t>
        </is>
      </c>
      <c r="G107" t="inlineStr">
        <is>
          <t>SANDVIKEN</t>
        </is>
      </c>
      <c r="H107" t="inlineStr">
        <is>
          <t>Bergvik skog öst AB</t>
        </is>
      </c>
      <c r="I107" t="n">
        <v>1.3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Rödvingetrast</t>
        </is>
      </c>
      <c r="W107">
        <f>HYPERLINK("https://klasma.github.io/Logging_2181/artfynd/A 23225-2026 artfynd.xlsx", "A 23225-2026")</f>
        <v/>
      </c>
      <c r="X107">
        <f>HYPERLINK("https://klasma.github.io/Logging_2181/kartor/A 23225-2026 karta.png", "A 23225-2026")</f>
        <v/>
      </c>
      <c r="Y107">
        <f>HYPERLINK("https://klasma.github.io/Logging_2181/kartor_geotiff/A 23225-2026 georefererad karta.tif", "A 23225-2026")</f>
        <v/>
      </c>
      <c r="AA107">
        <f>HYPERLINK("https://klasma.github.io/Logging_2181/klagomål/A 23225-2026 FSC-klagomål.docx", "A 23225-2026")</f>
        <v/>
      </c>
      <c r="AB107">
        <f>HYPERLINK("https://klasma.github.io/Logging_2181/klagomålsmail/A 23225-2026 FSC-klagomål mail.docx", "A 23225-2026")</f>
        <v/>
      </c>
      <c r="AC107">
        <f>HYPERLINK("https://klasma.github.io/Logging_2181/tillsyn/A 23225-2026 tillsynsbegäran.docx", "A 23225-2026")</f>
        <v/>
      </c>
      <c r="AD107">
        <f>HYPERLINK("https://klasma.github.io/Logging_2181/tillsynsmail/A 23225-2026 tillsynsbegäran mail.docx", "A 23225-2026")</f>
        <v/>
      </c>
      <c r="AE107">
        <f>HYPERLINK("https://klasma.github.io/Logging_2181/fåglar/A 23225-2026 prioriterade fågelarter.docx", "A 23225-2026")</f>
        <v/>
      </c>
    </row>
    <row r="108" ht="15" customHeight="1">
      <c r="A108" t="inlineStr">
        <is>
          <t>A 34406-2026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46254</v>
      </c>
      <c r="E108" s="1" t="n">
        <v>46302</v>
      </c>
      <c r="F108" t="inlineStr">
        <is>
          <t>GÄVLEBORGS LÄN</t>
        </is>
      </c>
      <c r="G108" t="inlineStr">
        <is>
          <t>SANDVIKEN</t>
        </is>
      </c>
      <c r="I108" t="n">
        <v>15.1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Loppstarr</t>
        </is>
      </c>
      <c r="W108">
        <f>HYPERLINK("https://klasma.github.io/Logging_2181/artfynd/A 34406-2026 artfynd.xlsx", "A 34406-2026")</f>
        <v/>
      </c>
      <c r="X108">
        <f>HYPERLINK("https://klasma.github.io/Logging_2181/kartor/A 34406-2026 karta.png", "A 34406-2026")</f>
        <v/>
      </c>
      <c r="Y108">
        <f>HYPERLINK("https://klasma.github.io/Logging_2181/kartor_geotiff/A 34406-2026 georefererad karta.tif", "A 34406-2026")</f>
        <v/>
      </c>
      <c r="AA108">
        <f>HYPERLINK("https://klasma.github.io/Logging_2181/klagomål/A 34406-2026 FSC-klagomål.docx", "A 34406-2026")</f>
        <v/>
      </c>
      <c r="AB108">
        <f>HYPERLINK("https://klasma.github.io/Logging_2181/klagomålsmail/A 34406-2026 FSC-klagomål mail.docx", "A 34406-2026")</f>
        <v/>
      </c>
      <c r="AC108">
        <f>HYPERLINK("https://klasma.github.io/Logging_2181/tillsyn/A 34406-2026 tillsynsbegäran.docx", "A 34406-2026")</f>
        <v/>
      </c>
      <c r="AD108">
        <f>HYPERLINK("https://klasma.github.io/Logging_2181/tillsynsmail/A 34406-2026 tillsynsbegäran mail.docx", "A 34406-2026")</f>
        <v/>
      </c>
    </row>
    <row r="109" ht="15" customHeight="1">
      <c r="A109" t="inlineStr">
        <is>
          <t>A 4384-2023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44955</v>
      </c>
      <c r="E109" s="1" t="n">
        <v>46302</v>
      </c>
      <c r="F109" t="inlineStr">
        <is>
          <t>GÄVLEBORGS LÄN</t>
        </is>
      </c>
      <c r="G109" t="inlineStr">
        <is>
          <t>SANDVIKEN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Sångsvan</t>
        </is>
      </c>
      <c r="W109">
        <f>HYPERLINK("https://klasma.github.io/Logging_2181/artfynd/A 4384-2023 artfynd.xlsx", "A 4384-2023")</f>
        <v/>
      </c>
      <c r="X109">
        <f>HYPERLINK("https://klasma.github.io/Logging_2181/kartor/A 4384-2023 karta.png", "A 4384-2023")</f>
        <v/>
      </c>
      <c r="Y109">
        <f>HYPERLINK("https://klasma.github.io/Logging_2181/kartor_geotiff/A 4384-2023 georefererad karta.tif", "A 4384-2023")</f>
        <v/>
      </c>
      <c r="AA109">
        <f>HYPERLINK("https://klasma.github.io/Logging_2181/klagomål/A 4384-2023 FSC-klagomål.docx", "A 4384-2023")</f>
        <v/>
      </c>
      <c r="AB109">
        <f>HYPERLINK("https://klasma.github.io/Logging_2181/klagomålsmail/A 4384-2023 FSC-klagomål mail.docx", "A 4384-2023")</f>
        <v/>
      </c>
      <c r="AC109">
        <f>HYPERLINK("https://klasma.github.io/Logging_2181/tillsyn/A 4384-2023 tillsynsbegäran.docx", "A 4384-2023")</f>
        <v/>
      </c>
      <c r="AD109">
        <f>HYPERLINK("https://klasma.github.io/Logging_2181/tillsynsmail/A 4384-2023 tillsynsbegäran mail.docx", "A 4384-2023")</f>
        <v/>
      </c>
      <c r="AE109">
        <f>HYPERLINK("https://klasma.github.io/Logging_2181/fåglar/A 4384-2023 prioriterade fågelarter.docx", "A 4384-2023")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46302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46302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46302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46302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46302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46302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46302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46302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46302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46302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46302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46302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46302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46302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46302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46302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46302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46302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46302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46302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46302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46302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46302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46302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46302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46302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46302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46302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46302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46302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46302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46302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46302</v>
      </c>
      <c r="F143" t="inlineStr">
        <is>
          <t>GÄVLEBORGS LÄN</t>
        </is>
      </c>
      <c r="G143" t="inlineStr">
        <is>
          <t>SANDVIKEN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46302</v>
      </c>
      <c r="F144" t="inlineStr">
        <is>
          <t>GÄVLEBORGS LÄN</t>
        </is>
      </c>
      <c r="G144" t="inlineStr">
        <is>
          <t>SANDVIKEN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46302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46302</v>
      </c>
      <c r="F146" t="inlineStr">
        <is>
          <t>GÄVLEBORGS LÄN</t>
        </is>
      </c>
      <c r="G146" t="inlineStr">
        <is>
          <t>SANDVIKEN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44846</v>
      </c>
      <c r="E147" s="1" t="n">
        <v>46302</v>
      </c>
      <c r="F147" t="inlineStr">
        <is>
          <t>GÄVLEBORGS LÄN</t>
        </is>
      </c>
      <c r="G147" t="inlineStr">
        <is>
          <t>SANDVIKEN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45523</v>
      </c>
      <c r="E148" s="1" t="n">
        <v>46302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46302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46302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46302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46302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46302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46302</v>
      </c>
      <c r="F154" t="inlineStr">
        <is>
          <t>GÄVLEBORGS LÄN</t>
        </is>
      </c>
      <c r="G154" t="inlineStr">
        <is>
          <t>SANDVIKEN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46302</v>
      </c>
      <c r="F155" t="inlineStr">
        <is>
          <t>GÄVLEBORGS LÄN</t>
        </is>
      </c>
      <c r="G155" t="inlineStr">
        <is>
          <t>SANDVIKEN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49704-2023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45212</v>
      </c>
      <c r="E156" s="1" t="n">
        <v>46302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46302</v>
      </c>
      <c r="F157" t="inlineStr">
        <is>
          <t>GÄVLEBORGS LÄN</t>
        </is>
      </c>
      <c r="G157" t="inlineStr">
        <is>
          <t>SANDVIKEN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46302</v>
      </c>
      <c r="F158" t="inlineStr">
        <is>
          <t>GÄVLEBORGS LÄN</t>
        </is>
      </c>
      <c r="G158" t="inlineStr">
        <is>
          <t>SANDVIKEN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45649</v>
      </c>
      <c r="E159" s="1" t="n">
        <v>46302</v>
      </c>
      <c r="F159" t="inlineStr">
        <is>
          <t>GÄVLEBORGS LÄN</t>
        </is>
      </c>
      <c r="G159" t="inlineStr">
        <is>
          <t>SANDVIKEN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45771</v>
      </c>
      <c r="E160" s="1" t="n">
        <v>46302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46302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46302</v>
      </c>
      <c r="F162" t="inlineStr">
        <is>
          <t>GÄVLEBORGS LÄN</t>
        </is>
      </c>
      <c r="G162" t="inlineStr">
        <is>
          <t>SANDVIKEN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45693</v>
      </c>
      <c r="E163" s="1" t="n">
        <v>46302</v>
      </c>
      <c r="F163" t="inlineStr">
        <is>
          <t>GÄVLEBORGS LÄN</t>
        </is>
      </c>
      <c r="G163" t="inlineStr">
        <is>
          <t>SANDVIKEN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46302</v>
      </c>
      <c r="F164" t="inlineStr">
        <is>
          <t>GÄVLEBORGS LÄN</t>
        </is>
      </c>
      <c r="G164" t="inlineStr">
        <is>
          <t>SANDVIKEN</t>
        </is>
      </c>
      <c r="H164" t="inlineStr">
        <is>
          <t>Kommuner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46302</v>
      </c>
      <c r="F165" t="inlineStr">
        <is>
          <t>GÄVLEBORGS LÄN</t>
        </is>
      </c>
      <c r="G165" t="inlineStr">
        <is>
          <t>SANDVIKEN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46302</v>
      </c>
      <c r="F166" t="inlineStr">
        <is>
          <t>GÄVLEBORGS LÄN</t>
        </is>
      </c>
      <c r="G166" t="inlineStr">
        <is>
          <t>SANDVIKEN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46302</v>
      </c>
      <c r="F167" t="inlineStr">
        <is>
          <t>GÄVLEBORGS LÄN</t>
        </is>
      </c>
      <c r="G167" t="inlineStr">
        <is>
          <t>SANDVIKEN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46302</v>
      </c>
      <c r="F168" t="inlineStr">
        <is>
          <t>GÄVLEBORGS LÄN</t>
        </is>
      </c>
      <c r="G168" t="inlineStr">
        <is>
          <t>SANDVIKEN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46302</v>
      </c>
      <c r="F169" t="inlineStr">
        <is>
          <t>GÄVLEBORGS LÄN</t>
        </is>
      </c>
      <c r="G169" t="inlineStr">
        <is>
          <t>SANDVIKEN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46302</v>
      </c>
      <c r="F170" t="inlineStr">
        <is>
          <t>GÄVLEBORGS LÄN</t>
        </is>
      </c>
      <c r="G170" t="inlineStr">
        <is>
          <t>SANDVIKEN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46302</v>
      </c>
      <c r="F171" t="inlineStr">
        <is>
          <t>GÄVLEBORGS LÄN</t>
        </is>
      </c>
      <c r="G171" t="inlineStr">
        <is>
          <t>SANDVIKEN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44988</v>
      </c>
      <c r="E172" s="1" t="n">
        <v>46302</v>
      </c>
      <c r="F172" t="inlineStr">
        <is>
          <t>GÄVLEBORGS LÄN</t>
        </is>
      </c>
      <c r="G172" t="inlineStr">
        <is>
          <t>SANDVIKEN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46302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46302</v>
      </c>
      <c r="F174" t="inlineStr">
        <is>
          <t>GÄVLEBORGS LÄN</t>
        </is>
      </c>
      <c r="G174" t="inlineStr">
        <is>
          <t>SANDVIKEN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46302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46302</v>
      </c>
      <c r="F176" t="inlineStr">
        <is>
          <t>GÄVLEBORGS LÄN</t>
        </is>
      </c>
      <c r="G176" t="inlineStr">
        <is>
          <t>SANDVIKEN</t>
        </is>
      </c>
      <c r="I176" t="n">
        <v>10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46302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46302</v>
      </c>
      <c r="F178" t="inlineStr">
        <is>
          <t>GÄVLEBORGS LÄN</t>
        </is>
      </c>
      <c r="G178" t="inlineStr">
        <is>
          <t>SANDVIKEN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45126</v>
      </c>
      <c r="E179" s="1" t="n">
        <v>46302</v>
      </c>
      <c r="F179" t="inlineStr">
        <is>
          <t>GÄVLEBORGS LÄN</t>
        </is>
      </c>
      <c r="G179" t="inlineStr">
        <is>
          <t>SANDVIKEN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46302</v>
      </c>
      <c r="F180" t="inlineStr">
        <is>
          <t>GÄVLEBORGS LÄN</t>
        </is>
      </c>
      <c r="G180" t="inlineStr">
        <is>
          <t>SANDVIKEN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46302</v>
      </c>
      <c r="F181" t="inlineStr">
        <is>
          <t>GÄVLEBORGS LÄN</t>
        </is>
      </c>
      <c r="G181" t="inlineStr">
        <is>
          <t>SANDVIKEN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46302</v>
      </c>
      <c r="F182" t="inlineStr">
        <is>
          <t>GÄVLEBORGS LÄN</t>
        </is>
      </c>
      <c r="G182" t="inlineStr">
        <is>
          <t>SANDVIKEN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46302</v>
      </c>
      <c r="F183" t="inlineStr">
        <is>
          <t>GÄVLEBORGS LÄN</t>
        </is>
      </c>
      <c r="G183" t="inlineStr">
        <is>
          <t>SANDVIKEN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46302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46302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46302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46302</v>
      </c>
      <c r="F187" t="inlineStr">
        <is>
          <t>GÄVLEBORGS LÄN</t>
        </is>
      </c>
      <c r="G187" t="inlineStr">
        <is>
          <t>SANDVIKEN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46302</v>
      </c>
      <c r="F188" t="inlineStr">
        <is>
          <t>GÄVLEBORGS LÄN</t>
        </is>
      </c>
      <c r="G188" t="inlineStr">
        <is>
          <t>SANDVIKEN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46302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46302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46302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46302</v>
      </c>
      <c r="F192" t="inlineStr">
        <is>
          <t>GÄVLEBORGS LÄN</t>
        </is>
      </c>
      <c r="G192" t="inlineStr">
        <is>
          <t>SANDVIKEN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45649</v>
      </c>
      <c r="E193" s="1" t="n">
        <v>46302</v>
      </c>
      <c r="F193" t="inlineStr">
        <is>
          <t>GÄVLEBORGS LÄN</t>
        </is>
      </c>
      <c r="G193" t="inlineStr">
        <is>
          <t>SANDVIKEN</t>
        </is>
      </c>
      <c r="I193" t="n">
        <v>11.1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46302</v>
      </c>
      <c r="F194" t="inlineStr">
        <is>
          <t>GÄVLEBORGS LÄN</t>
        </is>
      </c>
      <c r="G194" t="inlineStr">
        <is>
          <t>SANDVIKEN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46302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46302</v>
      </c>
      <c r="F196" t="inlineStr">
        <is>
          <t>GÄVLEBORGS LÄN</t>
        </is>
      </c>
      <c r="G196" t="inlineStr">
        <is>
          <t>SANDVIKEN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46302</v>
      </c>
      <c r="F197" t="inlineStr">
        <is>
          <t>GÄVLEBORGS LÄN</t>
        </is>
      </c>
      <c r="G197" t="inlineStr">
        <is>
          <t>SANDVIKEN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46302</v>
      </c>
      <c r="F198" t="inlineStr">
        <is>
          <t>GÄVLEBORGS LÄN</t>
        </is>
      </c>
      <c r="G198" t="inlineStr">
        <is>
          <t>SANDVIKEN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46302</v>
      </c>
      <c r="F199" t="inlineStr">
        <is>
          <t>GÄVLEBORGS LÄN</t>
        </is>
      </c>
      <c r="G199" t="inlineStr">
        <is>
          <t>SANDVIKEN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46302</v>
      </c>
      <c r="F200" t="inlineStr">
        <is>
          <t>GÄVLEBORGS LÄN</t>
        </is>
      </c>
      <c r="G200" t="inlineStr">
        <is>
          <t>SANDVIKEN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46302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46302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46302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46302</v>
      </c>
      <c r="F204" t="inlineStr">
        <is>
          <t>GÄVLEBORGS LÄN</t>
        </is>
      </c>
      <c r="G204" t="inlineStr">
        <is>
          <t>SANDVIKEN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46302</v>
      </c>
      <c r="F205" t="inlineStr">
        <is>
          <t>GÄVLEBORGS LÄN</t>
        </is>
      </c>
      <c r="G205" t="inlineStr">
        <is>
          <t>SANDVIKEN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45730</v>
      </c>
      <c r="E206" s="1" t="n">
        <v>46302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öst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46302</v>
      </c>
      <c r="F207" t="inlineStr">
        <is>
          <t>GÄVLEBORGS LÄN</t>
        </is>
      </c>
      <c r="G207" t="inlineStr">
        <is>
          <t>SANDVIKEN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46302</v>
      </c>
      <c r="F208" t="inlineStr">
        <is>
          <t>GÄVLEBORGS LÄN</t>
        </is>
      </c>
      <c r="G208" t="inlineStr">
        <is>
          <t>SANDVIKEN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46043</v>
      </c>
      <c r="E209" s="1" t="n">
        <v>46302</v>
      </c>
      <c r="F209" t="inlineStr">
        <is>
          <t>GÄVLEBORGS LÄN</t>
        </is>
      </c>
      <c r="G209" t="inlineStr">
        <is>
          <t>SANDVIKEN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46302</v>
      </c>
      <c r="F210" t="inlineStr">
        <is>
          <t>GÄVLEBORGS LÄN</t>
        </is>
      </c>
      <c r="G210" t="inlineStr">
        <is>
          <t>SANDVIKEN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46302</v>
      </c>
      <c r="F211" t="inlineStr">
        <is>
          <t>GÄVLEBORGS LÄN</t>
        </is>
      </c>
      <c r="G211" t="inlineStr">
        <is>
          <t>SANDVIKEN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46302</v>
      </c>
      <c r="F212" t="inlineStr">
        <is>
          <t>GÄVLEBORGS LÄN</t>
        </is>
      </c>
      <c r="G212" t="inlineStr">
        <is>
          <t>SANDVIKEN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46302</v>
      </c>
      <c r="F213" t="inlineStr">
        <is>
          <t>GÄVLEBORGS LÄN</t>
        </is>
      </c>
      <c r="G213" t="inlineStr">
        <is>
          <t>SANDVIKEN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46302</v>
      </c>
      <c r="F214" t="inlineStr">
        <is>
          <t>GÄVLEBORGS LÄN</t>
        </is>
      </c>
      <c r="G214" t="inlineStr">
        <is>
          <t>SANDVIKEN</t>
        </is>
      </c>
      <c r="H214" t="inlineStr">
        <is>
          <t>Sveaskog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46302</v>
      </c>
      <c r="F215" t="inlineStr">
        <is>
          <t>GÄVLEBORGS LÄN</t>
        </is>
      </c>
      <c r="G215" t="inlineStr">
        <is>
          <t>SANDVIKEN</t>
        </is>
      </c>
      <c r="H215" t="inlineStr">
        <is>
          <t>Kommuner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45589</v>
      </c>
      <c r="E216" s="1" t="n">
        <v>46302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39049-2025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46302</v>
      </c>
      <c r="F217" t="inlineStr">
        <is>
          <t>GÄVLEBORGS LÄN</t>
        </is>
      </c>
      <c r="G217" t="inlineStr">
        <is>
          <t>SANDVIKEN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46302</v>
      </c>
      <c r="F218" t="inlineStr">
        <is>
          <t>GÄVLEBORGS LÄN</t>
        </is>
      </c>
      <c r="G218" t="inlineStr">
        <is>
          <t>SANDVIKEN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46302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46302</v>
      </c>
      <c r="F220" t="inlineStr">
        <is>
          <t>GÄVLEBORGS LÄN</t>
        </is>
      </c>
      <c r="G220" t="inlineStr">
        <is>
          <t>SANDVIKEN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46302</v>
      </c>
      <c r="F221" t="inlineStr">
        <is>
          <t>GÄVLEBORGS LÄN</t>
        </is>
      </c>
      <c r="G221" t="inlineStr">
        <is>
          <t>SANDVIKEN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46302</v>
      </c>
      <c r="F222" t="inlineStr">
        <is>
          <t>GÄVLEBORGS LÄN</t>
        </is>
      </c>
      <c r="G222" t="inlineStr">
        <is>
          <t>SANDVIKEN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46302</v>
      </c>
      <c r="F223" t="inlineStr">
        <is>
          <t>GÄVLEBORGS LÄN</t>
        </is>
      </c>
      <c r="G223" t="inlineStr">
        <is>
          <t>SANDVIKEN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46302</v>
      </c>
      <c r="F224" t="inlineStr">
        <is>
          <t>GÄVLEBORGS LÄN</t>
        </is>
      </c>
      <c r="G224" t="inlineStr">
        <is>
          <t>SANDVIKEN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46302</v>
      </c>
      <c r="F225" t="inlineStr">
        <is>
          <t>GÄVLEBORGS LÄN</t>
        </is>
      </c>
      <c r="G225" t="inlineStr">
        <is>
          <t>SANDVIKEN</t>
        </is>
      </c>
      <c r="H225" t="inlineStr">
        <is>
          <t>Kommuner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46302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46302</v>
      </c>
      <c r="F227" t="inlineStr">
        <is>
          <t>GÄVLEBORGS LÄN</t>
        </is>
      </c>
      <c r="G227" t="inlineStr">
        <is>
          <t>SANDVIKEN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46302</v>
      </c>
      <c r="F228" t="inlineStr">
        <is>
          <t>GÄVLEBORGS LÄN</t>
        </is>
      </c>
      <c r="G228" t="inlineStr">
        <is>
          <t>SANDVIKEN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46302</v>
      </c>
      <c r="F229" t="inlineStr">
        <is>
          <t>GÄVLEBORGS LÄN</t>
        </is>
      </c>
      <c r="G229" t="inlineStr">
        <is>
          <t>SANDVIKEN</t>
        </is>
      </c>
      <c r="H229" t="inlineStr">
        <is>
          <t>Kommuner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46056</v>
      </c>
      <c r="E230" s="1" t="n">
        <v>46302</v>
      </c>
      <c r="F230" t="inlineStr">
        <is>
          <t>GÄVLEBORGS LÄN</t>
        </is>
      </c>
      <c r="G230" t="inlineStr">
        <is>
          <t>SANDVIKEN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60798-2023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46302</v>
      </c>
      <c r="F231" t="inlineStr">
        <is>
          <t>GÄVLEBORGS LÄN</t>
        </is>
      </c>
      <c r="G231" t="inlineStr">
        <is>
          <t>SANDVIKEN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45899</v>
      </c>
      <c r="E232" s="1" t="n">
        <v>46302</v>
      </c>
      <c r="F232" t="inlineStr">
        <is>
          <t>GÄVLEBORGS LÄN</t>
        </is>
      </c>
      <c r="G232" t="inlineStr">
        <is>
          <t>SANDVIKEN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46302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väst AB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46302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46302</v>
      </c>
      <c r="F235" t="inlineStr">
        <is>
          <t>GÄVLEBORGS LÄN</t>
        </is>
      </c>
      <c r="G235" t="inlineStr">
        <is>
          <t>SANDVIKEN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46302</v>
      </c>
      <c r="F236" t="inlineStr">
        <is>
          <t>GÄVLEBORGS LÄN</t>
        </is>
      </c>
      <c r="G236" t="inlineStr">
        <is>
          <t>SANDVIKEN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46302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46302</v>
      </c>
      <c r="F238" t="inlineStr">
        <is>
          <t>GÄVLEBORGS LÄN</t>
        </is>
      </c>
      <c r="G238" t="inlineStr">
        <is>
          <t>SANDVIKEN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46302</v>
      </c>
      <c r="F239" t="inlineStr">
        <is>
          <t>GÄVLEBORGS LÄN</t>
        </is>
      </c>
      <c r="G239" t="inlineStr">
        <is>
          <t>SANDVIKEN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46302</v>
      </c>
      <c r="F240" t="inlineStr">
        <is>
          <t>GÄVLEBORGS LÄN</t>
        </is>
      </c>
      <c r="G240" t="inlineStr">
        <is>
          <t>SANDVIKEN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46302</v>
      </c>
      <c r="F241" t="inlineStr">
        <is>
          <t>GÄVLEBORGS LÄN</t>
        </is>
      </c>
      <c r="G241" t="inlineStr">
        <is>
          <t>SANDVIKEN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46302</v>
      </c>
      <c r="F242" t="inlineStr">
        <is>
          <t>GÄVLEBORGS LÄN</t>
        </is>
      </c>
      <c r="G242" t="inlineStr">
        <is>
          <t>SANDVIKEN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46302</v>
      </c>
      <c r="F243" t="inlineStr">
        <is>
          <t>GÄVLEBORGS LÄN</t>
        </is>
      </c>
      <c r="G243" t="inlineStr">
        <is>
          <t>SANDVIKEN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46063</v>
      </c>
      <c r="E244" s="1" t="n">
        <v>46302</v>
      </c>
      <c r="F244" t="inlineStr">
        <is>
          <t>GÄVLEBORGS LÄN</t>
        </is>
      </c>
      <c r="G244" t="inlineStr">
        <is>
          <t>SANDVIKEN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46302</v>
      </c>
      <c r="F245" t="inlineStr">
        <is>
          <t>GÄVLEBORGS LÄN</t>
        </is>
      </c>
      <c r="G245" t="inlineStr">
        <is>
          <t>SANDVIKEN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46302</v>
      </c>
      <c r="F246" t="inlineStr">
        <is>
          <t>GÄVLEBORGS LÄN</t>
        </is>
      </c>
      <c r="G246" t="inlineStr">
        <is>
          <t>SANDVIKEN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46063</v>
      </c>
      <c r="E247" s="1" t="n">
        <v>46302</v>
      </c>
      <c r="F247" t="inlineStr">
        <is>
          <t>GÄVLEBORGS LÄN</t>
        </is>
      </c>
      <c r="G247" t="inlineStr">
        <is>
          <t>SANDVIKEN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7877-2026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46302</v>
      </c>
      <c r="F248" t="inlineStr">
        <is>
          <t>GÄVLEBORGS LÄN</t>
        </is>
      </c>
      <c r="G248" t="inlineStr">
        <is>
          <t>SANDVIKEN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44813</v>
      </c>
      <c r="E249" s="1" t="n">
        <v>46302</v>
      </c>
      <c r="F249" t="inlineStr">
        <is>
          <t>GÄVLEBORGS LÄN</t>
        </is>
      </c>
      <c r="G249" t="inlineStr">
        <is>
          <t>SANDVIKEN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46062</v>
      </c>
      <c r="E250" s="1" t="n">
        <v>46302</v>
      </c>
      <c r="F250" t="inlineStr">
        <is>
          <t>GÄVLEBORGS LÄN</t>
        </is>
      </c>
      <c r="G250" t="inlineStr">
        <is>
          <t>SANDVIKEN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46302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46065</v>
      </c>
      <c r="E252" s="1" t="n">
        <v>46302</v>
      </c>
      <c r="F252" t="inlineStr">
        <is>
          <t>GÄVLEBORGS LÄN</t>
        </is>
      </c>
      <c r="G252" t="inlineStr">
        <is>
          <t>SANDVIKEN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46065</v>
      </c>
      <c r="E253" s="1" t="n">
        <v>46302</v>
      </c>
      <c r="F253" t="inlineStr">
        <is>
          <t>GÄVLEBORGS LÄN</t>
        </is>
      </c>
      <c r="G253" t="inlineStr">
        <is>
          <t>SANDVIKEN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46302</v>
      </c>
      <c r="F254" t="inlineStr">
        <is>
          <t>GÄVLEBORGS LÄN</t>
        </is>
      </c>
      <c r="G254" t="inlineStr">
        <is>
          <t>SANDVIKEN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46302</v>
      </c>
      <c r="F255" t="inlineStr">
        <is>
          <t>GÄVLEBORGS LÄN</t>
        </is>
      </c>
      <c r="G255" t="inlineStr">
        <is>
          <t>SANDVIKEN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46302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43230-2025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46302</v>
      </c>
      <c r="F257" t="inlineStr">
        <is>
          <t>GÄVLEBORGS LÄN</t>
        </is>
      </c>
      <c r="G257" t="inlineStr">
        <is>
          <t>SANDVIKEN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45910</v>
      </c>
      <c r="E258" s="1" t="n">
        <v>46302</v>
      </c>
      <c r="F258" t="inlineStr">
        <is>
          <t>GÄVLEBORGS LÄN</t>
        </is>
      </c>
      <c r="G258" t="inlineStr">
        <is>
          <t>SANDVIKEN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46302</v>
      </c>
      <c r="F259" t="inlineStr">
        <is>
          <t>GÄVLEBORGS LÄN</t>
        </is>
      </c>
      <c r="G259" t="inlineStr">
        <is>
          <t>SANDVIKEN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46302</v>
      </c>
      <c r="F260" t="inlineStr">
        <is>
          <t>GÄVLEBORGS LÄN</t>
        </is>
      </c>
      <c r="G260" t="inlineStr">
        <is>
          <t>SANDVIKEN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46302</v>
      </c>
      <c r="F261" t="inlineStr">
        <is>
          <t>GÄVLEBORGS LÄN</t>
        </is>
      </c>
      <c r="G261" t="inlineStr">
        <is>
          <t>SANDVIKEN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46302</v>
      </c>
      <c r="F262" t="inlineStr">
        <is>
          <t>GÄVLEBORGS LÄN</t>
        </is>
      </c>
      <c r="G262" t="inlineStr">
        <is>
          <t>SANDVIKEN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46302</v>
      </c>
      <c r="F263" t="inlineStr">
        <is>
          <t>GÄVLEBORGS LÄN</t>
        </is>
      </c>
      <c r="G263" t="inlineStr">
        <is>
          <t>SANDVIKEN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46302</v>
      </c>
      <c r="F264" t="inlineStr">
        <is>
          <t>GÄVLEBORGS LÄN</t>
        </is>
      </c>
      <c r="G264" t="inlineStr">
        <is>
          <t>SANDVIKEN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46302</v>
      </c>
      <c r="F265" t="inlineStr">
        <is>
          <t>GÄVLEBORGS LÄN</t>
        </is>
      </c>
      <c r="G265" t="inlineStr">
        <is>
          <t>SANDVIKEN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45480</v>
      </c>
      <c r="E266" s="1" t="n">
        <v>46302</v>
      </c>
      <c r="F266" t="inlineStr">
        <is>
          <t>GÄVLEBORGS LÄN</t>
        </is>
      </c>
      <c r="G266" t="inlineStr">
        <is>
          <t>SANDVIKEN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46302</v>
      </c>
      <c r="F267" t="inlineStr">
        <is>
          <t>GÄVLEBORGS LÄN</t>
        </is>
      </c>
      <c r="G267" t="inlineStr">
        <is>
          <t>SANDVIKEN</t>
        </is>
      </c>
      <c r="H267" t="inlineStr">
        <is>
          <t>Naturvårdsverket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45251</v>
      </c>
      <c r="E268" s="1" t="n">
        <v>46302</v>
      </c>
      <c r="F268" t="inlineStr">
        <is>
          <t>GÄVLEBORGS LÄN</t>
        </is>
      </c>
      <c r="G268" t="inlineStr">
        <is>
          <t>SANDVIKEN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44797</v>
      </c>
      <c r="E269" s="1" t="n">
        <v>46302</v>
      </c>
      <c r="F269" t="inlineStr">
        <is>
          <t>GÄVLEBORGS LÄN</t>
        </is>
      </c>
      <c r="G269" t="inlineStr">
        <is>
          <t>SANDVIKEN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46302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45916</v>
      </c>
      <c r="E271" s="1" t="n">
        <v>46302</v>
      </c>
      <c r="F271" t="inlineStr">
        <is>
          <t>GÄVLEBORGS LÄN</t>
        </is>
      </c>
      <c r="G271" t="inlineStr">
        <is>
          <t>SANDVIKEN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46073</v>
      </c>
      <c r="E272" s="1" t="n">
        <v>46302</v>
      </c>
      <c r="F272" t="inlineStr">
        <is>
          <t>GÄVLEBORGS LÄN</t>
        </is>
      </c>
      <c r="G272" t="inlineStr">
        <is>
          <t>SANDVIKEN</t>
        </is>
      </c>
      <c r="H272" t="inlineStr">
        <is>
          <t>Kommuner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46302</v>
      </c>
      <c r="F273" t="inlineStr">
        <is>
          <t>GÄVLEBORGS LÄN</t>
        </is>
      </c>
      <c r="G273" t="inlineStr">
        <is>
          <t>SANDVIKEN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46302</v>
      </c>
      <c r="F274" t="inlineStr">
        <is>
          <t>GÄVLEBORGS LÄN</t>
        </is>
      </c>
      <c r="G274" t="inlineStr">
        <is>
          <t>SANDVIKEN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46302</v>
      </c>
      <c r="F275" t="inlineStr">
        <is>
          <t>GÄVLEBORGS LÄN</t>
        </is>
      </c>
      <c r="G275" t="inlineStr">
        <is>
          <t>SANDVIKEN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46302</v>
      </c>
      <c r="F276" t="inlineStr">
        <is>
          <t>GÄVLEBORGS LÄN</t>
        </is>
      </c>
      <c r="G276" t="inlineStr">
        <is>
          <t>SANDVIKEN</t>
        </is>
      </c>
      <c r="H276" t="inlineStr">
        <is>
          <t>Naturvårdsverket</t>
        </is>
      </c>
      <c r="I276" t="n">
        <v>19.5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46302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45103-2025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45919</v>
      </c>
      <c r="E278" s="1" t="n">
        <v>46302</v>
      </c>
      <c r="F278" t="inlineStr">
        <is>
          <t>GÄVLEBORGS LÄN</t>
        </is>
      </c>
      <c r="G278" t="inlineStr">
        <is>
          <t>SANDVIKEN</t>
        </is>
      </c>
      <c r="H278" t="inlineStr">
        <is>
          <t>Kyrkan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46074</v>
      </c>
      <c r="E279" s="1" t="n">
        <v>46302</v>
      </c>
      <c r="F279" t="inlineStr">
        <is>
          <t>GÄVLEBORGS LÄN</t>
        </is>
      </c>
      <c r="G279" t="inlineStr">
        <is>
          <t>SANDVIKEN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46302</v>
      </c>
      <c r="F280" t="inlineStr">
        <is>
          <t>GÄVLEBORGS LÄN</t>
        </is>
      </c>
      <c r="G280" t="inlineStr">
        <is>
          <t>SANDVIKEN</t>
        </is>
      </c>
      <c r="H280" t="inlineStr">
        <is>
          <t>Kyrkan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46302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46302</v>
      </c>
      <c r="F282" t="inlineStr">
        <is>
          <t>GÄVLEBORGS LÄN</t>
        </is>
      </c>
      <c r="G282" t="inlineStr">
        <is>
          <t>SANDVIKEN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46302</v>
      </c>
      <c r="F283" t="inlineStr">
        <is>
          <t>GÄVLEBORGS LÄN</t>
        </is>
      </c>
      <c r="G283" t="inlineStr">
        <is>
          <t>SANDVIKEN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46302</v>
      </c>
      <c r="F284" t="inlineStr">
        <is>
          <t>GÄVLEBORGS LÄN</t>
        </is>
      </c>
      <c r="G284" t="inlineStr">
        <is>
          <t>SANDVIKEN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46302</v>
      </c>
      <c r="F285" t="inlineStr">
        <is>
          <t>GÄVLEBORGS LÄN</t>
        </is>
      </c>
      <c r="G285" t="inlineStr">
        <is>
          <t>SANDVIKEN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46302</v>
      </c>
      <c r="F286" t="inlineStr">
        <is>
          <t>GÄVLEBORGS LÄN</t>
        </is>
      </c>
      <c r="G286" t="inlineStr">
        <is>
          <t>SANDVIKEN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45827</v>
      </c>
      <c r="E287" s="1" t="n">
        <v>46302</v>
      </c>
      <c r="F287" t="inlineStr">
        <is>
          <t>GÄVLEBORGS LÄN</t>
        </is>
      </c>
      <c r="G287" t="inlineStr">
        <is>
          <t>SANDVIKEN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46302</v>
      </c>
      <c r="F288" t="inlineStr">
        <is>
          <t>GÄVLEBORGS LÄN</t>
        </is>
      </c>
      <c r="G288" t="inlineStr">
        <is>
          <t>SANDVIKEN</t>
        </is>
      </c>
      <c r="I288" t="n">
        <v>14.5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45925</v>
      </c>
      <c r="E289" s="1" t="n">
        <v>46302</v>
      </c>
      <c r="F289" t="inlineStr">
        <is>
          <t>GÄVLEBORGS LÄN</t>
        </is>
      </c>
      <c r="G289" t="inlineStr">
        <is>
          <t>SANDVIKEN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46302</v>
      </c>
      <c r="F290" t="inlineStr">
        <is>
          <t>GÄVLEBORGS LÄN</t>
        </is>
      </c>
      <c r="G290" t="inlineStr">
        <is>
          <t>SANDVIKEN</t>
        </is>
      </c>
      <c r="H290" t="inlineStr">
        <is>
          <t>Bergvik skog öst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46302</v>
      </c>
      <c r="F291" t="inlineStr">
        <is>
          <t>GÄVLEBORGS LÄN</t>
        </is>
      </c>
      <c r="G291" t="inlineStr">
        <is>
          <t>SANDVIKEN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46302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öst AB</t>
        </is>
      </c>
      <c r="I292" t="n">
        <v>10.5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46302</v>
      </c>
      <c r="F293" t="inlineStr">
        <is>
          <t>GÄVLEBORGS LÄN</t>
        </is>
      </c>
      <c r="G293" t="inlineStr">
        <is>
          <t>SANDVIKEN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46302</v>
      </c>
      <c r="F294" t="inlineStr">
        <is>
          <t>GÄVLEBORGS LÄN</t>
        </is>
      </c>
      <c r="G294" t="inlineStr">
        <is>
          <t>SANDVIKEN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46302</v>
      </c>
      <c r="F295" t="inlineStr">
        <is>
          <t>GÄVLEBORGS LÄN</t>
        </is>
      </c>
      <c r="G295" t="inlineStr">
        <is>
          <t>SANDVIKEN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46086</v>
      </c>
      <c r="E296" s="1" t="n">
        <v>46302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46302</v>
      </c>
      <c r="F297" t="inlineStr">
        <is>
          <t>GÄVLEBORGS LÄN</t>
        </is>
      </c>
      <c r="G297" t="inlineStr">
        <is>
          <t>SANDVIKEN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46302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12132-2026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46302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11940-2026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46302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46302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46085</v>
      </c>
      <c r="E302" s="1" t="n">
        <v>46302</v>
      </c>
      <c r="F302" t="inlineStr">
        <is>
          <t>GÄVLEBORGS LÄN</t>
        </is>
      </c>
      <c r="G302" t="inlineStr">
        <is>
          <t>SANDVIKEN</t>
        </is>
      </c>
      <c r="H302" t="inlineStr">
        <is>
          <t>Naturvårdsverket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46302</v>
      </c>
      <c r="F303" t="inlineStr">
        <is>
          <t>GÄVLEBORGS LÄN</t>
        </is>
      </c>
      <c r="G303" t="inlineStr">
        <is>
          <t>SANDVIKEN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46302</v>
      </c>
      <c r="F304" t="inlineStr">
        <is>
          <t>GÄVLEBORGS LÄN</t>
        </is>
      </c>
      <c r="G304" t="inlineStr">
        <is>
          <t>SANDVIKEN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46302</v>
      </c>
      <c r="F305" t="inlineStr">
        <is>
          <t>GÄVLEBORGS LÄN</t>
        </is>
      </c>
      <c r="G305" t="inlineStr">
        <is>
          <t>SANDVIKEN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46302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46302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44582</v>
      </c>
      <c r="E308" s="1" t="n">
        <v>46302</v>
      </c>
      <c r="F308" t="inlineStr">
        <is>
          <t>GÄVLEBORGS LÄN</t>
        </is>
      </c>
      <c r="G308" t="inlineStr">
        <is>
          <t>SANDVIKEN</t>
        </is>
      </c>
      <c r="H308" t="inlineStr">
        <is>
          <t>Kyrkan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46302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46302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46302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46302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46302</v>
      </c>
      <c r="F313" t="inlineStr">
        <is>
          <t>GÄVLEBORGS LÄN</t>
        </is>
      </c>
      <c r="G313" t="inlineStr">
        <is>
          <t>SANDVIKEN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46302</v>
      </c>
      <c r="F314" t="inlineStr">
        <is>
          <t>GÄVLEBORGS LÄN</t>
        </is>
      </c>
      <c r="G314" t="inlineStr">
        <is>
          <t>SANDVIKEN</t>
        </is>
      </c>
      <c r="H314" t="inlineStr">
        <is>
          <t>Kommuner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46302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46302</v>
      </c>
      <c r="F316" t="inlineStr">
        <is>
          <t>GÄVLEBORGS LÄN</t>
        </is>
      </c>
      <c r="G316" t="inlineStr">
        <is>
          <t>SANDVIKEN</t>
        </is>
      </c>
      <c r="H316" t="inlineStr">
        <is>
          <t>Kommuner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36646-2022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44804</v>
      </c>
      <c r="E317" s="1" t="n">
        <v>46302</v>
      </c>
      <c r="F317" t="inlineStr">
        <is>
          <t>GÄVLEBORGS LÄN</t>
        </is>
      </c>
      <c r="G317" t="inlineStr">
        <is>
          <t>SANDVIKEN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46302</v>
      </c>
      <c r="F318" t="inlineStr">
        <is>
          <t>GÄVLEBORGS LÄN</t>
        </is>
      </c>
      <c r="G318" t="inlineStr">
        <is>
          <t>SANDVIKEN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46087</v>
      </c>
      <c r="E319" s="1" t="n">
        <v>46302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27.2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46302</v>
      </c>
      <c r="F320" t="inlineStr">
        <is>
          <t>GÄVLEBORGS LÄN</t>
        </is>
      </c>
      <c r="G320" t="inlineStr">
        <is>
          <t>SANDVIKEN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46302</v>
      </c>
      <c r="F321" t="inlineStr">
        <is>
          <t>GÄVLEBORGS LÄN</t>
        </is>
      </c>
      <c r="G321" t="inlineStr">
        <is>
          <t>SANDVIKEN</t>
        </is>
      </c>
      <c r="H321" t="inlineStr">
        <is>
          <t>Naturvårdsverket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46302</v>
      </c>
      <c r="F322" t="inlineStr">
        <is>
          <t>GÄVLEBORGS LÄN</t>
        </is>
      </c>
      <c r="G322" t="inlineStr">
        <is>
          <t>SANDVIKEN</t>
        </is>
      </c>
      <c r="H322" t="inlineStr">
        <is>
          <t>Naturvårdsverket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64112-2023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46302</v>
      </c>
      <c r="F323" t="inlineStr">
        <is>
          <t>GÄVLEBORGS LÄN</t>
        </is>
      </c>
      <c r="G323" t="inlineStr">
        <is>
          <t>SANDVIKEN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46091</v>
      </c>
      <c r="E324" s="1" t="n">
        <v>46302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46302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46302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46302</v>
      </c>
      <c r="F327" t="inlineStr">
        <is>
          <t>GÄVLEBORGS LÄN</t>
        </is>
      </c>
      <c r="G327" t="inlineStr">
        <is>
          <t>SANDVIKEN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46302</v>
      </c>
      <c r="F328" t="inlineStr">
        <is>
          <t>GÄVLEBORGS LÄN</t>
        </is>
      </c>
      <c r="G328" t="inlineStr">
        <is>
          <t>SANDVIKEN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46302</v>
      </c>
      <c r="F329" t="inlineStr">
        <is>
          <t>GÄVLEBORGS LÄN</t>
        </is>
      </c>
      <c r="G329" t="inlineStr">
        <is>
          <t>SANDVIKEN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46302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46302</v>
      </c>
      <c r="F331" t="inlineStr">
        <is>
          <t>GÄVLEBORGS LÄN</t>
        </is>
      </c>
      <c r="G331" t="inlineStr">
        <is>
          <t>SANDVIKEN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12704-2026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46091</v>
      </c>
      <c r="E332" s="1" t="n">
        <v>46302</v>
      </c>
      <c r="F332" t="inlineStr">
        <is>
          <t>GÄVLEBORGS LÄN</t>
        </is>
      </c>
      <c r="G332" t="inlineStr">
        <is>
          <t>SANDVIKEN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30843-2025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45831</v>
      </c>
      <c r="E333" s="1" t="n">
        <v>46302</v>
      </c>
      <c r="F333" t="inlineStr">
        <is>
          <t>GÄVLEBORGS LÄN</t>
        </is>
      </c>
      <c r="G333" t="inlineStr">
        <is>
          <t>SANDVIKEN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46302</v>
      </c>
      <c r="F334" t="inlineStr">
        <is>
          <t>GÄVLEBORGS LÄN</t>
        </is>
      </c>
      <c r="G334" t="inlineStr">
        <is>
          <t>SANDVIKEN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46302</v>
      </c>
      <c r="F335" t="inlineStr">
        <is>
          <t>GÄVLEBORGS LÄN</t>
        </is>
      </c>
      <c r="G335" t="inlineStr">
        <is>
          <t>SANDVIKEN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46302</v>
      </c>
      <c r="F336" t="inlineStr">
        <is>
          <t>GÄVLEBORGS LÄN</t>
        </is>
      </c>
      <c r="G336" t="inlineStr">
        <is>
          <t>SANDVIKEN</t>
        </is>
      </c>
      <c r="H336" t="inlineStr">
        <is>
          <t>Sveaskog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48268-2025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45933</v>
      </c>
      <c r="E337" s="1" t="n">
        <v>46302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46302</v>
      </c>
      <c r="F338" t="inlineStr">
        <is>
          <t>GÄVLEBORGS LÄN</t>
        </is>
      </c>
      <c r="G338" t="inlineStr">
        <is>
          <t>SANDVIKEN</t>
        </is>
      </c>
      <c r="I338" t="n">
        <v>22.5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46302</v>
      </c>
      <c r="F339" t="inlineStr">
        <is>
          <t>GÄVLEBORGS LÄN</t>
        </is>
      </c>
      <c r="G339" t="inlineStr">
        <is>
          <t>SANDVIKEN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46302</v>
      </c>
      <c r="F340" t="inlineStr">
        <is>
          <t>GÄVLEBORGS LÄN</t>
        </is>
      </c>
      <c r="G340" t="inlineStr">
        <is>
          <t>SANDVIKEN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46302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11.9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30718-2023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46302</v>
      </c>
      <c r="F342" t="inlineStr">
        <is>
          <t>GÄVLEBORGS LÄN</t>
        </is>
      </c>
      <c r="G342" t="inlineStr">
        <is>
          <t>SANDVIKEN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46302</v>
      </c>
      <c r="F343" t="inlineStr">
        <is>
          <t>GÄVLEBORGS LÄN</t>
        </is>
      </c>
      <c r="G343" t="inlineStr">
        <is>
          <t>SANDVIKEN</t>
        </is>
      </c>
      <c r="H343" t="inlineStr">
        <is>
          <t>Kommuner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13727-2026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46097</v>
      </c>
      <c r="E344" s="1" t="n">
        <v>46302</v>
      </c>
      <c r="F344" t="inlineStr">
        <is>
          <t>GÄVLEBORGS LÄN</t>
        </is>
      </c>
      <c r="G344" t="inlineStr">
        <is>
          <t>SANDVIKEN</t>
        </is>
      </c>
      <c r="H344" t="inlineStr">
        <is>
          <t>Kommuner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13582-2026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46095</v>
      </c>
      <c r="E345" s="1" t="n">
        <v>46302</v>
      </c>
      <c r="F345" t="inlineStr">
        <is>
          <t>GÄVLEBORGS LÄN</t>
        </is>
      </c>
      <c r="G345" t="inlineStr">
        <is>
          <t>SANDVIKEN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46302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väst AB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46302</v>
      </c>
      <c r="F347" t="inlineStr">
        <is>
          <t>GÄVLEBORGS LÄN</t>
        </is>
      </c>
      <c r="G347" t="inlineStr">
        <is>
          <t>SANDVIKEN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46095</v>
      </c>
      <c r="E348" s="1" t="n">
        <v>46302</v>
      </c>
      <c r="F348" t="inlineStr">
        <is>
          <t>GÄVLEBORGS LÄN</t>
        </is>
      </c>
      <c r="G348" t="inlineStr">
        <is>
          <t>SANDVIKEN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46095</v>
      </c>
      <c r="E349" s="1" t="n">
        <v>46302</v>
      </c>
      <c r="F349" t="inlineStr">
        <is>
          <t>GÄVLEBORGS LÄN</t>
        </is>
      </c>
      <c r="G349" t="inlineStr">
        <is>
          <t>SANDVIKEN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49021-2025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45937</v>
      </c>
      <c r="E350" s="1" t="n">
        <v>46302</v>
      </c>
      <c r="F350" t="inlineStr">
        <is>
          <t>GÄVLEBORGS LÄN</t>
        </is>
      </c>
      <c r="G350" t="inlineStr">
        <is>
          <t>SANDVIKEN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46302</v>
      </c>
      <c r="F351" t="inlineStr">
        <is>
          <t>GÄVLEBORGS LÄN</t>
        </is>
      </c>
      <c r="G351" t="inlineStr">
        <is>
          <t>SANDVIKEN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46302</v>
      </c>
      <c r="F352" t="inlineStr">
        <is>
          <t>GÄVLEBORGS LÄN</t>
        </is>
      </c>
      <c r="G352" t="inlineStr">
        <is>
          <t>SANDVIKEN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46095</v>
      </c>
      <c r="E353" s="1" t="n">
        <v>46302</v>
      </c>
      <c r="F353" t="inlineStr">
        <is>
          <t>GÄVLEBORGS LÄN</t>
        </is>
      </c>
      <c r="G353" t="inlineStr">
        <is>
          <t>SANDVIKEN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46302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46302</v>
      </c>
      <c r="F355" t="inlineStr">
        <is>
          <t>GÄVLEBORGS LÄN</t>
        </is>
      </c>
      <c r="G355" t="inlineStr">
        <is>
          <t>SANDVIKEN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46302</v>
      </c>
      <c r="F356" t="inlineStr">
        <is>
          <t>GÄVLEBORGS LÄN</t>
        </is>
      </c>
      <c r="G356" t="inlineStr">
        <is>
          <t>SANDVIKEN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46100</v>
      </c>
      <c r="E357" s="1" t="n">
        <v>46302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46302</v>
      </c>
      <c r="F358" t="inlineStr">
        <is>
          <t>GÄVLEBORGS LÄN</t>
        </is>
      </c>
      <c r="G358" t="inlineStr">
        <is>
          <t>SANDVIKEN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46302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49217-2025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45938</v>
      </c>
      <c r="E360" s="1" t="n">
        <v>46302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14094-2026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46302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46302</v>
      </c>
      <c r="F362" t="inlineStr">
        <is>
          <t>GÄVLEBORGS LÄN</t>
        </is>
      </c>
      <c r="G362" t="inlineStr">
        <is>
          <t>SANDVIKEN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46302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46302</v>
      </c>
      <c r="F364" t="inlineStr">
        <is>
          <t>GÄVLEBORGS LÄN</t>
        </is>
      </c>
      <c r="G364" t="inlineStr">
        <is>
          <t>SANDVIKEN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45667</v>
      </c>
      <c r="E365" s="1" t="n">
        <v>46302</v>
      </c>
      <c r="F365" t="inlineStr">
        <is>
          <t>GÄVLEBORGS LÄN</t>
        </is>
      </c>
      <c r="G365" t="inlineStr">
        <is>
          <t>SANDVIKEN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46302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46302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33015-2025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45840</v>
      </c>
      <c r="E368" s="1" t="n">
        <v>46302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27.3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46302</v>
      </c>
      <c r="F369" t="inlineStr">
        <is>
          <t>GÄVLEBORGS LÄN</t>
        </is>
      </c>
      <c r="G369" t="inlineStr">
        <is>
          <t>SANDVIKEN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46302</v>
      </c>
      <c r="F370" t="inlineStr">
        <is>
          <t>GÄVLEBORGS LÄN</t>
        </is>
      </c>
      <c r="G370" t="inlineStr">
        <is>
          <t>SANDVIKEN</t>
        </is>
      </c>
      <c r="H370" t="inlineStr">
        <is>
          <t>Sveaskog</t>
        </is>
      </c>
      <c r="I370" t="n">
        <v>16.6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46101</v>
      </c>
      <c r="E371" s="1" t="n">
        <v>46302</v>
      </c>
      <c r="F371" t="inlineStr">
        <is>
          <t>GÄVLEBORGS LÄN</t>
        </is>
      </c>
      <c r="G371" t="inlineStr">
        <is>
          <t>SANDVIKEN</t>
        </is>
      </c>
      <c r="H371" t="inlineStr">
        <is>
          <t>Kommuner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45845</v>
      </c>
      <c r="E372" s="1" t="n">
        <v>46302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46302</v>
      </c>
      <c r="F373" t="inlineStr">
        <is>
          <t>GÄVLEBORGS LÄN</t>
        </is>
      </c>
      <c r="G373" t="inlineStr">
        <is>
          <t>SANDVIKEN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37367-2024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46302</v>
      </c>
      <c r="F374" t="inlineStr">
        <is>
          <t>GÄVLEBORGS LÄN</t>
        </is>
      </c>
      <c r="G374" t="inlineStr">
        <is>
          <t>SANDVIKEN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46302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46302</v>
      </c>
      <c r="F376" t="inlineStr">
        <is>
          <t>GÄVLEBORGS LÄN</t>
        </is>
      </c>
      <c r="G376" t="inlineStr">
        <is>
          <t>SANDVIKEN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45842</v>
      </c>
      <c r="E377" s="1" t="n">
        <v>46302</v>
      </c>
      <c r="F377" t="inlineStr">
        <is>
          <t>GÄVLEBORGS LÄN</t>
        </is>
      </c>
      <c r="G377" t="inlineStr">
        <is>
          <t>SANDVIKEN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47395-2025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46302</v>
      </c>
      <c r="F378" t="inlineStr">
        <is>
          <t>GÄVLEBORGS LÄN</t>
        </is>
      </c>
      <c r="G378" t="inlineStr">
        <is>
          <t>SANDVIKEN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47398-2025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46302</v>
      </c>
      <c r="F379" t="inlineStr">
        <is>
          <t>GÄVLEBORGS LÄN</t>
        </is>
      </c>
      <c r="G379" t="inlineStr">
        <is>
          <t>SANDVIKEN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46302</v>
      </c>
      <c r="F380" t="inlineStr">
        <is>
          <t>GÄVLEBORGS LÄN</t>
        </is>
      </c>
      <c r="G380" t="inlineStr">
        <is>
          <t>SANDVIKEN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46302</v>
      </c>
      <c r="F381" t="inlineStr">
        <is>
          <t>GÄVLEBORGS LÄN</t>
        </is>
      </c>
      <c r="G381" t="inlineStr">
        <is>
          <t>SANDVIKEN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46302</v>
      </c>
      <c r="F382" t="inlineStr">
        <is>
          <t>GÄVLEBORGS LÄN</t>
        </is>
      </c>
      <c r="G382" t="inlineStr">
        <is>
          <t>SANDVIKEN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50851-2025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45946</v>
      </c>
      <c r="E383" s="1" t="n">
        <v>46302</v>
      </c>
      <c r="F383" t="inlineStr">
        <is>
          <t>GÄVLEBORGS LÄN</t>
        </is>
      </c>
      <c r="G383" t="inlineStr">
        <is>
          <t>SANDVIKEN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46302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46302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46302</v>
      </c>
      <c r="F386" t="inlineStr">
        <is>
          <t>GÄVLEBORGS LÄN</t>
        </is>
      </c>
      <c r="G386" t="inlineStr">
        <is>
          <t>SANDVIKEN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46302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46302</v>
      </c>
      <c r="F388" t="inlineStr">
        <is>
          <t>GÄVLEBORGS LÄN</t>
        </is>
      </c>
      <c r="G388" t="inlineStr">
        <is>
          <t>SANDVIKEN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46302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46302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46302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46302</v>
      </c>
      <c r="F392" t="inlineStr">
        <is>
          <t>GÄVLEBORGS LÄN</t>
        </is>
      </c>
      <c r="G392" t="inlineStr">
        <is>
          <t>SANDVIKEN</t>
        </is>
      </c>
      <c r="H392" t="inlineStr">
        <is>
          <t>Kommuner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46302</v>
      </c>
      <c r="F393" t="inlineStr">
        <is>
          <t>GÄVLEBORGS LÄN</t>
        </is>
      </c>
      <c r="G393" t="inlineStr">
        <is>
          <t>SANDVIKEN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45863</v>
      </c>
      <c r="E394" s="1" t="n">
        <v>46302</v>
      </c>
      <c r="F394" t="inlineStr">
        <is>
          <t>GÄVLEBORGS LÄN</t>
        </is>
      </c>
      <c r="G394" t="inlineStr">
        <is>
          <t>SANDVIKEN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45866</v>
      </c>
      <c r="E395" s="1" t="n">
        <v>46302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36091-2025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45866</v>
      </c>
      <c r="E396" s="1" t="n">
        <v>46302</v>
      </c>
      <c r="F396" t="inlineStr">
        <is>
          <t>GÄVLEBORGS LÄN</t>
        </is>
      </c>
      <c r="G396" t="inlineStr">
        <is>
          <t>SANDVIKEN</t>
        </is>
      </c>
      <c r="H396" t="inlineStr">
        <is>
          <t>Sveaskog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36212-2025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45867</v>
      </c>
      <c r="E397" s="1" t="n">
        <v>46302</v>
      </c>
      <c r="F397" t="inlineStr">
        <is>
          <t>GÄVLEBORGS LÄN</t>
        </is>
      </c>
      <c r="G397" t="inlineStr">
        <is>
          <t>SANDVIKEN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32849-2022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44784</v>
      </c>
      <c r="E398" s="1" t="n">
        <v>46302</v>
      </c>
      <c r="F398" t="inlineStr">
        <is>
          <t>GÄVLEBORGS LÄN</t>
        </is>
      </c>
      <c r="G398" t="inlineStr">
        <is>
          <t>SANDVIKEN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16958-2026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46302</v>
      </c>
      <c r="F399" t="inlineStr">
        <is>
          <t>GÄVLEBORGS LÄN</t>
        </is>
      </c>
      <c r="G399" t="inlineStr">
        <is>
          <t>SANDVIKEN</t>
        </is>
      </c>
      <c r="I399" t="n">
        <v>10.3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52786-2025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45957</v>
      </c>
      <c r="E400" s="1" t="n">
        <v>46302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  <c r="Z400">
        <f>HYPERLINK("https://klasma.github.io/Logging_2181/knärot/A 52786-2025 karta knärot.png", "A 52786-2025")</f>
        <v/>
      </c>
      <c r="AA400">
        <f>HYPERLINK("https://klasma.github.io/Logging_2181/klagomål/A 52786-2025 FSC-klagomål.docx", "A 52786-2025")</f>
        <v/>
      </c>
      <c r="AB400">
        <f>HYPERLINK("https://klasma.github.io/Logging_2181/klagomålsmail/A 52786-2025 FSC-klagomål mail.docx", "A 52786-2025")</f>
        <v/>
      </c>
      <c r="AC400">
        <f>HYPERLINK("https://klasma.github.io/Logging_2181/tillsyn/A 52786-2025 tillsynsbegäran.docx", "A 52786-2025")</f>
        <v/>
      </c>
      <c r="AD400">
        <f>HYPERLINK("https://klasma.github.io/Logging_2181/tillsynsmail/A 52786-2025 tillsynsbegäran mail.docx", "A 52786-2025")</f>
        <v/>
      </c>
    </row>
    <row r="401" ht="15" customHeight="1">
      <c r="A401" t="inlineStr">
        <is>
          <t>A 17172-2026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46115</v>
      </c>
      <c r="E401" s="1" t="n">
        <v>46302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46116</v>
      </c>
      <c r="E402" s="1" t="n">
        <v>46302</v>
      </c>
      <c r="F402" t="inlineStr">
        <is>
          <t>GÄVLEBORGS LÄN</t>
        </is>
      </c>
      <c r="G402" t="inlineStr">
        <is>
          <t>SANDVIKEN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46115</v>
      </c>
      <c r="E403" s="1" t="n">
        <v>46302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46115</v>
      </c>
      <c r="E404" s="1" t="n">
        <v>46302</v>
      </c>
      <c r="F404" t="inlineStr">
        <is>
          <t>GÄVLEBORGS LÄN</t>
        </is>
      </c>
      <c r="G404" t="inlineStr">
        <is>
          <t>SANDVIKEN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17180-2026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46116</v>
      </c>
      <c r="E405" s="1" t="n">
        <v>46302</v>
      </c>
      <c r="F405" t="inlineStr">
        <is>
          <t>GÄVLEBORGS LÄN</t>
        </is>
      </c>
      <c r="G405" t="inlineStr">
        <is>
          <t>SANDVIKEN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17171-2026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46115</v>
      </c>
      <c r="E406" s="1" t="n">
        <v>46302</v>
      </c>
      <c r="F406" t="inlineStr">
        <is>
          <t>GÄVLEBORGS LÄN</t>
        </is>
      </c>
      <c r="G406" t="inlineStr">
        <is>
          <t>SANDVIKEN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46116</v>
      </c>
      <c r="E407" s="1" t="n">
        <v>46302</v>
      </c>
      <c r="F407" t="inlineStr">
        <is>
          <t>GÄVLEBORGS LÄN</t>
        </is>
      </c>
      <c r="G407" t="inlineStr">
        <is>
          <t>SANDVIKEN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46115</v>
      </c>
      <c r="E408" s="1" t="n">
        <v>46302</v>
      </c>
      <c r="F408" t="inlineStr">
        <is>
          <t>GÄVLEBORGS LÄN</t>
        </is>
      </c>
      <c r="G408" t="inlineStr">
        <is>
          <t>SANDVIKEN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46115</v>
      </c>
      <c r="E409" s="1" t="n">
        <v>46302</v>
      </c>
      <c r="F409" t="inlineStr">
        <is>
          <t>GÄVLEBORGS LÄN</t>
        </is>
      </c>
      <c r="G409" t="inlineStr">
        <is>
          <t>SANDVIKEN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46302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46302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46302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46302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46302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46302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46302</v>
      </c>
      <c r="F416" t="inlineStr">
        <is>
          <t>GÄVLEBORGS LÄN</t>
        </is>
      </c>
      <c r="G416" t="inlineStr">
        <is>
          <t>SANDVIKEN</t>
        </is>
      </c>
      <c r="H416" t="inlineStr">
        <is>
          <t>Sveaskog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36584-2025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45870</v>
      </c>
      <c r="E417" s="1" t="n">
        <v>46302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46302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36732-2025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45873</v>
      </c>
      <c r="E419" s="1" t="n">
        <v>46302</v>
      </c>
      <c r="F419" t="inlineStr">
        <is>
          <t>GÄVLEBORGS LÄN</t>
        </is>
      </c>
      <c r="G419" t="inlineStr">
        <is>
          <t>SANDVIKEN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46121</v>
      </c>
      <c r="E420" s="1" t="n">
        <v>46302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23539-2026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46163</v>
      </c>
      <c r="E421" s="1" t="n">
        <v>46302</v>
      </c>
      <c r="F421" t="inlineStr">
        <is>
          <t>GÄVLEBORGS LÄN</t>
        </is>
      </c>
      <c r="G421" t="inlineStr">
        <is>
          <t>SANDVIKEN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18224-2026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46302</v>
      </c>
      <c r="F422" t="inlineStr">
        <is>
          <t>GÄVLEBORGS LÄN</t>
        </is>
      </c>
      <c r="G422" t="inlineStr">
        <is>
          <t>SANDVIKEN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46126</v>
      </c>
      <c r="E423" s="1" t="n">
        <v>46302</v>
      </c>
      <c r="F423" t="inlineStr">
        <is>
          <t>GÄVLEBORGS LÄN</t>
        </is>
      </c>
      <c r="G423" t="inlineStr">
        <is>
          <t>SANDVIKEN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45873</v>
      </c>
      <c r="E424" s="1" t="n">
        <v>46302</v>
      </c>
      <c r="F424" t="inlineStr">
        <is>
          <t>GÄVLEBORGS LÄN</t>
        </is>
      </c>
      <c r="G424" t="inlineStr">
        <is>
          <t>SANDVIKEN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45873</v>
      </c>
      <c r="E425" s="1" t="n">
        <v>46302</v>
      </c>
      <c r="F425" t="inlineStr">
        <is>
          <t>GÄVLEBORGS LÄN</t>
        </is>
      </c>
      <c r="G425" t="inlineStr">
        <is>
          <t>SANDVIKEN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36693-2025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45873</v>
      </c>
      <c r="E426" s="1" t="n">
        <v>46302</v>
      </c>
      <c r="F426" t="inlineStr">
        <is>
          <t>GÄVLEBORGS LÄN</t>
        </is>
      </c>
      <c r="G426" t="inlineStr">
        <is>
          <t>SANDVIKEN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18219-2026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46302</v>
      </c>
      <c r="F427" t="inlineStr">
        <is>
          <t>GÄVLEBORGS LÄN</t>
        </is>
      </c>
      <c r="G427" t="inlineStr">
        <is>
          <t>SANDVIKEN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18988-2026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46129</v>
      </c>
      <c r="E428" s="1" t="n">
        <v>46302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46129</v>
      </c>
      <c r="E429" s="1" t="n">
        <v>46302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18997-2026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46129</v>
      </c>
      <c r="E430" s="1" t="n">
        <v>46302</v>
      </c>
      <c r="F430" t="inlineStr">
        <is>
          <t>GÄVLEBORGS LÄN</t>
        </is>
      </c>
      <c r="G430" t="inlineStr">
        <is>
          <t>SANDVIKEN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46128</v>
      </c>
      <c r="E431" s="1" t="n">
        <v>46302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46129</v>
      </c>
      <c r="E432" s="1" t="n">
        <v>46302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46302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45467</v>
      </c>
      <c r="E434" s="1" t="n">
        <v>46302</v>
      </c>
      <c r="F434" t="inlineStr">
        <is>
          <t>GÄVLEBORGS LÄN</t>
        </is>
      </c>
      <c r="G434" t="inlineStr">
        <is>
          <t>SANDVIKEN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46302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18987-2026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46129</v>
      </c>
      <c r="E436" s="1" t="n">
        <v>46302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46302</v>
      </c>
      <c r="F437" t="inlineStr">
        <is>
          <t>GÄVLEBORGS LÄN</t>
        </is>
      </c>
      <c r="G437" t="inlineStr">
        <is>
          <t>SANDVIKEN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46302</v>
      </c>
      <c r="F438" t="inlineStr">
        <is>
          <t>GÄVLEBORGS LÄN</t>
        </is>
      </c>
      <c r="G438" t="inlineStr">
        <is>
          <t>SANDVIKEN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45883</v>
      </c>
      <c r="E439" s="1" t="n">
        <v>46302</v>
      </c>
      <c r="F439" t="inlineStr">
        <is>
          <t>GÄVLEBORGS LÄN</t>
        </is>
      </c>
      <c r="G439" t="inlineStr">
        <is>
          <t>SANDVIKEN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46302</v>
      </c>
      <c r="F440" t="inlineStr">
        <is>
          <t>GÄVLEBORGS LÄN</t>
        </is>
      </c>
      <c r="G440" t="inlineStr">
        <is>
          <t>SANDVIKEN</t>
        </is>
      </c>
      <c r="H440" t="inlineStr">
        <is>
          <t>Sveaskog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45883</v>
      </c>
      <c r="E441" s="1" t="n">
        <v>46302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38423-2025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45883</v>
      </c>
      <c r="E442" s="1" t="n">
        <v>46302</v>
      </c>
      <c r="F442" t="inlineStr">
        <is>
          <t>GÄVLEBORGS LÄN</t>
        </is>
      </c>
      <c r="G442" t="inlineStr">
        <is>
          <t>SANDVIKEN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46302</v>
      </c>
      <c r="F443" t="inlineStr">
        <is>
          <t>GÄVLEBORGS LÄN</t>
        </is>
      </c>
      <c r="G443" t="inlineStr">
        <is>
          <t>SANDVIKEN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46130</v>
      </c>
      <c r="E444" s="1" t="n">
        <v>46302</v>
      </c>
      <c r="F444" t="inlineStr">
        <is>
          <t>GÄVLEBORGS LÄN</t>
        </is>
      </c>
      <c r="G444" t="inlineStr">
        <is>
          <t>SANDVIKEN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46302</v>
      </c>
      <c r="F445" t="inlineStr">
        <is>
          <t>GÄVLEBORGS LÄN</t>
        </is>
      </c>
      <c r="G445" t="inlineStr">
        <is>
          <t>SANDVIKEN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46302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19467-2026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46302</v>
      </c>
      <c r="F447" t="inlineStr">
        <is>
          <t>GÄVLEBORGS LÄN</t>
        </is>
      </c>
      <c r="G447" t="inlineStr">
        <is>
          <t>SANDVIKEN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19273-2026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46302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10.1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19080-2026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46302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46302</v>
      </c>
      <c r="F450" t="inlineStr">
        <is>
          <t>GÄVLEBORGS LÄN</t>
        </is>
      </c>
      <c r="G450" t="inlineStr">
        <is>
          <t>SANDVIKEN</t>
        </is>
      </c>
      <c r="H450" t="inlineStr">
        <is>
          <t>Naturvårdsverket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46302</v>
      </c>
      <c r="F451" t="inlineStr">
        <is>
          <t>GÄVLEBORGS LÄN</t>
        </is>
      </c>
      <c r="G451" t="inlineStr">
        <is>
          <t>SANDVIKEN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55355-2025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45971</v>
      </c>
      <c r="E452" s="1" t="n">
        <v>46302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46302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46135</v>
      </c>
      <c r="E454" s="1" t="n">
        <v>46302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55099-2025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45968</v>
      </c>
      <c r="E455" s="1" t="n">
        <v>46302</v>
      </c>
      <c r="F455" t="inlineStr">
        <is>
          <t>GÄVLEBORGS LÄN</t>
        </is>
      </c>
      <c r="G455" t="inlineStr">
        <is>
          <t>SANDVIKEN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19827-2026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46135</v>
      </c>
      <c r="E456" s="1" t="n">
        <v>46302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46302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46302</v>
      </c>
      <c r="F458" t="inlineStr">
        <is>
          <t>GÄVLEBORGS LÄN</t>
        </is>
      </c>
      <c r="G458" t="inlineStr">
        <is>
          <t>SANDVIKEN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45330</v>
      </c>
      <c r="E459" s="1" t="n">
        <v>46302</v>
      </c>
      <c r="F459" t="inlineStr">
        <is>
          <t>GÄVLEBORGS LÄN</t>
        </is>
      </c>
      <c r="G459" t="inlineStr">
        <is>
          <t>SANDVIKEN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72997-2021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44549</v>
      </c>
      <c r="E460" s="1" t="n">
        <v>46302</v>
      </c>
      <c r="F460" t="inlineStr">
        <is>
          <t>GÄVLEBORGS LÄN</t>
        </is>
      </c>
      <c r="G460" t="inlineStr">
        <is>
          <t>SANDVIKEN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46302</v>
      </c>
      <c r="F461" t="inlineStr">
        <is>
          <t>GÄVLEBORGS LÄN</t>
        </is>
      </c>
      <c r="G461" t="inlineStr">
        <is>
          <t>SANDVIKEN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38845-2025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45887</v>
      </c>
      <c r="E462" s="1" t="n">
        <v>46302</v>
      </c>
      <c r="F462" t="inlineStr">
        <is>
          <t>GÄVLEBORGS LÄN</t>
        </is>
      </c>
      <c r="G462" t="inlineStr">
        <is>
          <t>SANDVIKEN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45161</v>
      </c>
      <c r="E463" s="1" t="n">
        <v>46302</v>
      </c>
      <c r="F463" t="inlineStr">
        <is>
          <t>GÄVLEBORGS LÄN</t>
        </is>
      </c>
      <c r="G463" t="inlineStr">
        <is>
          <t>SANDVIKEN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32609-2023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45121</v>
      </c>
      <c r="E464" s="1" t="n">
        <v>46302</v>
      </c>
      <c r="F464" t="inlineStr">
        <is>
          <t>GÄVLEBORGS LÄN</t>
        </is>
      </c>
      <c r="G464" t="inlineStr">
        <is>
          <t>SANDVIKEN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55607-2025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46302</v>
      </c>
      <c r="F465" t="inlineStr">
        <is>
          <t>GÄVLEBORGS LÄN</t>
        </is>
      </c>
      <c r="G465" t="inlineStr">
        <is>
          <t>SANDVIKEN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45884</v>
      </c>
      <c r="E466" s="1" t="n">
        <v>46302</v>
      </c>
      <c r="F466" t="inlineStr">
        <is>
          <t>GÄVLEBORGS LÄN</t>
        </is>
      </c>
      <c r="G466" t="inlineStr">
        <is>
          <t>SANDVIKEN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19421-2025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45769</v>
      </c>
      <c r="E467" s="1" t="n">
        <v>46302</v>
      </c>
      <c r="F467" t="inlineStr">
        <is>
          <t>GÄVLEBORGS LÄN</t>
        </is>
      </c>
      <c r="G467" t="inlineStr">
        <is>
          <t>SANDVIKEN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12382-2026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46090</v>
      </c>
      <c r="E468" s="1" t="n">
        <v>46302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46302</v>
      </c>
      <c r="F469" t="inlineStr">
        <is>
          <t>GÄVLEBORGS LÄN</t>
        </is>
      </c>
      <c r="G469" t="inlineStr">
        <is>
          <t>SANDVIKEN</t>
        </is>
      </c>
      <c r="H469" t="inlineStr">
        <is>
          <t>Naturvårdsverket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45552</v>
      </c>
      <c r="E470" s="1" t="n">
        <v>46302</v>
      </c>
      <c r="F470" t="inlineStr">
        <is>
          <t>GÄVLEBORGS LÄN</t>
        </is>
      </c>
      <c r="G470" t="inlineStr">
        <is>
          <t>SANDVIKEN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45390</v>
      </c>
      <c r="E471" s="1" t="n">
        <v>46302</v>
      </c>
      <c r="F471" t="inlineStr">
        <is>
          <t>GÄVLEBORGS LÄN</t>
        </is>
      </c>
      <c r="G471" t="inlineStr">
        <is>
          <t>SANDVIKEN</t>
        </is>
      </c>
      <c r="H471" t="inlineStr">
        <is>
          <t>Kyrkan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46302</v>
      </c>
      <c r="F472" t="inlineStr">
        <is>
          <t>GÄVLEBORGS LÄN</t>
        </is>
      </c>
      <c r="G472" t="inlineStr">
        <is>
          <t>SANDVIKEN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45252</v>
      </c>
      <c r="E473" s="1" t="n">
        <v>46302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45706</v>
      </c>
      <c r="E474" s="1" t="n">
        <v>46302</v>
      </c>
      <c r="F474" t="inlineStr">
        <is>
          <t>GÄVLEBORGS LÄN</t>
        </is>
      </c>
      <c r="G474" t="inlineStr">
        <is>
          <t>SANDVIKEN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45660</v>
      </c>
      <c r="E475" s="1" t="n">
        <v>46302</v>
      </c>
      <c r="F475" t="inlineStr">
        <is>
          <t>GÄVLEBORGS LÄN</t>
        </is>
      </c>
      <c r="G475" t="inlineStr">
        <is>
          <t>SANDVIKEN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45476</v>
      </c>
      <c r="E476" s="1" t="n">
        <v>46302</v>
      </c>
      <c r="F476" t="inlineStr">
        <is>
          <t>GÄVLEBORGS LÄN</t>
        </is>
      </c>
      <c r="G476" t="inlineStr">
        <is>
          <t>SANDVIKEN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45670</v>
      </c>
      <c r="E477" s="1" t="n">
        <v>46302</v>
      </c>
      <c r="F477" t="inlineStr">
        <is>
          <t>GÄVLEBORGS LÄN</t>
        </is>
      </c>
      <c r="G477" t="inlineStr">
        <is>
          <t>SANDVIKEN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46302</v>
      </c>
      <c r="F478" t="inlineStr">
        <is>
          <t>GÄVLEBORGS LÄN</t>
        </is>
      </c>
      <c r="G478" t="inlineStr">
        <is>
          <t>SANDVIKEN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45303</v>
      </c>
      <c r="E479" s="1" t="n">
        <v>46302</v>
      </c>
      <c r="F479" t="inlineStr">
        <is>
          <t>GÄVLEBORGS LÄN</t>
        </is>
      </c>
      <c r="G479" t="inlineStr">
        <is>
          <t>SANDVIKEN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45246</v>
      </c>
      <c r="E480" s="1" t="n">
        <v>46302</v>
      </c>
      <c r="F480" t="inlineStr">
        <is>
          <t>GÄVLEBORGS LÄN</t>
        </is>
      </c>
      <c r="G480" t="inlineStr">
        <is>
          <t>SANDVIKEN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56734-2021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44481</v>
      </c>
      <c r="E481" s="1" t="n">
        <v>46302</v>
      </c>
      <c r="F481" t="inlineStr">
        <is>
          <t>GÄVLEBORGS LÄN</t>
        </is>
      </c>
      <c r="G481" t="inlineStr">
        <is>
          <t>SANDVIKEN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45595</v>
      </c>
      <c r="E482" s="1" t="n">
        <v>46302</v>
      </c>
      <c r="F482" t="inlineStr">
        <is>
          <t>GÄVLEBORGS LÄN</t>
        </is>
      </c>
      <c r="G482" t="inlineStr">
        <is>
          <t>SANDVIKEN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45977</v>
      </c>
      <c r="E483" s="1" t="n">
        <v>46302</v>
      </c>
      <c r="F483" t="inlineStr">
        <is>
          <t>GÄVLEBORGS LÄN</t>
        </is>
      </c>
      <c r="G483" t="inlineStr">
        <is>
          <t>SANDVIKEN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46302</v>
      </c>
      <c r="F484" t="inlineStr">
        <is>
          <t>GÄVLEBORGS LÄN</t>
        </is>
      </c>
      <c r="G484" t="inlineStr">
        <is>
          <t>SANDVIKEN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46302</v>
      </c>
      <c r="F485" t="inlineStr">
        <is>
          <t>GÄVLEBORGS LÄN</t>
        </is>
      </c>
      <c r="G485" t="inlineStr">
        <is>
          <t>SANDVIKEN</t>
        </is>
      </c>
      <c r="I485" t="n">
        <v>10.4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28523-2024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45478</v>
      </c>
      <c r="E486" s="1" t="n">
        <v>46302</v>
      </c>
      <c r="F486" t="inlineStr">
        <is>
          <t>GÄVLEBORGS LÄN</t>
        </is>
      </c>
      <c r="G486" t="inlineStr">
        <is>
          <t>SANDVIKEN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57261-2025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45979</v>
      </c>
      <c r="E487" s="1" t="n">
        <v>46302</v>
      </c>
      <c r="F487" t="inlineStr">
        <is>
          <t>GÄVLEBORGS LÄN</t>
        </is>
      </c>
      <c r="G487" t="inlineStr">
        <is>
          <t>SANDVIKEN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45120</v>
      </c>
      <c r="E488" s="1" t="n">
        <v>46302</v>
      </c>
      <c r="F488" t="inlineStr">
        <is>
          <t>GÄVLEBORGS LÄN</t>
        </is>
      </c>
      <c r="G488" t="inlineStr">
        <is>
          <t>SANDVIKEN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45709</v>
      </c>
      <c r="E489" s="1" t="n">
        <v>46302</v>
      </c>
      <c r="F489" t="inlineStr">
        <is>
          <t>GÄVLEBORGS LÄN</t>
        </is>
      </c>
      <c r="G489" t="inlineStr">
        <is>
          <t>SANDVIKEN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45983</v>
      </c>
      <c r="E490" s="1" t="n">
        <v>46302</v>
      </c>
      <c r="F490" t="inlineStr">
        <is>
          <t>GÄVLEBORGS LÄN</t>
        </is>
      </c>
      <c r="G490" t="inlineStr">
        <is>
          <t>SANDVIKEN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46302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58199-2025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45984</v>
      </c>
      <c r="E492" s="1" t="n">
        <v>46302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45984</v>
      </c>
      <c r="E493" s="1" t="n">
        <v>46302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46302</v>
      </c>
      <c r="F494" t="inlineStr">
        <is>
          <t>GÄVLEBORGS LÄN</t>
        </is>
      </c>
      <c r="G494" t="inlineStr">
        <is>
          <t>SANDVIKEN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45981</v>
      </c>
      <c r="E495" s="1" t="n">
        <v>46302</v>
      </c>
      <c r="F495" t="inlineStr">
        <is>
          <t>GÄVLEBORGS LÄN</t>
        </is>
      </c>
      <c r="G495" t="inlineStr">
        <is>
          <t>SANDVIKEN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46302</v>
      </c>
      <c r="F496" t="inlineStr">
        <is>
          <t>GÄVLEBORGS LÄN</t>
        </is>
      </c>
      <c r="G496" t="inlineStr">
        <is>
          <t>SANDVIKEN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19499-2026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46134</v>
      </c>
      <c r="E497" s="1" t="n">
        <v>46302</v>
      </c>
      <c r="F497" t="inlineStr">
        <is>
          <t>GÄVLEBORGS LÄN</t>
        </is>
      </c>
      <c r="G497" t="inlineStr">
        <is>
          <t>SANDVIKEN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46302</v>
      </c>
      <c r="F498" t="inlineStr">
        <is>
          <t>GÄVLEBORGS LÄN</t>
        </is>
      </c>
      <c r="G498" t="inlineStr">
        <is>
          <t>SANDVIKEN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46302</v>
      </c>
      <c r="F499" t="inlineStr">
        <is>
          <t>GÄVLEBORGS LÄN</t>
        </is>
      </c>
      <c r="G499" t="inlineStr">
        <is>
          <t>SANDVIKEN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46302</v>
      </c>
      <c r="F500" t="inlineStr">
        <is>
          <t>GÄVLEBORGS LÄN</t>
        </is>
      </c>
      <c r="G500" t="inlineStr">
        <is>
          <t>SANDVIKEN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45238</v>
      </c>
      <c r="E501" s="1" t="n">
        <v>46302</v>
      </c>
      <c r="F501" t="inlineStr">
        <is>
          <t>GÄVLEBORGS LÄN</t>
        </is>
      </c>
      <c r="G501" t="inlineStr">
        <is>
          <t>SANDVIKEN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46302</v>
      </c>
      <c r="F502" t="inlineStr">
        <is>
          <t>GÄVLEBORGS LÄN</t>
        </is>
      </c>
      <c r="G502" t="inlineStr">
        <is>
          <t>SANDVIKEN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7599-2026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46061</v>
      </c>
      <c r="E503" s="1" t="n">
        <v>46302</v>
      </c>
      <c r="F503" t="inlineStr">
        <is>
          <t>GÄVLEBORGS LÄN</t>
        </is>
      </c>
      <c r="G503" t="inlineStr">
        <is>
          <t>SANDVIKEN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46037</v>
      </c>
      <c r="E504" s="1" t="n">
        <v>46302</v>
      </c>
      <c r="F504" t="inlineStr">
        <is>
          <t>GÄVLEBORGS LÄN</t>
        </is>
      </c>
      <c r="G504" t="inlineStr">
        <is>
          <t>SANDVIKEN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46302</v>
      </c>
      <c r="F505" t="inlineStr">
        <is>
          <t>GÄVLEBORGS LÄN</t>
        </is>
      </c>
      <c r="G505" t="inlineStr">
        <is>
          <t>SANDVIKEN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46302</v>
      </c>
      <c r="F506" t="inlineStr">
        <is>
          <t>GÄVLEBORGS LÄN</t>
        </is>
      </c>
      <c r="G506" t="inlineStr">
        <is>
          <t>SANDVIKEN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42107-2024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45562</v>
      </c>
      <c r="E507" s="1" t="n">
        <v>46302</v>
      </c>
      <c r="F507" t="inlineStr">
        <is>
          <t>GÄVLEBORGS LÄN</t>
        </is>
      </c>
      <c r="G507" t="inlineStr">
        <is>
          <t>SANDVIKEN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14910-2026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46104</v>
      </c>
      <c r="E508" s="1" t="n">
        <v>46302</v>
      </c>
      <c r="F508" t="inlineStr">
        <is>
          <t>GÄVLEBORGS LÄN</t>
        </is>
      </c>
      <c r="G508" t="inlineStr">
        <is>
          <t>SANDVIKEN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19910-2026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46136</v>
      </c>
      <c r="E509" s="1" t="n">
        <v>46302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46302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46302</v>
      </c>
      <c r="F511" t="inlineStr">
        <is>
          <t>GÄVLEBORGS LÄN</t>
        </is>
      </c>
      <c r="G511" t="inlineStr">
        <is>
          <t>SANDVIKEN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46302</v>
      </c>
      <c r="F512" t="inlineStr">
        <is>
          <t>GÄVLEBORGS LÄN</t>
        </is>
      </c>
      <c r="G512" t="inlineStr">
        <is>
          <t>SANDVIKEN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59755-2025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45992</v>
      </c>
      <c r="E513" s="1" t="n">
        <v>46302</v>
      </c>
      <c r="F513" t="inlineStr">
        <is>
          <t>GÄVLEBORGS LÄN</t>
        </is>
      </c>
      <c r="G513" t="inlineStr">
        <is>
          <t>SANDVIKEN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45992</v>
      </c>
      <c r="E514" s="1" t="n">
        <v>46302</v>
      </c>
      <c r="F514" t="inlineStr">
        <is>
          <t>GÄVLEBORGS LÄN</t>
        </is>
      </c>
      <c r="G514" t="inlineStr">
        <is>
          <t>SANDVIKEN</t>
        </is>
      </c>
      <c r="I514" t="n">
        <v>10.2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46046</v>
      </c>
      <c r="E515" s="1" t="n">
        <v>46302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46302</v>
      </c>
      <c r="F516" t="inlineStr">
        <is>
          <t>GÄVLEBORGS LÄN</t>
        </is>
      </c>
      <c r="G516" t="inlineStr">
        <is>
          <t>SANDVIKEN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40745-2024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45558</v>
      </c>
      <c r="E517" s="1" t="n">
        <v>46302</v>
      </c>
      <c r="F517" t="inlineStr">
        <is>
          <t>GÄVLEBORGS LÄN</t>
        </is>
      </c>
      <c r="G517" t="inlineStr">
        <is>
          <t>SANDVIKEN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50900-2024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45602</v>
      </c>
      <c r="E518" s="1" t="n">
        <v>46302</v>
      </c>
      <c r="F518" t="inlineStr">
        <is>
          <t>GÄVLEBORGS LÄN</t>
        </is>
      </c>
      <c r="G518" t="inlineStr">
        <is>
          <t>SANDVIKEN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13194-2025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45735</v>
      </c>
      <c r="E519" s="1" t="n">
        <v>46302</v>
      </c>
      <c r="F519" t="inlineStr">
        <is>
          <t>GÄVLEBORGS LÄN</t>
        </is>
      </c>
      <c r="G519" t="inlineStr">
        <is>
          <t>SANDVIKEN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46302</v>
      </c>
      <c r="F520" t="inlineStr">
        <is>
          <t>GÄVLEBORGS LÄN</t>
        </is>
      </c>
      <c r="G520" t="inlineStr">
        <is>
          <t>SANDVIKEN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19904-2026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46302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46302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44717-2025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45917</v>
      </c>
      <c r="E523" s="1" t="n">
        <v>46302</v>
      </c>
      <c r="F523" t="inlineStr">
        <is>
          <t>GÄVLEBORGS LÄN</t>
        </is>
      </c>
      <c r="G523" t="inlineStr">
        <is>
          <t>SANDVIKEN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46302</v>
      </c>
      <c r="F524" t="inlineStr">
        <is>
          <t>GÄVLEBORGS LÄN</t>
        </is>
      </c>
      <c r="G524" t="inlineStr">
        <is>
          <t>SANDVIKEN</t>
        </is>
      </c>
      <c r="I524" t="n">
        <v>9.6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46302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36656-2024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45537</v>
      </c>
      <c r="E526" s="1" t="n">
        <v>46302</v>
      </c>
      <c r="F526" t="inlineStr">
        <is>
          <t>GÄVLEBORGS LÄN</t>
        </is>
      </c>
      <c r="G526" t="inlineStr">
        <is>
          <t>SANDVIKEN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45779</v>
      </c>
      <c r="E527" s="1" t="n">
        <v>46302</v>
      </c>
      <c r="F527" t="inlineStr">
        <is>
          <t>GÄVLEBORGS LÄN</t>
        </is>
      </c>
      <c r="G527" t="inlineStr">
        <is>
          <t>SANDVIKEN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4768-2026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46302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46302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11967-2025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46302</v>
      </c>
      <c r="F530" t="inlineStr">
        <is>
          <t>GÄVLEBORGS LÄN</t>
        </is>
      </c>
      <c r="G530" t="inlineStr">
        <is>
          <t>SANDVIKEN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46057</v>
      </c>
      <c r="E531" s="1" t="n">
        <v>46302</v>
      </c>
      <c r="F531" t="inlineStr">
        <is>
          <t>GÄVLEBORGS LÄN</t>
        </is>
      </c>
      <c r="G531" t="inlineStr">
        <is>
          <t>SANDVIKEN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46302</v>
      </c>
      <c r="F532" t="inlineStr">
        <is>
          <t>GÄVLEBORGS LÄN</t>
        </is>
      </c>
      <c r="G532" t="inlineStr">
        <is>
          <t>SANDVIKEN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61299-2025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46000</v>
      </c>
      <c r="E533" s="1" t="n">
        <v>46302</v>
      </c>
      <c r="F533" t="inlineStr">
        <is>
          <t>GÄVLEBORGS LÄN</t>
        </is>
      </c>
      <c r="G533" t="inlineStr">
        <is>
          <t>SANDVIKEN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61303-2025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46000</v>
      </c>
      <c r="E534" s="1" t="n">
        <v>46302</v>
      </c>
      <c r="F534" t="inlineStr">
        <is>
          <t>GÄVLEBORGS LÄN</t>
        </is>
      </c>
      <c r="G534" t="inlineStr">
        <is>
          <t>SANDVIKEN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45986</v>
      </c>
      <c r="E535" s="1" t="n">
        <v>46302</v>
      </c>
      <c r="F535" t="inlineStr">
        <is>
          <t>GÄVLEBORGS LÄN</t>
        </is>
      </c>
      <c r="G535" t="inlineStr">
        <is>
          <t>SANDVIKEN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61020-2025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45999</v>
      </c>
      <c r="E536" s="1" t="n">
        <v>46302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45999</v>
      </c>
      <c r="E537" s="1" t="n">
        <v>46302</v>
      </c>
      <c r="F537" t="inlineStr">
        <is>
          <t>GÄVLEBORGS LÄN</t>
        </is>
      </c>
      <c r="G537" t="inlineStr">
        <is>
          <t>SANDVIKEN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46302</v>
      </c>
      <c r="F538" t="inlineStr">
        <is>
          <t>GÄVLEBORGS LÄN</t>
        </is>
      </c>
      <c r="G538" t="inlineStr">
        <is>
          <t>SANDVIKEN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46069</v>
      </c>
      <c r="E539" s="1" t="n">
        <v>46302</v>
      </c>
      <c r="F539" t="inlineStr">
        <is>
          <t>GÄVLEBORGS LÄN</t>
        </is>
      </c>
      <c r="G539" t="inlineStr">
        <is>
          <t>SANDVIKEN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8570-2026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46302</v>
      </c>
      <c r="F540" t="inlineStr">
        <is>
          <t>GÄVLEBORGS LÄN</t>
        </is>
      </c>
      <c r="G540" t="inlineStr">
        <is>
          <t>SANDVIKEN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46302</v>
      </c>
      <c r="F541" t="inlineStr">
        <is>
          <t>GÄVLEBORGS LÄN</t>
        </is>
      </c>
      <c r="G541" t="inlineStr">
        <is>
          <t>SANDVIKEN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7349-2026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46302</v>
      </c>
      <c r="F542" t="inlineStr">
        <is>
          <t>GÄVLEBORGS LÄN</t>
        </is>
      </c>
      <c r="G542" t="inlineStr">
        <is>
          <t>SANDVIKEN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46058</v>
      </c>
      <c r="E543" s="1" t="n">
        <v>46302</v>
      </c>
      <c r="F543" t="inlineStr">
        <is>
          <t>GÄVLEBORGS LÄN</t>
        </is>
      </c>
      <c r="G543" t="inlineStr">
        <is>
          <t>SANDVIKEN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46302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46302</v>
      </c>
      <c r="F545" t="inlineStr">
        <is>
          <t>GÄVLEBORGS LÄN</t>
        </is>
      </c>
      <c r="G545" t="inlineStr">
        <is>
          <t>SANDVIKEN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46302</v>
      </c>
      <c r="F546" t="inlineStr">
        <is>
          <t>GÄVLEBORGS LÄN</t>
        </is>
      </c>
      <c r="G546" t="inlineStr">
        <is>
          <t>SANDVIKEN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46302</v>
      </c>
      <c r="F547" t="inlineStr">
        <is>
          <t>GÄVLEBORGS LÄN</t>
        </is>
      </c>
      <c r="G547" t="inlineStr">
        <is>
          <t>SANDVIKEN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46302</v>
      </c>
      <c r="F548" t="inlineStr">
        <is>
          <t>GÄVLEBORGS LÄN</t>
        </is>
      </c>
      <c r="G548" t="inlineStr">
        <is>
          <t>SANDVIKEN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46302</v>
      </c>
      <c r="F549" t="inlineStr">
        <is>
          <t>GÄVLEBORGS LÄN</t>
        </is>
      </c>
      <c r="G549" t="inlineStr">
        <is>
          <t>SANDVIKEN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63486-2025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46013</v>
      </c>
      <c r="E550" s="1" t="n">
        <v>46302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46302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46302</v>
      </c>
      <c r="F552" t="inlineStr">
        <is>
          <t>GÄVLEBORGS LÄN</t>
        </is>
      </c>
      <c r="G552" t="inlineStr">
        <is>
          <t>SANDVIKEN</t>
        </is>
      </c>
      <c r="I552" t="n">
        <v>8.199999999999999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46302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46302</v>
      </c>
      <c r="F554" t="inlineStr">
        <is>
          <t>GÄVLEBORGS LÄN</t>
        </is>
      </c>
      <c r="G554" t="inlineStr">
        <is>
          <t>SANDVIKEN</t>
        </is>
      </c>
      <c r="I554" t="n">
        <v>11.2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12427-2026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46090</v>
      </c>
      <c r="E555" s="1" t="n">
        <v>46302</v>
      </c>
      <c r="F555" t="inlineStr">
        <is>
          <t>GÄVLEBORGS LÄN</t>
        </is>
      </c>
      <c r="G555" t="inlineStr">
        <is>
          <t>SANDVIKEN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46302</v>
      </c>
      <c r="F556" t="inlineStr">
        <is>
          <t>GÄVLEBORGS LÄN</t>
        </is>
      </c>
      <c r="G556" t="inlineStr">
        <is>
          <t>SANDVIKEN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46302</v>
      </c>
      <c r="F557" t="inlineStr">
        <is>
          <t>GÄVLEBORGS LÄN</t>
        </is>
      </c>
      <c r="G557" t="inlineStr">
        <is>
          <t>SANDVIKEN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46302</v>
      </c>
      <c r="F558" t="inlineStr">
        <is>
          <t>GÄVLEBORGS LÄN</t>
        </is>
      </c>
      <c r="G558" t="inlineStr">
        <is>
          <t>SANDVIKEN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46302</v>
      </c>
      <c r="F559" t="inlineStr">
        <is>
          <t>GÄVLEBORGS LÄN</t>
        </is>
      </c>
      <c r="G559" t="inlineStr">
        <is>
          <t>SANDVIKEN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46302</v>
      </c>
      <c r="F560" t="inlineStr">
        <is>
          <t>GÄVLEBORGS LÄN</t>
        </is>
      </c>
      <c r="G560" t="inlineStr">
        <is>
          <t>SANDVIKEN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46302</v>
      </c>
      <c r="F561" t="inlineStr">
        <is>
          <t>GÄVLEBORGS LÄN</t>
        </is>
      </c>
      <c r="G561" t="inlineStr">
        <is>
          <t>SANDVIKEN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8600-2026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46302</v>
      </c>
      <c r="F562" t="inlineStr">
        <is>
          <t>GÄVLEBORGS LÄN</t>
        </is>
      </c>
      <c r="G562" t="inlineStr">
        <is>
          <t>SANDVIKEN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46302</v>
      </c>
      <c r="F563" t="inlineStr">
        <is>
          <t>GÄVLEBORGS LÄN</t>
        </is>
      </c>
      <c r="G563" t="inlineStr">
        <is>
          <t>SANDVIKEN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46302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46302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46302</v>
      </c>
      <c r="F566" t="inlineStr">
        <is>
          <t>GÄVLEBORGS LÄN</t>
        </is>
      </c>
      <c r="G566" t="inlineStr">
        <is>
          <t>SANDVIKEN</t>
        </is>
      </c>
      <c r="H566" t="inlineStr">
        <is>
          <t>Kommuner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21343-2026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46302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46302</v>
      </c>
      <c r="F568" t="inlineStr">
        <is>
          <t>GÄVLEBORGS LÄN</t>
        </is>
      </c>
      <c r="G568" t="inlineStr">
        <is>
          <t>SANDVIKEN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46148</v>
      </c>
      <c r="E569" s="1" t="n">
        <v>46302</v>
      </c>
      <c r="F569" t="inlineStr">
        <is>
          <t>GÄVLEBORGS LÄN</t>
        </is>
      </c>
      <c r="G569" t="inlineStr">
        <is>
          <t>SANDVIKEN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21951-2026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46151</v>
      </c>
      <c r="E570" s="1" t="n">
        <v>46302</v>
      </c>
      <c r="F570" t="inlineStr">
        <is>
          <t>GÄVLEBORGS LÄN</t>
        </is>
      </c>
      <c r="G570" t="inlineStr">
        <is>
          <t>SANDVIKEN</t>
        </is>
      </c>
      <c r="I570" t="n">
        <v>11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46050</v>
      </c>
      <c r="E571" s="1" t="n">
        <v>46302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46302</v>
      </c>
      <c r="F572" t="inlineStr">
        <is>
          <t>GÄVLEBORGS LÄN</t>
        </is>
      </c>
      <c r="G572" t="inlineStr">
        <is>
          <t>SANDVIKEN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21773-2026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46150</v>
      </c>
      <c r="E573" s="1" t="n">
        <v>46302</v>
      </c>
      <c r="F573" t="inlineStr">
        <is>
          <t>GÄVLEBORGS LÄN</t>
        </is>
      </c>
      <c r="G573" t="inlineStr">
        <is>
          <t>SANDVIKEN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46302</v>
      </c>
      <c r="F574" t="inlineStr">
        <is>
          <t>GÄVLEBORGS LÄN</t>
        </is>
      </c>
      <c r="G574" t="inlineStr">
        <is>
          <t>SANDVIKEN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46302</v>
      </c>
      <c r="F575" t="inlineStr">
        <is>
          <t>GÄVLEBORGS LÄN</t>
        </is>
      </c>
      <c r="G575" t="inlineStr">
        <is>
          <t>SANDVIKEN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16012-2026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46302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11089-2026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46302</v>
      </c>
      <c r="F577" t="inlineStr">
        <is>
          <t>GÄVLEBORGS LÄN</t>
        </is>
      </c>
      <c r="G577" t="inlineStr">
        <is>
          <t>SANDVIKEN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46302</v>
      </c>
      <c r="F578" t="inlineStr">
        <is>
          <t>GÄVLEBORGS LÄN</t>
        </is>
      </c>
      <c r="G578" t="inlineStr">
        <is>
          <t>SANDVIKEN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12149-2026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46086</v>
      </c>
      <c r="E579" s="1" t="n">
        <v>46302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12120-2026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46086</v>
      </c>
      <c r="E580" s="1" t="n">
        <v>46302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13551-2026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46094</v>
      </c>
      <c r="E581" s="1" t="n">
        <v>46302</v>
      </c>
      <c r="F581" t="inlineStr">
        <is>
          <t>GÄVLEBORGS LÄN</t>
        </is>
      </c>
      <c r="G581" t="inlineStr">
        <is>
          <t>SANDVIKEN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46104</v>
      </c>
      <c r="E582" s="1" t="n">
        <v>46302</v>
      </c>
      <c r="F582" t="inlineStr">
        <is>
          <t>GÄVLEBORGS LÄN</t>
        </is>
      </c>
      <c r="G582" t="inlineStr">
        <is>
          <t>SANDVIKEN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16102-2026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46108</v>
      </c>
      <c r="E583" s="1" t="n">
        <v>46302</v>
      </c>
      <c r="F583" t="inlineStr">
        <is>
          <t>GÄVLEBORGS LÄN</t>
        </is>
      </c>
      <c r="G583" t="inlineStr">
        <is>
          <t>SANDVIKEN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23144-2026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46302</v>
      </c>
      <c r="F584" t="inlineStr">
        <is>
          <t>GÄVLEBORGS LÄN</t>
        </is>
      </c>
      <c r="G584" t="inlineStr">
        <is>
          <t>SANDVIKEN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15769-2026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46302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46302</v>
      </c>
      <c r="F586" t="inlineStr">
        <is>
          <t>GÄVLEBORGS LÄN</t>
        </is>
      </c>
      <c r="G586" t="inlineStr">
        <is>
          <t>SANDVIKEN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23465-2026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46163</v>
      </c>
      <c r="E587" s="1" t="n">
        <v>46302</v>
      </c>
      <c r="F587" t="inlineStr">
        <is>
          <t>GÄVLEBORGS LÄN</t>
        </is>
      </c>
      <c r="G587" t="inlineStr">
        <is>
          <t>SANDVIKEN</t>
        </is>
      </c>
      <c r="H587" t="inlineStr">
        <is>
          <t>Övriga statliga verk och myndigheter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46163</v>
      </c>
      <c r="E588" s="1" t="n">
        <v>46302</v>
      </c>
      <c r="F588" t="inlineStr">
        <is>
          <t>GÄVLEBORGS LÄN</t>
        </is>
      </c>
      <c r="G588" t="inlineStr">
        <is>
          <t>SANDVIKEN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23493-2026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46302</v>
      </c>
      <c r="F589" t="inlineStr">
        <is>
          <t>GÄVLEBORGS LÄN</t>
        </is>
      </c>
      <c r="G589" t="inlineStr">
        <is>
          <t>SANDVIKEN</t>
        </is>
      </c>
      <c r="H589" t="inlineStr">
        <is>
          <t>Övriga statliga verk och myndigheter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955-2026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46302</v>
      </c>
      <c r="F590" t="inlineStr">
        <is>
          <t>GÄVLEBORGS LÄN</t>
        </is>
      </c>
      <c r="G590" t="inlineStr">
        <is>
          <t>SANDVIKEN</t>
        </is>
      </c>
      <c r="I590" t="n">
        <v>14.2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23474-2026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46302</v>
      </c>
      <c r="F591" t="inlineStr">
        <is>
          <t>GÄVLEBORGS LÄN</t>
        </is>
      </c>
      <c r="G591" t="inlineStr">
        <is>
          <t>SANDVIKEN</t>
        </is>
      </c>
      <c r="H591" t="inlineStr">
        <is>
          <t>Övriga statliga verk och myndigheter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46302</v>
      </c>
      <c r="F592" t="inlineStr">
        <is>
          <t>GÄVLEBORGS LÄN</t>
        </is>
      </c>
      <c r="G592" t="inlineStr">
        <is>
          <t>SANDVIKEN</t>
        </is>
      </c>
      <c r="H592" t="inlineStr">
        <is>
          <t>Övriga statliga verk och myndigheter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46302</v>
      </c>
      <c r="F593" t="inlineStr">
        <is>
          <t>GÄVLEBORGS LÄN</t>
        </is>
      </c>
      <c r="G593" t="inlineStr">
        <is>
          <t>SANDVIKEN</t>
        </is>
      </c>
      <c r="H593" t="inlineStr">
        <is>
          <t>Övriga statliga verk och myndigheter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46165</v>
      </c>
      <c r="E594" s="1" t="n">
        <v>46302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23848-2026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46302</v>
      </c>
      <c r="F595" t="inlineStr">
        <is>
          <t>GÄVLEBORGS LÄN</t>
        </is>
      </c>
      <c r="G595" t="inlineStr">
        <is>
          <t>SANDVIKEN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23820-2026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46165</v>
      </c>
      <c r="E596" s="1" t="n">
        <v>46302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46165</v>
      </c>
      <c r="E597" s="1" t="n">
        <v>46302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46165</v>
      </c>
      <c r="E598" s="1" t="n">
        <v>46302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23824-2026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46165</v>
      </c>
      <c r="E599" s="1" t="n">
        <v>46302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24261-2026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46169</v>
      </c>
      <c r="E600" s="1" t="n">
        <v>46302</v>
      </c>
      <c r="F600" t="inlineStr">
        <is>
          <t>GÄVLEBORGS LÄN</t>
        </is>
      </c>
      <c r="G600" t="inlineStr">
        <is>
          <t>SANDVIKEN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46169</v>
      </c>
      <c r="E601" s="1" t="n">
        <v>46302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46302</v>
      </c>
      <c r="F602" t="inlineStr">
        <is>
          <t>GÄVLEBORGS LÄN</t>
        </is>
      </c>
      <c r="G602" t="inlineStr">
        <is>
          <t>SANDVIKEN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24177-2026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46168</v>
      </c>
      <c r="E603" s="1" t="n">
        <v>46302</v>
      </c>
      <c r="F603" t="inlineStr">
        <is>
          <t>GÄVLEBORGS LÄN</t>
        </is>
      </c>
      <c r="G603" t="inlineStr">
        <is>
          <t>SANDVIKEN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24355-2026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46169</v>
      </c>
      <c r="E604" s="1" t="n">
        <v>46302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46302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24297-2026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46169</v>
      </c>
      <c r="E606" s="1" t="n">
        <v>46302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24303-2026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46169</v>
      </c>
      <c r="E607" s="1" t="n">
        <v>46302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44586</v>
      </c>
      <c r="E608" s="1" t="n">
        <v>46302</v>
      </c>
      <c r="F608" t="inlineStr">
        <is>
          <t>GÄVLEBORGS LÄN</t>
        </is>
      </c>
      <c r="G608" t="inlineStr">
        <is>
          <t>SANDVIKEN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46171</v>
      </c>
      <c r="E609" s="1" t="n">
        <v>46302</v>
      </c>
      <c r="F609" t="inlineStr">
        <is>
          <t>GÄVLEBORGS LÄN</t>
        </is>
      </c>
      <c r="G609" t="inlineStr">
        <is>
          <t>SANDVIKEN</t>
        </is>
      </c>
      <c r="I609" t="n">
        <v>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46302</v>
      </c>
      <c r="F610" t="inlineStr">
        <is>
          <t>GÄVLEBORGS LÄN</t>
        </is>
      </c>
      <c r="G610" t="inlineStr">
        <is>
          <t>SANDVIKEN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46302</v>
      </c>
      <c r="F611" t="inlineStr">
        <is>
          <t>GÄVLEBORGS LÄN</t>
        </is>
      </c>
      <c r="G611" t="inlineStr">
        <is>
          <t>SANDVIKEN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46302</v>
      </c>
      <c r="F612" t="inlineStr">
        <is>
          <t>GÄVLEBORGS LÄN</t>
        </is>
      </c>
      <c r="G612" t="inlineStr">
        <is>
          <t>SANDVIKEN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46302</v>
      </c>
      <c r="F613" t="inlineStr">
        <is>
          <t>GÄVLEBORGS LÄN</t>
        </is>
      </c>
      <c r="G613" t="inlineStr">
        <is>
          <t>SANDVIKEN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25249-2026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46175</v>
      </c>
      <c r="E614" s="1" t="n">
        <v>46302</v>
      </c>
      <c r="F614" t="inlineStr">
        <is>
          <t>GÄVLEBORGS LÄN</t>
        </is>
      </c>
      <c r="G614" t="inlineStr">
        <is>
          <t>SANDVIKEN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25220-2026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46175</v>
      </c>
      <c r="E615" s="1" t="n">
        <v>46302</v>
      </c>
      <c r="F615" t="inlineStr">
        <is>
          <t>GÄVLEBORGS LÄN</t>
        </is>
      </c>
      <c r="G615" t="inlineStr">
        <is>
          <t>SANDVIKEN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46302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25413-2026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46302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25175-2026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46175</v>
      </c>
      <c r="E618" s="1" t="n">
        <v>46302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46302</v>
      </c>
      <c r="F619" t="inlineStr">
        <is>
          <t>GÄVLEBORGS LÄN</t>
        </is>
      </c>
      <c r="G619" t="inlineStr">
        <is>
          <t>SANDVIKEN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46178</v>
      </c>
      <c r="E620" s="1" t="n">
        <v>46302</v>
      </c>
      <c r="F620" t="inlineStr">
        <is>
          <t>GÄVLEBORGS LÄN</t>
        </is>
      </c>
      <c r="G620" t="inlineStr">
        <is>
          <t>SANDVIKEN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46302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46178</v>
      </c>
      <c r="E622" s="1" t="n">
        <v>46302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8940-2026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46302</v>
      </c>
      <c r="F623" t="inlineStr">
        <is>
          <t>GÄVLEBORGS LÄN</t>
        </is>
      </c>
      <c r="G623" t="inlineStr">
        <is>
          <t>SANDVIKEN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49512-2023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45211</v>
      </c>
      <c r="E624" s="1" t="n">
        <v>46302</v>
      </c>
      <c r="F624" t="inlineStr">
        <is>
          <t>GÄVLEBORGS LÄN</t>
        </is>
      </c>
      <c r="G624" t="inlineStr">
        <is>
          <t>SANDVIKEN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46302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25647-2026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46177</v>
      </c>
      <c r="E626" s="1" t="n">
        <v>46302</v>
      </c>
      <c r="F626" t="inlineStr">
        <is>
          <t>GÄVLEBORGS LÄN</t>
        </is>
      </c>
      <c r="G626" t="inlineStr">
        <is>
          <t>SANDVIKEN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25456-2026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46302</v>
      </c>
      <c r="F627" t="inlineStr">
        <is>
          <t>GÄVLEBORGS LÄN</t>
        </is>
      </c>
      <c r="G627" t="inlineStr">
        <is>
          <t>SANDVIKEN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46302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46302</v>
      </c>
      <c r="F629" t="inlineStr">
        <is>
          <t>GÄVLEBORGS LÄN</t>
        </is>
      </c>
      <c r="G629" t="inlineStr">
        <is>
          <t>SANDVIKEN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26601-2026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46183</v>
      </c>
      <c r="E630" s="1" t="n">
        <v>46302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22373-2023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45070</v>
      </c>
      <c r="E631" s="1" t="n">
        <v>46302</v>
      </c>
      <c r="F631" t="inlineStr">
        <is>
          <t>GÄVLEBORGS LÄN</t>
        </is>
      </c>
      <c r="G631" t="inlineStr">
        <is>
          <t>SANDVIKEN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58796-2024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45636</v>
      </c>
      <c r="E632" s="1" t="n">
        <v>46302</v>
      </c>
      <c r="F632" t="inlineStr">
        <is>
          <t>GÄVLEBORGS LÄN</t>
        </is>
      </c>
      <c r="G632" t="inlineStr">
        <is>
          <t>SANDVIKEN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25357-2023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45087</v>
      </c>
      <c r="E633" s="1" t="n">
        <v>46302</v>
      </c>
      <c r="F633" t="inlineStr">
        <is>
          <t>GÄVLEBORGS LÄN</t>
        </is>
      </c>
      <c r="G633" t="inlineStr">
        <is>
          <t>SANDVIKEN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45530</v>
      </c>
      <c r="E634" s="1" t="n">
        <v>46302</v>
      </c>
      <c r="F634" t="inlineStr">
        <is>
          <t>GÄVLEBORGS LÄN</t>
        </is>
      </c>
      <c r="G634" t="inlineStr">
        <is>
          <t>SANDVIKEN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46302</v>
      </c>
      <c r="F635" t="inlineStr">
        <is>
          <t>GÄVLEBORGS LÄN</t>
        </is>
      </c>
      <c r="G635" t="inlineStr">
        <is>
          <t>SANDVIKEN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32291-2024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45512</v>
      </c>
      <c r="E636" s="1" t="n">
        <v>46302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46302</v>
      </c>
      <c r="F637" t="inlineStr">
        <is>
          <t>GÄVLEBORGS LÄN</t>
        </is>
      </c>
      <c r="G637" t="inlineStr">
        <is>
          <t>SANDVIKEN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26964-2026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46302</v>
      </c>
      <c r="F638" t="inlineStr">
        <is>
          <t>GÄVLEBORGS LÄN</t>
        </is>
      </c>
      <c r="G638" t="inlineStr">
        <is>
          <t>SANDVIKEN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46302</v>
      </c>
      <c r="F639" t="inlineStr">
        <is>
          <t>GÄVLEBORGS LÄN</t>
        </is>
      </c>
      <c r="G639" t="inlineStr">
        <is>
          <t>SANDVIKEN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24764-2024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45460</v>
      </c>
      <c r="E640" s="1" t="n">
        <v>46302</v>
      </c>
      <c r="F640" t="inlineStr">
        <is>
          <t>GÄVLEBORGS LÄN</t>
        </is>
      </c>
      <c r="G640" t="inlineStr">
        <is>
          <t>SANDVIKEN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27588-2026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46302</v>
      </c>
      <c r="F641" t="inlineStr">
        <is>
          <t>GÄVLEBORGS LÄN</t>
        </is>
      </c>
      <c r="G641" t="inlineStr">
        <is>
          <t>SANDVIKEN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36671-2023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45153</v>
      </c>
      <c r="E642" s="1" t="n">
        <v>46302</v>
      </c>
      <c r="F642" t="inlineStr">
        <is>
          <t>GÄVLEBORGS LÄN</t>
        </is>
      </c>
      <c r="G642" t="inlineStr">
        <is>
          <t>SANDVIKEN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14720-2026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46302</v>
      </c>
      <c r="F643" t="inlineStr">
        <is>
          <t>GÄVLEBORGS LÄN</t>
        </is>
      </c>
      <c r="G643" t="inlineStr">
        <is>
          <t>SANDVIKEN</t>
        </is>
      </c>
      <c r="H643" t="inlineStr">
        <is>
          <t>Kommuner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60897-2023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46302</v>
      </c>
      <c r="F644" t="inlineStr">
        <is>
          <t>GÄVLEBORGS LÄN</t>
        </is>
      </c>
      <c r="G644" t="inlineStr">
        <is>
          <t>SANDVIKEN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62047-2022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44918</v>
      </c>
      <c r="E645" s="1" t="n">
        <v>46302</v>
      </c>
      <c r="F645" t="inlineStr">
        <is>
          <t>GÄVLEBORGS LÄN</t>
        </is>
      </c>
      <c r="G645" t="inlineStr">
        <is>
          <t>SANDVIKEN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45331-2024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45576</v>
      </c>
      <c r="E646" s="1" t="n">
        <v>46302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45271</v>
      </c>
      <c r="E647" s="1" t="n">
        <v>46302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62056-2022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44918</v>
      </c>
      <c r="E648" s="1" t="n">
        <v>46302</v>
      </c>
      <c r="F648" t="inlineStr">
        <is>
          <t>GÄVLEBORGS LÄN</t>
        </is>
      </c>
      <c r="G648" t="inlineStr">
        <is>
          <t>SANDVIKEN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46034</v>
      </c>
      <c r="E649" s="1" t="n">
        <v>46302</v>
      </c>
      <c r="F649" t="inlineStr">
        <is>
          <t>GÄVLEBORGS LÄN</t>
        </is>
      </c>
      <c r="G649" t="inlineStr">
        <is>
          <t>SANDVIKEN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27743-2026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46191</v>
      </c>
      <c r="E650" s="1" t="n">
        <v>46302</v>
      </c>
      <c r="F650" t="inlineStr">
        <is>
          <t>GÄVLEBORGS LÄN</t>
        </is>
      </c>
      <c r="G650" t="inlineStr">
        <is>
          <t>SANDVIKEN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58182-2023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45245</v>
      </c>
      <c r="E651" s="1" t="n">
        <v>46302</v>
      </c>
      <c r="F651" t="inlineStr">
        <is>
          <t>GÄVLEBORGS LÄN</t>
        </is>
      </c>
      <c r="G651" t="inlineStr">
        <is>
          <t>SANDVIKEN</t>
        </is>
      </c>
      <c r="I651" t="n">
        <v>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15674-2024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45404</v>
      </c>
      <c r="E652" s="1" t="n">
        <v>46302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28845-2026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46302</v>
      </c>
      <c r="F653" t="inlineStr">
        <is>
          <t>GÄVLEBORGS LÄN</t>
        </is>
      </c>
      <c r="G653" t="inlineStr">
        <is>
          <t>SANDVIKEN</t>
        </is>
      </c>
      <c r="H653" t="inlineStr">
        <is>
          <t>Sveaskog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22042-2023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45069</v>
      </c>
      <c r="E654" s="1" t="n">
        <v>46302</v>
      </c>
      <c r="F654" t="inlineStr">
        <is>
          <t>GÄVLEBORGS LÄN</t>
        </is>
      </c>
      <c r="G654" t="inlineStr">
        <is>
          <t>SANDVIKEN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1037-2025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45666</v>
      </c>
      <c r="E655" s="1" t="n">
        <v>46302</v>
      </c>
      <c r="F655" t="inlineStr">
        <is>
          <t>GÄVLEBORGS LÄN</t>
        </is>
      </c>
      <c r="G655" t="inlineStr">
        <is>
          <t>SANDVIKEN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16980-2025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45755</v>
      </c>
      <c r="E656" s="1" t="n">
        <v>46302</v>
      </c>
      <c r="F656" t="inlineStr">
        <is>
          <t>GÄVLEBORGS LÄN</t>
        </is>
      </c>
      <c r="G656" t="inlineStr">
        <is>
          <t>SANDVIKEN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45415</v>
      </c>
      <c r="E657" s="1" t="n">
        <v>46302</v>
      </c>
      <c r="F657" t="inlineStr">
        <is>
          <t>GÄVLEBORGS LÄN</t>
        </is>
      </c>
      <c r="G657" t="inlineStr">
        <is>
          <t>SANDVIKEN</t>
        </is>
      </c>
      <c r="H657" t="inlineStr">
        <is>
          <t>Kommuner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11756-2023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44994</v>
      </c>
      <c r="E658" s="1" t="n">
        <v>46302</v>
      </c>
      <c r="F658" t="inlineStr">
        <is>
          <t>GÄVLEBORGS LÄN</t>
        </is>
      </c>
      <c r="G658" t="inlineStr">
        <is>
          <t>SANDVIKEN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11764-2023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44994</v>
      </c>
      <c r="E659" s="1" t="n">
        <v>46302</v>
      </c>
      <c r="F659" t="inlineStr">
        <is>
          <t>GÄVLEBORGS LÄN</t>
        </is>
      </c>
      <c r="G659" t="inlineStr">
        <is>
          <t>SANDVIKEN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46302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46302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26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28344-2026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46196</v>
      </c>
      <c r="E662" s="1" t="n">
        <v>46302</v>
      </c>
      <c r="F662" t="inlineStr">
        <is>
          <t>GÄVLEBORGS LÄN</t>
        </is>
      </c>
      <c r="G662" t="inlineStr">
        <is>
          <t>SANDVIKEN</t>
        </is>
      </c>
      <c r="H662" t="inlineStr">
        <is>
          <t>Sveaskog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28346-2026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46196</v>
      </c>
      <c r="E663" s="1" t="n">
        <v>46302</v>
      </c>
      <c r="F663" t="inlineStr">
        <is>
          <t>GÄVLEBORGS LÄN</t>
        </is>
      </c>
      <c r="G663" t="inlineStr">
        <is>
          <t>SANDVIKEN</t>
        </is>
      </c>
      <c r="H663" t="inlineStr">
        <is>
          <t>Sveaskog</t>
        </is>
      </c>
      <c r="I663" t="n">
        <v>11.9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17256-2024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45414</v>
      </c>
      <c r="E664" s="1" t="n">
        <v>46302</v>
      </c>
      <c r="F664" t="inlineStr">
        <is>
          <t>GÄVLEBORGS LÄN</t>
        </is>
      </c>
      <c r="G664" t="inlineStr">
        <is>
          <t>SANDVIKEN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61858-2024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45649</v>
      </c>
      <c r="E665" s="1" t="n">
        <v>46302</v>
      </c>
      <c r="F665" t="inlineStr">
        <is>
          <t>GÄVLEBORGS LÄN</t>
        </is>
      </c>
      <c r="G665" t="inlineStr">
        <is>
          <t>SANDVIKEN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6951-2024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45343</v>
      </c>
      <c r="E666" s="1" t="n">
        <v>46302</v>
      </c>
      <c r="F666" t="inlineStr">
        <is>
          <t>GÄVLEBORGS LÄN</t>
        </is>
      </c>
      <c r="G666" t="inlineStr">
        <is>
          <t>SANDVIKEN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46302</v>
      </c>
      <c r="F667" t="inlineStr">
        <is>
          <t>GÄVLEBORGS LÄN</t>
        </is>
      </c>
      <c r="G667" t="inlineStr">
        <is>
          <t>SANDVIKEN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12417-2025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45730</v>
      </c>
      <c r="E668" s="1" t="n">
        <v>46302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12418-2025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45730</v>
      </c>
      <c r="E669" s="1" t="n">
        <v>46302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60891-2023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45261</v>
      </c>
      <c r="E670" s="1" t="n">
        <v>46302</v>
      </c>
      <c r="F670" t="inlineStr">
        <is>
          <t>GÄVLEBORGS LÄN</t>
        </is>
      </c>
      <c r="G670" t="inlineStr">
        <is>
          <t>SANDVIKEN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45293</v>
      </c>
      <c r="E671" s="1" t="n">
        <v>46302</v>
      </c>
      <c r="F671" t="inlineStr">
        <is>
          <t>GÄVLEBORGS LÄN</t>
        </is>
      </c>
      <c r="G671" t="inlineStr">
        <is>
          <t>SANDVIKEN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45293</v>
      </c>
      <c r="E672" s="1" t="n">
        <v>46302</v>
      </c>
      <c r="F672" t="inlineStr">
        <is>
          <t>GÄVLEBORGS LÄN</t>
        </is>
      </c>
      <c r="G672" t="inlineStr">
        <is>
          <t>SANDVIKEN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29115-2026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46201</v>
      </c>
      <c r="E673" s="1" t="n">
        <v>46302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46302</v>
      </c>
      <c r="F674" t="inlineStr">
        <is>
          <t>GÄVLEBORGS LÄN</t>
        </is>
      </c>
      <c r="G674" t="inlineStr">
        <is>
          <t>SANDVIKEN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45327</v>
      </c>
      <c r="E675" s="1" t="n">
        <v>46302</v>
      </c>
      <c r="F675" t="inlineStr">
        <is>
          <t>GÄVLEBORGS LÄN</t>
        </is>
      </c>
      <c r="G675" t="inlineStr">
        <is>
          <t>SANDVIKEN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29682-2026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46302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29726-2026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46302</v>
      </c>
      <c r="F677" t="inlineStr">
        <is>
          <t>GÄVLEBORGS LÄN</t>
        </is>
      </c>
      <c r="G677" t="inlineStr">
        <is>
          <t>SANDVIKEN</t>
        </is>
      </c>
      <c r="H677" t="inlineStr">
        <is>
          <t>Naturvårdsverket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46203</v>
      </c>
      <c r="E678" s="1" t="n">
        <v>46302</v>
      </c>
      <c r="F678" t="inlineStr">
        <is>
          <t>GÄVLEBORGS LÄN</t>
        </is>
      </c>
      <c r="G678" t="inlineStr">
        <is>
          <t>SANDVIKEN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29572-2026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46204</v>
      </c>
      <c r="E679" s="1" t="n">
        <v>46302</v>
      </c>
      <c r="F679" t="inlineStr">
        <is>
          <t>GÄVLEBORGS LÄN</t>
        </is>
      </c>
      <c r="G679" t="inlineStr">
        <is>
          <t>SANDVIKEN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46302</v>
      </c>
      <c r="F680" t="inlineStr">
        <is>
          <t>GÄVLEBORGS LÄN</t>
        </is>
      </c>
      <c r="G680" t="inlineStr">
        <is>
          <t>SANDVIKEN</t>
        </is>
      </c>
      <c r="H680" t="inlineStr">
        <is>
          <t>Naturvårdsverket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29620-2026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46302</v>
      </c>
      <c r="F681" t="inlineStr">
        <is>
          <t>GÄVLEBORGS LÄN</t>
        </is>
      </c>
      <c r="G681" t="inlineStr">
        <is>
          <t>SANDVIKEN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3833-2024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45321</v>
      </c>
      <c r="E682" s="1" t="n">
        <v>46302</v>
      </c>
      <c r="F682" t="inlineStr">
        <is>
          <t>GÄVLEBORGS LÄN</t>
        </is>
      </c>
      <c r="G682" t="inlineStr">
        <is>
          <t>SANDVIKEN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62459-2023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45268</v>
      </c>
      <c r="E683" s="1" t="n">
        <v>46302</v>
      </c>
      <c r="F683" t="inlineStr">
        <is>
          <t>GÄVLEBORGS LÄN</t>
        </is>
      </c>
      <c r="G683" t="inlineStr">
        <is>
          <t>SANDVIKEN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22851-2026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46302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29833-2026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46302</v>
      </c>
      <c r="F685" t="inlineStr">
        <is>
          <t>GÄVLEBORGS LÄN</t>
        </is>
      </c>
      <c r="G685" t="inlineStr">
        <is>
          <t>SANDVIKEN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46302</v>
      </c>
      <c r="F686" t="inlineStr">
        <is>
          <t>GÄVLEBORGS LÄN</t>
        </is>
      </c>
      <c r="G686" t="inlineStr">
        <is>
          <t>SANDVIKEN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36660-2023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45153</v>
      </c>
      <c r="E687" s="1" t="n">
        <v>46302</v>
      </c>
      <c r="F687" t="inlineStr">
        <is>
          <t>GÄVLEBORGS LÄN</t>
        </is>
      </c>
      <c r="G687" t="inlineStr">
        <is>
          <t>SANDVIKEN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45989-2023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45196</v>
      </c>
      <c r="E688" s="1" t="n">
        <v>46302</v>
      </c>
      <c r="F688" t="inlineStr">
        <is>
          <t>GÄVLEBORGS LÄN</t>
        </is>
      </c>
      <c r="G688" t="inlineStr">
        <is>
          <t>SANDVIKEN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25498-2026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46302</v>
      </c>
      <c r="F689" t="inlineStr">
        <is>
          <t>GÄVLEBORGS LÄN</t>
        </is>
      </c>
      <c r="G689" t="inlineStr">
        <is>
          <t>SANDVIKEN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65098-2023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45288</v>
      </c>
      <c r="E690" s="1" t="n">
        <v>46302</v>
      </c>
      <c r="F690" t="inlineStr">
        <is>
          <t>GÄVLEBORGS LÄN</t>
        </is>
      </c>
      <c r="G690" t="inlineStr">
        <is>
          <t>SANDVIKEN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35185-2022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44797</v>
      </c>
      <c r="E691" s="1" t="n">
        <v>46302</v>
      </c>
      <c r="F691" t="inlineStr">
        <is>
          <t>GÄVLEBORGS LÄN</t>
        </is>
      </c>
      <c r="G691" t="inlineStr">
        <is>
          <t>SANDVIKEN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61052-2024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45645</v>
      </c>
      <c r="E692" s="1" t="n">
        <v>46302</v>
      </c>
      <c r="F692" t="inlineStr">
        <is>
          <t>GÄVLEBORGS LÄN</t>
        </is>
      </c>
      <c r="G692" t="inlineStr">
        <is>
          <t>SANDVIKEN</t>
        </is>
      </c>
      <c r="H692" t="inlineStr">
        <is>
          <t>Naturvårdsverket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52785-2023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45226</v>
      </c>
      <c r="E693" s="1" t="n">
        <v>46302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45701</v>
      </c>
      <c r="E694" s="1" t="n">
        <v>46302</v>
      </c>
      <c r="F694" t="inlineStr">
        <is>
          <t>GÄVLEBORGS LÄN</t>
        </is>
      </c>
      <c r="G694" t="inlineStr">
        <is>
          <t>SANDVIKEN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71995-2021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44544</v>
      </c>
      <c r="E695" s="1" t="n">
        <v>46302</v>
      </c>
      <c r="F695" t="inlineStr">
        <is>
          <t>GÄVLEBORGS LÄN</t>
        </is>
      </c>
      <c r="G695" t="inlineStr">
        <is>
          <t>SANDVIKEN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46302</v>
      </c>
      <c r="F696" t="inlineStr">
        <is>
          <t>GÄVLEBORGS LÄN</t>
        </is>
      </c>
      <c r="G696" t="inlineStr">
        <is>
          <t>SANDVIKEN</t>
        </is>
      </c>
      <c r="I696" t="n">
        <v>10.2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38570-2023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45162</v>
      </c>
      <c r="E697" s="1" t="n">
        <v>46302</v>
      </c>
      <c r="F697" t="inlineStr">
        <is>
          <t>GÄVLEBORGS LÄN</t>
        </is>
      </c>
      <c r="G697" t="inlineStr">
        <is>
          <t>SANDVIKEN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35107-2026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46260</v>
      </c>
      <c r="E698" s="1" t="n">
        <v>46302</v>
      </c>
      <c r="F698" t="inlineStr">
        <is>
          <t>GÄVLEBORGS LÄN</t>
        </is>
      </c>
      <c r="G698" t="inlineStr">
        <is>
          <t>SANDVIKEN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11397-2023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44988</v>
      </c>
      <c r="E699" s="1" t="n">
        <v>46302</v>
      </c>
      <c r="F699" t="inlineStr">
        <is>
          <t>GÄVLEBORGS LÄN</t>
        </is>
      </c>
      <c r="G699" t="inlineStr">
        <is>
          <t>SANDVIKEN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35253-2026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46261</v>
      </c>
      <c r="E700" s="1" t="n">
        <v>46302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46302</v>
      </c>
      <c r="F701" t="inlineStr">
        <is>
          <t>GÄVLEBORGS LÄN</t>
        </is>
      </c>
      <c r="G701" t="inlineStr">
        <is>
          <t>SANDVIKEN</t>
        </is>
      </c>
      <c r="H701" t="inlineStr">
        <is>
          <t>Sveaskog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48799-2023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45209</v>
      </c>
      <c r="E702" s="1" t="n">
        <v>46302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35345-2026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46302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35416-2026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46261</v>
      </c>
      <c r="E704" s="1" t="n">
        <v>46302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46302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35324-2026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46261</v>
      </c>
      <c r="E706" s="1" t="n">
        <v>46302</v>
      </c>
      <c r="F706" t="inlineStr">
        <is>
          <t>GÄVLEBORGS LÄN</t>
        </is>
      </c>
      <c r="G706" t="inlineStr">
        <is>
          <t>SANDVIKEN</t>
        </is>
      </c>
      <c r="H706" t="inlineStr">
        <is>
          <t>Naturvårdsverket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35325-2026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46261</v>
      </c>
      <c r="E707" s="1" t="n">
        <v>46302</v>
      </c>
      <c r="F707" t="inlineStr">
        <is>
          <t>GÄVLEBORGS LÄN</t>
        </is>
      </c>
      <c r="G707" t="inlineStr">
        <is>
          <t>SANDVIKEN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35320-2026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46261</v>
      </c>
      <c r="E708" s="1" t="n">
        <v>46302</v>
      </c>
      <c r="F708" t="inlineStr">
        <is>
          <t>GÄVLEBORGS LÄN</t>
        </is>
      </c>
      <c r="G708" t="inlineStr">
        <is>
          <t>SANDVIKEN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46261</v>
      </c>
      <c r="E709" s="1" t="n">
        <v>46302</v>
      </c>
      <c r="F709" t="inlineStr">
        <is>
          <t>GÄVLEBORGS LÄN</t>
        </is>
      </c>
      <c r="G709" t="inlineStr">
        <is>
          <t>SANDVIKEN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46302</v>
      </c>
      <c r="F710" t="inlineStr">
        <is>
          <t>GÄVLEBORGS LÄN</t>
        </is>
      </c>
      <c r="G710" t="inlineStr">
        <is>
          <t>SANDVIKEN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35414-2026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46302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35254-2026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46302</v>
      </c>
      <c r="F712" t="inlineStr">
        <is>
          <t>GÄVLEBORGS LÄN</t>
        </is>
      </c>
      <c r="G712" t="inlineStr">
        <is>
          <t>SANDVIKEN</t>
        </is>
      </c>
      <c r="H712" t="inlineStr">
        <is>
          <t>Sveaskog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37741-2023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45159</v>
      </c>
      <c r="E713" s="1" t="n">
        <v>46302</v>
      </c>
      <c r="F713" t="inlineStr">
        <is>
          <t>GÄVLEBORGS LÄN</t>
        </is>
      </c>
      <c r="G713" t="inlineStr">
        <is>
          <t>SANDVIKEN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46261</v>
      </c>
      <c r="E714" s="1" t="n">
        <v>46302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35420-2026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46302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35317-2026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46261</v>
      </c>
      <c r="E716" s="1" t="n">
        <v>46302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35578-2026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46262</v>
      </c>
      <c r="E717" s="1" t="n">
        <v>46302</v>
      </c>
      <c r="F717" t="inlineStr">
        <is>
          <t>GÄVLEBORGS LÄN</t>
        </is>
      </c>
      <c r="G717" t="inlineStr">
        <is>
          <t>SANDVIKEN</t>
        </is>
      </c>
      <c r="H717" t="inlineStr">
        <is>
          <t>Naturvårdsverket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3442-2023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44949</v>
      </c>
      <c r="E718" s="1" t="n">
        <v>46302</v>
      </c>
      <c r="F718" t="inlineStr">
        <is>
          <t>GÄVLEBORGS LÄN</t>
        </is>
      </c>
      <c r="G718" t="inlineStr">
        <is>
          <t>SANDVIKEN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35432-2026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46262</v>
      </c>
      <c r="E719" s="1" t="n">
        <v>46302</v>
      </c>
      <c r="F719" t="inlineStr">
        <is>
          <t>GÄVLEBORGS LÄN</t>
        </is>
      </c>
      <c r="G719" t="inlineStr">
        <is>
          <t>SANDVIKEN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46262</v>
      </c>
      <c r="E720" s="1" t="n">
        <v>46302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35575-2026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46262</v>
      </c>
      <c r="E721" s="1" t="n">
        <v>46302</v>
      </c>
      <c r="F721" t="inlineStr">
        <is>
          <t>GÄVLEBORGS LÄN</t>
        </is>
      </c>
      <c r="G721" t="inlineStr">
        <is>
          <t>SANDVIKEN</t>
        </is>
      </c>
      <c r="H721" t="inlineStr">
        <is>
          <t>Naturvårdsverket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31314-2026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46219</v>
      </c>
      <c r="E722" s="1" t="n">
        <v>46302</v>
      </c>
      <c r="F722" t="inlineStr">
        <is>
          <t>GÄVLEBORGS LÄN</t>
        </is>
      </c>
      <c r="G722" t="inlineStr">
        <is>
          <t>SANDVIKEN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31317-2023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45103</v>
      </c>
      <c r="E723" s="1" t="n">
        <v>46302</v>
      </c>
      <c r="F723" t="inlineStr">
        <is>
          <t>GÄVLEBORGS LÄN</t>
        </is>
      </c>
      <c r="G723" t="inlineStr">
        <is>
          <t>SANDVIKEN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35481-2026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46262</v>
      </c>
      <c r="E724" s="1" t="n">
        <v>46302</v>
      </c>
      <c r="F724" t="inlineStr">
        <is>
          <t>GÄVLEBORGS LÄN</t>
        </is>
      </c>
      <c r="G724" t="inlineStr">
        <is>
          <t>SANDVIKEN</t>
        </is>
      </c>
      <c r="H724" t="inlineStr">
        <is>
          <t>Kommuner</t>
        </is>
      </c>
      <c r="I724" t="n">
        <v>6.7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35451-2026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46262</v>
      </c>
      <c r="E725" s="1" t="n">
        <v>46302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35576-2026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46262</v>
      </c>
      <c r="E726" s="1" t="n">
        <v>46302</v>
      </c>
      <c r="F726" t="inlineStr">
        <is>
          <t>GÄVLEBORGS LÄN</t>
        </is>
      </c>
      <c r="G726" t="inlineStr">
        <is>
          <t>SANDVIKEN</t>
        </is>
      </c>
      <c r="H726" t="inlineStr">
        <is>
          <t>Naturvårdsverket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10895-2025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45722</v>
      </c>
      <c r="E727" s="1" t="n">
        <v>46302</v>
      </c>
      <c r="F727" t="inlineStr">
        <is>
          <t>GÄVLEBORGS LÄN</t>
        </is>
      </c>
      <c r="G727" t="inlineStr">
        <is>
          <t>SANDVIKEN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35865-2026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46266</v>
      </c>
      <c r="E728" s="1" t="n">
        <v>46302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35863-2026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46266</v>
      </c>
      <c r="E729" s="1" t="n">
        <v>46302</v>
      </c>
      <c r="F729" t="inlineStr">
        <is>
          <t>GÄVLEBORGS LÄN</t>
        </is>
      </c>
      <c r="G729" t="inlineStr">
        <is>
          <t>SANDVIKEN</t>
        </is>
      </c>
      <c r="H729" t="inlineStr">
        <is>
          <t>Sveaskog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45666</v>
      </c>
      <c r="E730" s="1" t="n">
        <v>46302</v>
      </c>
      <c r="F730" t="inlineStr">
        <is>
          <t>GÄVLEBORGS LÄN</t>
        </is>
      </c>
      <c r="G730" t="inlineStr">
        <is>
          <t>SANDVIKEN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7624-2023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44972</v>
      </c>
      <c r="E731" s="1" t="n">
        <v>46302</v>
      </c>
      <c r="F731" t="inlineStr">
        <is>
          <t>GÄVLEBORGS LÄN</t>
        </is>
      </c>
      <c r="G731" t="inlineStr">
        <is>
          <t>SANDVIKEN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49706-2023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45212</v>
      </c>
      <c r="E732" s="1" t="n">
        <v>46302</v>
      </c>
      <c r="F732" t="inlineStr">
        <is>
          <t>GÄVLEBORGS LÄN</t>
        </is>
      </c>
      <c r="G732" t="inlineStr">
        <is>
          <t>SANDVIKEN</t>
        </is>
      </c>
      <c r="H732" t="inlineStr">
        <is>
          <t>Sveaskog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10575-2025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45721</v>
      </c>
      <c r="E733" s="1" t="n">
        <v>46302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10577-2025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45721</v>
      </c>
      <c r="E734" s="1" t="n">
        <v>46302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10580-2025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45721</v>
      </c>
      <c r="E735" s="1" t="n">
        <v>46302</v>
      </c>
      <c r="F735" t="inlineStr">
        <is>
          <t>GÄVLEBORGS LÄN</t>
        </is>
      </c>
      <c r="G735" t="inlineStr">
        <is>
          <t>SANDVIKEN</t>
        </is>
      </c>
      <c r="H735" t="inlineStr">
        <is>
          <t>Sveaskog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23162-2023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45075</v>
      </c>
      <c r="E736" s="1" t="n">
        <v>46302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29296-2024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45483</v>
      </c>
      <c r="E737" s="1" t="n">
        <v>46302</v>
      </c>
      <c r="F737" t="inlineStr">
        <is>
          <t>GÄVLEBORGS LÄN</t>
        </is>
      </c>
      <c r="G737" t="inlineStr">
        <is>
          <t>SANDVIKEN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61100-2025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46000</v>
      </c>
      <c r="E738" s="1" t="n">
        <v>46302</v>
      </c>
      <c r="F738" t="inlineStr">
        <is>
          <t>GÄVLEBORGS LÄN</t>
        </is>
      </c>
      <c r="G738" t="inlineStr">
        <is>
          <t>SANDVIKEN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43090-2023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45182</v>
      </c>
      <c r="E739" s="1" t="n">
        <v>46302</v>
      </c>
      <c r="F739" t="inlineStr">
        <is>
          <t>GÄVLEBORGS LÄN</t>
        </is>
      </c>
      <c r="G739" t="inlineStr">
        <is>
          <t>SANDVIKEN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45102-2022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44843</v>
      </c>
      <c r="E740" s="1" t="n">
        <v>46302</v>
      </c>
      <c r="F740" t="inlineStr">
        <is>
          <t>GÄVLEBORGS LÄN</t>
        </is>
      </c>
      <c r="G740" t="inlineStr">
        <is>
          <t>SANDVIKEN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45327</v>
      </c>
      <c r="E741" s="1" t="n">
        <v>46302</v>
      </c>
      <c r="F741" t="inlineStr">
        <is>
          <t>GÄVLEBORGS LÄN</t>
        </is>
      </c>
      <c r="G741" t="inlineStr">
        <is>
          <t>SANDVIKEN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37697-2022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44810</v>
      </c>
      <c r="E742" s="1" t="n">
        <v>46302</v>
      </c>
      <c r="F742" t="inlineStr">
        <is>
          <t>GÄVLEBORGS LÄN</t>
        </is>
      </c>
      <c r="G742" t="inlineStr">
        <is>
          <t>SANDVIKEN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31802-2026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46230</v>
      </c>
      <c r="E743" s="1" t="n">
        <v>46302</v>
      </c>
      <c r="F743" t="inlineStr">
        <is>
          <t>GÄVLEBORGS LÄN</t>
        </is>
      </c>
      <c r="G743" t="inlineStr">
        <is>
          <t>SANDVIKEN</t>
        </is>
      </c>
      <c r="H743" t="inlineStr">
        <is>
          <t>Kommuner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31807-2026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46230</v>
      </c>
      <c r="E744" s="1" t="n">
        <v>46302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11.2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37024-2026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46302</v>
      </c>
      <c r="F745" t="inlineStr">
        <is>
          <t>GÄVLEBORGS LÄN</t>
        </is>
      </c>
      <c r="G745" t="inlineStr">
        <is>
          <t>SANDVIKEN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6167-2025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45698</v>
      </c>
      <c r="E746" s="1" t="n">
        <v>46302</v>
      </c>
      <c r="F746" t="inlineStr">
        <is>
          <t>GÄVLEBORGS LÄN</t>
        </is>
      </c>
      <c r="G746" t="inlineStr">
        <is>
          <t>SANDVIKEN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49211-2023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45210</v>
      </c>
      <c r="E747" s="1" t="n">
        <v>46302</v>
      </c>
      <c r="F747" t="inlineStr">
        <is>
          <t>GÄVLEBORGS LÄN</t>
        </is>
      </c>
      <c r="G747" t="inlineStr">
        <is>
          <t>SANDVIKEN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61537-2023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45265</v>
      </c>
      <c r="E748" s="1" t="n">
        <v>46302</v>
      </c>
      <c r="F748" t="inlineStr">
        <is>
          <t>GÄVLEBORGS LÄN</t>
        </is>
      </c>
      <c r="G748" t="inlineStr">
        <is>
          <t>SANDVIKEN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44586</v>
      </c>
      <c r="E749" s="1" t="n">
        <v>46302</v>
      </c>
      <c r="F749" t="inlineStr">
        <is>
          <t>GÄVLEBORGS LÄN</t>
        </is>
      </c>
      <c r="G749" t="inlineStr">
        <is>
          <t>SANDVIKEN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31723-2026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46227</v>
      </c>
      <c r="E750" s="1" t="n">
        <v>46302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9.300000000000001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58911-2023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45250</v>
      </c>
      <c r="E751" s="1" t="n">
        <v>46302</v>
      </c>
      <c r="F751" t="inlineStr">
        <is>
          <t>GÄVLEBORGS LÄN</t>
        </is>
      </c>
      <c r="G751" t="inlineStr">
        <is>
          <t>SANDVIKEN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37455-2026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46275</v>
      </c>
      <c r="E752" s="1" t="n">
        <v>46302</v>
      </c>
      <c r="F752" t="inlineStr">
        <is>
          <t>GÄVLEBORGS LÄN</t>
        </is>
      </c>
      <c r="G752" t="inlineStr">
        <is>
          <t>SANDVIKEN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30714-2023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45112</v>
      </c>
      <c r="E753" s="1" t="n">
        <v>46302</v>
      </c>
      <c r="F753" t="inlineStr">
        <is>
          <t>GÄVLEBORGS LÄN</t>
        </is>
      </c>
      <c r="G753" t="inlineStr">
        <is>
          <t>SANDVIKEN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23476-2026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46302</v>
      </c>
      <c r="F754" t="inlineStr">
        <is>
          <t>GÄVLEBORGS LÄN</t>
        </is>
      </c>
      <c r="G754" t="inlineStr">
        <is>
          <t>SANDVIKEN</t>
        </is>
      </c>
      <c r="H754" t="inlineStr">
        <is>
          <t>Övriga statliga verk och myndigheter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63309-2023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45274</v>
      </c>
      <c r="E755" s="1" t="n">
        <v>46302</v>
      </c>
      <c r="F755" t="inlineStr">
        <is>
          <t>GÄVLEBORGS LÄN</t>
        </is>
      </c>
      <c r="G755" t="inlineStr">
        <is>
          <t>SANDVIKEN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38047-2026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46280</v>
      </c>
      <c r="E756" s="1" t="n">
        <v>46302</v>
      </c>
      <c r="F756" t="inlineStr">
        <is>
          <t>GÄVLEBORGS LÄN</t>
        </is>
      </c>
      <c r="G756" t="inlineStr">
        <is>
          <t>SANDVIKEN</t>
        </is>
      </c>
      <c r="H756" t="inlineStr">
        <is>
          <t>Kommuner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17818-2025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45758</v>
      </c>
      <c r="E757" s="1" t="n">
        <v>46302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27987-2024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46302</v>
      </c>
      <c r="F758" t="inlineStr">
        <is>
          <t>GÄVLEBORGS LÄN</t>
        </is>
      </c>
      <c r="G758" t="inlineStr">
        <is>
          <t>SANDVIKEN</t>
        </is>
      </c>
      <c r="H758" t="inlineStr">
        <is>
          <t>Kommuner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7886-2026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46063</v>
      </c>
      <c r="E759" s="1" t="n">
        <v>46302</v>
      </c>
      <c r="F759" t="inlineStr">
        <is>
          <t>GÄVLEBORGS LÄN</t>
        </is>
      </c>
      <c r="G759" t="inlineStr">
        <is>
          <t>SANDVIKEN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39157-2026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46287</v>
      </c>
      <c r="E760" s="1" t="n">
        <v>46302</v>
      </c>
      <c r="F760" t="inlineStr">
        <is>
          <t>GÄVLEBORGS LÄN</t>
        </is>
      </c>
      <c r="G760" t="inlineStr">
        <is>
          <t>SANDVIKEN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46302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46302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45279-2023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45191</v>
      </c>
      <c r="E763" s="1" t="n">
        <v>46302</v>
      </c>
      <c r="F763" t="inlineStr">
        <is>
          <t>GÄVLEBORGS LÄN</t>
        </is>
      </c>
      <c r="G763" t="inlineStr">
        <is>
          <t>SANDVIKEN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38995-2026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46287</v>
      </c>
      <c r="E764" s="1" t="n">
        <v>46302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7996-2026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46063</v>
      </c>
      <c r="E765" s="1" t="n">
        <v>46302</v>
      </c>
      <c r="F765" t="inlineStr">
        <is>
          <t>GÄVLEBORGS LÄN</t>
        </is>
      </c>
      <c r="G765" t="inlineStr">
        <is>
          <t>SANDVIKEN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11897-2024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45376</v>
      </c>
      <c r="E766" s="1" t="n">
        <v>46302</v>
      </c>
      <c r="F766" t="inlineStr">
        <is>
          <t>GÄVLEBORGS LÄN</t>
        </is>
      </c>
      <c r="G766" t="inlineStr">
        <is>
          <t>SANDVIKEN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23217-2023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45075</v>
      </c>
      <c r="E767" s="1" t="n">
        <v>46302</v>
      </c>
      <c r="F767" t="inlineStr">
        <is>
          <t>GÄVLEBORGS LÄN</t>
        </is>
      </c>
      <c r="G767" t="inlineStr">
        <is>
          <t>SANDVIKEN</t>
        </is>
      </c>
      <c r="H767" t="inlineStr">
        <is>
          <t>Sveaskog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39155-2026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46287</v>
      </c>
      <c r="E768" s="1" t="n">
        <v>46302</v>
      </c>
      <c r="F768" t="inlineStr">
        <is>
          <t>GÄVLEBORGS LÄN</t>
        </is>
      </c>
      <c r="G768" t="inlineStr">
        <is>
          <t>SANDVIKEN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42069-2024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45562</v>
      </c>
      <c r="E769" s="1" t="n">
        <v>46302</v>
      </c>
      <c r="F769" t="inlineStr">
        <is>
          <t>GÄVLEBORGS LÄN</t>
        </is>
      </c>
      <c r="G769" t="inlineStr">
        <is>
          <t>SANDVIKEN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22070-2023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45069</v>
      </c>
      <c r="E770" s="1" t="n">
        <v>46302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32875-2026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46244</v>
      </c>
      <c r="E771" s="1" t="n">
        <v>46302</v>
      </c>
      <c r="F771" t="inlineStr">
        <is>
          <t>GÄVLEBORGS LÄN</t>
        </is>
      </c>
      <c r="G771" t="inlineStr">
        <is>
          <t>SANDVIKEN</t>
        </is>
      </c>
      <c r="H771" t="inlineStr">
        <is>
          <t>Kommuner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39396-2026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46288</v>
      </c>
      <c r="E772" s="1" t="n">
        <v>46302</v>
      </c>
      <c r="F772" t="inlineStr">
        <is>
          <t>GÄVLEBORGS LÄN</t>
        </is>
      </c>
      <c r="G772" t="inlineStr">
        <is>
          <t>SANDVIKEN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23085-2023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45075</v>
      </c>
      <c r="E773" s="1" t="n">
        <v>46302</v>
      </c>
      <c r="F773" t="inlineStr">
        <is>
          <t>GÄVLEBORGS LÄN</t>
        </is>
      </c>
      <c r="G773" t="inlineStr">
        <is>
          <t>SANDVIKEN</t>
        </is>
      </c>
      <c r="I773" t="n">
        <v>8.300000000000001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36833-2022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44805</v>
      </c>
      <c r="E774" s="1" t="n">
        <v>46302</v>
      </c>
      <c r="F774" t="inlineStr">
        <is>
          <t>GÄVLEBORGS LÄN</t>
        </is>
      </c>
      <c r="G774" t="inlineStr">
        <is>
          <t>SANDVIKEN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39393-2026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46288</v>
      </c>
      <c r="E775" s="1" t="n">
        <v>46302</v>
      </c>
      <c r="F775" t="inlineStr">
        <is>
          <t>GÄVLEBORGS LÄN</t>
        </is>
      </c>
      <c r="G775" t="inlineStr">
        <is>
          <t>SANDVIKEN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28063-2023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45099</v>
      </c>
      <c r="E776" s="1" t="n">
        <v>46302</v>
      </c>
      <c r="F776" t="inlineStr">
        <is>
          <t>GÄVLEBORGS LÄN</t>
        </is>
      </c>
      <c r="G776" t="inlineStr">
        <is>
          <t>SANDVIKEN</t>
        </is>
      </c>
      <c r="I776" t="n">
        <v>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59738-2022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44908</v>
      </c>
      <c r="E777" s="1" t="n">
        <v>46302</v>
      </c>
      <c r="F777" t="inlineStr">
        <is>
          <t>GÄVLEBORGS LÄN</t>
        </is>
      </c>
      <c r="G777" t="inlineStr">
        <is>
          <t>SANDVIKEN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59661-2024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45639</v>
      </c>
      <c r="E778" s="1" t="n">
        <v>46302</v>
      </c>
      <c r="F778" t="inlineStr">
        <is>
          <t>GÄVLEBORGS LÄN</t>
        </is>
      </c>
      <c r="G778" t="inlineStr">
        <is>
          <t>SANDVIKEN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46246</v>
      </c>
      <c r="E779" s="1" t="n">
        <v>46302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45320</v>
      </c>
      <c r="E780" s="1" t="n">
        <v>46302</v>
      </c>
      <c r="F780" t="inlineStr">
        <is>
          <t>GÄVLEBORGS LÄN</t>
        </is>
      </c>
      <c r="G780" t="inlineStr">
        <is>
          <t>SANDVIKEN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46247</v>
      </c>
      <c r="E781" s="1" t="n">
        <v>46302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11778-2024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45374</v>
      </c>
      <c r="E782" s="1" t="n">
        <v>46302</v>
      </c>
      <c r="F782" t="inlineStr">
        <is>
          <t>GÄVLEBORGS LÄN</t>
        </is>
      </c>
      <c r="G782" t="inlineStr">
        <is>
          <t>SANDVIKEN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47710-2022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44854</v>
      </c>
      <c r="E783" s="1" t="n">
        <v>46302</v>
      </c>
      <c r="F783" t="inlineStr">
        <is>
          <t>GÄVLEBORGS LÄN</t>
        </is>
      </c>
      <c r="G783" t="inlineStr">
        <is>
          <t>SANDVIKEN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48300-2023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45205</v>
      </c>
      <c r="E784" s="1" t="n">
        <v>46302</v>
      </c>
      <c r="F784" t="inlineStr">
        <is>
          <t>GÄVLEBORGS LÄN</t>
        </is>
      </c>
      <c r="G784" t="inlineStr">
        <is>
          <t>SANDVIKEN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10578-2025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45721</v>
      </c>
      <c r="E785" s="1" t="n">
        <v>46302</v>
      </c>
      <c r="F785" t="inlineStr">
        <is>
          <t>GÄVLEBORGS LÄN</t>
        </is>
      </c>
      <c r="G785" t="inlineStr">
        <is>
          <t>SANDVIKEN</t>
        </is>
      </c>
      <c r="H785" t="inlineStr">
        <is>
          <t>Sveaskog</t>
        </is>
      </c>
      <c r="I785" t="n">
        <v>5.8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44101-2023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45188</v>
      </c>
      <c r="E786" s="1" t="n">
        <v>46302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29297-2024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45483</v>
      </c>
      <c r="E787" s="1" t="n">
        <v>46302</v>
      </c>
      <c r="F787" t="inlineStr">
        <is>
          <t>GÄVLEBORGS LÄN</t>
        </is>
      </c>
      <c r="G787" t="inlineStr">
        <is>
          <t>SANDVIKEN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53007-2023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45226</v>
      </c>
      <c r="E788" s="1" t="n">
        <v>46302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34036-2026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46252</v>
      </c>
      <c r="E789" s="1" t="n">
        <v>46302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39566-2022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44818</v>
      </c>
      <c r="E790" s="1" t="n">
        <v>46302</v>
      </c>
      <c r="F790" t="inlineStr">
        <is>
          <t>GÄVLEBORGS LÄN</t>
        </is>
      </c>
      <c r="G790" t="inlineStr">
        <is>
          <t>SANDVIKEN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11385-2023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44988</v>
      </c>
      <c r="E791" s="1" t="n">
        <v>46302</v>
      </c>
      <c r="F791" t="inlineStr">
        <is>
          <t>GÄVLEBORGS LÄN</t>
        </is>
      </c>
      <c r="G791" t="inlineStr">
        <is>
          <t>SANDVIKEN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52932-2022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44875</v>
      </c>
      <c r="E792" s="1" t="n">
        <v>46302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46302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30721-2023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45112</v>
      </c>
      <c r="E794" s="1" t="n">
        <v>46302</v>
      </c>
      <c r="F794" t="inlineStr">
        <is>
          <t>GÄVLEBORGS LÄN</t>
        </is>
      </c>
      <c r="G794" t="inlineStr">
        <is>
          <t>SANDVIKEN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27533-2026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46190</v>
      </c>
      <c r="E795" s="1" t="n">
        <v>46302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46302</v>
      </c>
      <c r="F796" t="inlineStr">
        <is>
          <t>GÄVLEBORGS LÄN</t>
        </is>
      </c>
      <c r="G796" t="inlineStr">
        <is>
          <t>SANDVIKEN</t>
        </is>
      </c>
      <c r="I796" t="n">
        <v>6.9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34946-2022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44796</v>
      </c>
      <c r="E797" s="1" t="n">
        <v>46302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33877-2026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46302</v>
      </c>
      <c r="F798" t="inlineStr">
        <is>
          <t>GÄVLEBORGS LÄN</t>
        </is>
      </c>
      <c r="G798" t="inlineStr">
        <is>
          <t>SANDVIKEN</t>
        </is>
      </c>
      <c r="H798" t="inlineStr">
        <is>
          <t>Sveaskog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38200-2024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45545</v>
      </c>
      <c r="E799" s="1" t="n">
        <v>46302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46302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32989-2026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46244</v>
      </c>
      <c r="E801" s="1" t="n">
        <v>46302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8.6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34253-2026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46253</v>
      </c>
      <c r="E802" s="1" t="n">
        <v>46302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5247-2026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46049</v>
      </c>
      <c r="E803" s="1" t="n">
        <v>46302</v>
      </c>
      <c r="F803" t="inlineStr">
        <is>
          <t>GÄVLEBORGS LÄN</t>
        </is>
      </c>
      <c r="G803" t="inlineStr">
        <is>
          <t>SANDVIKEN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22238-2023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46302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61301-2025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46000</v>
      </c>
      <c r="E805" s="1" t="n">
        <v>46302</v>
      </c>
      <c r="F805" t="inlineStr">
        <is>
          <t>GÄVLEBORGS LÄN</t>
        </is>
      </c>
      <c r="G805" t="inlineStr">
        <is>
          <t>SANDVIKEN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4461-2023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44956</v>
      </c>
      <c r="E806" s="1" t="n">
        <v>46302</v>
      </c>
      <c r="F806" t="inlineStr">
        <is>
          <t>GÄVLEBORGS LÄN</t>
        </is>
      </c>
      <c r="G806" t="inlineStr">
        <is>
          <t>SANDVIKEN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716-2024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45300</v>
      </c>
      <c r="E807" s="1" t="n">
        <v>46302</v>
      </c>
      <c r="F807" t="inlineStr">
        <is>
          <t>GÄVLEBORGS LÄN</t>
        </is>
      </c>
      <c r="G807" t="inlineStr">
        <is>
          <t>SANDVIKEN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64801-2023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45282</v>
      </c>
      <c r="E808" s="1" t="n">
        <v>46302</v>
      </c>
      <c r="F808" t="inlineStr">
        <is>
          <t>GÄVLEBORGS LÄN</t>
        </is>
      </c>
      <c r="G808" t="inlineStr">
        <is>
          <t>SANDVIKEN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58200-2025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45984</v>
      </c>
      <c r="E809" s="1" t="n">
        <v>46302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7351-2026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46058</v>
      </c>
      <c r="E810" s="1" t="n">
        <v>46302</v>
      </c>
      <c r="F810" t="inlineStr">
        <is>
          <t>GÄVLEBORGS LÄN</t>
        </is>
      </c>
      <c r="G810" t="inlineStr">
        <is>
          <t>SANDVIKEN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46058</v>
      </c>
      <c r="E811" s="1" t="n">
        <v>46302</v>
      </c>
      <c r="F811" t="inlineStr">
        <is>
          <t>GÄVLEBORGS LÄN</t>
        </is>
      </c>
      <c r="G811" t="inlineStr">
        <is>
          <t>SANDVIKEN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50765-2024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45602</v>
      </c>
      <c r="E812" s="1" t="n">
        <v>46302</v>
      </c>
      <c r="F812" t="inlineStr">
        <is>
          <t>GÄVLEBORGS LÄN</t>
        </is>
      </c>
      <c r="G812" t="inlineStr">
        <is>
          <t>SANDVIKEN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25837-2026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46302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34408-2026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46254</v>
      </c>
      <c r="E814" s="1" t="n">
        <v>46302</v>
      </c>
      <c r="F814" t="inlineStr">
        <is>
          <t>GÄVLEBORGS LÄN</t>
        </is>
      </c>
      <c r="G814" t="inlineStr">
        <is>
          <t>SANDVIKEN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58363-2022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44901</v>
      </c>
      <c r="E815" s="1" t="n">
        <v>46302</v>
      </c>
      <c r="F815" t="inlineStr">
        <is>
          <t>GÄVLEBORGS LÄN</t>
        </is>
      </c>
      <c r="G815" t="inlineStr">
        <is>
          <t>SANDVIKEN</t>
        </is>
      </c>
      <c r="I815" t="n">
        <v>7.3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7350-2026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46058</v>
      </c>
      <c r="E816" s="1" t="n">
        <v>46302</v>
      </c>
      <c r="F816" t="inlineStr">
        <is>
          <t>GÄVLEBORGS LÄN</t>
        </is>
      </c>
      <c r="G816" t="inlineStr">
        <is>
          <t>SANDVIKEN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33874-2026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46251</v>
      </c>
      <c r="E817" s="1" t="n">
        <v>46302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8611-2026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46065</v>
      </c>
      <c r="E818" s="1" t="n">
        <v>46302</v>
      </c>
      <c r="F818" t="inlineStr">
        <is>
          <t>GÄVLEBORGS LÄN</t>
        </is>
      </c>
      <c r="G818" t="inlineStr">
        <is>
          <t>SANDVIKEN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46302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58983-2023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45252</v>
      </c>
      <c r="E820" s="1" t="n">
        <v>46302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32998-2026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46244</v>
      </c>
      <c r="E821" s="1" t="n">
        <v>46302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24465-2023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45082</v>
      </c>
      <c r="E822" s="1" t="n">
        <v>46302</v>
      </c>
      <c r="F822" t="inlineStr">
        <is>
          <t>GÄVLEBORGS LÄN</t>
        </is>
      </c>
      <c r="G822" t="inlineStr">
        <is>
          <t>SANDVIKEN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2290-2025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45673</v>
      </c>
      <c r="E823" s="1" t="n">
        <v>46302</v>
      </c>
      <c r="F823" t="inlineStr">
        <is>
          <t>GÄVLEBORGS LÄN</t>
        </is>
      </c>
      <c r="G823" t="inlineStr">
        <is>
          <t>SANDVIKEN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46251</v>
      </c>
      <c r="E824" s="1" t="n">
        <v>46302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58198-2025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45984</v>
      </c>
      <c r="E825" s="1" t="n">
        <v>46302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35492-2026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46262</v>
      </c>
      <c r="E826" s="1" t="n">
        <v>46302</v>
      </c>
      <c r="F826" t="inlineStr">
        <is>
          <t>GÄVLEBORGS LÄN</t>
        </is>
      </c>
      <c r="G826" t="inlineStr">
        <is>
          <t>SANDVIKEN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46302</v>
      </c>
      <c r="F827" t="inlineStr">
        <is>
          <t>GÄVLEBORGS LÄN</t>
        </is>
      </c>
      <c r="G827" t="inlineStr">
        <is>
          <t>SANDVIKEN</t>
        </is>
      </c>
      <c r="H827" t="inlineStr">
        <is>
          <t>Bergvik skog öst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1418-2025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45668</v>
      </c>
      <c r="E828" s="1" t="n">
        <v>46302</v>
      </c>
      <c r="F828" t="inlineStr">
        <is>
          <t>GÄVLEBORGS LÄN</t>
        </is>
      </c>
      <c r="G828" t="inlineStr">
        <is>
          <t>SANDVIKEN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36203-2025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45867</v>
      </c>
      <c r="E829" s="1" t="n">
        <v>46302</v>
      </c>
      <c r="F829" t="inlineStr">
        <is>
          <t>GÄVLEBORGS LÄN</t>
        </is>
      </c>
      <c r="G829" t="inlineStr">
        <is>
          <t>SANDVIKEN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34606-2026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46255</v>
      </c>
      <c r="E830" s="1" t="n">
        <v>46302</v>
      </c>
      <c r="F830" t="inlineStr">
        <is>
          <t>GÄVLEBORGS LÄN</t>
        </is>
      </c>
      <c r="G830" t="inlineStr">
        <is>
          <t>SANDVIKEN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19186-2026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46132</v>
      </c>
      <c r="E831" s="1" t="n">
        <v>46302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60908-2022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44914</v>
      </c>
      <c r="E832" s="1" t="n">
        <v>46302</v>
      </c>
      <c r="F832" t="inlineStr">
        <is>
          <t>GÄVLEBORGS LÄN</t>
        </is>
      </c>
      <c r="G832" t="inlineStr">
        <is>
          <t>SANDVIKEN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46607-2025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45926</v>
      </c>
      <c r="E833" s="1" t="n">
        <v>46302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29608-2026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46204</v>
      </c>
      <c r="E834" s="1" t="n">
        <v>46302</v>
      </c>
      <c r="F834" t="inlineStr">
        <is>
          <t>GÄVLEBORGS LÄN</t>
        </is>
      </c>
      <c r="G834" t="inlineStr">
        <is>
          <t>SANDVIKEN</t>
        </is>
      </c>
      <c r="I834" t="n">
        <v>5.4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34879-2026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46258</v>
      </c>
      <c r="E835" s="1" t="n">
        <v>46302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59841-2023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45257</v>
      </c>
      <c r="E836" s="1" t="n">
        <v>46302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12656-2026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46091</v>
      </c>
      <c r="E837" s="1" t="n">
        <v>46302</v>
      </c>
      <c r="F837" t="inlineStr">
        <is>
          <t>GÄVLEBORGS LÄN</t>
        </is>
      </c>
      <c r="G837" t="inlineStr">
        <is>
          <t>SANDVIKEN</t>
        </is>
      </c>
      <c r="H837" t="inlineStr">
        <is>
          <t>Naturvårdsverket</t>
        </is>
      </c>
      <c r="I837" t="n">
        <v>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13580-2026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46095</v>
      </c>
      <c r="E838" s="1" t="n">
        <v>46302</v>
      </c>
      <c r="F838" t="inlineStr">
        <is>
          <t>GÄVLEBORGS LÄN</t>
        </is>
      </c>
      <c r="G838" t="inlineStr">
        <is>
          <t>SANDVIKEN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41328-2026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46301</v>
      </c>
      <c r="E839" s="1" t="n">
        <v>46302</v>
      </c>
      <c r="F839" t="inlineStr">
        <is>
          <t>GÄVLEBORGS LÄN</t>
        </is>
      </c>
      <c r="G839" t="inlineStr">
        <is>
          <t>SANDVIKEN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13581-2026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46095</v>
      </c>
      <c r="E840" s="1" t="n">
        <v>46302</v>
      </c>
      <c r="F840" t="inlineStr">
        <is>
          <t>GÄVLEBORGS LÄN</t>
        </is>
      </c>
      <c r="G840" t="inlineStr">
        <is>
          <t>SANDVIKEN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17164-2026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46115</v>
      </c>
      <c r="E841" s="1" t="n">
        <v>46302</v>
      </c>
      <c r="F841" t="inlineStr">
        <is>
          <t>GÄVLEBORGS LÄN</t>
        </is>
      </c>
      <c r="G841" t="inlineStr">
        <is>
          <t>SANDVIKEN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18218-2026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46126</v>
      </c>
      <c r="E842" s="1" t="n">
        <v>46302</v>
      </c>
      <c r="F842" t="inlineStr">
        <is>
          <t>GÄVLEBORGS LÄN</t>
        </is>
      </c>
      <c r="G842" t="inlineStr">
        <is>
          <t>SANDVIKEN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34997-2026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46259</v>
      </c>
      <c r="E843" s="1" t="n">
        <v>46302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25841-2026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46178</v>
      </c>
      <c r="E844" s="1" t="n">
        <v>46302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41125-2026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46300</v>
      </c>
      <c r="E845" s="1" t="n">
        <v>46302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18752-2026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46128</v>
      </c>
      <c r="E846" s="1" t="n">
        <v>46302</v>
      </c>
      <c r="F846" t="inlineStr">
        <is>
          <t>GÄVLEBORGS LÄN</t>
        </is>
      </c>
      <c r="G846" t="inlineStr">
        <is>
          <t>SANDVIKEN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45688</v>
      </c>
      <c r="E847" s="1" t="n">
        <v>46302</v>
      </c>
      <c r="F847" t="inlineStr">
        <is>
          <t>GÄVLEBORGS LÄN</t>
        </is>
      </c>
      <c r="G847" t="inlineStr">
        <is>
          <t>SANDVIKEN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27006-2023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45094</v>
      </c>
      <c r="E848" s="1" t="n">
        <v>46302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9.5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46177-2022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44847</v>
      </c>
      <c r="E849" s="1" t="n">
        <v>46302</v>
      </c>
      <c r="F849" t="inlineStr">
        <is>
          <t>GÄVLEBORGS LÄN</t>
        </is>
      </c>
      <c r="G849" t="inlineStr">
        <is>
          <t>SANDVIKEN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29613-2026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46204</v>
      </c>
      <c r="E850" s="1" t="n">
        <v>46302</v>
      </c>
      <c r="F850" t="inlineStr">
        <is>
          <t>GÄVLEBORGS LÄN</t>
        </is>
      </c>
      <c r="G850" t="inlineStr">
        <is>
          <t>SANDVIKEN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15340-2026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46105</v>
      </c>
      <c r="E851" s="1" t="n">
        <v>46302</v>
      </c>
      <c r="F851" t="inlineStr">
        <is>
          <t>GÄVLEBORGS LÄN</t>
        </is>
      </c>
      <c r="G851" t="inlineStr">
        <is>
          <t>SANDVIKEN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19346-2023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45049</v>
      </c>
      <c r="E852" s="1" t="n">
        <v>46302</v>
      </c>
      <c r="F852" t="inlineStr">
        <is>
          <t>GÄVLEBORGS LÄN</t>
        </is>
      </c>
      <c r="G852" t="inlineStr">
        <is>
          <t>SANDVIKEN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34603-2026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46255</v>
      </c>
      <c r="E853" s="1" t="n">
        <v>46302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34608-2026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46255</v>
      </c>
      <c r="E854" s="1" t="n">
        <v>46302</v>
      </c>
      <c r="F854" t="inlineStr">
        <is>
          <t>GÄVLEBORGS LÄN</t>
        </is>
      </c>
      <c r="G854" t="inlineStr">
        <is>
          <t>SANDVIKEN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61363-2023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45264</v>
      </c>
      <c r="E855" s="1" t="n">
        <v>46302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46482-2023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45197</v>
      </c>
      <c r="E856" s="1" t="n">
        <v>46302</v>
      </c>
      <c r="F856" t="inlineStr">
        <is>
          <t>GÄVLEBORGS LÄN</t>
        </is>
      </c>
      <c r="G856" t="inlineStr">
        <is>
          <t>SANDVIKEN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50797-2023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45217</v>
      </c>
      <c r="E857" s="1" t="n">
        <v>46302</v>
      </c>
      <c r="F857" t="inlineStr">
        <is>
          <t>GÄVLEBORGS LÄN</t>
        </is>
      </c>
      <c r="G857" t="inlineStr">
        <is>
          <t>SANDVIKEN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44564</v>
      </c>
      <c r="E858" s="1" t="n">
        <v>46302</v>
      </c>
      <c r="F858" t="inlineStr">
        <is>
          <t>GÄVLEBORGS LÄN</t>
        </is>
      </c>
      <c r="G858" t="inlineStr">
        <is>
          <t>SANDVIKEN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73331-2021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44551</v>
      </c>
      <c r="E859" s="1" t="n">
        <v>46302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41790-2024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45561</v>
      </c>
      <c r="E860" s="1" t="n">
        <v>46302</v>
      </c>
      <c r="F860" t="inlineStr">
        <is>
          <t>GÄVLEBORGS LÄN</t>
        </is>
      </c>
      <c r="G860" t="inlineStr">
        <is>
          <t>SANDVIKEN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21456-2023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45063</v>
      </c>
      <c r="E861" s="1" t="n">
        <v>46302</v>
      </c>
      <c r="F861" t="inlineStr">
        <is>
          <t>GÄVLEBORGS LÄN</t>
        </is>
      </c>
      <c r="G861" t="inlineStr">
        <is>
          <t>SANDVIKEN</t>
        </is>
      </c>
      <c r="H861" t="inlineStr">
        <is>
          <t>Kommuner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15788-2025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45748</v>
      </c>
      <c r="E862" s="1" t="n">
        <v>46302</v>
      </c>
      <c r="F862" t="inlineStr">
        <is>
          <t>GÄVLEBORGS LÄN</t>
        </is>
      </c>
      <c r="G862" t="inlineStr">
        <is>
          <t>SANDVIKEN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58797-2024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45636</v>
      </c>
      <c r="E863" s="1" t="n">
        <v>46302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24992-2023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45085</v>
      </c>
      <c r="E864" s="1" t="n">
        <v>46302</v>
      </c>
      <c r="F864" t="inlineStr">
        <is>
          <t>GÄVLEBORGS LÄN</t>
        </is>
      </c>
      <c r="G864" t="inlineStr">
        <is>
          <t>SANDVIKEN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7056-2025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45701</v>
      </c>
      <c r="E865" s="1" t="n">
        <v>46302</v>
      </c>
      <c r="F865" t="inlineStr">
        <is>
          <t>GÄVLEBORGS LÄN</t>
        </is>
      </c>
      <c r="G865" t="inlineStr">
        <is>
          <t>SANDVIKEN</t>
        </is>
      </c>
      <c r="I865" t="n">
        <v>6.4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6765-2025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45700</v>
      </c>
      <c r="E866" s="1" t="n">
        <v>46302</v>
      </c>
      <c r="F866" t="inlineStr">
        <is>
          <t>GÄVLEBORGS LÄN</t>
        </is>
      </c>
      <c r="G866" t="inlineStr">
        <is>
          <t>SANDVIKEN</t>
        </is>
      </c>
      <c r="I866" t="n">
        <v>7.1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47889-2022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44855</v>
      </c>
      <c r="E867" s="1" t="n">
        <v>46302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29972-2022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44756</v>
      </c>
      <c r="E868" s="1" t="n">
        <v>46302</v>
      </c>
      <c r="F868" t="inlineStr">
        <is>
          <t>GÄVLEBORGS LÄN</t>
        </is>
      </c>
      <c r="G868" t="inlineStr">
        <is>
          <t>SANDVIKEN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16385-2023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45022</v>
      </c>
      <c r="E869" s="1" t="n">
        <v>46302</v>
      </c>
      <c r="F869" t="inlineStr">
        <is>
          <t>GÄVLEBORGS LÄN</t>
        </is>
      </c>
      <c r="G869" t="inlineStr">
        <is>
          <t>SANDVIKEN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45463</v>
      </c>
      <c r="E870" s="1" t="n">
        <v>46302</v>
      </c>
      <c r="F870" t="inlineStr">
        <is>
          <t>GÄVLEBORGS LÄN</t>
        </is>
      </c>
      <c r="G870" t="inlineStr">
        <is>
          <t>SANDVIKEN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37641-2024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45541</v>
      </c>
      <c r="E871" s="1" t="n">
        <v>46302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37643-2024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45541</v>
      </c>
      <c r="E872" s="1" t="n">
        <v>46302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3899-2022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44587</v>
      </c>
      <c r="E873" s="1" t="n">
        <v>46302</v>
      </c>
      <c r="F873" t="inlineStr">
        <is>
          <t>GÄVLEBORGS LÄN</t>
        </is>
      </c>
      <c r="G873" t="inlineStr">
        <is>
          <t>SANDVIKEN</t>
        </is>
      </c>
      <c r="H873" t="inlineStr">
        <is>
          <t>Kyrkan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4511-2024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45327</v>
      </c>
      <c r="E874" s="1" t="n">
        <v>46302</v>
      </c>
      <c r="F874" t="inlineStr">
        <is>
          <t>GÄVLEBORGS LÄN</t>
        </is>
      </c>
      <c r="G874" t="inlineStr">
        <is>
          <t>SANDVIKEN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19269-2025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45769</v>
      </c>
      <c r="E875" s="1" t="n">
        <v>46302</v>
      </c>
      <c r="F875" t="inlineStr">
        <is>
          <t>GÄVLEBORGS LÄN</t>
        </is>
      </c>
      <c r="G875" t="inlineStr">
        <is>
          <t>SANDVIKEN</t>
        </is>
      </c>
      <c r="I875" t="n">
        <v>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48435-2024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45590</v>
      </c>
      <c r="E876" s="1" t="n">
        <v>46302</v>
      </c>
      <c r="F876" t="inlineStr">
        <is>
          <t>GÄVLEBORGS LÄN</t>
        </is>
      </c>
      <c r="G876" t="inlineStr">
        <is>
          <t>SANDVIKEN</t>
        </is>
      </c>
      <c r="I876" t="n">
        <v>6.7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2131-2025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45672</v>
      </c>
      <c r="E877" s="1" t="n">
        <v>46302</v>
      </c>
      <c r="F877" t="inlineStr">
        <is>
          <t>GÄVLEBORGS LÄN</t>
        </is>
      </c>
      <c r="G877" t="inlineStr">
        <is>
          <t>SANDVIKEN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49518-2023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45211</v>
      </c>
      <c r="E878" s="1" t="n">
        <v>46302</v>
      </c>
      <c r="F878" t="inlineStr">
        <is>
          <t>GÄVLEBORGS LÄN</t>
        </is>
      </c>
      <c r="G878" t="inlineStr">
        <is>
          <t>SANDVIKEN</t>
        </is>
      </c>
      <c r="I878" t="n">
        <v>7.4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44566</v>
      </c>
      <c r="E879" s="1" t="n">
        <v>46302</v>
      </c>
      <c r="F879" t="inlineStr">
        <is>
          <t>GÄVLEBORGS LÄN</t>
        </is>
      </c>
      <c r="G879" t="inlineStr">
        <is>
          <t>SANDVIKEN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36656-2023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45153</v>
      </c>
      <c r="E880" s="1" t="n">
        <v>46302</v>
      </c>
      <c r="F880" t="inlineStr">
        <is>
          <t>GÄVLEBORGS LÄN</t>
        </is>
      </c>
      <c r="G880" t="inlineStr">
        <is>
          <t>SANDVIKEN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16258-2023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45022</v>
      </c>
      <c r="E881" s="1" t="n">
        <v>46302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väst AB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45779</v>
      </c>
      <c r="E882" s="1" t="n">
        <v>46302</v>
      </c>
      <c r="F882" t="inlineStr">
        <is>
          <t>GÄVLEBORGS LÄN</t>
        </is>
      </c>
      <c r="G882" t="inlineStr">
        <is>
          <t>SANDVIKEN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37459-2024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46302</v>
      </c>
      <c r="F883" t="inlineStr">
        <is>
          <t>GÄVLEBORGS LÄN</t>
        </is>
      </c>
      <c r="G883" t="inlineStr">
        <is>
          <t>SANDVIKEN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48319-2023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45205</v>
      </c>
      <c r="E884" s="1" t="n">
        <v>46302</v>
      </c>
      <c r="F884" t="inlineStr">
        <is>
          <t>GÄVLEBORGS LÄN</t>
        </is>
      </c>
      <c r="G884" t="inlineStr">
        <is>
          <t>SANDVIKEN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55446-2024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45622</v>
      </c>
      <c r="E885" s="1" t="n">
        <v>46302</v>
      </c>
      <c r="F885" t="inlineStr">
        <is>
          <t>GÄVLEBORGS LÄN</t>
        </is>
      </c>
      <c r="G885" t="inlineStr">
        <is>
          <t>SANDVIKEN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45679</v>
      </c>
      <c r="E886" s="1" t="n">
        <v>46302</v>
      </c>
      <c r="F886" t="inlineStr">
        <is>
          <t>GÄVLEBORGS LÄN</t>
        </is>
      </c>
      <c r="G886" t="inlineStr">
        <is>
          <t>SANDVIKEN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40460-2024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45555</v>
      </c>
      <c r="E887" s="1" t="n">
        <v>46302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41284-2023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45174</v>
      </c>
      <c r="E888" s="1" t="n">
        <v>46302</v>
      </c>
      <c r="F888" t="inlineStr">
        <is>
          <t>GÄVLEBORGS LÄN</t>
        </is>
      </c>
      <c r="G888" t="inlineStr">
        <is>
          <t>SANDVIKEN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69521-2021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44531</v>
      </c>
      <c r="E889" s="1" t="n">
        <v>46302</v>
      </c>
      <c r="F889" t="inlineStr">
        <is>
          <t>GÄVLEBORGS LÄN</t>
        </is>
      </c>
      <c r="G889" t="inlineStr">
        <is>
          <t>SANDVIKEN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56019-2023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45240</v>
      </c>
      <c r="E890" s="1" t="n">
        <v>46302</v>
      </c>
      <c r="F890" t="inlineStr">
        <is>
          <t>GÄVLEBORGS LÄN</t>
        </is>
      </c>
      <c r="G890" t="inlineStr">
        <is>
          <t>SANDVIKEN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42950-2023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45178</v>
      </c>
      <c r="E891" s="1" t="n">
        <v>46302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väst AB</t>
        </is>
      </c>
      <c r="I891" t="n">
        <v>16.5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33623-2024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45520</v>
      </c>
      <c r="E892" s="1" t="n">
        <v>46302</v>
      </c>
      <c r="F892" t="inlineStr">
        <is>
          <t>GÄVLEBORGS LÄN</t>
        </is>
      </c>
      <c r="G892" t="inlineStr">
        <is>
          <t>SANDVIKEN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34429-2024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45525</v>
      </c>
      <c r="E893" s="1" t="n">
        <v>46302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15682-2024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45404</v>
      </c>
      <c r="E894" s="1" t="n">
        <v>46302</v>
      </c>
      <c r="F894" t="inlineStr">
        <is>
          <t>GÄVLEBORGS LÄN</t>
        </is>
      </c>
      <c r="G894" t="inlineStr">
        <is>
          <t>SANDVIKEN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44289-2023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45188</v>
      </c>
      <c r="E895" s="1" t="n">
        <v>46302</v>
      </c>
      <c r="F895" t="inlineStr">
        <is>
          <t>GÄVLEBORGS LÄN</t>
        </is>
      </c>
      <c r="G895" t="inlineStr">
        <is>
          <t>SANDVIKEN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27872-2024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45475</v>
      </c>
      <c r="E896" s="1" t="n">
        <v>46302</v>
      </c>
      <c r="F896" t="inlineStr">
        <is>
          <t>GÄVLEBORGS LÄN</t>
        </is>
      </c>
      <c r="G896" t="inlineStr">
        <is>
          <t>SANDVIKEN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2358-2025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45673</v>
      </c>
      <c r="E897" s="1" t="n">
        <v>46302</v>
      </c>
      <c r="F897" t="inlineStr">
        <is>
          <t>GÄVLEBORGS LÄN</t>
        </is>
      </c>
      <c r="G897" t="inlineStr">
        <is>
          <t>SANDVIKEN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18725-2025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45763</v>
      </c>
      <c r="E898" s="1" t="n">
        <v>46302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64000-2023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45278</v>
      </c>
      <c r="E899" s="1" t="n">
        <v>46302</v>
      </c>
      <c r="F899" t="inlineStr">
        <is>
          <t>GÄVLEBORGS LÄN</t>
        </is>
      </c>
      <c r="G899" t="inlineStr">
        <is>
          <t>SANDVIKEN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17735-2024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45418</v>
      </c>
      <c r="E900" s="1" t="n">
        <v>46302</v>
      </c>
      <c r="F900" t="inlineStr">
        <is>
          <t>GÄVLEBORGS LÄN</t>
        </is>
      </c>
      <c r="G900" t="inlineStr">
        <is>
          <t>SANDVIKEN</t>
        </is>
      </c>
      <c r="I900" t="n">
        <v>5.1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53322-2024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45614</v>
      </c>
      <c r="E901" s="1" t="n">
        <v>46302</v>
      </c>
      <c r="F901" t="inlineStr">
        <is>
          <t>GÄVLEBORGS LÄN</t>
        </is>
      </c>
      <c r="G901" t="inlineStr">
        <is>
          <t>SANDVIKEN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2071-2020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44102</v>
      </c>
      <c r="E902" s="1" t="n">
        <v>46302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42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219-2024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45316</v>
      </c>
      <c r="E903" s="1" t="n">
        <v>46302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198-2024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45315</v>
      </c>
      <c r="E904" s="1" t="n">
        <v>46302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64.59999999999999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7975-2021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44484</v>
      </c>
      <c r="E905" s="1" t="n">
        <v>46302</v>
      </c>
      <c r="F905" t="inlineStr">
        <is>
          <t>GÄVLEBORGS LÄN</t>
        </is>
      </c>
      <c r="G905" t="inlineStr">
        <is>
          <t>SANDVIKEN</t>
        </is>
      </c>
      <c r="H905" t="inlineStr">
        <is>
          <t>Kommuner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2574-2023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45142</v>
      </c>
      <c r="E906" s="1" t="n">
        <v>46302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31.8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10363-2021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44550</v>
      </c>
      <c r="E907" s="1" t="n">
        <v>46302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73.3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513-2025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45706</v>
      </c>
      <c r="E908" s="1" t="n">
        <v>46302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29.5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706-2025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45720</v>
      </c>
      <c r="E909" s="1" t="n">
        <v>46302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väst AB</t>
        </is>
      </c>
      <c r="I909" t="n">
        <v>24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531-2025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45707</v>
      </c>
      <c r="E910" s="1" t="n">
        <v>46302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530-2025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45707</v>
      </c>
      <c r="E911" s="1" t="n">
        <v>46302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23.1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318-2026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46059</v>
      </c>
      <c r="E912" s="1" t="n">
        <v>46302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14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320-2026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46059</v>
      </c>
      <c r="E913" s="1" t="n">
        <v>46302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36.3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664-2026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46089</v>
      </c>
      <c r="E914" s="1" t="n">
        <v>46302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>
      <c r="A915" t="inlineStr">
        <is>
          <t>S 677-2026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46089</v>
      </c>
      <c r="E915" s="1" t="n">
        <v>46302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2026-10-07T02:03:00Z</dcterms:created>
  <dcterms:modified xmlns:dcterms="http://purl.org/dc/terms/" xmlns:xsi="http://www.w3.org/2001/XMLSchema-instance" xsi:type="dcterms:W3CDTF">2026-10-07T02:03:01Z</dcterms:modified>
</cp:coreProperties>
</file>