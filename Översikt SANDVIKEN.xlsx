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45993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45993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45993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45993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45993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45993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45993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45993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45993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45993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45993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45993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5015-2023</t>
        </is>
      </c>
      <c r="B14" s="1" t="n">
        <v>44958</v>
      </c>
      <c r="C14" s="1" t="n">
        <v>45993</v>
      </c>
      <c r="D14" t="inlineStr">
        <is>
          <t>GÄVLEBORGS LÄN</t>
        </is>
      </c>
      <c r="E14" t="inlineStr">
        <is>
          <t>SANDVIKEN</t>
        </is>
      </c>
      <c r="G14" t="n">
        <v>7.8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HYPERLINK("https://klasma.github.io/Logging_2181/artfynd/A 5015-2023 artfynd.xlsx", "A 5015-2023")</f>
        <v/>
      </c>
      <c r="T14">
        <f>HYPERLINK("https://klasma.github.io/Logging_2181/kartor/A 5015-2023 karta.png", "A 5015-2023")</f>
        <v/>
      </c>
      <c r="V14">
        <f>HYPERLINK("https://klasma.github.io/Logging_2181/klagomål/A 5015-2023 FSC-klagomål.docx", "A 5015-2023")</f>
        <v/>
      </c>
      <c r="W14">
        <f>HYPERLINK("https://klasma.github.io/Logging_2181/klagomålsmail/A 5015-2023 FSC-klagomål mail.docx", "A 5015-2023")</f>
        <v/>
      </c>
      <c r="X14">
        <f>HYPERLINK("https://klasma.github.io/Logging_2181/tillsyn/A 5015-2023 tillsynsbegäran.docx", "A 5015-2023")</f>
        <v/>
      </c>
      <c r="Y14">
        <f>HYPERLINK("https://klasma.github.io/Logging_2181/tillsynsmail/A 5015-2023 tillsynsbegäran mail.docx", "A 5015-2023")</f>
        <v/>
      </c>
    </row>
    <row r="15" ht="15" customHeight="1">
      <c r="A15" t="inlineStr">
        <is>
          <t>A 10783-2024</t>
        </is>
      </c>
      <c r="B15" s="1" t="n">
        <v>45369</v>
      </c>
      <c r="C15" s="1" t="n">
        <v>45993</v>
      </c>
      <c r="D15" t="inlineStr">
        <is>
          <t>GÄVLEBORGS LÄN</t>
        </is>
      </c>
      <c r="E15" t="inlineStr">
        <is>
          <t>SANDVIKEN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HYPERLINK("https://klasma.github.io/Logging_2181/artfynd/A 10783-2024 artfynd.xlsx", "A 10783-2024")</f>
        <v/>
      </c>
      <c r="T15">
        <f>HYPERLINK("https://klasma.github.io/Logging_2181/kartor/A 10783-2024 karta.png", "A 10783-2024")</f>
        <v/>
      </c>
      <c r="V15">
        <f>HYPERLINK("https://klasma.github.io/Logging_2181/klagomål/A 10783-2024 FSC-klagomål.docx", "A 10783-2024")</f>
        <v/>
      </c>
      <c r="W15">
        <f>HYPERLINK("https://klasma.github.io/Logging_2181/klagomålsmail/A 10783-2024 FSC-klagomål mail.docx", "A 10783-2024")</f>
        <v/>
      </c>
      <c r="X15">
        <f>HYPERLINK("https://klasma.github.io/Logging_2181/tillsyn/A 10783-2024 tillsynsbegäran.docx", "A 10783-2024")</f>
        <v/>
      </c>
      <c r="Y15">
        <f>HYPERLINK("https://klasma.github.io/Logging_2181/tillsynsmail/A 10783-2024 tillsynsbegäran mail.docx", "A 10783-2024")</f>
        <v/>
      </c>
    </row>
    <row r="16" ht="15" customHeight="1">
      <c r="A16" t="inlineStr">
        <is>
          <t>A 42115-2023</t>
        </is>
      </c>
      <c r="B16" s="1" t="n">
        <v>45177</v>
      </c>
      <c r="C16" s="1" t="n">
        <v>45993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42115-2023 artfynd.xlsx", "A 42115-2023")</f>
        <v/>
      </c>
      <c r="T16">
        <f>HYPERLINK("https://klasma.github.io/Logging_2181/kartor/A 42115-2023 karta.png", "A 42115-2023")</f>
        <v/>
      </c>
      <c r="V16">
        <f>HYPERLINK("https://klasma.github.io/Logging_2181/klagomål/A 42115-2023 FSC-klagomål.docx", "A 42115-2023")</f>
        <v/>
      </c>
      <c r="W16">
        <f>HYPERLINK("https://klasma.github.io/Logging_2181/klagomålsmail/A 42115-2023 FSC-klagomål mail.docx", "A 42115-2023")</f>
        <v/>
      </c>
      <c r="X16">
        <f>HYPERLINK("https://klasma.github.io/Logging_2181/tillsyn/A 42115-2023 tillsynsbegäran.docx", "A 42115-2023")</f>
        <v/>
      </c>
      <c r="Y16">
        <f>HYPERLINK("https://klasma.github.io/Logging_2181/tillsynsmail/A 42115-2023 tillsynsbegäran mail.docx", "A 42115-2023")</f>
        <v/>
      </c>
      <c r="Z16">
        <f>HYPERLINK("https://klasma.github.io/Logging_2181/fåglar/A 42115-2023 prioriterade fågelarter.docx", "A 42115-2023")</f>
        <v/>
      </c>
    </row>
    <row r="17" ht="15" customHeight="1">
      <c r="A17" t="inlineStr">
        <is>
          <t>A 58845-2023</t>
        </is>
      </c>
      <c r="B17" s="1" t="n">
        <v>45252</v>
      </c>
      <c r="C17" s="1" t="n">
        <v>45993</v>
      </c>
      <c r="D17" t="inlineStr">
        <is>
          <t>GÄVLEBORGS LÄN</t>
        </is>
      </c>
      <c r="E17" t="inlineStr">
        <is>
          <t>SANDVIKEN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HYPERLINK("https://klasma.github.io/Logging_2181/artfynd/A 58845-2023 artfynd.xlsx", "A 58845-2023")</f>
        <v/>
      </c>
      <c r="T17">
        <f>HYPERLINK("https://klasma.github.io/Logging_2181/kartor/A 58845-2023 karta.png", "A 58845-2023")</f>
        <v/>
      </c>
      <c r="V17">
        <f>HYPERLINK("https://klasma.github.io/Logging_2181/klagomål/A 58845-2023 FSC-klagomål.docx", "A 58845-2023")</f>
        <v/>
      </c>
      <c r="W17">
        <f>HYPERLINK("https://klasma.github.io/Logging_2181/klagomålsmail/A 58845-2023 FSC-klagomål mail.docx", "A 58845-2023")</f>
        <v/>
      </c>
      <c r="X17">
        <f>HYPERLINK("https://klasma.github.io/Logging_2181/tillsyn/A 58845-2023 tillsynsbegäran.docx", "A 58845-2023")</f>
        <v/>
      </c>
      <c r="Y17">
        <f>HYPERLINK("https://klasma.github.io/Logging_2181/tillsynsmail/A 58845-2023 tillsynsbegäran mail.docx", "A 58845-2023")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45993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38350-2025</t>
        </is>
      </c>
      <c r="B19" s="1" t="n">
        <v>45883</v>
      </c>
      <c r="C19" s="1" t="n">
        <v>45993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HYPERLINK("https://klasma.github.io/Logging_2181/artfynd/A 38350-2025 artfynd.xlsx", "A 38350-2025")</f>
        <v/>
      </c>
      <c r="T19">
        <f>HYPERLINK("https://klasma.github.io/Logging_2181/kartor/A 38350-2025 karta.png", "A 38350-2025")</f>
        <v/>
      </c>
      <c r="V19">
        <f>HYPERLINK("https://klasma.github.io/Logging_2181/klagomål/A 38350-2025 FSC-klagomål.docx", "A 38350-2025")</f>
        <v/>
      </c>
      <c r="W19">
        <f>HYPERLINK("https://klasma.github.io/Logging_2181/klagomålsmail/A 38350-2025 FSC-klagomål mail.docx", "A 38350-2025")</f>
        <v/>
      </c>
      <c r="X19">
        <f>HYPERLINK("https://klasma.github.io/Logging_2181/tillsyn/A 38350-2025 tillsynsbegäran.docx", "A 38350-2025")</f>
        <v/>
      </c>
      <c r="Y19">
        <f>HYPERLINK("https://klasma.github.io/Logging_2181/tillsynsmail/A 38350-2025 tillsynsbegäran mail.docx", "A 38350-2025")</f>
        <v/>
      </c>
    </row>
    <row r="20" ht="15" customHeight="1">
      <c r="A20" t="inlineStr">
        <is>
          <t>A 45427-2023</t>
        </is>
      </c>
      <c r="B20" s="1" t="n">
        <v>45194.3671875</v>
      </c>
      <c r="C20" s="1" t="n">
        <v>45993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45427-2023 artfynd.xlsx", "A 45427-2023")</f>
        <v/>
      </c>
      <c r="T20">
        <f>HYPERLINK("https://klasma.github.io/Logging_2181/kartor/A 45427-2023 karta.png", "A 45427-2023")</f>
        <v/>
      </c>
      <c r="V20">
        <f>HYPERLINK("https://klasma.github.io/Logging_2181/klagomål/A 45427-2023 FSC-klagomål.docx", "A 45427-2023")</f>
        <v/>
      </c>
      <c r="W20">
        <f>HYPERLINK("https://klasma.github.io/Logging_2181/klagomålsmail/A 45427-2023 FSC-klagomål mail.docx", "A 45427-2023")</f>
        <v/>
      </c>
      <c r="X20">
        <f>HYPERLINK("https://klasma.github.io/Logging_2181/tillsyn/A 45427-2023 tillsynsbegäran.docx", "A 45427-2023")</f>
        <v/>
      </c>
      <c r="Y20">
        <f>HYPERLINK("https://klasma.github.io/Logging_2181/tillsynsmail/A 45427-2023 tillsynsbegäran mail.docx", "A 45427-2023")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45993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45993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45993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45993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45993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45993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45993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52778-2025</t>
        </is>
      </c>
      <c r="B28" s="1" t="n">
        <v>45957.41951388889</v>
      </c>
      <c r="C28" s="1" t="n">
        <v>45993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52778-2025 artfynd.xlsx", "A 52778-2025")</f>
        <v/>
      </c>
      <c r="T28">
        <f>HYPERLINK("https://klasma.github.io/Logging_2181/kartor/A 52778-2025 karta.png", "A 52778-2025")</f>
        <v/>
      </c>
      <c r="V28">
        <f>HYPERLINK("https://klasma.github.io/Logging_2181/klagomål/A 52778-2025 FSC-klagomål.docx", "A 52778-2025")</f>
        <v/>
      </c>
      <c r="W28">
        <f>HYPERLINK("https://klasma.github.io/Logging_2181/klagomålsmail/A 52778-2025 FSC-klagomål mail.docx", "A 52778-2025")</f>
        <v/>
      </c>
      <c r="X28">
        <f>HYPERLINK("https://klasma.github.io/Logging_2181/tillsyn/A 52778-2025 tillsynsbegäran.docx", "A 52778-2025")</f>
        <v/>
      </c>
      <c r="Y28">
        <f>HYPERLINK("https://klasma.github.io/Logging_2181/tillsynsmail/A 52778-2025 tillsynsbegäran mail.docx", "A 52778-2025")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45993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45993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45993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45993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25323-2025</t>
        </is>
      </c>
      <c r="B33" s="1" t="n">
        <v>45800.58765046296</v>
      </c>
      <c r="C33" s="1" t="n">
        <v>45993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25323-2025 artfynd.xlsx", "A 25323-2025")</f>
        <v/>
      </c>
      <c r="T33">
        <f>HYPERLINK("https://klasma.github.io/Logging_2181/kartor/A 25323-2025 karta.png", "A 25323-2025")</f>
        <v/>
      </c>
      <c r="V33">
        <f>HYPERLINK("https://klasma.github.io/Logging_2181/klagomål/A 25323-2025 FSC-klagomål.docx", "A 25323-2025")</f>
        <v/>
      </c>
      <c r="W33">
        <f>HYPERLINK("https://klasma.github.io/Logging_2181/klagomålsmail/A 25323-2025 FSC-klagomål mail.docx", "A 25323-2025")</f>
        <v/>
      </c>
      <c r="X33">
        <f>HYPERLINK("https://klasma.github.io/Logging_2181/tillsyn/A 25323-2025 tillsynsbegäran.docx", "A 25323-2025")</f>
        <v/>
      </c>
      <c r="Y33">
        <f>HYPERLINK("https://klasma.github.io/Logging_2181/tillsynsmail/A 25323-2025 tillsynsbegäran mail.docx", "A 25323-2025")</f>
        <v/>
      </c>
    </row>
    <row r="34" ht="15" customHeight="1">
      <c r="A34" t="inlineStr">
        <is>
          <t>A 48188-2025</t>
        </is>
      </c>
      <c r="B34" s="1" t="n">
        <v>45933.46856481482</v>
      </c>
      <c r="C34" s="1" t="n">
        <v>45993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48188-2025 artfynd.xlsx", "A 48188-2025")</f>
        <v/>
      </c>
      <c r="T34">
        <f>HYPERLINK("https://klasma.github.io/Logging_2181/kartor/A 48188-2025 karta.png", "A 48188-2025")</f>
        <v/>
      </c>
      <c r="V34">
        <f>HYPERLINK("https://klasma.github.io/Logging_2181/klagomål/A 48188-2025 FSC-klagomål.docx", "A 48188-2025")</f>
        <v/>
      </c>
      <c r="W34">
        <f>HYPERLINK("https://klasma.github.io/Logging_2181/klagomålsmail/A 48188-2025 FSC-klagomål mail.docx", "A 48188-2025")</f>
        <v/>
      </c>
      <c r="X34">
        <f>HYPERLINK("https://klasma.github.io/Logging_2181/tillsyn/A 48188-2025 tillsynsbegäran.docx", "A 48188-2025")</f>
        <v/>
      </c>
      <c r="Y34">
        <f>HYPERLINK("https://klasma.github.io/Logging_2181/tillsynsmail/A 48188-2025 tillsynsbegäran mail.docx", "A 48188-2025")</f>
        <v/>
      </c>
      <c r="Z34">
        <f>HYPERLINK("https://klasma.github.io/Logging_2181/fåglar/A 48188-2025 prioriterade fågelarter.docx", "A 48188-2025")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45993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45993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45993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45993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45993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45993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45993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45993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45993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45993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45993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45993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45993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45993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45993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45993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45993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45993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45993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45993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45993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45993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45993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45993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45993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45993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45993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45993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45993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22654-2022</t>
        </is>
      </c>
      <c r="B70" s="1" t="n">
        <v>44714</v>
      </c>
      <c r="C70" s="1" t="n">
        <v>45993</v>
      </c>
      <c r="D70" t="inlineStr">
        <is>
          <t>GÄVLEBORGS LÄN</t>
        </is>
      </c>
      <c r="E70" t="inlineStr">
        <is>
          <t>SANDVIKEN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66345-2021</t>
        </is>
      </c>
      <c r="B71" s="1" t="n">
        <v>44518.5616087963</v>
      </c>
      <c r="C71" s="1" t="n">
        <v>45993</v>
      </c>
      <c r="D71" t="inlineStr">
        <is>
          <t>GÄVLEBORGS LÄN</t>
        </is>
      </c>
      <c r="E71" t="inlineStr">
        <is>
          <t>SANDVIKEN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68787-2020</t>
        </is>
      </c>
      <c r="B72" s="1" t="n">
        <v>44187.47744212963</v>
      </c>
      <c r="C72" s="1" t="n">
        <v>45993</v>
      </c>
      <c r="D72" t="inlineStr">
        <is>
          <t>GÄVLEBORGS LÄN</t>
        </is>
      </c>
      <c r="E72" t="inlineStr">
        <is>
          <t>SANDVIKEN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63621-2021</t>
        </is>
      </c>
      <c r="B73" s="1" t="n">
        <v>44509</v>
      </c>
      <c r="C73" s="1" t="n">
        <v>45993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47718-2022</t>
        </is>
      </c>
      <c r="B74" s="1" t="n">
        <v>44854.60716435185</v>
      </c>
      <c r="C74" s="1" t="n">
        <v>45993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45993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5610-2022</t>
        </is>
      </c>
      <c r="B76" s="1" t="n">
        <v>44595.69634259259</v>
      </c>
      <c r="C76" s="1" t="n">
        <v>45993</v>
      </c>
      <c r="D76" t="inlineStr">
        <is>
          <t>GÄVLEBORGS LÄN</t>
        </is>
      </c>
      <c r="E76" t="inlineStr">
        <is>
          <t>SANDVIKEN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60405-2021</t>
        </is>
      </c>
      <c r="B77" s="1" t="n">
        <v>44496</v>
      </c>
      <c r="C77" s="1" t="n">
        <v>45993</v>
      </c>
      <c r="D77" t="inlineStr">
        <is>
          <t>GÄVLEBORGS LÄN</t>
        </is>
      </c>
      <c r="E77" t="inlineStr">
        <is>
          <t>SANDVIKEN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45993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17544-2021</t>
        </is>
      </c>
      <c r="B79" s="1" t="n">
        <v>44299</v>
      </c>
      <c r="C79" s="1" t="n">
        <v>45993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56734-2021</t>
        </is>
      </c>
      <c r="B80" s="1" t="n">
        <v>44481.44684027778</v>
      </c>
      <c r="C80" s="1" t="n">
        <v>45993</v>
      </c>
      <c r="D80" t="inlineStr">
        <is>
          <t>GÄVLEBORGS LÄN</t>
        </is>
      </c>
      <c r="E80" t="inlineStr">
        <is>
          <t>SANDVIKEN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64387-2020</t>
        </is>
      </c>
      <c r="B81" s="1" t="n">
        <v>44168</v>
      </c>
      <c r="C81" s="1" t="n">
        <v>45993</v>
      </c>
      <c r="D81" t="inlineStr">
        <is>
          <t>GÄVLEBORGS LÄN</t>
        </is>
      </c>
      <c r="E81" t="inlineStr">
        <is>
          <t>SANDVIKEN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34930-2021</t>
        </is>
      </c>
      <c r="B82" s="1" t="n">
        <v>44383.56744212963</v>
      </c>
      <c r="C82" s="1" t="n">
        <v>45993</v>
      </c>
      <c r="D82" t="inlineStr">
        <is>
          <t>GÄVLEBORGS LÄN</t>
        </is>
      </c>
      <c r="E82" t="inlineStr">
        <is>
          <t>SANDVIKEN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49493-2022</t>
        </is>
      </c>
      <c r="B83" s="1" t="n">
        <v>44861</v>
      </c>
      <c r="C83" s="1" t="n">
        <v>45993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26711-2022</t>
        </is>
      </c>
      <c r="B84" s="1" t="n">
        <v>44739.83524305555</v>
      </c>
      <c r="C84" s="1" t="n">
        <v>45993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66902-2020</t>
        </is>
      </c>
      <c r="B85" s="1" t="n">
        <v>44180</v>
      </c>
      <c r="C85" s="1" t="n">
        <v>45993</v>
      </c>
      <c r="D85" t="inlineStr">
        <is>
          <t>GÄVLEBORGS LÄN</t>
        </is>
      </c>
      <c r="E85" t="inlineStr">
        <is>
          <t>SANDVIKEN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45993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45993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45993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67180-2021</t>
        </is>
      </c>
      <c r="B89" s="1" t="n">
        <v>44523.44119212963</v>
      </c>
      <c r="C89" s="1" t="n">
        <v>45993</v>
      </c>
      <c r="D89" t="inlineStr">
        <is>
          <t>GÄVLEBORGS LÄN</t>
        </is>
      </c>
      <c r="E89" t="inlineStr">
        <is>
          <t>SANDVIKEN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11993-2022</t>
        </is>
      </c>
      <c r="B90" s="1" t="n">
        <v>44635.71787037037</v>
      </c>
      <c r="C90" s="1" t="n">
        <v>45993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39241-2022</t>
        </is>
      </c>
      <c r="B91" s="1" t="n">
        <v>44817</v>
      </c>
      <c r="C91" s="1" t="n">
        <v>45993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45993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45993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220-2021</t>
        </is>
      </c>
      <c r="B94" s="1" t="n">
        <v>44200</v>
      </c>
      <c r="C94" s="1" t="n">
        <v>45993</v>
      </c>
      <c r="D94" t="inlineStr">
        <is>
          <t>GÄVLEBORGS LÄN</t>
        </is>
      </c>
      <c r="E94" t="inlineStr">
        <is>
          <t>SANDVIKEN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26149-2024</t>
        </is>
      </c>
      <c r="B95" s="1" t="n">
        <v>45468.50820601852</v>
      </c>
      <c r="C95" s="1" t="n">
        <v>45993</v>
      </c>
      <c r="D95" t="inlineStr">
        <is>
          <t>GÄVLEBORGS LÄN</t>
        </is>
      </c>
      <c r="E95" t="inlineStr">
        <is>
          <t>SANDVIKEN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4384-2023</t>
        </is>
      </c>
      <c r="B96" s="1" t="n">
        <v>44955</v>
      </c>
      <c r="C96" s="1" t="n">
        <v>45993</v>
      </c>
      <c r="D96" t="inlineStr">
        <is>
          <t>GÄVLEBORGS LÄN</t>
        </is>
      </c>
      <c r="E96" t="inlineStr">
        <is>
          <t>SANDVIKEN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45993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45993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47710-2022</t>
        </is>
      </c>
      <c r="B99" s="1" t="n">
        <v>44854</v>
      </c>
      <c r="C99" s="1" t="n">
        <v>45993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56958-2022</t>
        </is>
      </c>
      <c r="B100" s="1" t="n">
        <v>44894.66045138889</v>
      </c>
      <c r="C100" s="1" t="n">
        <v>45993</v>
      </c>
      <c r="D100" t="inlineStr">
        <is>
          <t>GÄVLEBORGS LÄN</t>
        </is>
      </c>
      <c r="E100" t="inlineStr">
        <is>
          <t>SANDVIKEN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35525-2022</t>
        </is>
      </c>
      <c r="B101" s="1" t="n">
        <v>44799.29469907407</v>
      </c>
      <c r="C101" s="1" t="n">
        <v>45993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45993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61694-2021</t>
        </is>
      </c>
      <c r="B103" s="1" t="n">
        <v>44501.58199074074</v>
      </c>
      <c r="C103" s="1" t="n">
        <v>45993</v>
      </c>
      <c r="D103" t="inlineStr">
        <is>
          <t>GÄVLEBORGS LÄN</t>
        </is>
      </c>
      <c r="E103" t="inlineStr">
        <is>
          <t>SANDVIKEN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10577-2025</t>
        </is>
      </c>
      <c r="B104" s="1" t="n">
        <v>45721.54620370371</v>
      </c>
      <c r="C104" s="1" t="n">
        <v>45993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45993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63309-2023</t>
        </is>
      </c>
      <c r="B106" s="1" t="n">
        <v>45274.3437037037</v>
      </c>
      <c r="C106" s="1" t="n">
        <v>45993</v>
      </c>
      <c r="D106" t="inlineStr">
        <is>
          <t>GÄVLEBORGS LÄN</t>
        </is>
      </c>
      <c r="E106" t="inlineStr">
        <is>
          <t>SANDVIKEN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29296-2024</t>
        </is>
      </c>
      <c r="B107" s="1" t="n">
        <v>45483.33774305556</v>
      </c>
      <c r="C107" s="1" t="n">
        <v>45993</v>
      </c>
      <c r="D107" t="inlineStr">
        <is>
          <t>GÄVLEBORGS LÄN</t>
        </is>
      </c>
      <c r="E107" t="inlineStr">
        <is>
          <t>SANDVIKEN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716-2024</t>
        </is>
      </c>
      <c r="B108" s="1" t="n">
        <v>45300</v>
      </c>
      <c r="C108" s="1" t="n">
        <v>45993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32609-2023</t>
        </is>
      </c>
      <c r="B109" s="1" t="n">
        <v>45121.54181712963</v>
      </c>
      <c r="C109" s="1" t="n">
        <v>45993</v>
      </c>
      <c r="D109" t="inlineStr">
        <is>
          <t>GÄVLEBORGS LÄN</t>
        </is>
      </c>
      <c r="E109" t="inlineStr">
        <is>
          <t>SANDVIKEN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62047-2022</t>
        </is>
      </c>
      <c r="B110" s="1" t="n">
        <v>44918</v>
      </c>
      <c r="C110" s="1" t="n">
        <v>45993</v>
      </c>
      <c r="D110" t="inlineStr">
        <is>
          <t>GÄVLEBORGS LÄN</t>
        </is>
      </c>
      <c r="E110" t="inlineStr">
        <is>
          <t>SANDVIKEN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45993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61616-2021</t>
        </is>
      </c>
      <c r="B112" s="1" t="n">
        <v>44501.48219907407</v>
      </c>
      <c r="C112" s="1" t="n">
        <v>45993</v>
      </c>
      <c r="D112" t="inlineStr">
        <is>
          <t>GÄVLEBORGS LÄN</t>
        </is>
      </c>
      <c r="E112" t="inlineStr">
        <is>
          <t>SANDVIKEN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56217-2023</t>
        </is>
      </c>
      <c r="B113" s="1" t="n">
        <v>45240</v>
      </c>
      <c r="C113" s="1" t="n">
        <v>45993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7031-2025</t>
        </is>
      </c>
      <c r="B114" s="1" t="n">
        <v>45701.63361111111</v>
      </c>
      <c r="C114" s="1" t="n">
        <v>45993</v>
      </c>
      <c r="D114" t="inlineStr">
        <is>
          <t>GÄVLEBORGS LÄN</t>
        </is>
      </c>
      <c r="E114" t="inlineStr">
        <is>
          <t>SANDVIKEN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4511-2024</t>
        </is>
      </c>
      <c r="B115" s="1" t="n">
        <v>45327.6296412037</v>
      </c>
      <c r="C115" s="1" t="n">
        <v>45993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73331-2021</t>
        </is>
      </c>
      <c r="B116" s="1" t="n">
        <v>44551.36337962963</v>
      </c>
      <c r="C116" s="1" t="n">
        <v>45993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48765-2021</t>
        </is>
      </c>
      <c r="B117" s="1" t="n">
        <v>44452.65006944445</v>
      </c>
      <c r="C117" s="1" t="n">
        <v>45993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64225-2021</t>
        </is>
      </c>
      <c r="B118" s="1" t="n">
        <v>44510.63287037037</v>
      </c>
      <c r="C118" s="1" t="n">
        <v>45993</v>
      </c>
      <c r="D118" t="inlineStr">
        <is>
          <t>GÄVLEBORGS LÄN</t>
        </is>
      </c>
      <c r="E118" t="inlineStr">
        <is>
          <t>SANDVIKEN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30798-2022</t>
        </is>
      </c>
      <c r="B119" s="1" t="n">
        <v>44764.71993055556</v>
      </c>
      <c r="C119" s="1" t="n">
        <v>45993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66590-2021</t>
        </is>
      </c>
      <c r="B120" s="1" t="n">
        <v>44519.46857638889</v>
      </c>
      <c r="C120" s="1" t="n">
        <v>45993</v>
      </c>
      <c r="D120" t="inlineStr">
        <is>
          <t>GÄVLEBORGS LÄN</t>
        </is>
      </c>
      <c r="E120" t="inlineStr">
        <is>
          <t>SANDVIKEN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20934-2021</t>
        </is>
      </c>
      <c r="B121" s="1" t="n">
        <v>44319.48326388889</v>
      </c>
      <c r="C121" s="1" t="n">
        <v>45993</v>
      </c>
      <c r="D121" t="inlineStr">
        <is>
          <t>GÄVLEBORGS LÄN</t>
        </is>
      </c>
      <c r="E121" t="inlineStr">
        <is>
          <t>SANDVIKEN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40745-2024</t>
        </is>
      </c>
      <c r="B122" s="1" t="n">
        <v>45558.45087962963</v>
      </c>
      <c r="C122" s="1" t="n">
        <v>45993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37232-2024</t>
        </is>
      </c>
      <c r="B123" s="1" t="n">
        <v>45540</v>
      </c>
      <c r="C123" s="1" t="n">
        <v>45993</v>
      </c>
      <c r="D123" t="inlineStr">
        <is>
          <t>GÄVLEBORGS LÄN</t>
        </is>
      </c>
      <c r="E123" t="inlineStr">
        <is>
          <t>SANDVIKEN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45562-2022</t>
        </is>
      </c>
      <c r="B124" s="1" t="n">
        <v>44845</v>
      </c>
      <c r="C124" s="1" t="n">
        <v>45993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139-2022</t>
        </is>
      </c>
      <c r="B125" s="1" t="n">
        <v>44564.57825231482</v>
      </c>
      <c r="C125" s="1" t="n">
        <v>45993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38200-2024</t>
        </is>
      </c>
      <c r="B126" s="1" t="n">
        <v>45545</v>
      </c>
      <c r="C126" s="1" t="n">
        <v>45993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3316-2023</t>
        </is>
      </c>
      <c r="B127" s="1" t="n">
        <v>44949</v>
      </c>
      <c r="C127" s="1" t="n">
        <v>45993</v>
      </c>
      <c r="D127" t="inlineStr">
        <is>
          <t>GÄVLEBORGS LÄN</t>
        </is>
      </c>
      <c r="E127" t="inlineStr">
        <is>
          <t>SANDVIKEN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17256-2024</t>
        </is>
      </c>
      <c r="B128" s="1" t="n">
        <v>45414.41319444445</v>
      </c>
      <c r="C128" s="1" t="n">
        <v>45993</v>
      </c>
      <c r="D128" t="inlineStr">
        <is>
          <t>GÄVLEBORGS LÄN</t>
        </is>
      </c>
      <c r="E128" t="inlineStr">
        <is>
          <t>SANDVIKEN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23854-2021</t>
        </is>
      </c>
      <c r="B129" s="1" t="n">
        <v>44335</v>
      </c>
      <c r="C129" s="1" t="n">
        <v>45993</v>
      </c>
      <c r="D129" t="inlineStr">
        <is>
          <t>GÄVLEBORGS LÄN</t>
        </is>
      </c>
      <c r="E129" t="inlineStr">
        <is>
          <t>SANDVIKEN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22373-2023</t>
        </is>
      </c>
      <c r="B130" s="1" t="n">
        <v>45070.60813657408</v>
      </c>
      <c r="C130" s="1" t="n">
        <v>45993</v>
      </c>
      <c r="D130" t="inlineStr">
        <is>
          <t>GÄVLEBORGS LÄN</t>
        </is>
      </c>
      <c r="E130" t="inlineStr">
        <is>
          <t>SANDVIKEN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28897-2024</t>
        </is>
      </c>
      <c r="B131" s="1" t="n">
        <v>45480.41858796297</v>
      </c>
      <c r="C131" s="1" t="n">
        <v>45993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11756-2023</t>
        </is>
      </c>
      <c r="B132" s="1" t="n">
        <v>44994</v>
      </c>
      <c r="C132" s="1" t="n">
        <v>45993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11764-2023</t>
        </is>
      </c>
      <c r="B133" s="1" t="n">
        <v>44994.62415509259</v>
      </c>
      <c r="C133" s="1" t="n">
        <v>45993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22070-2023</t>
        </is>
      </c>
      <c r="B134" s="1" t="n">
        <v>45069</v>
      </c>
      <c r="C134" s="1" t="n">
        <v>45993</v>
      </c>
      <c r="D134" t="inlineStr">
        <is>
          <t>GÄVLEBORGS LÄN</t>
        </is>
      </c>
      <c r="E134" t="inlineStr">
        <is>
          <t>SANDVIKEN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17498-2024</t>
        </is>
      </c>
      <c r="B135" s="1" t="n">
        <v>45415</v>
      </c>
      <c r="C135" s="1" t="n">
        <v>45993</v>
      </c>
      <c r="D135" t="inlineStr">
        <is>
          <t>GÄVLEBORGS LÄN</t>
        </is>
      </c>
      <c r="E135" t="inlineStr">
        <is>
          <t>SANDVIKEN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7624-2023</t>
        </is>
      </c>
      <c r="B136" s="1" t="n">
        <v>44972</v>
      </c>
      <c r="C136" s="1" t="n">
        <v>45993</v>
      </c>
      <c r="D136" t="inlineStr">
        <is>
          <t>GÄVLEBORGS LÄN</t>
        </is>
      </c>
      <c r="E136" t="inlineStr">
        <is>
          <t>SANDVIKEN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22275-2024</t>
        </is>
      </c>
      <c r="B137" s="1" t="n">
        <v>45446.54258101852</v>
      </c>
      <c r="C137" s="1" t="n">
        <v>45993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10260-2024</t>
        </is>
      </c>
      <c r="B138" s="1" t="n">
        <v>45365.42304398148</v>
      </c>
      <c r="C138" s="1" t="n">
        <v>45993</v>
      </c>
      <c r="D138" t="inlineStr">
        <is>
          <t>GÄVLEBORGS LÄN</t>
        </is>
      </c>
      <c r="E138" t="inlineStr">
        <is>
          <t>SANDVIKEN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61166-2022</t>
        </is>
      </c>
      <c r="B139" s="1" t="n">
        <v>44915.47952546296</v>
      </c>
      <c r="C139" s="1" t="n">
        <v>45993</v>
      </c>
      <c r="D139" t="inlineStr">
        <is>
          <t>GÄVLEBORGS LÄN</t>
        </is>
      </c>
      <c r="E139" t="inlineStr">
        <is>
          <t>SANDVIKEN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10578-2025</t>
        </is>
      </c>
      <c r="B140" s="1" t="n">
        <v>45721.54731481482</v>
      </c>
      <c r="C140" s="1" t="n">
        <v>45993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58983-2023</t>
        </is>
      </c>
      <c r="B141" s="1" t="n">
        <v>45252</v>
      </c>
      <c r="C141" s="1" t="n">
        <v>45993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13084-2021</t>
        </is>
      </c>
      <c r="B142" s="1" t="n">
        <v>44272.37886574074</v>
      </c>
      <c r="C142" s="1" t="n">
        <v>45993</v>
      </c>
      <c r="D142" t="inlineStr">
        <is>
          <t>GÄVLEBORGS LÄN</t>
        </is>
      </c>
      <c r="E142" t="inlineStr">
        <is>
          <t>SANDVIKEN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38428-2023</t>
        </is>
      </c>
      <c r="B143" s="1" t="n">
        <v>45162</v>
      </c>
      <c r="C143" s="1" t="n">
        <v>45993</v>
      </c>
      <c r="D143" t="inlineStr">
        <is>
          <t>GÄVLEBORGS LÄN</t>
        </is>
      </c>
      <c r="E143" t="inlineStr">
        <is>
          <t>SANDVIKEN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38431-2023</t>
        </is>
      </c>
      <c r="B144" s="1" t="n">
        <v>45162</v>
      </c>
      <c r="C144" s="1" t="n">
        <v>45993</v>
      </c>
      <c r="D144" t="inlineStr">
        <is>
          <t>GÄVLEBORGS LÄN</t>
        </is>
      </c>
      <c r="E144" t="inlineStr">
        <is>
          <t>SANDVIKEN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38449-2023</t>
        </is>
      </c>
      <c r="B145" s="1" t="n">
        <v>45162</v>
      </c>
      <c r="C145" s="1" t="n">
        <v>45993</v>
      </c>
      <c r="D145" t="inlineStr">
        <is>
          <t>GÄVLEBORGS LÄN</t>
        </is>
      </c>
      <c r="E145" t="inlineStr">
        <is>
          <t>SANDVIKEN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29297-2024</t>
        </is>
      </c>
      <c r="B146" s="1" t="n">
        <v>45483.33927083333</v>
      </c>
      <c r="C146" s="1" t="n">
        <v>45993</v>
      </c>
      <c r="D146" t="inlineStr">
        <is>
          <t>GÄVLEBORGS LÄN</t>
        </is>
      </c>
      <c r="E146" t="inlineStr">
        <is>
          <t>SANDVIKEN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45331-2024</t>
        </is>
      </c>
      <c r="B147" s="1" t="n">
        <v>45576.4566087963</v>
      </c>
      <c r="C147" s="1" t="n">
        <v>45993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6951-2024</t>
        </is>
      </c>
      <c r="B148" s="1" t="n">
        <v>45343.43699074074</v>
      </c>
      <c r="C148" s="1" t="n">
        <v>45993</v>
      </c>
      <c r="D148" t="inlineStr">
        <is>
          <t>GÄVLEBORGS LÄN</t>
        </is>
      </c>
      <c r="E148" t="inlineStr">
        <is>
          <t>SANDVIKEN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34242-2021</t>
        </is>
      </c>
      <c r="B149" s="1" t="n">
        <v>44379.5612962963</v>
      </c>
      <c r="C149" s="1" t="n">
        <v>45993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11397-2023</t>
        </is>
      </c>
      <c r="B150" s="1" t="n">
        <v>44988</v>
      </c>
      <c r="C150" s="1" t="n">
        <v>45993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52932-2022</t>
        </is>
      </c>
      <c r="B151" s="1" t="n">
        <v>44875.62975694444</v>
      </c>
      <c r="C151" s="1" t="n">
        <v>45993</v>
      </c>
      <c r="D151" t="inlineStr">
        <is>
          <t>GÄVLEBORGS LÄN</t>
        </is>
      </c>
      <c r="E151" t="inlineStr">
        <is>
          <t>SANDVIKEN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30714-2023</t>
        </is>
      </c>
      <c r="B152" s="1" t="n">
        <v>45112</v>
      </c>
      <c r="C152" s="1" t="n">
        <v>45993</v>
      </c>
      <c r="D152" t="inlineStr">
        <is>
          <t>GÄVLEBORGS LÄN</t>
        </is>
      </c>
      <c r="E152" t="inlineStr">
        <is>
          <t>SANDVIKEN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38215-2023</t>
        </is>
      </c>
      <c r="B153" s="1" t="n">
        <v>45161.53357638889</v>
      </c>
      <c r="C153" s="1" t="n">
        <v>45993</v>
      </c>
      <c r="D153" t="inlineStr">
        <is>
          <t>GÄVLEBORGS LÄN</t>
        </is>
      </c>
      <c r="E153" t="inlineStr">
        <is>
          <t>SANDVIKEN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53718-2024</t>
        </is>
      </c>
      <c r="B154" s="1" t="n">
        <v>45615.43480324074</v>
      </c>
      <c r="C154" s="1" t="n">
        <v>45993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42869-2024</t>
        </is>
      </c>
      <c r="B155" s="1" t="n">
        <v>45566.66402777778</v>
      </c>
      <c r="C155" s="1" t="n">
        <v>45993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25357-2023</t>
        </is>
      </c>
      <c r="B156" s="1" t="n">
        <v>45087.9609837963</v>
      </c>
      <c r="C156" s="1" t="n">
        <v>45993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26355-2021</t>
        </is>
      </c>
      <c r="B157" s="1" t="n">
        <v>44347</v>
      </c>
      <c r="C157" s="1" t="n">
        <v>45993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väst AB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45302-2023</t>
        </is>
      </c>
      <c r="B158" s="1" t="n">
        <v>45191</v>
      </c>
      <c r="C158" s="1" t="n">
        <v>45993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1039-2025</t>
        </is>
      </c>
      <c r="B159" s="1" t="n">
        <v>45666.54069444445</v>
      </c>
      <c r="C159" s="1" t="n">
        <v>45993</v>
      </c>
      <c r="D159" t="inlineStr">
        <is>
          <t>GÄVLEBORGS LÄN</t>
        </is>
      </c>
      <c r="E159" t="inlineStr">
        <is>
          <t>SANDVIKEN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65098-2023</t>
        </is>
      </c>
      <c r="B160" s="1" t="n">
        <v>45288.41835648148</v>
      </c>
      <c r="C160" s="1" t="n">
        <v>45993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3899-2022</t>
        </is>
      </c>
      <c r="B161" s="1" t="n">
        <v>44587</v>
      </c>
      <c r="C161" s="1" t="n">
        <v>45993</v>
      </c>
      <c r="D161" t="inlineStr">
        <is>
          <t>GÄVLEBORGS LÄN</t>
        </is>
      </c>
      <c r="E161" t="inlineStr">
        <is>
          <t>SANDVIKEN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12629-2025</t>
        </is>
      </c>
      <c r="B162" s="1" t="n">
        <v>45733.369375</v>
      </c>
      <c r="C162" s="1" t="n">
        <v>45993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24764-2024</t>
        </is>
      </c>
      <c r="B163" s="1" t="n">
        <v>45460.6910300926</v>
      </c>
      <c r="C163" s="1" t="n">
        <v>45993</v>
      </c>
      <c r="D163" t="inlineStr">
        <is>
          <t>GÄVLEBORGS LÄN</t>
        </is>
      </c>
      <c r="E163" t="inlineStr">
        <is>
          <t>SANDVIKEN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1408-2024</t>
        </is>
      </c>
      <c r="B164" s="1" t="n">
        <v>45303.60203703704</v>
      </c>
      <c r="C164" s="1" t="n">
        <v>45993</v>
      </c>
      <c r="D164" t="inlineStr">
        <is>
          <t>GÄVLEBORGS LÄN</t>
        </is>
      </c>
      <c r="E164" t="inlineStr">
        <is>
          <t>SANDVIKEN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13194-2025</t>
        </is>
      </c>
      <c r="B165" s="1" t="n">
        <v>45735</v>
      </c>
      <c r="C165" s="1" t="n">
        <v>45993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15788-2025</t>
        </is>
      </c>
      <c r="B166" s="1" t="n">
        <v>45748.62546296296</v>
      </c>
      <c r="C166" s="1" t="n">
        <v>45993</v>
      </c>
      <c r="D166" t="inlineStr">
        <is>
          <t>GÄVLEBORGS LÄN</t>
        </is>
      </c>
      <c r="E166" t="inlineStr">
        <is>
          <t>SANDVIKEN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1372-2025</t>
        </is>
      </c>
      <c r="B167" s="1" t="n">
        <v>45667.64702546296</v>
      </c>
      <c r="C167" s="1" t="n">
        <v>45993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6101-2023</t>
        </is>
      </c>
      <c r="B168" s="1" t="n">
        <v>44964.58362268518</v>
      </c>
      <c r="C168" s="1" t="n">
        <v>45993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4502-2024</t>
        </is>
      </c>
      <c r="B169" s="1" t="n">
        <v>45327</v>
      </c>
      <c r="C169" s="1" t="n">
        <v>45993</v>
      </c>
      <c r="D169" t="inlineStr">
        <is>
          <t>GÄVLEBORGS LÄN</t>
        </is>
      </c>
      <c r="E169" t="inlineStr">
        <is>
          <t>SANDVIKEN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47889-2022</t>
        </is>
      </c>
      <c r="B170" s="1" t="n">
        <v>44855</v>
      </c>
      <c r="C170" s="1" t="n">
        <v>45993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14143-2025</t>
        </is>
      </c>
      <c r="B171" s="1" t="n">
        <v>45740.48563657407</v>
      </c>
      <c r="C171" s="1" t="n">
        <v>45993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28063-2023</t>
        </is>
      </c>
      <c r="B172" s="1" t="n">
        <v>45099.36172453704</v>
      </c>
      <c r="C172" s="1" t="n">
        <v>45993</v>
      </c>
      <c r="D172" t="inlineStr">
        <is>
          <t>GÄVLEBORGS LÄN</t>
        </is>
      </c>
      <c r="E172" t="inlineStr">
        <is>
          <t>SANDVIKEN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32291-2024</t>
        </is>
      </c>
      <c r="B173" s="1" t="n">
        <v>45512.42832175926</v>
      </c>
      <c r="C173" s="1" t="n">
        <v>45993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38570-2023</t>
        </is>
      </c>
      <c r="B174" s="1" t="n">
        <v>45162</v>
      </c>
      <c r="C174" s="1" t="n">
        <v>45993</v>
      </c>
      <c r="D174" t="inlineStr">
        <is>
          <t>GÄVLEBORGS LÄN</t>
        </is>
      </c>
      <c r="E174" t="inlineStr">
        <is>
          <t>SANDVIKEN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25828-2024</t>
        </is>
      </c>
      <c r="B175" s="1" t="n">
        <v>45467.40458333334</v>
      </c>
      <c r="C175" s="1" t="n">
        <v>45993</v>
      </c>
      <c r="D175" t="inlineStr">
        <is>
          <t>GÄVLEBORGS LÄN</t>
        </is>
      </c>
      <c r="E175" t="inlineStr">
        <is>
          <t>SANDVIKEN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61848-2023</t>
        </is>
      </c>
      <c r="B176" s="1" t="n">
        <v>45265</v>
      </c>
      <c r="C176" s="1" t="n">
        <v>45993</v>
      </c>
      <c r="D176" t="inlineStr">
        <is>
          <t>GÄVLEBORGS LÄN</t>
        </is>
      </c>
      <c r="E176" t="inlineStr">
        <is>
          <t>SANDVIKEN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52785-2023</t>
        </is>
      </c>
      <c r="B177" s="1" t="n">
        <v>45226.34331018518</v>
      </c>
      <c r="C177" s="1" t="n">
        <v>45993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40363-2023</t>
        </is>
      </c>
      <c r="B178" s="1" t="n">
        <v>45169.66825231481</v>
      </c>
      <c r="C178" s="1" t="n">
        <v>45993</v>
      </c>
      <c r="D178" t="inlineStr">
        <is>
          <t>GÄVLEBORGS LÄN</t>
        </is>
      </c>
      <c r="E178" t="inlineStr">
        <is>
          <t>SANDVIKEN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30721-2023</t>
        </is>
      </c>
      <c r="B179" s="1" t="n">
        <v>45112</v>
      </c>
      <c r="C179" s="1" t="n">
        <v>45993</v>
      </c>
      <c r="D179" t="inlineStr">
        <is>
          <t>GÄVLEBORGS LÄN</t>
        </is>
      </c>
      <c r="E179" t="inlineStr">
        <is>
          <t>SANDVIKEN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64587-2023</t>
        </is>
      </c>
      <c r="B180" s="1" t="n">
        <v>45281.46988425926</v>
      </c>
      <c r="C180" s="1" t="n">
        <v>45993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49704-2023</t>
        </is>
      </c>
      <c r="B181" s="1" t="n">
        <v>45212</v>
      </c>
      <c r="C181" s="1" t="n">
        <v>45993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60700-2023</t>
        </is>
      </c>
      <c r="B182" s="1" t="n">
        <v>45260.50872685185</v>
      </c>
      <c r="C182" s="1" t="n">
        <v>45993</v>
      </c>
      <c r="D182" t="inlineStr">
        <is>
          <t>GÄVLEBORGS LÄN</t>
        </is>
      </c>
      <c r="E182" t="inlineStr">
        <is>
          <t>SANDVIKEN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3748-2022</t>
        </is>
      </c>
      <c r="B183" s="1" t="n">
        <v>44586.71274305556</v>
      </c>
      <c r="C183" s="1" t="n">
        <v>45993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60908-2022</t>
        </is>
      </c>
      <c r="B184" s="1" t="n">
        <v>44914</v>
      </c>
      <c r="C184" s="1" t="n">
        <v>45993</v>
      </c>
      <c r="D184" t="inlineStr">
        <is>
          <t>GÄVLEBORGS LÄN</t>
        </is>
      </c>
      <c r="E184" t="inlineStr">
        <is>
          <t>SANDVIKEN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32260-2023</t>
        </is>
      </c>
      <c r="B185" s="1" t="n">
        <v>45120.30417824074</v>
      </c>
      <c r="C185" s="1" t="n">
        <v>45993</v>
      </c>
      <c r="D185" t="inlineStr">
        <is>
          <t>GÄVLEBORGS LÄN</t>
        </is>
      </c>
      <c r="E185" t="inlineStr">
        <is>
          <t>SANDVIKEN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6678-2021</t>
        </is>
      </c>
      <c r="B186" s="1" t="n">
        <v>44236</v>
      </c>
      <c r="C186" s="1" t="n">
        <v>45993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17818-2025</t>
        </is>
      </c>
      <c r="B187" s="1" t="n">
        <v>45758.56565972222</v>
      </c>
      <c r="C187" s="1" t="n">
        <v>45993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32849-2022</t>
        </is>
      </c>
      <c r="B188" s="1" t="n">
        <v>44784</v>
      </c>
      <c r="C188" s="1" t="n">
        <v>45993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36732-2025</t>
        </is>
      </c>
      <c r="B189" s="1" t="n">
        <v>45873.50310185185</v>
      </c>
      <c r="C189" s="1" t="n">
        <v>45993</v>
      </c>
      <c r="D189" t="inlineStr">
        <is>
          <t>GÄVLEBORGS LÄN</t>
        </is>
      </c>
      <c r="E189" t="inlineStr">
        <is>
          <t>SANDVIKEN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25304-2021</t>
        </is>
      </c>
      <c r="B190" s="1" t="n">
        <v>44342</v>
      </c>
      <c r="C190" s="1" t="n">
        <v>45993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36693-2025</t>
        </is>
      </c>
      <c r="B191" s="1" t="n">
        <v>45873.43695601852</v>
      </c>
      <c r="C191" s="1" t="n">
        <v>45993</v>
      </c>
      <c r="D191" t="inlineStr">
        <is>
          <t>GÄVLEBORGS LÄN</t>
        </is>
      </c>
      <c r="E191" t="inlineStr">
        <is>
          <t>SANDVIKEN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6673-2021</t>
        </is>
      </c>
      <c r="B192" s="1" t="n">
        <v>44236</v>
      </c>
      <c r="C192" s="1" t="n">
        <v>45993</v>
      </c>
      <c r="D192" t="inlineStr">
        <is>
          <t>GÄVLEBORGS LÄN</t>
        </is>
      </c>
      <c r="E192" t="inlineStr">
        <is>
          <t>SANDVIKEN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47895-2023</t>
        </is>
      </c>
      <c r="B193" s="1" t="n">
        <v>45204.49018518518</v>
      </c>
      <c r="C193" s="1" t="n">
        <v>45993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45299-2023</t>
        </is>
      </c>
      <c r="B194" s="1" t="n">
        <v>45191.66645833333</v>
      </c>
      <c r="C194" s="1" t="n">
        <v>45993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46879-2024</t>
        </is>
      </c>
      <c r="B195" s="1" t="n">
        <v>45583</v>
      </c>
      <c r="C195" s="1" t="n">
        <v>45993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59661-2024</t>
        </is>
      </c>
      <c r="B196" s="1" t="n">
        <v>45639.36412037037</v>
      </c>
      <c r="C196" s="1" t="n">
        <v>45993</v>
      </c>
      <c r="D196" t="inlineStr">
        <is>
          <t>GÄVLEBORGS LÄN</t>
        </is>
      </c>
      <c r="E196" t="inlineStr">
        <is>
          <t>SANDVIKEN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36793-2025</t>
        </is>
      </c>
      <c r="B197" s="1" t="n">
        <v>45873.64081018518</v>
      </c>
      <c r="C197" s="1" t="n">
        <v>45993</v>
      </c>
      <c r="D197" t="inlineStr">
        <is>
          <t>GÄVLEBORGS LÄN</t>
        </is>
      </c>
      <c r="E197" t="inlineStr">
        <is>
          <t>SANDVIKEN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36795-2025</t>
        </is>
      </c>
      <c r="B198" s="1" t="n">
        <v>45873.64255787037</v>
      </c>
      <c r="C198" s="1" t="n">
        <v>45993</v>
      </c>
      <c r="D198" t="inlineStr">
        <is>
          <t>GÄVLEBORGS LÄN</t>
        </is>
      </c>
      <c r="E198" t="inlineStr">
        <is>
          <t>SANDVIKEN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58885-2023</t>
        </is>
      </c>
      <c r="B199" s="1" t="n">
        <v>45252.47675925926</v>
      </c>
      <c r="C199" s="1" t="n">
        <v>45993</v>
      </c>
      <c r="D199" t="inlineStr">
        <is>
          <t>GÄVLEBORGS LÄN</t>
        </is>
      </c>
      <c r="E199" t="inlineStr">
        <is>
          <t>SANDVIKEN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72997-2021</t>
        </is>
      </c>
      <c r="B200" s="1" t="n">
        <v>44549.87050925926</v>
      </c>
      <c r="C200" s="1" t="n">
        <v>45993</v>
      </c>
      <c r="D200" t="inlineStr">
        <is>
          <t>GÄVLEBORGS LÄN</t>
        </is>
      </c>
      <c r="E200" t="inlineStr">
        <is>
          <t>SANDVIKEN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6998-2022</t>
        </is>
      </c>
      <c r="B201" s="1" t="n">
        <v>44603</v>
      </c>
      <c r="C201" s="1" t="n">
        <v>45993</v>
      </c>
      <c r="D201" t="inlineStr">
        <is>
          <t>GÄVLEBORGS LÄN</t>
        </is>
      </c>
      <c r="E201" t="inlineStr">
        <is>
          <t>SANDVIKEN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15671-2024</t>
        </is>
      </c>
      <c r="B202" s="1" t="n">
        <v>45404</v>
      </c>
      <c r="C202" s="1" t="n">
        <v>45993</v>
      </c>
      <c r="D202" t="inlineStr">
        <is>
          <t>GÄVLEBORGS LÄN</t>
        </is>
      </c>
      <c r="E202" t="inlineStr">
        <is>
          <t>SANDVIKEN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11810-2023</t>
        </is>
      </c>
      <c r="B203" s="1" t="n">
        <v>44994.71511574074</v>
      </c>
      <c r="C203" s="1" t="n">
        <v>45993</v>
      </c>
      <c r="D203" t="inlineStr">
        <is>
          <t>GÄVLEBORGS LÄN</t>
        </is>
      </c>
      <c r="E203" t="inlineStr">
        <is>
          <t>SANDVIKEN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61822-2024</t>
        </is>
      </c>
      <c r="B204" s="1" t="n">
        <v>45649</v>
      </c>
      <c r="C204" s="1" t="n">
        <v>45993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38609-2022</t>
        </is>
      </c>
      <c r="B205" s="1" t="n">
        <v>44813</v>
      </c>
      <c r="C205" s="1" t="n">
        <v>45993</v>
      </c>
      <c r="D205" t="inlineStr">
        <is>
          <t>GÄVLEBORGS LÄN</t>
        </is>
      </c>
      <c r="E205" t="inlineStr">
        <is>
          <t>SANDVIKEN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42930-2023</t>
        </is>
      </c>
      <c r="B206" s="1" t="n">
        <v>45177</v>
      </c>
      <c r="C206" s="1" t="n">
        <v>45993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väst AB</t>
        </is>
      </c>
      <c r="G206" t="n">
        <v>20.6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37641-2024</t>
        </is>
      </c>
      <c r="B207" s="1" t="n">
        <v>45541</v>
      </c>
      <c r="C207" s="1" t="n">
        <v>45993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18611-2025</t>
        </is>
      </c>
      <c r="B208" s="1" t="n">
        <v>45763.49574074074</v>
      </c>
      <c r="C208" s="1" t="n">
        <v>45993</v>
      </c>
      <c r="D208" t="inlineStr">
        <is>
          <t>GÄVLEBORGS LÄN</t>
        </is>
      </c>
      <c r="E208" t="inlineStr">
        <is>
          <t>SANDVIKEN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7032-2025</t>
        </is>
      </c>
      <c r="B209" s="1" t="n">
        <v>45701.63517361111</v>
      </c>
      <c r="C209" s="1" t="n">
        <v>45993</v>
      </c>
      <c r="D209" t="inlineStr">
        <is>
          <t>GÄVLEBORGS LÄN</t>
        </is>
      </c>
      <c r="E209" t="inlineStr">
        <is>
          <t>SANDVIKEN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389-2025</t>
        </is>
      </c>
      <c r="B210" s="1" t="n">
        <v>45662.74996527778</v>
      </c>
      <c r="C210" s="1" t="n">
        <v>45993</v>
      </c>
      <c r="D210" t="inlineStr">
        <is>
          <t>GÄVLEBORGS LÄN</t>
        </is>
      </c>
      <c r="E210" t="inlineStr">
        <is>
          <t>SANDVIKEN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39047-2024</t>
        </is>
      </c>
      <c r="B211" s="1" t="n">
        <v>45548</v>
      </c>
      <c r="C211" s="1" t="n">
        <v>45993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37643-2024</t>
        </is>
      </c>
      <c r="B212" s="1" t="n">
        <v>45541</v>
      </c>
      <c r="C212" s="1" t="n">
        <v>45993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48435-2024</t>
        </is>
      </c>
      <c r="B213" s="1" t="n">
        <v>45590.66225694444</v>
      </c>
      <c r="C213" s="1" t="n">
        <v>45993</v>
      </c>
      <c r="D213" t="inlineStr">
        <is>
          <t>GÄVLEBORGS LÄN</t>
        </is>
      </c>
      <c r="E213" t="inlineStr">
        <is>
          <t>SANDVIKEN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549-2022</t>
        </is>
      </c>
      <c r="B214" s="1" t="n">
        <v>44566.65258101852</v>
      </c>
      <c r="C214" s="1" t="n">
        <v>45993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23162-2023</t>
        </is>
      </c>
      <c r="B215" s="1" t="n">
        <v>45075</v>
      </c>
      <c r="C215" s="1" t="n">
        <v>45993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61167-2022</t>
        </is>
      </c>
      <c r="B216" s="1" t="n">
        <v>44915.48208333334</v>
      </c>
      <c r="C216" s="1" t="n">
        <v>45993</v>
      </c>
      <c r="D216" t="inlineStr">
        <is>
          <t>GÄVLEBORGS LÄN</t>
        </is>
      </c>
      <c r="E216" t="inlineStr">
        <is>
          <t>SANDVIKEN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19421-2025</t>
        </is>
      </c>
      <c r="B217" s="1" t="n">
        <v>45769.74990740741</v>
      </c>
      <c r="C217" s="1" t="n">
        <v>45993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36656-2023</t>
        </is>
      </c>
      <c r="B218" s="1" t="n">
        <v>45153.56925925926</v>
      </c>
      <c r="C218" s="1" t="n">
        <v>45993</v>
      </c>
      <c r="D218" t="inlineStr">
        <is>
          <t>GÄVLEBORGS LÄN</t>
        </is>
      </c>
      <c r="E218" t="inlineStr">
        <is>
          <t>SANDVIKEN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36660-2023</t>
        </is>
      </c>
      <c r="B219" s="1" t="n">
        <v>45153.57439814815</v>
      </c>
      <c r="C219" s="1" t="n">
        <v>45993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14206-2025</t>
        </is>
      </c>
      <c r="B220" s="1" t="n">
        <v>45740.57578703704</v>
      </c>
      <c r="C220" s="1" t="n">
        <v>45993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25479-2023</t>
        </is>
      </c>
      <c r="B221" s="1" t="n">
        <v>45089</v>
      </c>
      <c r="C221" s="1" t="n">
        <v>45993</v>
      </c>
      <c r="D221" t="inlineStr">
        <is>
          <t>GÄVLEBORGS LÄN</t>
        </is>
      </c>
      <c r="E221" t="inlineStr">
        <is>
          <t>SANDVIKEN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13632-2024</t>
        </is>
      </c>
      <c r="B222" s="1" t="n">
        <v>45390.41961805556</v>
      </c>
      <c r="C222" s="1" t="n">
        <v>45993</v>
      </c>
      <c r="D222" t="inlineStr">
        <is>
          <t>GÄVLEBORGS LÄN</t>
        </is>
      </c>
      <c r="E222" t="inlineStr">
        <is>
          <t>SANDVIKEN</t>
        </is>
      </c>
      <c r="F222" t="inlineStr">
        <is>
          <t>Kyrkan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25209-2025</t>
        </is>
      </c>
      <c r="B223" s="1" t="n">
        <v>45800.46928240741</v>
      </c>
      <c r="C223" s="1" t="n">
        <v>45993</v>
      </c>
      <c r="D223" t="inlineStr">
        <is>
          <t>GÄVLEBORGS LÄN</t>
        </is>
      </c>
      <c r="E223" t="inlineStr">
        <is>
          <t>SANDVIKEN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56310-2021</t>
        </is>
      </c>
      <c r="B224" s="1" t="n">
        <v>44477</v>
      </c>
      <c r="C224" s="1" t="n">
        <v>45993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väst AB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35185-2022</t>
        </is>
      </c>
      <c r="B225" s="1" t="n">
        <v>44797.63806712963</v>
      </c>
      <c r="C225" s="1" t="n">
        <v>45993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30718-2023</t>
        </is>
      </c>
      <c r="B226" s="1" t="n">
        <v>45112</v>
      </c>
      <c r="C226" s="1" t="n">
        <v>45993</v>
      </c>
      <c r="D226" t="inlineStr">
        <is>
          <t>GÄVLEBORGS LÄN</t>
        </is>
      </c>
      <c r="E226" t="inlineStr">
        <is>
          <t>SANDVIKEN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59614-2024</t>
        </is>
      </c>
      <c r="B227" s="1" t="n">
        <v>45638.78225694445</v>
      </c>
      <c r="C227" s="1" t="n">
        <v>45993</v>
      </c>
      <c r="D227" t="inlineStr">
        <is>
          <t>GÄVLEBORGS LÄN</t>
        </is>
      </c>
      <c r="E227" t="inlineStr">
        <is>
          <t>SANDVIKEN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11385-2023</t>
        </is>
      </c>
      <c r="B228" s="1" t="n">
        <v>44988</v>
      </c>
      <c r="C228" s="1" t="n">
        <v>45993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53005-2024</t>
        </is>
      </c>
      <c r="B229" s="1" t="n">
        <v>45611.38907407408</v>
      </c>
      <c r="C229" s="1" t="n">
        <v>45993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38673-2025</t>
        </is>
      </c>
      <c r="B230" s="1" t="n">
        <v>45884.63460648148</v>
      </c>
      <c r="C230" s="1" t="n">
        <v>45993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50905-2024</t>
        </is>
      </c>
      <c r="B231" s="1" t="n">
        <v>45602.69391203704</v>
      </c>
      <c r="C231" s="1" t="n">
        <v>45993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2131-2025</t>
        </is>
      </c>
      <c r="B232" s="1" t="n">
        <v>45672.65636574074</v>
      </c>
      <c r="C232" s="1" t="n">
        <v>45993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4461-2023</t>
        </is>
      </c>
      <c r="B233" s="1" t="n">
        <v>44956</v>
      </c>
      <c r="C233" s="1" t="n">
        <v>45993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50797-2023</t>
        </is>
      </c>
      <c r="B234" s="1" t="n">
        <v>45217.65972222222</v>
      </c>
      <c r="C234" s="1" t="n">
        <v>45993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24465-2023</t>
        </is>
      </c>
      <c r="B235" s="1" t="n">
        <v>45082.5808912037</v>
      </c>
      <c r="C235" s="1" t="n">
        <v>45993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53861-2024</t>
        </is>
      </c>
      <c r="B236" s="1" t="n">
        <v>45615.64052083333</v>
      </c>
      <c r="C236" s="1" t="n">
        <v>45993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38337-2025</t>
        </is>
      </c>
      <c r="B237" s="1" t="n">
        <v>45883.49261574074</v>
      </c>
      <c r="C237" s="1" t="n">
        <v>45993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38338-2025</t>
        </is>
      </c>
      <c r="B238" s="1" t="n">
        <v>45883.49430555556</v>
      </c>
      <c r="C238" s="1" t="n">
        <v>45993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38319-2025</t>
        </is>
      </c>
      <c r="B239" s="1" t="n">
        <v>45883.485</v>
      </c>
      <c r="C239" s="1" t="n">
        <v>45993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43716-2023</t>
        </is>
      </c>
      <c r="B240" s="1" t="n">
        <v>45187</v>
      </c>
      <c r="C240" s="1" t="n">
        <v>45993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HYPERLINK("https://klasma.github.io/Logging_2181/knärot/A 43716-2023 karta knärot.png", "A 43716-2023")</f>
        <v/>
      </c>
      <c r="V240">
        <f>HYPERLINK("https://klasma.github.io/Logging_2181/klagomål/A 43716-2023 FSC-klagomål.docx", "A 43716-2023")</f>
        <v/>
      </c>
      <c r="W240">
        <f>HYPERLINK("https://klasma.github.io/Logging_2181/klagomålsmail/A 43716-2023 FSC-klagomål mail.docx", "A 43716-2023")</f>
        <v/>
      </c>
      <c r="X240">
        <f>HYPERLINK("https://klasma.github.io/Logging_2181/tillsyn/A 43716-2023 tillsynsbegäran.docx", "A 43716-2023")</f>
        <v/>
      </c>
      <c r="Y240">
        <f>HYPERLINK("https://klasma.github.io/Logging_2181/tillsynsmail/A 43716-2023 tillsynsbegäran mail.docx", "A 43716-2023")</f>
        <v/>
      </c>
    </row>
    <row r="241" ht="15" customHeight="1">
      <c r="A241" t="inlineStr">
        <is>
          <t>A 27006-2023</t>
        </is>
      </c>
      <c r="B241" s="1" t="n">
        <v>45094</v>
      </c>
      <c r="C241" s="1" t="n">
        <v>45993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43090-2023</t>
        </is>
      </c>
      <c r="B242" s="1" t="n">
        <v>45182.90457175926</v>
      </c>
      <c r="C242" s="1" t="n">
        <v>45993</v>
      </c>
      <c r="D242" t="inlineStr">
        <is>
          <t>GÄVLEBORGS LÄN</t>
        </is>
      </c>
      <c r="E242" t="inlineStr">
        <is>
          <t>SANDVIKEN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58916-2023</t>
        </is>
      </c>
      <c r="B243" s="1" t="n">
        <v>45252.53457175926</v>
      </c>
      <c r="C243" s="1" t="n">
        <v>45993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2290-2025</t>
        </is>
      </c>
      <c r="B244" s="1" t="n">
        <v>45673</v>
      </c>
      <c r="C244" s="1" t="n">
        <v>45993</v>
      </c>
      <c r="D244" t="inlineStr">
        <is>
          <t>GÄVLEBORGS LÄN</t>
        </is>
      </c>
      <c r="E244" t="inlineStr">
        <is>
          <t>SANDVIKEN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38320-2025</t>
        </is>
      </c>
      <c r="B245" s="1" t="n">
        <v>45883.48733796296</v>
      </c>
      <c r="C245" s="1" t="n">
        <v>45993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38321-2025</t>
        </is>
      </c>
      <c r="B246" s="1" t="n">
        <v>45883.48945601852</v>
      </c>
      <c r="C246" s="1" t="n">
        <v>45993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64112-2023</t>
        </is>
      </c>
      <c r="B247" s="1" t="n">
        <v>45279.47818287037</v>
      </c>
      <c r="C247" s="1" t="n">
        <v>45993</v>
      </c>
      <c r="D247" t="inlineStr">
        <is>
          <t>GÄVLEBORGS LÄN</t>
        </is>
      </c>
      <c r="E247" t="inlineStr">
        <is>
          <t>SANDVIKEN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58885-2024</t>
        </is>
      </c>
      <c r="B248" s="1" t="n">
        <v>45636.45076388889</v>
      </c>
      <c r="C248" s="1" t="n">
        <v>45993</v>
      </c>
      <c r="D248" t="inlineStr">
        <is>
          <t>GÄVLEBORGS LÄN</t>
        </is>
      </c>
      <c r="E248" t="inlineStr">
        <is>
          <t>SANDVIKEN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38423-2025</t>
        </is>
      </c>
      <c r="B249" s="1" t="n">
        <v>45883.63326388889</v>
      </c>
      <c r="C249" s="1" t="n">
        <v>45993</v>
      </c>
      <c r="D249" t="inlineStr">
        <is>
          <t>GÄVLEBORGS LÄN</t>
        </is>
      </c>
      <c r="E249" t="inlineStr">
        <is>
          <t>SANDVIKEN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38439-2025</t>
        </is>
      </c>
      <c r="B250" s="1" t="n">
        <v>45883.64783564815</v>
      </c>
      <c r="C250" s="1" t="n">
        <v>45993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50704-2024</t>
        </is>
      </c>
      <c r="B251" s="1" t="n">
        <v>45602.36324074074</v>
      </c>
      <c r="C251" s="1" t="n">
        <v>45993</v>
      </c>
      <c r="D251" t="inlineStr">
        <is>
          <t>GÄVLEBORGS LÄN</t>
        </is>
      </c>
      <c r="E251" t="inlineStr">
        <is>
          <t>SANDVIKEN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58797-2024</t>
        </is>
      </c>
      <c r="B252" s="1" t="n">
        <v>45636.29861111111</v>
      </c>
      <c r="C252" s="1" t="n">
        <v>45993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50900-2024</t>
        </is>
      </c>
      <c r="B253" s="1" t="n">
        <v>45602.68607638889</v>
      </c>
      <c r="C253" s="1" t="n">
        <v>45993</v>
      </c>
      <c r="D253" t="inlineStr">
        <is>
          <t>GÄVLEBORGS LÄN</t>
        </is>
      </c>
      <c r="E253" t="inlineStr">
        <is>
          <t>SANDVIKEN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54106-2023</t>
        </is>
      </c>
      <c r="B254" s="1" t="n">
        <v>45232</v>
      </c>
      <c r="C254" s="1" t="n">
        <v>45993</v>
      </c>
      <c r="D254" t="inlineStr">
        <is>
          <t>GÄVLEBORGS LÄN</t>
        </is>
      </c>
      <c r="E254" t="inlineStr">
        <is>
          <t>SANDVIKEN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37741-2023</t>
        </is>
      </c>
      <c r="B255" s="1" t="n">
        <v>45159.62744212963</v>
      </c>
      <c r="C255" s="1" t="n">
        <v>45993</v>
      </c>
      <c r="D255" t="inlineStr">
        <is>
          <t>GÄVLEBORGS LÄN</t>
        </is>
      </c>
      <c r="E255" t="inlineStr">
        <is>
          <t>SANDVIKEN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38435-2025</t>
        </is>
      </c>
      <c r="B256" s="1" t="n">
        <v>45883.64231481482</v>
      </c>
      <c r="C256" s="1" t="n">
        <v>45993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37697-2022</t>
        </is>
      </c>
      <c r="B257" s="1" t="n">
        <v>44810.51233796297</v>
      </c>
      <c r="C257" s="1" t="n">
        <v>45993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23289-2024</t>
        </is>
      </c>
      <c r="B258" s="1" t="n">
        <v>45453.42105324074</v>
      </c>
      <c r="C258" s="1" t="n">
        <v>45993</v>
      </c>
      <c r="D258" t="inlineStr">
        <is>
          <t>GÄVLEBORGS LÄN</t>
        </is>
      </c>
      <c r="E258" t="inlineStr">
        <is>
          <t>SANDVIKEN</t>
        </is>
      </c>
      <c r="F258" t="inlineStr">
        <is>
          <t>Kyrkan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38676-2025</t>
        </is>
      </c>
      <c r="B259" s="1" t="n">
        <v>45884.63819444444</v>
      </c>
      <c r="C259" s="1" t="n">
        <v>45993</v>
      </c>
      <c r="D259" t="inlineStr">
        <is>
          <t>GÄVLEBORGS LÄN</t>
        </is>
      </c>
      <c r="E259" t="inlineStr">
        <is>
          <t>SANDVIKEN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38677-2025</t>
        </is>
      </c>
      <c r="B260" s="1" t="n">
        <v>45884.64185185185</v>
      </c>
      <c r="C260" s="1" t="n">
        <v>45993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11393-2023</t>
        </is>
      </c>
      <c r="B261" s="1" t="n">
        <v>44988</v>
      </c>
      <c r="C261" s="1" t="n">
        <v>45993</v>
      </c>
      <c r="D261" t="inlineStr">
        <is>
          <t>GÄVLEBORGS LÄN</t>
        </is>
      </c>
      <c r="E261" t="inlineStr">
        <is>
          <t>SANDVIKEN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11401-2023</t>
        </is>
      </c>
      <c r="B262" s="1" t="n">
        <v>44988</v>
      </c>
      <c r="C262" s="1" t="n">
        <v>45993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38524-2025</t>
        </is>
      </c>
      <c r="B263" s="1" t="n">
        <v>45884.40424768518</v>
      </c>
      <c r="C263" s="1" t="n">
        <v>45993</v>
      </c>
      <c r="D263" t="inlineStr">
        <is>
          <t>GÄVLEBORGS LÄN</t>
        </is>
      </c>
      <c r="E263" t="inlineStr">
        <is>
          <t>SANDVIKEN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49706-2023</t>
        </is>
      </c>
      <c r="B264" s="1" t="n">
        <v>45212.40984953703</v>
      </c>
      <c r="C264" s="1" t="n">
        <v>45993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10894-2025</t>
        </is>
      </c>
      <c r="B265" s="1" t="n">
        <v>45722.68009259259</v>
      </c>
      <c r="C265" s="1" t="n">
        <v>45993</v>
      </c>
      <c r="D265" t="inlineStr">
        <is>
          <t>GÄVLEBORGS LÄN</t>
        </is>
      </c>
      <c r="E265" t="inlineStr">
        <is>
          <t>SANDVIKEN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11436-2023</t>
        </is>
      </c>
      <c r="B266" s="1" t="n">
        <v>44988</v>
      </c>
      <c r="C266" s="1" t="n">
        <v>45993</v>
      </c>
      <c r="D266" t="inlineStr">
        <is>
          <t>GÄVLEBORGS LÄN</t>
        </is>
      </c>
      <c r="E266" t="inlineStr">
        <is>
          <t>SANDVIKEN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20780-2021</t>
        </is>
      </c>
      <c r="B267" s="1" t="n">
        <v>44316.61788194445</v>
      </c>
      <c r="C267" s="1" t="n">
        <v>45993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54443-2024</t>
        </is>
      </c>
      <c r="B268" s="1" t="n">
        <v>45617.51553240741</v>
      </c>
      <c r="C268" s="1" t="n">
        <v>45993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41890-2023</t>
        </is>
      </c>
      <c r="B269" s="1" t="n">
        <v>45176.71189814815</v>
      </c>
      <c r="C269" s="1" t="n">
        <v>45993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60891-2023</t>
        </is>
      </c>
      <c r="B270" s="1" t="n">
        <v>45261.34476851852</v>
      </c>
      <c r="C270" s="1" t="n">
        <v>45993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60897-2023</t>
        </is>
      </c>
      <c r="B271" s="1" t="n">
        <v>45261</v>
      </c>
      <c r="C271" s="1" t="n">
        <v>45993</v>
      </c>
      <c r="D271" t="inlineStr">
        <is>
          <t>GÄVLEBORGS LÄN</t>
        </is>
      </c>
      <c r="E271" t="inlineStr">
        <is>
          <t>SANDVIKEN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38845-2025</t>
        </is>
      </c>
      <c r="B272" s="1" t="n">
        <v>45887.54144675926</v>
      </c>
      <c r="C272" s="1" t="n">
        <v>45993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42864-2024</t>
        </is>
      </c>
      <c r="B273" s="1" t="n">
        <v>45566</v>
      </c>
      <c r="C273" s="1" t="n">
        <v>45993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58182-2023</t>
        </is>
      </c>
      <c r="B274" s="1" t="n">
        <v>45245</v>
      </c>
      <c r="C274" s="1" t="n">
        <v>45993</v>
      </c>
      <c r="D274" t="inlineStr">
        <is>
          <t>GÄVLEBORGS LÄN</t>
        </is>
      </c>
      <c r="E274" t="inlineStr">
        <is>
          <t>SANDVIKEN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25265-2025</t>
        </is>
      </c>
      <c r="B275" s="1" t="n">
        <v>45800.53510416667</v>
      </c>
      <c r="C275" s="1" t="n">
        <v>45993</v>
      </c>
      <c r="D275" t="inlineStr">
        <is>
          <t>GÄVLEBORGS LÄN</t>
        </is>
      </c>
      <c r="E275" t="inlineStr">
        <is>
          <t>SANDVIKEN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39153-2025</t>
        </is>
      </c>
      <c r="B276" s="1" t="n">
        <v>45888.6171875</v>
      </c>
      <c r="C276" s="1" t="n">
        <v>45993</v>
      </c>
      <c r="D276" t="inlineStr">
        <is>
          <t>GÄVLEBORGS LÄN</t>
        </is>
      </c>
      <c r="E276" t="inlineStr">
        <is>
          <t>SANDVIKEN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48300-2023</t>
        </is>
      </c>
      <c r="B277" s="1" t="n">
        <v>45205.57335648148</v>
      </c>
      <c r="C277" s="1" t="n">
        <v>45993</v>
      </c>
      <c r="D277" t="inlineStr">
        <is>
          <t>GÄVLEBORGS LÄN</t>
        </is>
      </c>
      <c r="E277" t="inlineStr">
        <is>
          <t>SANDVIKEN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28523-2024</t>
        </is>
      </c>
      <c r="B278" s="1" t="n">
        <v>45478.31907407408</v>
      </c>
      <c r="C278" s="1" t="n">
        <v>45993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48597-2023</t>
        </is>
      </c>
      <c r="B279" s="1" t="n">
        <v>45208</v>
      </c>
      <c r="C279" s="1" t="n">
        <v>45993</v>
      </c>
      <c r="D279" t="inlineStr">
        <is>
          <t>GÄVLEBORGS LÄN</t>
        </is>
      </c>
      <c r="E279" t="inlineStr">
        <is>
          <t>SANDVIKEN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39591-2024</t>
        </is>
      </c>
      <c r="B280" s="1" t="n">
        <v>45552.37234953704</v>
      </c>
      <c r="C280" s="1" t="n">
        <v>45993</v>
      </c>
      <c r="D280" t="inlineStr">
        <is>
          <t>GÄVLEBORGS LÄN</t>
        </is>
      </c>
      <c r="E280" t="inlineStr">
        <is>
          <t>SANDVIKEN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39049-2025</t>
        </is>
      </c>
      <c r="B281" s="1" t="n">
        <v>45888.44660879629</v>
      </c>
      <c r="C281" s="1" t="n">
        <v>45993</v>
      </c>
      <c r="D281" t="inlineStr">
        <is>
          <t>GÄVLEBORGS LÄN</t>
        </is>
      </c>
      <c r="E281" t="inlineStr">
        <is>
          <t>SANDVIKEN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55106-2024</t>
        </is>
      </c>
      <c r="B282" s="1" t="n">
        <v>45621</v>
      </c>
      <c r="C282" s="1" t="n">
        <v>45993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56148-2024</t>
        </is>
      </c>
      <c r="B283" s="1" t="n">
        <v>45624.51108796296</v>
      </c>
      <c r="C283" s="1" t="n">
        <v>45993</v>
      </c>
      <c r="D283" t="inlineStr">
        <is>
          <t>GÄVLEBORGS LÄN</t>
        </is>
      </c>
      <c r="E283" t="inlineStr">
        <is>
          <t>SANDVIKEN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35184-2022</t>
        </is>
      </c>
      <c r="B284" s="1" t="n">
        <v>44797.63581018519</v>
      </c>
      <c r="C284" s="1" t="n">
        <v>45993</v>
      </c>
      <c r="D284" t="inlineStr">
        <is>
          <t>GÄVLEBORGS LÄN</t>
        </is>
      </c>
      <c r="E284" t="inlineStr">
        <is>
          <t>SANDVIKEN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49512-2023</t>
        </is>
      </c>
      <c r="B285" s="1" t="n">
        <v>45211.58351851852</v>
      </c>
      <c r="C285" s="1" t="n">
        <v>45993</v>
      </c>
      <c r="D285" t="inlineStr">
        <is>
          <t>GÄVLEBORGS LÄN</t>
        </is>
      </c>
      <c r="E285" t="inlineStr">
        <is>
          <t>SANDVIKEN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38175-2022</t>
        </is>
      </c>
      <c r="B286" s="1" t="n">
        <v>44812</v>
      </c>
      <c r="C286" s="1" t="n">
        <v>45993</v>
      </c>
      <c r="D286" t="inlineStr">
        <is>
          <t>GÄVLEBORGS LÄN</t>
        </is>
      </c>
      <c r="E286" t="inlineStr">
        <is>
          <t>SANDVIKEN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1037-2025</t>
        </is>
      </c>
      <c r="B287" s="1" t="n">
        <v>45666.53684027777</v>
      </c>
      <c r="C287" s="1" t="n">
        <v>45993</v>
      </c>
      <c r="D287" t="inlineStr">
        <is>
          <t>GÄVLEBORGS LÄN</t>
        </is>
      </c>
      <c r="E287" t="inlineStr">
        <is>
          <t>SANDVIKEN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5244-2024</t>
        </is>
      </c>
      <c r="B288" s="1" t="n">
        <v>45330</v>
      </c>
      <c r="C288" s="1" t="n">
        <v>45993</v>
      </c>
      <c r="D288" t="inlineStr">
        <is>
          <t>GÄVLEBORGS LÄN</t>
        </is>
      </c>
      <c r="E288" t="inlineStr">
        <is>
          <t>SANDVIKEN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6167-2025</t>
        </is>
      </c>
      <c r="B289" s="1" t="n">
        <v>45698.42238425926</v>
      </c>
      <c r="C289" s="1" t="n">
        <v>45993</v>
      </c>
      <c r="D289" t="inlineStr">
        <is>
          <t>GÄVLEBORGS LÄN</t>
        </is>
      </c>
      <c r="E289" t="inlineStr">
        <is>
          <t>SANDVIKEN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38846-2025</t>
        </is>
      </c>
      <c r="B290" s="1" t="n">
        <v>45887.54204861111</v>
      </c>
      <c r="C290" s="1" t="n">
        <v>45993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48799-2023</t>
        </is>
      </c>
      <c r="B291" s="1" t="n">
        <v>45209.25542824074</v>
      </c>
      <c r="C291" s="1" t="n">
        <v>45993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43121-2024</t>
        </is>
      </c>
      <c r="B292" s="1" t="n">
        <v>45567.57664351852</v>
      </c>
      <c r="C292" s="1" t="n">
        <v>45993</v>
      </c>
      <c r="D292" t="inlineStr">
        <is>
          <t>GÄVLEBORGS LÄN</t>
        </is>
      </c>
      <c r="E292" t="inlineStr">
        <is>
          <t>SANDVIKEN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33487-2024</t>
        </is>
      </c>
      <c r="B293" s="1" t="n">
        <v>45519.61461805556</v>
      </c>
      <c r="C293" s="1" t="n">
        <v>45993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56036-2023</t>
        </is>
      </c>
      <c r="B294" s="1" t="n">
        <v>45240.44027777778</v>
      </c>
      <c r="C294" s="1" t="n">
        <v>45993</v>
      </c>
      <c r="D294" t="inlineStr">
        <is>
          <t>GÄVLEBORGS LÄN</t>
        </is>
      </c>
      <c r="E294" t="inlineStr">
        <is>
          <t>SANDVIKEN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22042-2023</t>
        </is>
      </c>
      <c r="B295" s="1" t="n">
        <v>45069</v>
      </c>
      <c r="C295" s="1" t="n">
        <v>45993</v>
      </c>
      <c r="D295" t="inlineStr">
        <is>
          <t>GÄVLEBORGS LÄN</t>
        </is>
      </c>
      <c r="E295" t="inlineStr">
        <is>
          <t>SANDVIKEN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39381-2025</t>
        </is>
      </c>
      <c r="B296" s="1" t="n">
        <v>45889.60896990741</v>
      </c>
      <c r="C296" s="1" t="n">
        <v>45993</v>
      </c>
      <c r="D296" t="inlineStr">
        <is>
          <t>GÄVLEBORGS LÄN</t>
        </is>
      </c>
      <c r="E296" t="inlineStr">
        <is>
          <t>SANDVIKEN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15907-2023</t>
        </is>
      </c>
      <c r="B297" s="1" t="n">
        <v>45022.49149305555</v>
      </c>
      <c r="C297" s="1" t="n">
        <v>45993</v>
      </c>
      <c r="D297" t="inlineStr">
        <is>
          <t>GÄVLEBORGS LÄN</t>
        </is>
      </c>
      <c r="E297" t="inlineStr">
        <is>
          <t>SANDVIKEN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49656-2024</t>
        </is>
      </c>
      <c r="B298" s="1" t="n">
        <v>45596.6178125</v>
      </c>
      <c r="C298" s="1" t="n">
        <v>45993</v>
      </c>
      <c r="D298" t="inlineStr">
        <is>
          <t>GÄVLEBORGS LÄN</t>
        </is>
      </c>
      <c r="E298" t="inlineStr">
        <is>
          <t>SANDVIKEN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26413-2023</t>
        </is>
      </c>
      <c r="B299" s="1" t="n">
        <v>45092.3786574074</v>
      </c>
      <c r="C299" s="1" t="n">
        <v>45993</v>
      </c>
      <c r="D299" t="inlineStr">
        <is>
          <t>GÄVLEBORGS LÄN</t>
        </is>
      </c>
      <c r="E299" t="inlineStr">
        <is>
          <t>SANDVIKEN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46482-2023</t>
        </is>
      </c>
      <c r="B300" s="1" t="n">
        <v>45197.63974537037</v>
      </c>
      <c r="C300" s="1" t="n">
        <v>45993</v>
      </c>
      <c r="D300" t="inlineStr">
        <is>
          <t>GÄVLEBORGS LÄN</t>
        </is>
      </c>
      <c r="E300" t="inlineStr">
        <is>
          <t>SANDVIKEN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39283-2025</t>
        </is>
      </c>
      <c r="B301" s="1" t="n">
        <v>45889.40511574074</v>
      </c>
      <c r="C301" s="1" t="n">
        <v>45993</v>
      </c>
      <c r="D301" t="inlineStr">
        <is>
          <t>GÄVLEBORGS LÄN</t>
        </is>
      </c>
      <c r="E301" t="inlineStr">
        <is>
          <t>SANDVIKEN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11967-2025</t>
        </is>
      </c>
      <c r="B302" s="1" t="n">
        <v>45728</v>
      </c>
      <c r="C302" s="1" t="n">
        <v>45993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1712-2025</t>
        </is>
      </c>
      <c r="B303" s="1" t="n">
        <v>45671.31266203704</v>
      </c>
      <c r="C303" s="1" t="n">
        <v>45993</v>
      </c>
      <c r="D303" t="inlineStr">
        <is>
          <t>GÄVLEBORGS LÄN</t>
        </is>
      </c>
      <c r="E303" t="inlineStr">
        <is>
          <t>SANDVIKEN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61052-2024</t>
        </is>
      </c>
      <c r="B304" s="1" t="n">
        <v>45645.48365740741</v>
      </c>
      <c r="C304" s="1" t="n">
        <v>45993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40236-2025</t>
        </is>
      </c>
      <c r="B305" s="1" t="n">
        <v>45894.748125</v>
      </c>
      <c r="C305" s="1" t="n">
        <v>45993</v>
      </c>
      <c r="D305" t="inlineStr">
        <is>
          <t>GÄVLEBORGS LÄN</t>
        </is>
      </c>
      <c r="E305" t="inlineStr">
        <is>
          <t>SANDVIKEN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7038-2025</t>
        </is>
      </c>
      <c r="B306" s="1" t="n">
        <v>45701.63686342593</v>
      </c>
      <c r="C306" s="1" t="n">
        <v>45993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17436-2025</t>
        </is>
      </c>
      <c r="B307" s="1" t="n">
        <v>45757.42239583333</v>
      </c>
      <c r="C307" s="1" t="n">
        <v>45993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7056-2025</t>
        </is>
      </c>
      <c r="B308" s="1" t="n">
        <v>45701.65290509259</v>
      </c>
      <c r="C308" s="1" t="n">
        <v>45993</v>
      </c>
      <c r="D308" t="inlineStr">
        <is>
          <t>GÄVLEBORGS LÄN</t>
        </is>
      </c>
      <c r="E308" t="inlineStr">
        <is>
          <t>SANDVIKEN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28163-2023</t>
        </is>
      </c>
      <c r="B309" s="1" t="n">
        <v>45096</v>
      </c>
      <c r="C309" s="1" t="n">
        <v>45993</v>
      </c>
      <c r="D309" t="inlineStr">
        <is>
          <t>GÄVLEBORGS LÄN</t>
        </is>
      </c>
      <c r="E309" t="inlineStr">
        <is>
          <t>SANDVIKEN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53867-2024</t>
        </is>
      </c>
      <c r="B310" s="1" t="n">
        <v>45615.64972222222</v>
      </c>
      <c r="C310" s="1" t="n">
        <v>45993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19419-2025</t>
        </is>
      </c>
      <c r="B311" s="1" t="n">
        <v>45769.74543981482</v>
      </c>
      <c r="C311" s="1" t="n">
        <v>45993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11406-2023</t>
        </is>
      </c>
      <c r="B312" s="1" t="n">
        <v>44988</v>
      </c>
      <c r="C312" s="1" t="n">
        <v>45993</v>
      </c>
      <c r="D312" t="inlineStr">
        <is>
          <t>GÄVLEBORGS LÄN</t>
        </is>
      </c>
      <c r="E312" t="inlineStr">
        <is>
          <t>SANDVIKEN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47974-2024</t>
        </is>
      </c>
      <c r="B313" s="1" t="n">
        <v>45589.3999537037</v>
      </c>
      <c r="C313" s="1" t="n">
        <v>45993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39877-2025</t>
        </is>
      </c>
      <c r="B314" s="1" t="n">
        <v>45891.61541666667</v>
      </c>
      <c r="C314" s="1" t="n">
        <v>45993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29832-2025</t>
        </is>
      </c>
      <c r="B315" s="1" t="n">
        <v>45825.92290509259</v>
      </c>
      <c r="C315" s="1" t="n">
        <v>45993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23758-2024</t>
        </is>
      </c>
      <c r="B316" s="1" t="n">
        <v>45455.35325231482</v>
      </c>
      <c r="C316" s="1" t="n">
        <v>45993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40588-2025</t>
        </is>
      </c>
      <c r="B317" s="1" t="n">
        <v>45896.5346412037</v>
      </c>
      <c r="C317" s="1" t="n">
        <v>45993</v>
      </c>
      <c r="D317" t="inlineStr">
        <is>
          <t>GÄVLEBORGS LÄN</t>
        </is>
      </c>
      <c r="E317" t="inlineStr">
        <is>
          <t>SANDVIKEN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8380-2025</t>
        </is>
      </c>
      <c r="B318" s="1" t="n">
        <v>45709</v>
      </c>
      <c r="C318" s="1" t="n">
        <v>45993</v>
      </c>
      <c r="D318" t="inlineStr">
        <is>
          <t>GÄVLEBORGS LÄN</t>
        </is>
      </c>
      <c r="E318" t="inlineStr">
        <is>
          <t>SANDVIKEN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4783-2025</t>
        </is>
      </c>
      <c r="B319" s="1" t="n">
        <v>45688.52892361111</v>
      </c>
      <c r="C319" s="1" t="n">
        <v>45993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50701-2024</t>
        </is>
      </c>
      <c r="B320" s="1" t="n">
        <v>45602.36033564815</v>
      </c>
      <c r="C320" s="1" t="n">
        <v>45993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50765-2024</t>
        </is>
      </c>
      <c r="B321" s="1" t="n">
        <v>45602.4396875</v>
      </c>
      <c r="C321" s="1" t="n">
        <v>45993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19269-2025</t>
        </is>
      </c>
      <c r="B322" s="1" t="n">
        <v>45769.51464120371</v>
      </c>
      <c r="C322" s="1" t="n">
        <v>45993</v>
      </c>
      <c r="D322" t="inlineStr">
        <is>
          <t>GÄVLEBORGS LÄN</t>
        </is>
      </c>
      <c r="E322" t="inlineStr">
        <is>
          <t>SANDVIKEN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49533-2024</t>
        </is>
      </c>
      <c r="B323" s="1" t="n">
        <v>45596.42138888889</v>
      </c>
      <c r="C323" s="1" t="n">
        <v>45993</v>
      </c>
      <c r="D323" t="inlineStr">
        <is>
          <t>GÄVLEBORGS LÄN</t>
        </is>
      </c>
      <c r="E323" t="inlineStr">
        <is>
          <t>SANDVIKEN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58840-2023</t>
        </is>
      </c>
      <c r="B324" s="1" t="n">
        <v>45252.42072916667</v>
      </c>
      <c r="C324" s="1" t="n">
        <v>45993</v>
      </c>
      <c r="D324" t="inlineStr">
        <is>
          <t>GÄVLEBORGS LÄN</t>
        </is>
      </c>
      <c r="E324" t="inlineStr">
        <is>
          <t>SANDVIKEN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58911-2023</t>
        </is>
      </c>
      <c r="B325" s="1" t="n">
        <v>45250</v>
      </c>
      <c r="C325" s="1" t="n">
        <v>45993</v>
      </c>
      <c r="D325" t="inlineStr">
        <is>
          <t>GÄVLEBORGS LÄN</t>
        </is>
      </c>
      <c r="E325" t="inlineStr">
        <is>
          <t>SANDVIKEN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41185-2025</t>
        </is>
      </c>
      <c r="B326" s="1" t="n">
        <v>45898.56283564815</v>
      </c>
      <c r="C326" s="1" t="n">
        <v>45993</v>
      </c>
      <c r="D326" t="inlineStr">
        <is>
          <t>GÄVLEBORGS LÄN</t>
        </is>
      </c>
      <c r="E326" t="inlineStr">
        <is>
          <t>SANDVIKEN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41111-2025</t>
        </is>
      </c>
      <c r="B327" s="1" t="n">
        <v>45898</v>
      </c>
      <c r="C327" s="1" t="n">
        <v>45993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väst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781-2025</t>
        </is>
      </c>
      <c r="B328" s="1" t="n">
        <v>45665.4825</v>
      </c>
      <c r="C328" s="1" t="n">
        <v>45993</v>
      </c>
      <c r="D328" t="inlineStr">
        <is>
          <t>GÄVLEBORGS LÄN</t>
        </is>
      </c>
      <c r="E328" t="inlineStr">
        <is>
          <t>SANDVIKEN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53719-2024</t>
        </is>
      </c>
      <c r="B329" s="1" t="n">
        <v>45615.43756944445</v>
      </c>
      <c r="C329" s="1" t="n">
        <v>45993</v>
      </c>
      <c r="D329" t="inlineStr">
        <is>
          <t>GÄVLEBORGS LÄN</t>
        </is>
      </c>
      <c r="E329" t="inlineStr">
        <is>
          <t>SANDVIKEN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58562-2023</t>
        </is>
      </c>
      <c r="B330" s="1" t="n">
        <v>45251.43935185186</v>
      </c>
      <c r="C330" s="1" t="n">
        <v>45993</v>
      </c>
      <c r="D330" t="inlineStr">
        <is>
          <t>GÄVLEBORGS LÄN</t>
        </is>
      </c>
      <c r="E330" t="inlineStr">
        <is>
          <t>SANDVIKEN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25544-2024</t>
        </is>
      </c>
      <c r="B331" s="1" t="n">
        <v>45463</v>
      </c>
      <c r="C331" s="1" t="n">
        <v>45993</v>
      </c>
      <c r="D331" t="inlineStr">
        <is>
          <t>GÄVLEBORGS LÄN</t>
        </is>
      </c>
      <c r="E331" t="inlineStr">
        <is>
          <t>SANDVIKEN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57302-2024</t>
        </is>
      </c>
      <c r="B332" s="1" t="n">
        <v>45629.60164351852</v>
      </c>
      <c r="C332" s="1" t="n">
        <v>45993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53007-2023</t>
        </is>
      </c>
      <c r="B333" s="1" t="n">
        <v>45226</v>
      </c>
      <c r="C333" s="1" t="n">
        <v>45993</v>
      </c>
      <c r="D333" t="inlineStr">
        <is>
          <t>GÄVLEBORGS LÄN</t>
        </is>
      </c>
      <c r="E333" t="inlineStr">
        <is>
          <t>SANDVIKEN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3119-2022</t>
        </is>
      </c>
      <c r="B334" s="1" t="n">
        <v>44582</v>
      </c>
      <c r="C334" s="1" t="n">
        <v>45993</v>
      </c>
      <c r="D334" t="inlineStr">
        <is>
          <t>GÄVLEBORGS LÄN</t>
        </is>
      </c>
      <c r="E334" t="inlineStr">
        <is>
          <t>SANDVIKEN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35523-2022</t>
        </is>
      </c>
      <c r="B335" s="1" t="n">
        <v>44799</v>
      </c>
      <c r="C335" s="1" t="n">
        <v>45993</v>
      </c>
      <c r="D335" t="inlineStr">
        <is>
          <t>GÄVLEBORGS LÄN</t>
        </is>
      </c>
      <c r="E335" t="inlineStr">
        <is>
          <t>SANDVIKEN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HYPERLINK("https://klasma.github.io/Logging_2181/knärot/A 35523-2022 karta knärot.png", "A 35523-2022")</f>
        <v/>
      </c>
      <c r="V335">
        <f>HYPERLINK("https://klasma.github.io/Logging_2181/klagomål/A 35523-2022 FSC-klagomål.docx", "A 35523-2022")</f>
        <v/>
      </c>
      <c r="W335">
        <f>HYPERLINK("https://klasma.github.io/Logging_2181/klagomålsmail/A 35523-2022 FSC-klagomål mail.docx", "A 35523-2022")</f>
        <v/>
      </c>
      <c r="X335">
        <f>HYPERLINK("https://klasma.github.io/Logging_2181/tillsyn/A 35523-2022 tillsynsbegäran.docx", "A 35523-2022")</f>
        <v/>
      </c>
      <c r="Y335">
        <f>HYPERLINK("https://klasma.github.io/Logging_2181/tillsynsmail/A 35523-2022 tillsynsbegäran mail.docx", "A 35523-2022")</f>
        <v/>
      </c>
    </row>
    <row r="336" ht="15" customHeight="1">
      <c r="A336" t="inlineStr">
        <is>
          <t>A 36646-2022</t>
        </is>
      </c>
      <c r="B336" s="1" t="n">
        <v>44804.74767361111</v>
      </c>
      <c r="C336" s="1" t="n">
        <v>45993</v>
      </c>
      <c r="D336" t="inlineStr">
        <is>
          <t>GÄVLEBORGS LÄN</t>
        </is>
      </c>
      <c r="E336" t="inlineStr">
        <is>
          <t>SANDVIKEN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37367-2024</t>
        </is>
      </c>
      <c r="B337" s="1" t="n">
        <v>45540.56363425926</v>
      </c>
      <c r="C337" s="1" t="n">
        <v>45993</v>
      </c>
      <c r="D337" t="inlineStr">
        <is>
          <t>GÄVLEBORGS LÄN</t>
        </is>
      </c>
      <c r="E337" t="inlineStr">
        <is>
          <t>SANDVIKEN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41348-2025</t>
        </is>
      </c>
      <c r="B338" s="1" t="n">
        <v>45899.56299768519</v>
      </c>
      <c r="C338" s="1" t="n">
        <v>45993</v>
      </c>
      <c r="D338" t="inlineStr">
        <is>
          <t>GÄVLEBORGS LÄN</t>
        </is>
      </c>
      <c r="E338" t="inlineStr">
        <is>
          <t>SANDVIKEN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16683-2024</t>
        </is>
      </c>
      <c r="B339" s="1" t="n">
        <v>45408</v>
      </c>
      <c r="C339" s="1" t="n">
        <v>45993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väst AB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5586-2025</t>
        </is>
      </c>
      <c r="B340" s="1" t="n">
        <v>45693.55771990741</v>
      </c>
      <c r="C340" s="1" t="n">
        <v>45993</v>
      </c>
      <c r="D340" t="inlineStr">
        <is>
          <t>GÄVLEBORGS LÄN</t>
        </is>
      </c>
      <c r="E340" t="inlineStr">
        <is>
          <t>SANDVIKEN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10127-2025</t>
        </is>
      </c>
      <c r="B341" s="1" t="n">
        <v>45719</v>
      </c>
      <c r="C341" s="1" t="n">
        <v>45993</v>
      </c>
      <c r="D341" t="inlineStr">
        <is>
          <t>GÄVLEBORGS LÄN</t>
        </is>
      </c>
      <c r="E341" t="inlineStr">
        <is>
          <t>SANDVIKEN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17159-2025</t>
        </is>
      </c>
      <c r="B342" s="1" t="n">
        <v>45756.34729166667</v>
      </c>
      <c r="C342" s="1" t="n">
        <v>45993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12421-2025</t>
        </is>
      </c>
      <c r="B343" s="1" t="n">
        <v>45730.45319444445</v>
      </c>
      <c r="C343" s="1" t="n">
        <v>45993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7699-2025</t>
        </is>
      </c>
      <c r="B344" s="1" t="n">
        <v>45706</v>
      </c>
      <c r="C344" s="1" t="n">
        <v>45993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41349-2025</t>
        </is>
      </c>
      <c r="B345" s="1" t="n">
        <v>45899.61452546297</v>
      </c>
      <c r="C345" s="1" t="n">
        <v>45993</v>
      </c>
      <c r="D345" t="inlineStr">
        <is>
          <t>GÄVLEBORGS LÄN</t>
        </is>
      </c>
      <c r="E345" t="inlineStr">
        <is>
          <t>SANDVIKEN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44756.68119212963</v>
      </c>
      <c r="C346" s="1" t="n">
        <v>45993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16819-2025</t>
        </is>
      </c>
      <c r="B347" s="1" t="n">
        <v>45754.64091435185</v>
      </c>
      <c r="C347" s="1" t="n">
        <v>45993</v>
      </c>
      <c r="D347" t="inlineStr">
        <is>
          <t>GÄVLEBORGS LÄN</t>
        </is>
      </c>
      <c r="E347" t="inlineStr">
        <is>
          <t>SANDVIKEN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11481-2025</t>
        </is>
      </c>
      <c r="B348" s="1" t="n">
        <v>45726.67984953704</v>
      </c>
      <c r="C348" s="1" t="n">
        <v>45993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45284-2023</t>
        </is>
      </c>
      <c r="B349" s="1" t="n">
        <v>45191.64744212963</v>
      </c>
      <c r="C349" s="1" t="n">
        <v>45993</v>
      </c>
      <c r="D349" t="inlineStr">
        <is>
          <t>GÄVLEBORGS LÄN</t>
        </is>
      </c>
      <c r="E349" t="inlineStr">
        <is>
          <t>SANDVIKEN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27967-2022</t>
        </is>
      </c>
      <c r="B350" s="1" t="n">
        <v>44744</v>
      </c>
      <c r="C350" s="1" t="n">
        <v>45993</v>
      </c>
      <c r="D350" t="inlineStr">
        <is>
          <t>GÄVLEBORGS LÄN</t>
        </is>
      </c>
      <c r="E350" t="inlineStr">
        <is>
          <t>SANDVIKEN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30953-2024</t>
        </is>
      </c>
      <c r="B351" s="1" t="n">
        <v>45499.41650462963</v>
      </c>
      <c r="C351" s="1" t="n">
        <v>45993</v>
      </c>
      <c r="D351" t="inlineStr">
        <is>
          <t>GÄVLEBORGS LÄN</t>
        </is>
      </c>
      <c r="E351" t="inlineStr">
        <is>
          <t>SANDVIKEN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14356-2025</t>
        </is>
      </c>
      <c r="B352" s="1" t="n">
        <v>45741.36755787037</v>
      </c>
      <c r="C352" s="1" t="n">
        <v>45993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35646-2024</t>
        </is>
      </c>
      <c r="B353" s="1" t="n">
        <v>45532</v>
      </c>
      <c r="C353" s="1" t="n">
        <v>45993</v>
      </c>
      <c r="D353" t="inlineStr">
        <is>
          <t>GÄVLEBORGS LÄN</t>
        </is>
      </c>
      <c r="E353" t="inlineStr">
        <is>
          <t>SANDVIKEN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48257-2023</t>
        </is>
      </c>
      <c r="B354" s="1" t="n">
        <v>45205.53430555556</v>
      </c>
      <c r="C354" s="1" t="n">
        <v>45993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57609-2023</t>
        </is>
      </c>
      <c r="B355" s="1" t="n">
        <v>45246.5606712963</v>
      </c>
      <c r="C355" s="1" t="n">
        <v>45993</v>
      </c>
      <c r="D355" t="inlineStr">
        <is>
          <t>GÄVLEBORGS LÄN</t>
        </is>
      </c>
      <c r="E355" t="inlineStr">
        <is>
          <t>SANDVIKEN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8698-2024</t>
        </is>
      </c>
      <c r="B356" s="1" t="n">
        <v>45356.37516203704</v>
      </c>
      <c r="C356" s="1" t="n">
        <v>45993</v>
      </c>
      <c r="D356" t="inlineStr">
        <is>
          <t>GÄVLEBORGS LÄN</t>
        </is>
      </c>
      <c r="E356" t="inlineStr">
        <is>
          <t>SANDVIKEN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61858-2024</t>
        </is>
      </c>
      <c r="B357" s="1" t="n">
        <v>45649.75841435185</v>
      </c>
      <c r="C357" s="1" t="n">
        <v>45993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61859-2024</t>
        </is>
      </c>
      <c r="B358" s="1" t="n">
        <v>45649</v>
      </c>
      <c r="C358" s="1" t="n">
        <v>45993</v>
      </c>
      <c r="D358" t="inlineStr">
        <is>
          <t>GÄVLEBORGS LÄN</t>
        </is>
      </c>
      <c r="E358" t="inlineStr">
        <is>
          <t>SANDVIKEN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62056-2022</t>
        </is>
      </c>
      <c r="B359" s="1" t="n">
        <v>44918</v>
      </c>
      <c r="C359" s="1" t="n">
        <v>45993</v>
      </c>
      <c r="D359" t="inlineStr">
        <is>
          <t>GÄVLEBORGS LÄN</t>
        </is>
      </c>
      <c r="E359" t="inlineStr">
        <is>
          <t>SANDVIKEN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3833-2024</t>
        </is>
      </c>
      <c r="B360" s="1" t="n">
        <v>45321</v>
      </c>
      <c r="C360" s="1" t="n">
        <v>45993</v>
      </c>
      <c r="D360" t="inlineStr">
        <is>
          <t>GÄVLEBORGS LÄN</t>
        </is>
      </c>
      <c r="E360" t="inlineStr">
        <is>
          <t>SANDVIKEN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59616-2023</t>
        </is>
      </c>
      <c r="B361" s="1" t="n">
        <v>45254.65175925926</v>
      </c>
      <c r="C361" s="1" t="n">
        <v>45993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52772-2023</t>
        </is>
      </c>
      <c r="B362" s="1" t="n">
        <v>45226.33118055556</v>
      </c>
      <c r="C362" s="1" t="n">
        <v>45993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35252-2024</t>
        </is>
      </c>
      <c r="B363" s="1" t="n">
        <v>45530.57136574074</v>
      </c>
      <c r="C363" s="1" t="n">
        <v>45993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43210-2025</t>
        </is>
      </c>
      <c r="B364" s="1" t="n">
        <v>45910.45524305556</v>
      </c>
      <c r="C364" s="1" t="n">
        <v>45993</v>
      </c>
      <c r="D364" t="inlineStr">
        <is>
          <t>GÄVLEBORGS LÄN</t>
        </is>
      </c>
      <c r="E364" t="inlineStr">
        <is>
          <t>SANDVIKEN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43230-2025</t>
        </is>
      </c>
      <c r="B365" s="1" t="n">
        <v>45910.49741898148</v>
      </c>
      <c r="C365" s="1" t="n">
        <v>45993</v>
      </c>
      <c r="D365" t="inlineStr">
        <is>
          <t>GÄVLEBORGS LÄN</t>
        </is>
      </c>
      <c r="E365" t="inlineStr">
        <is>
          <t>SANDVIKEN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44101-2023</t>
        </is>
      </c>
      <c r="B366" s="1" t="n">
        <v>45188.43148148148</v>
      </c>
      <c r="C366" s="1" t="n">
        <v>45993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1392-2024</t>
        </is>
      </c>
      <c r="B367" s="1" t="n">
        <v>45303.57997685186</v>
      </c>
      <c r="C367" s="1" t="n">
        <v>45993</v>
      </c>
      <c r="D367" t="inlineStr">
        <is>
          <t>GÄVLEBORGS LÄN</t>
        </is>
      </c>
      <c r="E367" t="inlineStr">
        <is>
          <t>SANDVIKEN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970-2025</t>
        </is>
      </c>
      <c r="B368" s="1" t="n">
        <v>45666.39425925926</v>
      </c>
      <c r="C368" s="1" t="n">
        <v>45993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45989-2023</t>
        </is>
      </c>
      <c r="B369" s="1" t="n">
        <v>45196.31804398148</v>
      </c>
      <c r="C369" s="1" t="n">
        <v>45993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32002-2024</t>
        </is>
      </c>
      <c r="B370" s="1" t="n">
        <v>45510.60306712963</v>
      </c>
      <c r="C370" s="1" t="n">
        <v>45993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34946-2022</t>
        </is>
      </c>
      <c r="B371" s="1" t="n">
        <v>44796</v>
      </c>
      <c r="C371" s="1" t="n">
        <v>45993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1162-2024</t>
        </is>
      </c>
      <c r="B372" s="1" t="n">
        <v>45302</v>
      </c>
      <c r="C372" s="1" t="n">
        <v>45993</v>
      </c>
      <c r="D372" t="inlineStr">
        <is>
          <t>GÄVLEBORGS LÄN</t>
        </is>
      </c>
      <c r="E372" t="inlineStr">
        <is>
          <t>SANDVIKEN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23200-2024</t>
        </is>
      </c>
      <c r="B373" s="1" t="n">
        <v>45451.93958333333</v>
      </c>
      <c r="C373" s="1" t="n">
        <v>45993</v>
      </c>
      <c r="D373" t="inlineStr">
        <is>
          <t>GÄVLEBORGS LÄN</t>
        </is>
      </c>
      <c r="E373" t="inlineStr">
        <is>
          <t>SANDVIKEN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56017-2023</t>
        </is>
      </c>
      <c r="B374" s="1" t="n">
        <v>45240</v>
      </c>
      <c r="C374" s="1" t="n">
        <v>45993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45920-2022</t>
        </is>
      </c>
      <c r="B375" s="1" t="n">
        <v>44846.62366898148</v>
      </c>
      <c r="C375" s="1" t="n">
        <v>45993</v>
      </c>
      <c r="D375" t="inlineStr">
        <is>
          <t>GÄVLEBORGS LÄN</t>
        </is>
      </c>
      <c r="E375" t="inlineStr">
        <is>
          <t>SANDVIKEN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43036-2025</t>
        </is>
      </c>
      <c r="B376" s="1" t="n">
        <v>45909.54861111111</v>
      </c>
      <c r="C376" s="1" t="n">
        <v>45993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16820-2025</t>
        </is>
      </c>
      <c r="B377" s="1" t="n">
        <v>45754.64225694445</v>
      </c>
      <c r="C377" s="1" t="n">
        <v>45993</v>
      </c>
      <c r="D377" t="inlineStr">
        <is>
          <t>GÄVLEBORGS LÄN</t>
        </is>
      </c>
      <c r="E377" t="inlineStr">
        <is>
          <t>SANDVIKEN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36671-2023</t>
        </is>
      </c>
      <c r="B378" s="1" t="n">
        <v>45153.58384259259</v>
      </c>
      <c r="C378" s="1" t="n">
        <v>45993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29928-2024</t>
        </is>
      </c>
      <c r="B379" s="1" t="n">
        <v>45488.38681712963</v>
      </c>
      <c r="C379" s="1" t="n">
        <v>45993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7616-2025</t>
        </is>
      </c>
      <c r="B380" s="1" t="n">
        <v>45705</v>
      </c>
      <c r="C380" s="1" t="n">
        <v>45993</v>
      </c>
      <c r="D380" t="inlineStr">
        <is>
          <t>GÄVLEBORGS LÄN</t>
        </is>
      </c>
      <c r="E380" t="inlineStr">
        <is>
          <t>SANDVIKEN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1213-2025</t>
        </is>
      </c>
      <c r="B381" s="1" t="n">
        <v>45667</v>
      </c>
      <c r="C381" s="1" t="n">
        <v>45993</v>
      </c>
      <c r="D381" t="inlineStr">
        <is>
          <t>GÄVLEBORGS LÄN</t>
        </is>
      </c>
      <c r="E381" t="inlineStr">
        <is>
          <t>SANDVIKEN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41023-2023</t>
        </is>
      </c>
      <c r="B382" s="1" t="n">
        <v>45173.59473379629</v>
      </c>
      <c r="C382" s="1" t="n">
        <v>45993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3731-2024</t>
        </is>
      </c>
      <c r="B383" s="1" t="n">
        <v>45321.48737268519</v>
      </c>
      <c r="C383" s="1" t="n">
        <v>45993</v>
      </c>
      <c r="D383" t="inlineStr">
        <is>
          <t>GÄVLEBORGS LÄN</t>
        </is>
      </c>
      <c r="E383" t="inlineStr">
        <is>
          <t>SANDVIKEN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15347-2025</t>
        </is>
      </c>
      <c r="B384" s="1" t="n">
        <v>45747.38072916667</v>
      </c>
      <c r="C384" s="1" t="n">
        <v>45993</v>
      </c>
      <c r="D384" t="inlineStr">
        <is>
          <t>GÄVLEBORGS LÄN</t>
        </is>
      </c>
      <c r="E384" t="inlineStr">
        <is>
          <t>SANDVIKEN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1675-2025</t>
        </is>
      </c>
      <c r="B385" s="1" t="n">
        <v>45670</v>
      </c>
      <c r="C385" s="1" t="n">
        <v>45993</v>
      </c>
      <c r="D385" t="inlineStr">
        <is>
          <t>GÄVLEBORGS LÄN</t>
        </is>
      </c>
      <c r="E385" t="inlineStr">
        <is>
          <t>SANDVIKEN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3679-2022</t>
        </is>
      </c>
      <c r="B386" s="1" t="n">
        <v>44586</v>
      </c>
      <c r="C386" s="1" t="n">
        <v>45993</v>
      </c>
      <c r="D386" t="inlineStr">
        <is>
          <t>GÄVLEBORGS LÄN</t>
        </is>
      </c>
      <c r="E386" t="inlineStr">
        <is>
          <t>SANDVIKEN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45102-2022</t>
        </is>
      </c>
      <c r="B387" s="1" t="n">
        <v>44843.47506944444</v>
      </c>
      <c r="C387" s="1" t="n">
        <v>45993</v>
      </c>
      <c r="D387" t="inlineStr">
        <is>
          <t>GÄVLEBORGS LÄN</t>
        </is>
      </c>
      <c r="E387" t="inlineStr">
        <is>
          <t>SANDVIKEN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35783-2024</t>
        </is>
      </c>
      <c r="B388" s="1" t="n">
        <v>45532.61126157407</v>
      </c>
      <c r="C388" s="1" t="n">
        <v>45993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64801-2023</t>
        </is>
      </c>
      <c r="B389" s="1" t="n">
        <v>45282.39997685186</v>
      </c>
      <c r="C389" s="1" t="n">
        <v>45993</v>
      </c>
      <c r="D389" t="inlineStr">
        <is>
          <t>GÄVLEBORGS LÄN</t>
        </is>
      </c>
      <c r="E389" t="inlineStr">
        <is>
          <t>SANDVIKEN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61363-2023</t>
        </is>
      </c>
      <c r="B390" s="1" t="n">
        <v>45264.61790509259</v>
      </c>
      <c r="C390" s="1" t="n">
        <v>45993</v>
      </c>
      <c r="D390" t="inlineStr">
        <is>
          <t>GÄVLEBORGS LÄN</t>
        </is>
      </c>
      <c r="E390" t="inlineStr">
        <is>
          <t>SANDVIKEN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43472-2025</t>
        </is>
      </c>
      <c r="B391" s="1" t="n">
        <v>45911.48361111111</v>
      </c>
      <c r="C391" s="1" t="n">
        <v>45993</v>
      </c>
      <c r="D391" t="inlineStr">
        <is>
          <t>GÄVLEBORGS LÄN</t>
        </is>
      </c>
      <c r="E391" t="inlineStr">
        <is>
          <t>SANDVIKEN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61537-2023</t>
        </is>
      </c>
      <c r="B392" s="1" t="n">
        <v>45265.37725694444</v>
      </c>
      <c r="C392" s="1" t="n">
        <v>45993</v>
      </c>
      <c r="D392" t="inlineStr">
        <is>
          <t>GÄVLEBORGS LÄN</t>
        </is>
      </c>
      <c r="E392" t="inlineStr">
        <is>
          <t>SANDVIKEN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7679-2025</t>
        </is>
      </c>
      <c r="B393" s="1" t="n">
        <v>45706.36291666667</v>
      </c>
      <c r="C393" s="1" t="n">
        <v>45993</v>
      </c>
      <c r="D393" t="inlineStr">
        <is>
          <t>GÄVLEBORGS LÄN</t>
        </is>
      </c>
      <c r="E393" t="inlineStr">
        <is>
          <t>SANDVIKEN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45279-2023</t>
        </is>
      </c>
      <c r="B394" s="1" t="n">
        <v>45191</v>
      </c>
      <c r="C394" s="1" t="n">
        <v>45993</v>
      </c>
      <c r="D394" t="inlineStr">
        <is>
          <t>GÄVLEBORGS LÄN</t>
        </is>
      </c>
      <c r="E394" t="inlineStr">
        <is>
          <t>SANDVIKEN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19771-2025</t>
        </is>
      </c>
      <c r="B395" s="1" t="n">
        <v>45771.41731481482</v>
      </c>
      <c r="C395" s="1" t="n">
        <v>45993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37-2024</t>
        </is>
      </c>
      <c r="B396" s="1" t="n">
        <v>45293</v>
      </c>
      <c r="C396" s="1" t="n">
        <v>45993</v>
      </c>
      <c r="D396" t="inlineStr">
        <is>
          <t>GÄVLEBORGS LÄN</t>
        </is>
      </c>
      <c r="E396" t="inlineStr">
        <is>
          <t>SANDVIKEN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39-2024</t>
        </is>
      </c>
      <c r="B397" s="1" t="n">
        <v>45293.50021990741</v>
      </c>
      <c r="C397" s="1" t="n">
        <v>45993</v>
      </c>
      <c r="D397" t="inlineStr">
        <is>
          <t>GÄVLEBORGS LÄN</t>
        </is>
      </c>
      <c r="E397" t="inlineStr">
        <is>
          <t>SANDVIKEN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49518-2023</t>
        </is>
      </c>
      <c r="B398" s="1" t="n">
        <v>45211.58746527778</v>
      </c>
      <c r="C398" s="1" t="n">
        <v>45993</v>
      </c>
      <c r="D398" t="inlineStr">
        <is>
          <t>GÄVLEBORGS LÄN</t>
        </is>
      </c>
      <c r="E398" t="inlineStr">
        <is>
          <t>SANDVIKEN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245-2025</t>
        </is>
      </c>
      <c r="B399" s="1" t="n">
        <v>45660.41813657407</v>
      </c>
      <c r="C399" s="1" t="n">
        <v>45993</v>
      </c>
      <c r="D399" t="inlineStr">
        <is>
          <t>GÄVLEBORGS LÄN</t>
        </is>
      </c>
      <c r="E399" t="inlineStr">
        <is>
          <t>SANDVIKEN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52786-2025</t>
        </is>
      </c>
      <c r="B400" s="1" t="n">
        <v>45957.42613425926</v>
      </c>
      <c r="C400" s="1" t="n">
        <v>45993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HYPERLINK("https://klasma.github.io/Logging_2181/knärot/A 52786-2025 karta knärot.png", "A 52786-2025")</f>
        <v/>
      </c>
      <c r="V400">
        <f>HYPERLINK("https://klasma.github.io/Logging_2181/klagomål/A 52786-2025 FSC-klagomål.docx", "A 52786-2025")</f>
        <v/>
      </c>
      <c r="W400">
        <f>HYPERLINK("https://klasma.github.io/Logging_2181/klagomålsmail/A 52786-2025 FSC-klagomål mail.docx", "A 52786-2025")</f>
        <v/>
      </c>
      <c r="X400">
        <f>HYPERLINK("https://klasma.github.io/Logging_2181/tillsyn/A 52786-2025 tillsynsbegäran.docx", "A 52786-2025")</f>
        <v/>
      </c>
      <c r="Y400">
        <f>HYPERLINK("https://klasma.github.io/Logging_2181/tillsynsmail/A 52786-2025 tillsynsbegäran mail.docx", "A 52786-2025")</f>
        <v/>
      </c>
    </row>
    <row r="401" ht="15" customHeight="1">
      <c r="A401" t="inlineStr">
        <is>
          <t>A 7617-2025</t>
        </is>
      </c>
      <c r="B401" s="1" t="n">
        <v>45705</v>
      </c>
      <c r="C401" s="1" t="n">
        <v>45993</v>
      </c>
      <c r="D401" t="inlineStr">
        <is>
          <t>GÄVLEBORGS LÄN</t>
        </is>
      </c>
      <c r="E401" t="inlineStr">
        <is>
          <t>SANDVIKEN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10893-2025</t>
        </is>
      </c>
      <c r="B402" s="1" t="n">
        <v>45722.67835648148</v>
      </c>
      <c r="C402" s="1" t="n">
        <v>45993</v>
      </c>
      <c r="D402" t="inlineStr">
        <is>
          <t>GÄVLEBORGS LÄN</t>
        </is>
      </c>
      <c r="E402" t="inlineStr">
        <is>
          <t>SANDVIKEN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10895-2025</t>
        </is>
      </c>
      <c r="B403" s="1" t="n">
        <v>45722.68167824074</v>
      </c>
      <c r="C403" s="1" t="n">
        <v>45993</v>
      </c>
      <c r="D403" t="inlineStr">
        <is>
          <t>GÄVLEBORGS LÄN</t>
        </is>
      </c>
      <c r="E403" t="inlineStr">
        <is>
          <t>SANDVIKEN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15351-2025</t>
        </is>
      </c>
      <c r="B404" s="1" t="n">
        <v>45747.38331018519</v>
      </c>
      <c r="C404" s="1" t="n">
        <v>45993</v>
      </c>
      <c r="D404" t="inlineStr">
        <is>
          <t>GÄVLEBORGS LÄN</t>
        </is>
      </c>
      <c r="E404" t="inlineStr">
        <is>
          <t>SANDVIKEN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28206-2024</t>
        </is>
      </c>
      <c r="B405" s="1" t="n">
        <v>45477.34099537037</v>
      </c>
      <c r="C405" s="1" t="n">
        <v>45993</v>
      </c>
      <c r="D405" t="inlineStr">
        <is>
          <t>GÄVLEBORGS LÄN</t>
        </is>
      </c>
      <c r="E405" t="inlineStr">
        <is>
          <t>SANDVIKEN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12419-2025</t>
        </is>
      </c>
      <c r="B406" s="1" t="n">
        <v>45730.45170138889</v>
      </c>
      <c r="C406" s="1" t="n">
        <v>45993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6765-2025</t>
        </is>
      </c>
      <c r="B407" s="1" t="n">
        <v>45700.63459490741</v>
      </c>
      <c r="C407" s="1" t="n">
        <v>45993</v>
      </c>
      <c r="D407" t="inlineStr">
        <is>
          <t>GÄVLEBORGS LÄN</t>
        </is>
      </c>
      <c r="E407" t="inlineStr">
        <is>
          <t>SANDVIKEN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37458-2024</t>
        </is>
      </c>
      <c r="B408" s="1" t="n">
        <v>45540.71457175926</v>
      </c>
      <c r="C408" s="1" t="n">
        <v>45993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52784-2025</t>
        </is>
      </c>
      <c r="B409" s="1" t="n">
        <v>45957.4237037037</v>
      </c>
      <c r="C409" s="1" t="n">
        <v>45993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52785-2025</t>
        </is>
      </c>
      <c r="B410" s="1" t="n">
        <v>45957.42465277778</v>
      </c>
      <c r="C410" s="1" t="n">
        <v>45993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42495-2025</t>
        </is>
      </c>
      <c r="B411" s="1" t="n">
        <v>45905.50623842593</v>
      </c>
      <c r="C411" s="1" t="n">
        <v>45993</v>
      </c>
      <c r="D411" t="inlineStr">
        <is>
          <t>GÄVLEBORGS LÄN</t>
        </is>
      </c>
      <c r="E411" t="inlineStr">
        <is>
          <t>SANDVIKEN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27969-2024</t>
        </is>
      </c>
      <c r="B412" s="1" t="n">
        <v>45476.38328703704</v>
      </c>
      <c r="C412" s="1" t="n">
        <v>45993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34312-2021</t>
        </is>
      </c>
      <c r="B413" s="1" t="n">
        <v>44379</v>
      </c>
      <c r="C413" s="1" t="n">
        <v>45993</v>
      </c>
      <c r="D413" t="inlineStr">
        <is>
          <t>GÄVLEBORGS LÄN</t>
        </is>
      </c>
      <c r="E413" t="inlineStr">
        <is>
          <t>SANDVIKEN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59841-2023</t>
        </is>
      </c>
      <c r="B414" s="1" t="n">
        <v>45257.56163194445</v>
      </c>
      <c r="C414" s="1" t="n">
        <v>45993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45221-2021</t>
        </is>
      </c>
      <c r="B415" s="1" t="n">
        <v>44439.57211805556</v>
      </c>
      <c r="C415" s="1" t="n">
        <v>45993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44450-2025</t>
        </is>
      </c>
      <c r="B416" s="1" t="n">
        <v>45916.6016087963</v>
      </c>
      <c r="C416" s="1" t="n">
        <v>45993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60798-2023</t>
        </is>
      </c>
      <c r="B417" s="1" t="n">
        <v>45260</v>
      </c>
      <c r="C417" s="1" t="n">
        <v>45993</v>
      </c>
      <c r="D417" t="inlineStr">
        <is>
          <t>GÄVLEBORGS LÄN</t>
        </is>
      </c>
      <c r="E417" t="inlineStr">
        <is>
          <t>SANDVIKEN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71995-2021</t>
        </is>
      </c>
      <c r="B418" s="1" t="n">
        <v>44544.38899305555</v>
      </c>
      <c r="C418" s="1" t="n">
        <v>45993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17411-2025</t>
        </is>
      </c>
      <c r="B419" s="1" t="n">
        <v>45757.37238425926</v>
      </c>
      <c r="C419" s="1" t="n">
        <v>45993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34013-2024</t>
        </is>
      </c>
      <c r="B420" s="1" t="n">
        <v>45523.56701388889</v>
      </c>
      <c r="C420" s="1" t="n">
        <v>45993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55539-2023</t>
        </is>
      </c>
      <c r="B421" s="1" t="n">
        <v>45238.60041666667</v>
      </c>
      <c r="C421" s="1" t="n">
        <v>45993</v>
      </c>
      <c r="D421" t="inlineStr">
        <is>
          <t>GÄVLEBORGS LÄN</t>
        </is>
      </c>
      <c r="E421" t="inlineStr">
        <is>
          <t>SANDVIKEN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44717-2025</t>
        </is>
      </c>
      <c r="B422" s="1" t="n">
        <v>45917.63239583333</v>
      </c>
      <c r="C422" s="1" t="n">
        <v>45993</v>
      </c>
      <c r="D422" t="inlineStr">
        <is>
          <t>GÄVLEBORGS LÄN</t>
        </is>
      </c>
      <c r="E422" t="inlineStr">
        <is>
          <t>SANDVIKEN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27987-2024</t>
        </is>
      </c>
      <c r="B423" s="1" t="n">
        <v>45476.4246875</v>
      </c>
      <c r="C423" s="1" t="n">
        <v>45993</v>
      </c>
      <c r="D423" t="inlineStr">
        <is>
          <t>GÄVLEBORGS LÄN</t>
        </is>
      </c>
      <c r="E423" t="inlineStr">
        <is>
          <t>SANDVIKEN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11438-2023</t>
        </is>
      </c>
      <c r="B424" s="1" t="n">
        <v>44988</v>
      </c>
      <c r="C424" s="1" t="n">
        <v>45993</v>
      </c>
      <c r="D424" t="inlineStr">
        <is>
          <t>GÄVLEBORGS LÄN</t>
        </is>
      </c>
      <c r="E424" t="inlineStr">
        <is>
          <t>SANDVIKEN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11447-2023</t>
        </is>
      </c>
      <c r="B425" s="1" t="n">
        <v>44988</v>
      </c>
      <c r="C425" s="1" t="n">
        <v>45993</v>
      </c>
      <c r="D425" t="inlineStr">
        <is>
          <t>GÄVLEBORGS LÄN</t>
        </is>
      </c>
      <c r="E425" t="inlineStr">
        <is>
          <t>SANDVIKEN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16385-2023</t>
        </is>
      </c>
      <c r="B426" s="1" t="n">
        <v>45022</v>
      </c>
      <c r="C426" s="1" t="n">
        <v>45993</v>
      </c>
      <c r="D426" t="inlineStr">
        <is>
          <t>GÄVLEBORGS LÄN</t>
        </is>
      </c>
      <c r="E426" t="inlineStr">
        <is>
          <t>SANDVIKEN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73925-2021</t>
        </is>
      </c>
      <c r="B427" s="1" t="n">
        <v>44553</v>
      </c>
      <c r="C427" s="1" t="n">
        <v>45993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15124-2022</t>
        </is>
      </c>
      <c r="B428" s="1" t="n">
        <v>44658</v>
      </c>
      <c r="C428" s="1" t="n">
        <v>45993</v>
      </c>
      <c r="D428" t="inlineStr">
        <is>
          <t>GÄVLEBORGS LÄN</t>
        </is>
      </c>
      <c r="E428" t="inlineStr">
        <is>
          <t>SANDVIKEN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16980-2025</t>
        </is>
      </c>
      <c r="B429" s="1" t="n">
        <v>45755.47873842593</v>
      </c>
      <c r="C429" s="1" t="n">
        <v>45993</v>
      </c>
      <c r="D429" t="inlineStr">
        <is>
          <t>GÄVLEBORGS LÄN</t>
        </is>
      </c>
      <c r="E429" t="inlineStr">
        <is>
          <t>SANDVIKEN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49211-2023</t>
        </is>
      </c>
      <c r="B430" s="1" t="n">
        <v>45210.60303240741</v>
      </c>
      <c r="C430" s="1" t="n">
        <v>45993</v>
      </c>
      <c r="D430" t="inlineStr">
        <is>
          <t>GÄVLEBORGS LÄN</t>
        </is>
      </c>
      <c r="E430" t="inlineStr">
        <is>
          <t>SANDVIKEN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59738-2022</t>
        </is>
      </c>
      <c r="B431" s="1" t="n">
        <v>44908</v>
      </c>
      <c r="C431" s="1" t="n">
        <v>45993</v>
      </c>
      <c r="D431" t="inlineStr">
        <is>
          <t>GÄVLEBORGS LÄN</t>
        </is>
      </c>
      <c r="E431" t="inlineStr">
        <is>
          <t>SANDVIKEN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37996-2024</t>
        </is>
      </c>
      <c r="B432" s="1" t="n">
        <v>45544.60001157408</v>
      </c>
      <c r="C432" s="1" t="n">
        <v>45993</v>
      </c>
      <c r="D432" t="inlineStr">
        <is>
          <t>GÄVLEBORGS LÄN</t>
        </is>
      </c>
      <c r="E432" t="inlineStr">
        <is>
          <t>SANDVIKEN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58796-2024</t>
        </is>
      </c>
      <c r="B433" s="1" t="n">
        <v>45636.29079861111</v>
      </c>
      <c r="C433" s="1" t="n">
        <v>45993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61820-2024</t>
        </is>
      </c>
      <c r="B434" s="1" t="n">
        <v>45649</v>
      </c>
      <c r="C434" s="1" t="n">
        <v>45993</v>
      </c>
      <c r="D434" t="inlineStr">
        <is>
          <t>GÄVLEBORGS LÄN</t>
        </is>
      </c>
      <c r="E434" t="inlineStr">
        <is>
          <t>SANDVIKEN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24992-2023</t>
        </is>
      </c>
      <c r="B435" s="1" t="n">
        <v>45085.64475694444</v>
      </c>
      <c r="C435" s="1" t="n">
        <v>45993</v>
      </c>
      <c r="D435" t="inlineStr">
        <is>
          <t>GÄVLEBORGS LÄN</t>
        </is>
      </c>
      <c r="E435" t="inlineStr">
        <is>
          <t>SANDVIKEN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10575-2025</t>
        </is>
      </c>
      <c r="B436" s="1" t="n">
        <v>45721.54357638889</v>
      </c>
      <c r="C436" s="1" t="n">
        <v>45993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10580-2025</t>
        </is>
      </c>
      <c r="B437" s="1" t="n">
        <v>45721.54834490741</v>
      </c>
      <c r="C437" s="1" t="n">
        <v>45993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16258-2023</t>
        </is>
      </c>
      <c r="B438" s="1" t="n">
        <v>45022</v>
      </c>
      <c r="C438" s="1" t="n">
        <v>45993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55407-2022</t>
        </is>
      </c>
      <c r="B439" s="1" t="n">
        <v>44887</v>
      </c>
      <c r="C439" s="1" t="n">
        <v>45993</v>
      </c>
      <c r="D439" t="inlineStr">
        <is>
          <t>GÄVLEBORGS LÄN</t>
        </is>
      </c>
      <c r="E439" t="inlineStr">
        <is>
          <t>SANDVIKEN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11778-2024</t>
        </is>
      </c>
      <c r="B440" s="1" t="n">
        <v>45374.42484953703</v>
      </c>
      <c r="C440" s="1" t="n">
        <v>45993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11897-2024</t>
        </is>
      </c>
      <c r="B441" s="1" t="n">
        <v>45376.54525462963</v>
      </c>
      <c r="C441" s="1" t="n">
        <v>45993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42069-2024</t>
        </is>
      </c>
      <c r="B442" s="1" t="n">
        <v>45562.27895833334</v>
      </c>
      <c r="C442" s="1" t="n">
        <v>45993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45090-2025</t>
        </is>
      </c>
      <c r="B443" s="1" t="n">
        <v>45919.37730324074</v>
      </c>
      <c r="C443" s="1" t="n">
        <v>45993</v>
      </c>
      <c r="D443" t="inlineStr">
        <is>
          <t>GÄVLEBORGS LÄN</t>
        </is>
      </c>
      <c r="E443" t="inlineStr">
        <is>
          <t>SANDVIKEN</t>
        </is>
      </c>
      <c r="F443" t="inlineStr">
        <is>
          <t>Kyrkan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46177-2022</t>
        </is>
      </c>
      <c r="B444" s="1" t="n">
        <v>44847.49043981481</v>
      </c>
      <c r="C444" s="1" t="n">
        <v>45993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62642-2023</t>
        </is>
      </c>
      <c r="B445" s="1" t="n">
        <v>45271.42324074074</v>
      </c>
      <c r="C445" s="1" t="n">
        <v>45993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36656-2024</t>
        </is>
      </c>
      <c r="B446" s="1" t="n">
        <v>45537.61835648148</v>
      </c>
      <c r="C446" s="1" t="n">
        <v>45993</v>
      </c>
      <c r="D446" t="inlineStr">
        <is>
          <t>GÄVLEBORGS LÄN</t>
        </is>
      </c>
      <c r="E446" t="inlineStr">
        <is>
          <t>SANDVIKEN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45103-2025</t>
        </is>
      </c>
      <c r="B447" s="1" t="n">
        <v>45919.3984837963</v>
      </c>
      <c r="C447" s="1" t="n">
        <v>45993</v>
      </c>
      <c r="D447" t="inlineStr">
        <is>
          <t>GÄVLEBORGS LÄN</t>
        </is>
      </c>
      <c r="E447" t="inlineStr">
        <is>
          <t>SANDVIKEN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45400-2025</t>
        </is>
      </c>
      <c r="B448" s="1" t="n">
        <v>45922.4216087963</v>
      </c>
      <c r="C448" s="1" t="n">
        <v>45993</v>
      </c>
      <c r="D448" t="inlineStr">
        <is>
          <t>GÄVLEBORGS LÄN</t>
        </is>
      </c>
      <c r="E448" t="inlineStr">
        <is>
          <t>SANDVIKEN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17405-2025</t>
        </is>
      </c>
      <c r="B449" s="1" t="n">
        <v>45757.36209490741</v>
      </c>
      <c r="C449" s="1" t="n">
        <v>45993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22238-2023</t>
        </is>
      </c>
      <c r="B450" s="1" t="n">
        <v>45070.28346064815</v>
      </c>
      <c r="C450" s="1" t="n">
        <v>45993</v>
      </c>
      <c r="D450" t="inlineStr">
        <is>
          <t>GÄVLEBORGS LÄN</t>
        </is>
      </c>
      <c r="E450" t="inlineStr">
        <is>
          <t>SANDVIKEN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20873-2025</t>
        </is>
      </c>
      <c r="B451" s="1" t="n">
        <v>45777.34825231481</v>
      </c>
      <c r="C451" s="1" t="n">
        <v>45993</v>
      </c>
      <c r="D451" t="inlineStr">
        <is>
          <t>GÄVLEBORGS LÄN</t>
        </is>
      </c>
      <c r="E451" t="inlineStr">
        <is>
          <t>SANDVIKEN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23085-2023</t>
        </is>
      </c>
      <c r="B452" s="1" t="n">
        <v>45075</v>
      </c>
      <c r="C452" s="1" t="n">
        <v>45993</v>
      </c>
      <c r="D452" t="inlineStr">
        <is>
          <t>GÄVLEBORGS LÄN</t>
        </is>
      </c>
      <c r="E452" t="inlineStr">
        <is>
          <t>SANDVIKEN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21182-2025</t>
        </is>
      </c>
      <c r="B453" s="1" t="n">
        <v>45779.4387037037</v>
      </c>
      <c r="C453" s="1" t="n">
        <v>45993</v>
      </c>
      <c r="D453" t="inlineStr">
        <is>
          <t>GÄVLEBORGS LÄN</t>
        </is>
      </c>
      <c r="E453" t="inlineStr">
        <is>
          <t>SANDVIKEN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61774-2024</t>
        </is>
      </c>
      <c r="B454" s="1" t="n">
        <v>45649.46215277778</v>
      </c>
      <c r="C454" s="1" t="n">
        <v>45993</v>
      </c>
      <c r="D454" t="inlineStr">
        <is>
          <t>GÄVLEBORGS LÄN</t>
        </is>
      </c>
      <c r="E454" t="inlineStr">
        <is>
          <t>SANDVIKEN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36833-2022</t>
        </is>
      </c>
      <c r="B455" s="1" t="n">
        <v>44805.569375</v>
      </c>
      <c r="C455" s="1" t="n">
        <v>45993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39340-2024</t>
        </is>
      </c>
      <c r="B456" s="1" t="n">
        <v>45551.44383101852</v>
      </c>
      <c r="C456" s="1" t="n">
        <v>45993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14840-2022</t>
        </is>
      </c>
      <c r="B457" s="1" t="n">
        <v>44656.57594907407</v>
      </c>
      <c r="C457" s="1" t="n">
        <v>45993</v>
      </c>
      <c r="D457" t="inlineStr">
        <is>
          <t>GÄVLEBORGS LÄN</t>
        </is>
      </c>
      <c r="E457" t="inlineStr">
        <is>
          <t>SANDVIKEN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47651-2023</t>
        </is>
      </c>
      <c r="B458" s="1" t="n">
        <v>45203</v>
      </c>
      <c r="C458" s="1" t="n">
        <v>45993</v>
      </c>
      <c r="D458" t="inlineStr">
        <is>
          <t>GÄVLEBORGS LÄN</t>
        </is>
      </c>
      <c r="E458" t="inlineStr">
        <is>
          <t>SANDVIKEN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14280-2025</t>
        </is>
      </c>
      <c r="B459" s="1" t="n">
        <v>45740.65372685185</v>
      </c>
      <c r="C459" s="1" t="n">
        <v>45993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24088-2021</t>
        </is>
      </c>
      <c r="B460" s="1" t="n">
        <v>44336</v>
      </c>
      <c r="C460" s="1" t="n">
        <v>45993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50299-2024</t>
        </is>
      </c>
      <c r="B461" s="1" t="n">
        <v>45600.62952546297</v>
      </c>
      <c r="C461" s="1" t="n">
        <v>45993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13531-2021</t>
        </is>
      </c>
      <c r="B462" s="1" t="n">
        <v>44273.695625</v>
      </c>
      <c r="C462" s="1" t="n">
        <v>45993</v>
      </c>
      <c r="D462" t="inlineStr">
        <is>
          <t>GÄVLEBORGS LÄN</t>
        </is>
      </c>
      <c r="E462" t="inlineStr">
        <is>
          <t>SANDVIKEN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15674-2024</t>
        </is>
      </c>
      <c r="B463" s="1" t="n">
        <v>45404.40354166667</v>
      </c>
      <c r="C463" s="1" t="n">
        <v>45993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21178-2025</t>
        </is>
      </c>
      <c r="B464" s="1" t="n">
        <v>45779.42856481481</v>
      </c>
      <c r="C464" s="1" t="n">
        <v>45993</v>
      </c>
      <c r="D464" t="inlineStr">
        <is>
          <t>GÄVLEBORGS LÄN</t>
        </is>
      </c>
      <c r="E464" t="inlineStr">
        <is>
          <t>SANDVIKEN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58363-2022</t>
        </is>
      </c>
      <c r="B465" s="1" t="n">
        <v>44901</v>
      </c>
      <c r="C465" s="1" t="n">
        <v>45993</v>
      </c>
      <c r="D465" t="inlineStr">
        <is>
          <t>GÄVLEBORGS LÄN</t>
        </is>
      </c>
      <c r="E465" t="inlineStr">
        <is>
          <t>SANDVIKEN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46321-2025</t>
        </is>
      </c>
      <c r="B466" s="1" t="n">
        <v>45925.44876157407</v>
      </c>
      <c r="C466" s="1" t="n">
        <v>45993</v>
      </c>
      <c r="D466" t="inlineStr">
        <is>
          <t>GÄVLEBORGS LÄN</t>
        </is>
      </c>
      <c r="E466" t="inlineStr">
        <is>
          <t>SANDVIKEN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46727-2025</t>
        </is>
      </c>
      <c r="B467" s="1" t="n">
        <v>45926.58954861111</v>
      </c>
      <c r="C467" s="1" t="n">
        <v>45993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46621-2025</t>
        </is>
      </c>
      <c r="B468" s="1" t="n">
        <v>45926.4384375</v>
      </c>
      <c r="C468" s="1" t="n">
        <v>45993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23217-2023</t>
        </is>
      </c>
      <c r="B469" s="1" t="n">
        <v>45075</v>
      </c>
      <c r="C469" s="1" t="n">
        <v>45993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56150-2023</t>
        </is>
      </c>
      <c r="B470" s="1" t="n">
        <v>45240.604375</v>
      </c>
      <c r="C470" s="1" t="n">
        <v>45993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46607-2025</t>
        </is>
      </c>
      <c r="B471" s="1" t="n">
        <v>45926.41520833333</v>
      </c>
      <c r="C471" s="1" t="n">
        <v>45993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46618-2025</t>
        </is>
      </c>
      <c r="B472" s="1" t="n">
        <v>45926.43328703703</v>
      </c>
      <c r="C472" s="1" t="n">
        <v>45993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46269-2025</t>
        </is>
      </c>
      <c r="B473" s="1" t="n">
        <v>45925.36886574074</v>
      </c>
      <c r="C473" s="1" t="n">
        <v>45993</v>
      </c>
      <c r="D473" t="inlineStr">
        <is>
          <t>GÄVLEBORGS LÄN</t>
        </is>
      </c>
      <c r="E473" t="inlineStr">
        <is>
          <t>SANDVIKEN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14144-2025</t>
        </is>
      </c>
      <c r="B474" s="1" t="n">
        <v>45740.48634259259</v>
      </c>
      <c r="C474" s="1" t="n">
        <v>45993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39566-2022</t>
        </is>
      </c>
      <c r="B475" s="1" t="n">
        <v>44818.57881944445</v>
      </c>
      <c r="C475" s="1" t="n">
        <v>45993</v>
      </c>
      <c r="D475" t="inlineStr">
        <is>
          <t>GÄVLEBORGS LÄN</t>
        </is>
      </c>
      <c r="E475" t="inlineStr">
        <is>
          <t>SANDVIKEN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41790-2024</t>
        </is>
      </c>
      <c r="B476" s="1" t="n">
        <v>45561.35392361111</v>
      </c>
      <c r="C476" s="1" t="n">
        <v>45993</v>
      </c>
      <c r="D476" t="inlineStr">
        <is>
          <t>GÄVLEBORGS LÄN</t>
        </is>
      </c>
      <c r="E476" t="inlineStr">
        <is>
          <t>SANDVIKEN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46730-2025</t>
        </is>
      </c>
      <c r="B477" s="1" t="n">
        <v>45926.59225694444</v>
      </c>
      <c r="C477" s="1" t="n">
        <v>45993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19346-2023</t>
        </is>
      </c>
      <c r="B478" s="1" t="n">
        <v>45049.58680555555</v>
      </c>
      <c r="C478" s="1" t="n">
        <v>45993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37459-2024</t>
        </is>
      </c>
      <c r="B479" s="1" t="n">
        <v>45540.71594907407</v>
      </c>
      <c r="C479" s="1" t="n">
        <v>45993</v>
      </c>
      <c r="D479" t="inlineStr">
        <is>
          <t>GÄVLEBORGS LÄN</t>
        </is>
      </c>
      <c r="E479" t="inlineStr">
        <is>
          <t>SANDVIKEN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55099-2025</t>
        </is>
      </c>
      <c r="B480" s="1" t="n">
        <v>45968.34590277778</v>
      </c>
      <c r="C480" s="1" t="n">
        <v>45993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47325-2025</t>
        </is>
      </c>
      <c r="B481" s="1" t="n">
        <v>45930.55521990741</v>
      </c>
      <c r="C481" s="1" t="n">
        <v>45993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47416-2025</t>
        </is>
      </c>
      <c r="B482" s="1" t="n">
        <v>45930.62028935185</v>
      </c>
      <c r="C482" s="1" t="n">
        <v>45993</v>
      </c>
      <c r="D482" t="inlineStr">
        <is>
          <t>GÄVLEBORGS LÄN</t>
        </is>
      </c>
      <c r="E482" t="inlineStr">
        <is>
          <t>SANDVIKEN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21798-2025</t>
        </is>
      </c>
      <c r="B483" s="1" t="n">
        <v>45783.6865625</v>
      </c>
      <c r="C483" s="1" t="n">
        <v>45993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47396-2025</t>
        </is>
      </c>
      <c r="B484" s="1" t="n">
        <v>45930.60548611111</v>
      </c>
      <c r="C484" s="1" t="n">
        <v>45993</v>
      </c>
      <c r="D484" t="inlineStr">
        <is>
          <t>GÄVLEBORGS LÄN</t>
        </is>
      </c>
      <c r="E484" t="inlineStr">
        <is>
          <t>SANDVIKEN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55753-2025</t>
        </is>
      </c>
      <c r="B485" s="1" t="n">
        <v>45972.58767361111</v>
      </c>
      <c r="C485" s="1" t="n">
        <v>45993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47173-2025</t>
        </is>
      </c>
      <c r="B486" s="1" t="n">
        <v>45930.2187962963</v>
      </c>
      <c r="C486" s="1" t="n">
        <v>45993</v>
      </c>
      <c r="D486" t="inlineStr">
        <is>
          <t>GÄVLEBORGS LÄN</t>
        </is>
      </c>
      <c r="E486" t="inlineStr">
        <is>
          <t>SANDVIKEN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47174-2025</t>
        </is>
      </c>
      <c r="B487" s="1" t="n">
        <v>45930.23103009259</v>
      </c>
      <c r="C487" s="1" t="n">
        <v>45993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31317-2023</t>
        </is>
      </c>
      <c r="B488" s="1" t="n">
        <v>45103</v>
      </c>
      <c r="C488" s="1" t="n">
        <v>45993</v>
      </c>
      <c r="D488" t="inlineStr">
        <is>
          <t>GÄVLEBORGS LÄN</t>
        </is>
      </c>
      <c r="E488" t="inlineStr">
        <is>
          <t>SANDVIKEN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12417-2025</t>
        </is>
      </c>
      <c r="B489" s="1" t="n">
        <v>45730.44833333333</v>
      </c>
      <c r="C489" s="1" t="n">
        <v>45993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12418-2025</t>
        </is>
      </c>
      <c r="B490" s="1" t="n">
        <v>45730.4502662037</v>
      </c>
      <c r="C490" s="1" t="n">
        <v>45993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41284-2023</t>
        </is>
      </c>
      <c r="B491" s="1" t="n">
        <v>45174</v>
      </c>
      <c r="C491" s="1" t="n">
        <v>45993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47148-2025</t>
        </is>
      </c>
      <c r="B492" s="1" t="n">
        <v>45929.71905092592</v>
      </c>
      <c r="C492" s="1" t="n">
        <v>45993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55607-2025</t>
        </is>
      </c>
      <c r="B493" s="1" t="n">
        <v>45971.79834490741</v>
      </c>
      <c r="C493" s="1" t="n">
        <v>45993</v>
      </c>
      <c r="D493" t="inlineStr">
        <is>
          <t>GÄVLEBORGS LÄN</t>
        </is>
      </c>
      <c r="E493" t="inlineStr">
        <is>
          <t>SANDVIKEN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3456-2024</t>
        </is>
      </c>
      <c r="B494" s="1" t="n">
        <v>45320.39416666667</v>
      </c>
      <c r="C494" s="1" t="n">
        <v>45993</v>
      </c>
      <c r="D494" t="inlineStr">
        <is>
          <t>GÄVLEBORGS LÄN</t>
        </is>
      </c>
      <c r="E494" t="inlineStr">
        <is>
          <t>SANDVIKEN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56019-2023</t>
        </is>
      </c>
      <c r="B495" s="1" t="n">
        <v>45240.42166666667</v>
      </c>
      <c r="C495" s="1" t="n">
        <v>45993</v>
      </c>
      <c r="D495" t="inlineStr">
        <is>
          <t>GÄVLEBORGS LÄN</t>
        </is>
      </c>
      <c r="E495" t="inlineStr">
        <is>
          <t>SANDVIKEN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55595-2025</t>
        </is>
      </c>
      <c r="B496" s="1" t="n">
        <v>45971.71429398148</v>
      </c>
      <c r="C496" s="1" t="n">
        <v>45993</v>
      </c>
      <c r="D496" t="inlineStr">
        <is>
          <t>GÄVLEBORGS LÄN</t>
        </is>
      </c>
      <c r="E496" t="inlineStr">
        <is>
          <t>SANDVIKEN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1418-2025</t>
        </is>
      </c>
      <c r="B497" s="1" t="n">
        <v>45668.41842592593</v>
      </c>
      <c r="C497" s="1" t="n">
        <v>45993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46958-2025</t>
        </is>
      </c>
      <c r="B498" s="1" t="n">
        <v>45929.48452546296</v>
      </c>
      <c r="C498" s="1" t="n">
        <v>45993</v>
      </c>
      <c r="D498" t="inlineStr">
        <is>
          <t>GÄVLEBORGS LÄN</t>
        </is>
      </c>
      <c r="E498" t="inlineStr">
        <is>
          <t>SANDVIKEN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46961-2025</t>
        </is>
      </c>
      <c r="B499" s="1" t="n">
        <v>45929.48710648148</v>
      </c>
      <c r="C499" s="1" t="n">
        <v>45993</v>
      </c>
      <c r="D499" t="inlineStr">
        <is>
          <t>GÄVLEBORGS LÄN</t>
        </is>
      </c>
      <c r="E499" t="inlineStr">
        <is>
          <t>SANDVIKEN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55355-2025</t>
        </is>
      </c>
      <c r="B500" s="1" t="n">
        <v>45971.3704050926</v>
      </c>
      <c r="C500" s="1" t="n">
        <v>45993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40460-2024</t>
        </is>
      </c>
      <c r="B501" s="1" t="n">
        <v>45555.50784722222</v>
      </c>
      <c r="C501" s="1" t="n">
        <v>45993</v>
      </c>
      <c r="D501" t="inlineStr">
        <is>
          <t>GÄVLEBORGS LÄN</t>
        </is>
      </c>
      <c r="E501" t="inlineStr">
        <is>
          <t>SANDVIKEN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55446-2024</t>
        </is>
      </c>
      <c r="B502" s="1" t="n">
        <v>45622.41663194444</v>
      </c>
      <c r="C502" s="1" t="n">
        <v>45993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48319-2023</t>
        </is>
      </c>
      <c r="B503" s="1" t="n">
        <v>45205.59666666666</v>
      </c>
      <c r="C503" s="1" t="n">
        <v>45993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62459-2023</t>
        </is>
      </c>
      <c r="B504" s="1" t="n">
        <v>45268.51590277778</v>
      </c>
      <c r="C504" s="1" t="n">
        <v>45993</v>
      </c>
      <c r="D504" t="inlineStr">
        <is>
          <t>GÄVLEBORGS LÄN</t>
        </is>
      </c>
      <c r="E504" t="inlineStr">
        <is>
          <t>SANDVIKEN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42950-2023</t>
        </is>
      </c>
      <c r="B505" s="1" t="n">
        <v>45178</v>
      </c>
      <c r="C505" s="1" t="n">
        <v>45993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21456-2023</t>
        </is>
      </c>
      <c r="B506" s="1" t="n">
        <v>45063.45789351852</v>
      </c>
      <c r="C506" s="1" t="n">
        <v>45993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69521-2021</t>
        </is>
      </c>
      <c r="B507" s="1" t="n">
        <v>44531.86046296296</v>
      </c>
      <c r="C507" s="1" t="n">
        <v>45993</v>
      </c>
      <c r="D507" t="inlineStr">
        <is>
          <t>GÄVLEBORGS LÄN</t>
        </is>
      </c>
      <c r="E507" t="inlineStr">
        <is>
          <t>SANDVIKEN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8379-2025</t>
        </is>
      </c>
      <c r="B508" s="1" t="n">
        <v>45709.33609953704</v>
      </c>
      <c r="C508" s="1" t="n">
        <v>45993</v>
      </c>
      <c r="D508" t="inlineStr">
        <is>
          <t>GÄVLEBORGS LÄN</t>
        </is>
      </c>
      <c r="E508" t="inlineStr">
        <is>
          <t>SANDVIKEN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3256-2025</t>
        </is>
      </c>
      <c r="B509" s="1" t="n">
        <v>45679.55258101852</v>
      </c>
      <c r="C509" s="1" t="n">
        <v>45993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47770-2025</t>
        </is>
      </c>
      <c r="B510" s="1" t="n">
        <v>45931.71005787037</v>
      </c>
      <c r="C510" s="1" t="n">
        <v>45993</v>
      </c>
      <c r="D510" t="inlineStr">
        <is>
          <t>GÄVLEBORGS LÄN</t>
        </is>
      </c>
      <c r="E510" t="inlineStr">
        <is>
          <t>SANDVIKEN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48043-2025</t>
        </is>
      </c>
      <c r="B511" s="1" t="n">
        <v>45932.66321759259</v>
      </c>
      <c r="C511" s="1" t="n">
        <v>45993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47743-2025</t>
        </is>
      </c>
      <c r="B512" s="1" t="n">
        <v>45931.64719907408</v>
      </c>
      <c r="C512" s="1" t="n">
        <v>45993</v>
      </c>
      <c r="D512" t="inlineStr">
        <is>
          <t>GÄVLEBORGS LÄN</t>
        </is>
      </c>
      <c r="E512" t="inlineStr">
        <is>
          <t>SANDVIKEN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33623-2024</t>
        </is>
      </c>
      <c r="B513" s="1" t="n">
        <v>45520.41766203703</v>
      </c>
      <c r="C513" s="1" t="n">
        <v>45993</v>
      </c>
      <c r="D513" t="inlineStr">
        <is>
          <t>GÄVLEBORGS LÄN</t>
        </is>
      </c>
      <c r="E513" t="inlineStr">
        <is>
          <t>SANDVIKEN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22495-2025</t>
        </is>
      </c>
      <c r="B514" s="1" t="n">
        <v>45786.65537037037</v>
      </c>
      <c r="C514" s="1" t="n">
        <v>45993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4498-2024</t>
        </is>
      </c>
      <c r="B515" s="1" t="n">
        <v>45327.61053240741</v>
      </c>
      <c r="C515" s="1" t="n">
        <v>45993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49209-2024</t>
        </is>
      </c>
      <c r="B516" s="1" t="n">
        <v>45595.37880787037</v>
      </c>
      <c r="C516" s="1" t="n">
        <v>45993</v>
      </c>
      <c r="D516" t="inlineStr">
        <is>
          <t>GÄVLEBORGS LÄN</t>
        </is>
      </c>
      <c r="E516" t="inlineStr">
        <is>
          <t>SANDVIKEN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34429-2024</t>
        </is>
      </c>
      <c r="B517" s="1" t="n">
        <v>45525.51678240741</v>
      </c>
      <c r="C517" s="1" t="n">
        <v>45993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3442-2023</t>
        </is>
      </c>
      <c r="B518" s="1" t="n">
        <v>44949.60355324074</v>
      </c>
      <c r="C518" s="1" t="n">
        <v>45993</v>
      </c>
      <c r="D518" t="inlineStr">
        <is>
          <t>GÄVLEBORGS LÄN</t>
        </is>
      </c>
      <c r="E518" t="inlineStr">
        <is>
          <t>SANDVIKEN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48045-2025</t>
        </is>
      </c>
      <c r="B519" s="1" t="n">
        <v>45932.66636574074</v>
      </c>
      <c r="C519" s="1" t="n">
        <v>45993</v>
      </c>
      <c r="D519" t="inlineStr">
        <is>
          <t>GÄVLEBORGS LÄN</t>
        </is>
      </c>
      <c r="E519" t="inlineStr">
        <is>
          <t>SANDVIKEN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23497-2025</t>
        </is>
      </c>
      <c r="B520" s="1" t="n">
        <v>45792.47788194445</v>
      </c>
      <c r="C520" s="1" t="n">
        <v>45993</v>
      </c>
      <c r="D520" t="inlineStr">
        <is>
          <t>GÄVLEBORGS LÄN</t>
        </is>
      </c>
      <c r="E520" t="inlineStr">
        <is>
          <t>SANDVIKEN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48263-2025</t>
        </is>
      </c>
      <c r="B521" s="1" t="n">
        <v>45933.56688657407</v>
      </c>
      <c r="C521" s="1" t="n">
        <v>45993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48170-2025</t>
        </is>
      </c>
      <c r="B522" s="1" t="n">
        <v>45933.43212962963</v>
      </c>
      <c r="C522" s="1" t="n">
        <v>45993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48516-2025</t>
        </is>
      </c>
      <c r="B523" s="1" t="n">
        <v>45936.39462962963</v>
      </c>
      <c r="C523" s="1" t="n">
        <v>45993</v>
      </c>
      <c r="D523" t="inlineStr">
        <is>
          <t>GÄVLEBORGS LÄN</t>
        </is>
      </c>
      <c r="E523" t="inlineStr">
        <is>
          <t>SANDVIKEN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56703-2025</t>
        </is>
      </c>
      <c r="B524" s="1" t="n">
        <v>45977.45782407407</v>
      </c>
      <c r="C524" s="1" t="n">
        <v>45993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48261-2025</t>
        </is>
      </c>
      <c r="B525" s="1" t="n">
        <v>45933.56163194445</v>
      </c>
      <c r="C525" s="1" t="n">
        <v>45993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48268-2025</t>
        </is>
      </c>
      <c r="B526" s="1" t="n">
        <v>45933.57059027778</v>
      </c>
      <c r="C526" s="1" t="n">
        <v>45993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48613-2025</t>
        </is>
      </c>
      <c r="B527" s="1" t="n">
        <v>45936.48322916667</v>
      </c>
      <c r="C527" s="1" t="n">
        <v>45993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27872-2024</t>
        </is>
      </c>
      <c r="B528" s="1" t="n">
        <v>45475.71920138889</v>
      </c>
      <c r="C528" s="1" t="n">
        <v>45993</v>
      </c>
      <c r="D528" t="inlineStr">
        <is>
          <t>GÄVLEBORGS LÄN</t>
        </is>
      </c>
      <c r="E528" t="inlineStr">
        <is>
          <t>SANDVIKEN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48963-2025</t>
        </is>
      </c>
      <c r="B529" s="1" t="n">
        <v>45936</v>
      </c>
      <c r="C529" s="1" t="n">
        <v>45993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väst AB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48557-2025</t>
        </is>
      </c>
      <c r="B530" s="1" t="n">
        <v>45936.42877314815</v>
      </c>
      <c r="C530" s="1" t="n">
        <v>45993</v>
      </c>
      <c r="D530" t="inlineStr">
        <is>
          <t>GÄVLEBORGS LÄN</t>
        </is>
      </c>
      <c r="E530" t="inlineStr">
        <is>
          <t>SANDVIKEN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56755-2025</t>
        </is>
      </c>
      <c r="B531" s="1" t="n">
        <v>45978.36744212963</v>
      </c>
      <c r="C531" s="1" t="n">
        <v>45993</v>
      </c>
      <c r="D531" t="inlineStr">
        <is>
          <t>GÄVLEBORGS LÄN</t>
        </is>
      </c>
      <c r="E531" t="inlineStr">
        <is>
          <t>SANDVIKEN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48162-2025</t>
        </is>
      </c>
      <c r="B532" s="1" t="n">
        <v>45933.42680555556</v>
      </c>
      <c r="C532" s="1" t="n">
        <v>45993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44289-2023</t>
        </is>
      </c>
      <c r="B533" s="1" t="n">
        <v>45188.63613425926</v>
      </c>
      <c r="C533" s="1" t="n">
        <v>45993</v>
      </c>
      <c r="D533" t="inlineStr">
        <is>
          <t>GÄVLEBORGS LÄN</t>
        </is>
      </c>
      <c r="E533" t="inlineStr">
        <is>
          <t>SANDVIKEN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15682-2024</t>
        </is>
      </c>
      <c r="B534" s="1" t="n">
        <v>45404.42548611111</v>
      </c>
      <c r="C534" s="1" t="n">
        <v>45993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17735-2024</t>
        </is>
      </c>
      <c r="B535" s="1" t="n">
        <v>45418.5744675926</v>
      </c>
      <c r="C535" s="1" t="n">
        <v>45993</v>
      </c>
      <c r="D535" t="inlineStr">
        <is>
          <t>GÄVLEBORGS LÄN</t>
        </is>
      </c>
      <c r="E535" t="inlineStr">
        <is>
          <t>SANDVIKEN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49415-2025</t>
        </is>
      </c>
      <c r="B536" s="1" t="n">
        <v>45938.68986111111</v>
      </c>
      <c r="C536" s="1" t="n">
        <v>45993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64000-2023</t>
        </is>
      </c>
      <c r="B537" s="1" t="n">
        <v>45278</v>
      </c>
      <c r="C537" s="1" t="n">
        <v>45993</v>
      </c>
      <c r="D537" t="inlineStr">
        <is>
          <t>GÄVLEBORGS LÄN</t>
        </is>
      </c>
      <c r="E537" t="inlineStr">
        <is>
          <t>SANDVIKEN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49021-2025</t>
        </is>
      </c>
      <c r="B538" s="1" t="n">
        <v>45937.61553240741</v>
      </c>
      <c r="C538" s="1" t="n">
        <v>45993</v>
      </c>
      <c r="D538" t="inlineStr">
        <is>
          <t>GÄVLEBORGS LÄN</t>
        </is>
      </c>
      <c r="E538" t="inlineStr">
        <is>
          <t>SANDVIKEN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24585-2025</t>
        </is>
      </c>
      <c r="B539" s="1" t="n">
        <v>45798.5110300926</v>
      </c>
      <c r="C539" s="1" t="n">
        <v>45993</v>
      </c>
      <c r="D539" t="inlineStr">
        <is>
          <t>GÄVLEBORGS LÄN</t>
        </is>
      </c>
      <c r="E539" t="inlineStr">
        <is>
          <t>SANDVIKEN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48761-2025</t>
        </is>
      </c>
      <c r="B540" s="1" t="n">
        <v>45936.77966435185</v>
      </c>
      <c r="C540" s="1" t="n">
        <v>45993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49042-2025</t>
        </is>
      </c>
      <c r="B541" s="1" t="n">
        <v>45937.63600694444</v>
      </c>
      <c r="C541" s="1" t="n">
        <v>45993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57261-2025</t>
        </is>
      </c>
      <c r="B542" s="1" t="n">
        <v>45979.65626157408</v>
      </c>
      <c r="C542" s="1" t="n">
        <v>45993</v>
      </c>
      <c r="D542" t="inlineStr">
        <is>
          <t>GÄVLEBORGS LÄN</t>
        </is>
      </c>
      <c r="E542" t="inlineStr">
        <is>
          <t>SANDVIKEN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53322-2024</t>
        </is>
      </c>
      <c r="B543" s="1" t="n">
        <v>45614.40765046296</v>
      </c>
      <c r="C543" s="1" t="n">
        <v>45993</v>
      </c>
      <c r="D543" t="inlineStr">
        <is>
          <t>GÄVLEBORGS LÄN</t>
        </is>
      </c>
      <c r="E543" t="inlineStr">
        <is>
          <t>SANDVIKEN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2358-2025</t>
        </is>
      </c>
      <c r="B544" s="1" t="n">
        <v>45673</v>
      </c>
      <c r="C544" s="1" t="n">
        <v>45993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18725-2025</t>
        </is>
      </c>
      <c r="B545" s="1" t="n">
        <v>45763.66766203703</v>
      </c>
      <c r="C545" s="1" t="n">
        <v>45993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49370-2025</t>
        </is>
      </c>
      <c r="B546" s="1" t="n">
        <v>45938.63042824074</v>
      </c>
      <c r="C546" s="1" t="n">
        <v>45993</v>
      </c>
      <c r="D546" t="inlineStr">
        <is>
          <t>GÄVLEBORGS LÄN</t>
        </is>
      </c>
      <c r="E546" t="inlineStr">
        <is>
          <t>SANDVIKEN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49413-2025</t>
        </is>
      </c>
      <c r="B547" s="1" t="n">
        <v>45938.68569444444</v>
      </c>
      <c r="C547" s="1" t="n">
        <v>45993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49217-2025</t>
        </is>
      </c>
      <c r="B548" s="1" t="n">
        <v>45938</v>
      </c>
      <c r="C548" s="1" t="n">
        <v>45993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25300-2025</t>
        </is>
      </c>
      <c r="B549" s="1" t="n">
        <v>45800.57034722222</v>
      </c>
      <c r="C549" s="1" t="n">
        <v>45993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25327-2025</t>
        </is>
      </c>
      <c r="B550" s="1" t="n">
        <v>45800.58903935185</v>
      </c>
      <c r="C550" s="1" t="n">
        <v>45993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49320-2025</t>
        </is>
      </c>
      <c r="B551" s="1" t="n">
        <v>45938.57288194444</v>
      </c>
      <c r="C551" s="1" t="n">
        <v>45993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25317-2025</t>
        </is>
      </c>
      <c r="B552" s="1" t="n">
        <v>45800.58108796296</v>
      </c>
      <c r="C552" s="1" t="n">
        <v>45993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25425-2025</t>
        </is>
      </c>
      <c r="B553" s="1" t="n">
        <v>45800.7003125</v>
      </c>
      <c r="C553" s="1" t="n">
        <v>45993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24953-2025</t>
        </is>
      </c>
      <c r="B554" s="1" t="n">
        <v>45799.57369212963</v>
      </c>
      <c r="C554" s="1" t="n">
        <v>45993</v>
      </c>
      <c r="D554" t="inlineStr">
        <is>
          <t>GÄVLEBORGS LÄN</t>
        </is>
      </c>
      <c r="E554" t="inlineStr">
        <is>
          <t>SANDVIKEN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25410-2025</t>
        </is>
      </c>
      <c r="B555" s="1" t="n">
        <v>45800.66126157407</v>
      </c>
      <c r="C555" s="1" t="n">
        <v>45993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25111-2025</t>
        </is>
      </c>
      <c r="B556" s="1" t="n">
        <v>45800.35587962963</v>
      </c>
      <c r="C556" s="1" t="n">
        <v>45993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24940-2025</t>
        </is>
      </c>
      <c r="B557" s="1" t="n">
        <v>45799.56048611111</v>
      </c>
      <c r="C557" s="1" t="n">
        <v>45993</v>
      </c>
      <c r="D557" t="inlineStr">
        <is>
          <t>GÄVLEBORGS LÄN</t>
        </is>
      </c>
      <c r="E557" t="inlineStr">
        <is>
          <t>SANDVIKEN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24948-2025</t>
        </is>
      </c>
      <c r="B558" s="1" t="n">
        <v>45799.56586805556</v>
      </c>
      <c r="C558" s="1" t="n">
        <v>45993</v>
      </c>
      <c r="D558" t="inlineStr">
        <is>
          <t>GÄVLEBORGS LÄN</t>
        </is>
      </c>
      <c r="E558" t="inlineStr">
        <is>
          <t>SANDVIKEN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25314-2025</t>
        </is>
      </c>
      <c r="B559" s="1" t="n">
        <v>45800.57782407408</v>
      </c>
      <c r="C559" s="1" t="n">
        <v>45993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57604-2025</t>
        </is>
      </c>
      <c r="B560" s="1" t="n">
        <v>45981.32533564815</v>
      </c>
      <c r="C560" s="1" t="n">
        <v>45993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45126.63739583334</v>
      </c>
      <c r="C561" s="1" t="n">
        <v>45993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57933-2025</t>
        </is>
      </c>
      <c r="B562" s="1" t="n">
        <v>45981.95112268518</v>
      </c>
      <c r="C562" s="1" t="n">
        <v>45993</v>
      </c>
      <c r="D562" t="inlineStr">
        <is>
          <t>GÄVLEBORGS LÄN</t>
        </is>
      </c>
      <c r="E562" t="inlineStr">
        <is>
          <t>SANDVIKEN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49446-2025</t>
        </is>
      </c>
      <c r="B563" s="1" t="n">
        <v>45938.92873842592</v>
      </c>
      <c r="C563" s="1" t="n">
        <v>45993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49454-2025</t>
        </is>
      </c>
      <c r="B564" s="1" t="n">
        <v>45939.23872685185</v>
      </c>
      <c r="C564" s="1" t="n">
        <v>45993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26201-2025</t>
        </is>
      </c>
      <c r="B565" s="1" t="n">
        <v>45805.50863425926</v>
      </c>
      <c r="C565" s="1" t="n">
        <v>45993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26203-2025</t>
        </is>
      </c>
      <c r="B566" s="1" t="n">
        <v>45805.50974537037</v>
      </c>
      <c r="C566" s="1" t="n">
        <v>45993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26294-2025</t>
        </is>
      </c>
      <c r="B567" s="1" t="n">
        <v>45805</v>
      </c>
      <c r="C567" s="1" t="n">
        <v>45993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57932-2025</t>
        </is>
      </c>
      <c r="B568" s="1" t="n">
        <v>45981.94925925926</v>
      </c>
      <c r="C568" s="1" t="n">
        <v>45993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57934-2025</t>
        </is>
      </c>
      <c r="B569" s="1" t="n">
        <v>45981.95412037037</v>
      </c>
      <c r="C569" s="1" t="n">
        <v>45993</v>
      </c>
      <c r="D569" t="inlineStr">
        <is>
          <t>GÄVLEBORGS LÄN</t>
        </is>
      </c>
      <c r="E569" t="inlineStr">
        <is>
          <t>SANDVIKEN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42088-2024</t>
        </is>
      </c>
      <c r="B570" s="1" t="n">
        <v>45562.34226851852</v>
      </c>
      <c r="C570" s="1" t="n">
        <v>45993</v>
      </c>
      <c r="D570" t="inlineStr">
        <is>
          <t>GÄVLEBORGS LÄN</t>
        </is>
      </c>
      <c r="E570" t="inlineStr">
        <is>
          <t>SANDVIKEN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42107-2024</t>
        </is>
      </c>
      <c r="B571" s="1" t="n">
        <v>45562.36814814815</v>
      </c>
      <c r="C571" s="1" t="n">
        <v>45993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50422-2025</t>
        </is>
      </c>
      <c r="B572" s="1" t="n">
        <v>45944.66112268518</v>
      </c>
      <c r="C572" s="1" t="n">
        <v>45993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58773-2025</t>
        </is>
      </c>
      <c r="B573" s="1" t="n">
        <v>45986.6946875</v>
      </c>
      <c r="C573" s="1" t="n">
        <v>45993</v>
      </c>
      <c r="D573" t="inlineStr">
        <is>
          <t>GÄVLEBORGS LÄN</t>
        </is>
      </c>
      <c r="E573" t="inlineStr">
        <is>
          <t>SANDVIKEN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58197-2025</t>
        </is>
      </c>
      <c r="B574" s="1" t="n">
        <v>45984.44152777778</v>
      </c>
      <c r="C574" s="1" t="n">
        <v>45993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58198-2025</t>
        </is>
      </c>
      <c r="B575" s="1" t="n">
        <v>45984.44184027778</v>
      </c>
      <c r="C575" s="1" t="n">
        <v>45993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58199-2025</t>
        </is>
      </c>
      <c r="B576" s="1" t="n">
        <v>45984.44215277778</v>
      </c>
      <c r="C576" s="1" t="n">
        <v>45993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58201-2025</t>
        </is>
      </c>
      <c r="B577" s="1" t="n">
        <v>45984.44289351852</v>
      </c>
      <c r="C577" s="1" t="n">
        <v>45993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26787-2025</t>
        </is>
      </c>
      <c r="B578" s="1" t="n">
        <v>45810</v>
      </c>
      <c r="C578" s="1" t="n">
        <v>45993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58184-2025</t>
        </is>
      </c>
      <c r="B579" s="1" t="n">
        <v>45983.29730324074</v>
      </c>
      <c r="C579" s="1" t="n">
        <v>45993</v>
      </c>
      <c r="D579" t="inlineStr">
        <is>
          <t>GÄVLEBORGS LÄN</t>
        </is>
      </c>
      <c r="E579" t="inlineStr">
        <is>
          <t>SANDVIKEN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50012-2025</t>
        </is>
      </c>
      <c r="B580" s="1" t="n">
        <v>45943.34716435185</v>
      </c>
      <c r="C580" s="1" t="n">
        <v>45993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58207-2025</t>
        </is>
      </c>
      <c r="B581" s="1" t="n">
        <v>45985.30828703703</v>
      </c>
      <c r="C581" s="1" t="n">
        <v>45993</v>
      </c>
      <c r="D581" t="inlineStr">
        <is>
          <t>GÄVLEBORGS LÄN</t>
        </is>
      </c>
      <c r="E581" t="inlineStr">
        <is>
          <t>SANDVIKEN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58592-2025</t>
        </is>
      </c>
      <c r="B582" s="1" t="n">
        <v>45986.41121527777</v>
      </c>
      <c r="C582" s="1" t="n">
        <v>45993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47395-2025</t>
        </is>
      </c>
      <c r="B583" s="1" t="n">
        <v>45930.60534722222</v>
      </c>
      <c r="C583" s="1" t="n">
        <v>45993</v>
      </c>
      <c r="D583" t="inlineStr">
        <is>
          <t>GÄVLEBORGS LÄN</t>
        </is>
      </c>
      <c r="E583" t="inlineStr">
        <is>
          <t>SANDVIKEN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47398-2025</t>
        </is>
      </c>
      <c r="B584" s="1" t="n">
        <v>45930.60773148148</v>
      </c>
      <c r="C584" s="1" t="n">
        <v>45993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58200-2025</t>
        </is>
      </c>
      <c r="B585" s="1" t="n">
        <v>45984.44259259259</v>
      </c>
      <c r="C585" s="1" t="n">
        <v>45993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58804-2025</t>
        </is>
      </c>
      <c r="B586" s="1" t="n">
        <v>45986.96275462963</v>
      </c>
      <c r="C586" s="1" t="n">
        <v>45993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50665-2025</t>
        </is>
      </c>
      <c r="B587" s="1" t="n">
        <v>45945.69444444445</v>
      </c>
      <c r="C587" s="1" t="n">
        <v>45993</v>
      </c>
      <c r="D587" t="inlineStr">
        <is>
          <t>GÄVLEBORGS LÄN</t>
        </is>
      </c>
      <c r="E587" t="inlineStr">
        <is>
          <t>SANDVIKEN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48187-2025</t>
        </is>
      </c>
      <c r="B588" s="1" t="n">
        <v>45933.4669212963</v>
      </c>
      <c r="C588" s="1" t="n">
        <v>45993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50833-2025</t>
        </is>
      </c>
      <c r="B589" s="1" t="n">
        <v>45946</v>
      </c>
      <c r="C589" s="1" t="n">
        <v>45993</v>
      </c>
      <c r="D589" t="inlineStr">
        <is>
          <t>GÄVLEBORGS LÄN</t>
        </is>
      </c>
      <c r="E589" t="inlineStr">
        <is>
          <t>SANDVIKEN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28295-2025</t>
        </is>
      </c>
      <c r="B590" s="1" t="n">
        <v>45818.59716435185</v>
      </c>
      <c r="C590" s="1" t="n">
        <v>45993</v>
      </c>
      <c r="D590" t="inlineStr">
        <is>
          <t>GÄVLEBORGS LÄN</t>
        </is>
      </c>
      <c r="E590" t="inlineStr">
        <is>
          <t>SANDVIKEN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50851-2025</t>
        </is>
      </c>
      <c r="B591" s="1" t="n">
        <v>45946</v>
      </c>
      <c r="C591" s="1" t="n">
        <v>45993</v>
      </c>
      <c r="D591" t="inlineStr">
        <is>
          <t>GÄVLEBORGS LÄN</t>
        </is>
      </c>
      <c r="E591" t="inlineStr">
        <is>
          <t>SANDVIKEN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50552-2025</t>
        </is>
      </c>
      <c r="B592" s="1" t="n">
        <v>45945.52273148148</v>
      </c>
      <c r="C592" s="1" t="n">
        <v>45993</v>
      </c>
      <c r="D592" t="inlineStr">
        <is>
          <t>GÄVLEBORGS LÄN</t>
        </is>
      </c>
      <c r="E592" t="inlineStr">
        <is>
          <t>SANDVIKEN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28476-2025</t>
        </is>
      </c>
      <c r="B593" s="1" t="n">
        <v>45819.44342592593</v>
      </c>
      <c r="C593" s="1" t="n">
        <v>45993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28424-2025</t>
        </is>
      </c>
      <c r="B594" s="1" t="n">
        <v>45819.36444444444</v>
      </c>
      <c r="C594" s="1" t="n">
        <v>45993</v>
      </c>
      <c r="D594" t="inlineStr">
        <is>
          <t>GÄVLEBORGS LÄN</t>
        </is>
      </c>
      <c r="E594" t="inlineStr">
        <is>
          <t>SANDVIKEN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28548-2025</t>
        </is>
      </c>
      <c r="B595" s="1" t="n">
        <v>45819.53034722222</v>
      </c>
      <c r="C595" s="1" t="n">
        <v>45993</v>
      </c>
      <c r="D595" t="inlineStr">
        <is>
          <t>GÄVLEBORGS LÄN</t>
        </is>
      </c>
      <c r="E595" t="inlineStr">
        <is>
          <t>SANDVIKEN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28547-2025</t>
        </is>
      </c>
      <c r="B596" s="1" t="n">
        <v>45819.52945601852</v>
      </c>
      <c r="C596" s="1" t="n">
        <v>45993</v>
      </c>
      <c r="D596" t="inlineStr">
        <is>
          <t>GÄVLEBORGS LÄN</t>
        </is>
      </c>
      <c r="E596" t="inlineStr">
        <is>
          <t>SANDVIKEN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28468-2025</t>
        </is>
      </c>
      <c r="B597" s="1" t="n">
        <v>45819.42824074074</v>
      </c>
      <c r="C597" s="1" t="n">
        <v>45993</v>
      </c>
      <c r="D597" t="inlineStr">
        <is>
          <t>GÄVLEBORGS LÄN</t>
        </is>
      </c>
      <c r="E597" t="inlineStr">
        <is>
          <t>SANDVIKEN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59750-2025</t>
        </is>
      </c>
      <c r="B598" s="1" t="n">
        <v>45992.58516203704</v>
      </c>
      <c r="C598" s="1" t="n">
        <v>45993</v>
      </c>
      <c r="D598" t="inlineStr">
        <is>
          <t>GÄVLEBORGS LÄN</t>
        </is>
      </c>
      <c r="E598" t="inlineStr">
        <is>
          <t>SANDVIKEN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59755-2025</t>
        </is>
      </c>
      <c r="B599" s="1" t="n">
        <v>45992.586875</v>
      </c>
      <c r="C599" s="1" t="n">
        <v>45993</v>
      </c>
      <c r="D599" t="inlineStr">
        <is>
          <t>GÄVLEBORGS LÄN</t>
        </is>
      </c>
      <c r="E599" t="inlineStr">
        <is>
          <t>SANDVIKEN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29388-2025</t>
        </is>
      </c>
      <c r="B600" s="1" t="n">
        <v>45824.60252314815</v>
      </c>
      <c r="C600" s="1" t="n">
        <v>45993</v>
      </c>
      <c r="D600" t="inlineStr">
        <is>
          <t>GÄVLEBORGS LÄN</t>
        </is>
      </c>
      <c r="E600" t="inlineStr">
        <is>
          <t>SANDVIKEN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36203-2025</t>
        </is>
      </c>
      <c r="B601" s="1" t="n">
        <v>45867</v>
      </c>
      <c r="C601" s="1" t="n">
        <v>45993</v>
      </c>
      <c r="D601" t="inlineStr">
        <is>
          <t>GÄVLEBORGS LÄN</t>
        </is>
      </c>
      <c r="E601" t="inlineStr">
        <is>
          <t>SANDVIKEN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29831-2025</t>
        </is>
      </c>
      <c r="B602" s="1" t="n">
        <v>45825.92075231481</v>
      </c>
      <c r="C602" s="1" t="n">
        <v>45993</v>
      </c>
      <c r="D602" t="inlineStr">
        <is>
          <t>GÄVLEBORGS LÄN</t>
        </is>
      </c>
      <c r="E602" t="inlineStr">
        <is>
          <t>SANDVIKEN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29735-2025</t>
        </is>
      </c>
      <c r="B603" s="1" t="n">
        <v>45825.58403935185</v>
      </c>
      <c r="C603" s="1" t="n">
        <v>45993</v>
      </c>
      <c r="D603" t="inlineStr">
        <is>
          <t>GÄVLEBORGS LÄN</t>
        </is>
      </c>
      <c r="E603" t="inlineStr">
        <is>
          <t>SANDVIKEN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29738-2025</t>
        </is>
      </c>
      <c r="B604" s="1" t="n">
        <v>45825.58762731482</v>
      </c>
      <c r="C604" s="1" t="n">
        <v>45993</v>
      </c>
      <c r="D604" t="inlineStr">
        <is>
          <t>GÄVLEBORGS LÄN</t>
        </is>
      </c>
      <c r="E604" t="inlineStr">
        <is>
          <t>SANDVIKEN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59623-2025</t>
        </is>
      </c>
      <c r="B605" s="1" t="n">
        <v>45992.38607638889</v>
      </c>
      <c r="C605" s="1" t="n">
        <v>45993</v>
      </c>
      <c r="D605" t="inlineStr">
        <is>
          <t>GÄVLEBORGS LÄN</t>
        </is>
      </c>
      <c r="E605" t="inlineStr">
        <is>
          <t>SANDVIKEN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29748-2025</t>
        </is>
      </c>
      <c r="B606" s="1" t="n">
        <v>45825.60623842593</v>
      </c>
      <c r="C606" s="1" t="n">
        <v>45993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59718-2025</t>
        </is>
      </c>
      <c r="B607" s="1" t="n">
        <v>45992.53359953704</v>
      </c>
      <c r="C607" s="1" t="n">
        <v>45993</v>
      </c>
      <c r="D607" t="inlineStr">
        <is>
          <t>GÄVLEBORGS LÄN</t>
        </is>
      </c>
      <c r="E607" t="inlineStr">
        <is>
          <t>SANDVIKEN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29833-2025</t>
        </is>
      </c>
      <c r="B608" s="1" t="n">
        <v>45825.92494212963</v>
      </c>
      <c r="C608" s="1" t="n">
        <v>45993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30203-2025</t>
        </is>
      </c>
      <c r="B609" s="1" t="n">
        <v>45827.35971064815</v>
      </c>
      <c r="C609" s="1" t="n">
        <v>45993</v>
      </c>
      <c r="D609" t="inlineStr">
        <is>
          <t>GÄVLEBORGS LÄN</t>
        </is>
      </c>
      <c r="E609" t="inlineStr">
        <is>
          <t>SANDVIKEN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32847-2022</t>
        </is>
      </c>
      <c r="B610" s="1" t="n">
        <v>44784.46349537037</v>
      </c>
      <c r="C610" s="1" t="n">
        <v>45993</v>
      </c>
      <c r="D610" t="inlineStr">
        <is>
          <t>GÄVLEBORGS LÄN</t>
        </is>
      </c>
      <c r="E610" t="inlineStr">
        <is>
          <t>SANDVIKEN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31145-2025</t>
        </is>
      </c>
      <c r="B611" s="1" t="n">
        <v>45832.63834490741</v>
      </c>
      <c r="C611" s="1" t="n">
        <v>45993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31202-2025</t>
        </is>
      </c>
      <c r="B612" s="1" t="n">
        <v>45832.69885416667</v>
      </c>
      <c r="C612" s="1" t="n">
        <v>45993</v>
      </c>
      <c r="D612" t="inlineStr">
        <is>
          <t>GÄVLEBORGS LÄN</t>
        </is>
      </c>
      <c r="E612" t="inlineStr">
        <is>
          <t>SANDVIKEN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30843-2025</t>
        </is>
      </c>
      <c r="B613" s="1" t="n">
        <v>45831.75673611111</v>
      </c>
      <c r="C613" s="1" t="n">
        <v>45993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31460-2025</t>
        </is>
      </c>
      <c r="B614" s="1" t="n">
        <v>45833.5490162037</v>
      </c>
      <c r="C614" s="1" t="n">
        <v>45993</v>
      </c>
      <c r="D614" t="inlineStr">
        <is>
          <t>GÄVLEBORGS LÄN</t>
        </is>
      </c>
      <c r="E614" t="inlineStr">
        <is>
          <t>SANDVIKEN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31674-2025</t>
        </is>
      </c>
      <c r="B615" s="1" t="n">
        <v>45834.37255787037</v>
      </c>
      <c r="C615" s="1" t="n">
        <v>45993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32742-2025</t>
        </is>
      </c>
      <c r="B616" s="1" t="n">
        <v>45839</v>
      </c>
      <c r="C616" s="1" t="n">
        <v>45993</v>
      </c>
      <c r="D616" t="inlineStr">
        <is>
          <t>GÄVLEBORGS LÄN</t>
        </is>
      </c>
      <c r="E616" t="inlineStr">
        <is>
          <t>SANDVIKEN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32737-2025</t>
        </is>
      </c>
      <c r="B617" s="1" t="n">
        <v>45839</v>
      </c>
      <c r="C617" s="1" t="n">
        <v>45993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32907-2025</t>
        </is>
      </c>
      <c r="B618" s="1" t="n">
        <v>45839.62800925926</v>
      </c>
      <c r="C618" s="1" t="n">
        <v>45993</v>
      </c>
      <c r="D618" t="inlineStr">
        <is>
          <t>GÄVLEBORGS LÄN</t>
        </is>
      </c>
      <c r="E618" t="inlineStr">
        <is>
          <t>SANDVIKEN</t>
        </is>
      </c>
      <c r="F618" t="inlineStr">
        <is>
          <t>Naturvårdsverket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33015-2025</t>
        </is>
      </c>
      <c r="B619" s="1" t="n">
        <v>45840.36614583333</v>
      </c>
      <c r="C619" s="1" t="n">
        <v>45993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27.3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33350-2025</t>
        </is>
      </c>
      <c r="B620" s="1" t="n">
        <v>45841</v>
      </c>
      <c r="C620" s="1" t="n">
        <v>45993</v>
      </c>
      <c r="D620" t="inlineStr">
        <is>
          <t>GÄVLEBORGS LÄN</t>
        </is>
      </c>
      <c r="E620" t="inlineStr">
        <is>
          <t>SANDVIKEN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33757-2025</t>
        </is>
      </c>
      <c r="B621" s="1" t="n">
        <v>45842.37846064815</v>
      </c>
      <c r="C621" s="1" t="n">
        <v>45993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34219-2025</t>
        </is>
      </c>
      <c r="B622" s="1" t="n">
        <v>45845.64947916667</v>
      </c>
      <c r="C622" s="1" t="n">
        <v>45993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18357-2025</t>
        </is>
      </c>
      <c r="B623" s="1" t="n">
        <v>45762.55353009259</v>
      </c>
      <c r="C623" s="1" t="n">
        <v>45993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34845-2025</t>
        </is>
      </c>
      <c r="B624" s="1" t="n">
        <v>45849.41206018518</v>
      </c>
      <c r="C624" s="1" t="n">
        <v>45993</v>
      </c>
      <c r="D624" t="inlineStr">
        <is>
          <t>GÄVLEBORGS LÄN</t>
        </is>
      </c>
      <c r="E624" t="inlineStr">
        <is>
          <t>SANDVIKEN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766-2025</t>
        </is>
      </c>
      <c r="B625" s="1" t="n">
        <v>45665.45438657407</v>
      </c>
      <c r="C625" s="1" t="n">
        <v>45993</v>
      </c>
      <c r="D625" t="inlineStr">
        <is>
          <t>GÄVLEBORGS LÄN</t>
        </is>
      </c>
      <c r="E625" t="inlineStr">
        <is>
          <t>SANDVIKEN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35443-2025</t>
        </is>
      </c>
      <c r="B626" s="1" t="n">
        <v>45855.52385416667</v>
      </c>
      <c r="C626" s="1" t="n">
        <v>45993</v>
      </c>
      <c r="D626" t="inlineStr">
        <is>
          <t>GÄVLEBORGS LÄN</t>
        </is>
      </c>
      <c r="E626" t="inlineStr">
        <is>
          <t>SANDVIKEN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36107-2025</t>
        </is>
      </c>
      <c r="B627" s="1" t="n">
        <v>45866.56145833333</v>
      </c>
      <c r="C627" s="1" t="n">
        <v>45993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24366-2025</t>
        </is>
      </c>
      <c r="B628" s="1" t="n">
        <v>45797.6044675926</v>
      </c>
      <c r="C628" s="1" t="n">
        <v>45993</v>
      </c>
      <c r="D628" t="inlineStr">
        <is>
          <t>GÄVLEBORGS LÄN</t>
        </is>
      </c>
      <c r="E628" t="inlineStr">
        <is>
          <t>SANDVIKEN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35995-2025</t>
        </is>
      </c>
      <c r="B629" s="1" t="n">
        <v>45863.493125</v>
      </c>
      <c r="C629" s="1" t="n">
        <v>45993</v>
      </c>
      <c r="D629" t="inlineStr">
        <is>
          <t>GÄVLEBORGS LÄN</t>
        </is>
      </c>
      <c r="E629" t="inlineStr">
        <is>
          <t>SANDVIKEN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36091-2025</t>
        </is>
      </c>
      <c r="B630" s="1" t="n">
        <v>45866.47849537037</v>
      </c>
      <c r="C630" s="1" t="n">
        <v>45993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36212-2025</t>
        </is>
      </c>
      <c r="B631" s="1" t="n">
        <v>45867.47538194444</v>
      </c>
      <c r="C631" s="1" t="n">
        <v>45993</v>
      </c>
      <c r="D631" t="inlineStr">
        <is>
          <t>GÄVLEBORGS LÄN</t>
        </is>
      </c>
      <c r="E631" t="inlineStr">
        <is>
          <t>SANDVIKEN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36417-2025</t>
        </is>
      </c>
      <c r="B632" s="1" t="n">
        <v>45868.70127314814</v>
      </c>
      <c r="C632" s="1" t="n">
        <v>45993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HYPERLINK("https://klasma.github.io/Logging_2181/knärot/A 36417-2025 karta knärot.png", "A 36417-2025")</f>
        <v/>
      </c>
      <c r="V632">
        <f>HYPERLINK("https://klasma.github.io/Logging_2181/klagomål/A 36417-2025 FSC-klagomål.docx", "A 36417-2025")</f>
        <v/>
      </c>
      <c r="W632">
        <f>HYPERLINK("https://klasma.github.io/Logging_2181/klagomålsmail/A 36417-2025 FSC-klagomål mail.docx", "A 36417-2025")</f>
        <v/>
      </c>
      <c r="X632">
        <f>HYPERLINK("https://klasma.github.io/Logging_2181/tillsyn/A 36417-2025 tillsynsbegäran.docx", "A 36417-2025")</f>
        <v/>
      </c>
      <c r="Y632">
        <f>HYPERLINK("https://klasma.github.io/Logging_2181/tillsynsmail/A 36417-2025 tillsynsbegäran mail.docx", "A 36417-2025")</f>
        <v/>
      </c>
    </row>
    <row r="633">
      <c r="A633" t="inlineStr">
        <is>
          <t>A 36584-2025</t>
        </is>
      </c>
      <c r="B633" s="1" t="n">
        <v>45870.43672453704</v>
      </c>
      <c r="C633" s="1" t="n">
        <v>45993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2025-12-02T10:25:27Z</dcterms:created>
  <dcterms:modified xmlns:dcterms="http://purl.org/dc/terms/" xmlns:xsi="http://www.w3.org/2001/XMLSchema-instance" xsi:type="dcterms:W3CDTF">2025-12-02T10:25:27Z</dcterms:modified>
</cp:coreProperties>
</file>