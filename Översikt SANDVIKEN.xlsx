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45564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45564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45564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45564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45564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45564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45564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61554-2023</t>
        </is>
      </c>
      <c r="B9" s="1" t="n">
        <v>45265</v>
      </c>
      <c r="C9" s="1" t="n">
        <v>45564</v>
      </c>
      <c r="D9" t="inlineStr">
        <is>
          <t>GÄVLEBORGS LÄN</t>
        </is>
      </c>
      <c r="E9" t="inlineStr">
        <is>
          <t>SANDVIKEN</t>
        </is>
      </c>
      <c r="G9" t="n">
        <v>4.5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Nästlav</t>
        </is>
      </c>
      <c r="S9">
        <f>HYPERLINK("https://klasma.github.io/Logging_2181/artfynd/A 61554-2023 artfynd.xlsx", "A 61554-2023")</f>
        <v/>
      </c>
      <c r="T9">
        <f>HYPERLINK("https://klasma.github.io/Logging_2181/kartor/A 61554-2023 karta.png", "A 61554-2023")</f>
        <v/>
      </c>
      <c r="V9">
        <f>HYPERLINK("https://klasma.github.io/Logging_2181/klagomål/A 61554-2023 FSC-klagomål.docx", "A 61554-2023")</f>
        <v/>
      </c>
      <c r="W9">
        <f>HYPERLINK("https://klasma.github.io/Logging_2181/klagomålsmail/A 61554-2023 FSC-klagomål mail.docx", "A 61554-2023")</f>
        <v/>
      </c>
      <c r="X9">
        <f>HYPERLINK("https://klasma.github.io/Logging_2181/tillsyn/A 61554-2023 tillsynsbegäran.docx", "A 61554-2023")</f>
        <v/>
      </c>
      <c r="Y9">
        <f>HYPERLINK("https://klasma.github.io/Logging_2181/tillsynsmail/A 61554-2023 tillsynsbegäran mail.docx", "A 61554-2023")</f>
        <v/>
      </c>
    </row>
    <row r="10" ht="15" customHeight="1">
      <c r="A10" t="inlineStr">
        <is>
          <t>A 30530-2024</t>
        </is>
      </c>
      <c r="B10" s="1" t="n">
        <v>45492</v>
      </c>
      <c r="C10" s="1" t="n">
        <v>45564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13.5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30530-2024 artfynd.xlsx", "A 30530-2024")</f>
        <v/>
      </c>
      <c r="T10">
        <f>HYPERLINK("https://klasma.github.io/Logging_2181/kartor/A 30530-2024 karta.png", "A 30530-2024")</f>
        <v/>
      </c>
      <c r="U10">
        <f>HYPERLINK("https://klasma.github.io/Logging_2181/knärot/A 30530-2024 karta knärot.png", "A 30530-2024")</f>
        <v/>
      </c>
      <c r="V10">
        <f>HYPERLINK("https://klasma.github.io/Logging_2181/klagomål/A 30530-2024 FSC-klagomål.docx", "A 30530-2024")</f>
        <v/>
      </c>
      <c r="W10">
        <f>HYPERLINK("https://klasma.github.io/Logging_2181/klagomålsmail/A 30530-2024 FSC-klagomål mail.docx", "A 30530-2024")</f>
        <v/>
      </c>
      <c r="X10">
        <f>HYPERLINK("https://klasma.github.io/Logging_2181/tillsyn/A 30530-2024 tillsynsbegäran.docx", "A 30530-2024")</f>
        <v/>
      </c>
      <c r="Y10">
        <f>HYPERLINK("https://klasma.github.io/Logging_2181/tillsynsmail/A 30530-2024 tillsynsbegäran mail.docx", "A 30530-2024")</f>
        <v/>
      </c>
    </row>
    <row r="11" ht="15" customHeight="1">
      <c r="A11" t="inlineStr">
        <is>
          <t>A 46192-2019</t>
        </is>
      </c>
      <c r="B11" s="1" t="n">
        <v>43718</v>
      </c>
      <c r="C11" s="1" t="n">
        <v>45564</v>
      </c>
      <c r="D11" t="inlineStr">
        <is>
          <t>GÄVLEBORGS LÄN</t>
        </is>
      </c>
      <c r="E11" t="inlineStr">
        <is>
          <t>SANDVIKEN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HYPERLINK("https://klasma.github.io/Logging_2181/artfynd/A 46192-2019 artfynd.xlsx", "A 46192-2019")</f>
        <v/>
      </c>
      <c r="T11">
        <f>HYPERLINK("https://klasma.github.io/Logging_2181/kartor/A 46192-2019 karta.png", "A 46192-2019")</f>
        <v/>
      </c>
      <c r="V11">
        <f>HYPERLINK("https://klasma.github.io/Logging_2181/klagomål/A 46192-2019 FSC-klagomål.docx", "A 46192-2019")</f>
        <v/>
      </c>
      <c r="W11">
        <f>HYPERLINK("https://klasma.github.io/Logging_2181/klagomålsmail/A 46192-2019 FSC-klagomål mail.docx", "A 46192-2019")</f>
        <v/>
      </c>
      <c r="X11">
        <f>HYPERLINK("https://klasma.github.io/Logging_2181/tillsyn/A 46192-2019 tillsynsbegäran.docx", "A 46192-2019")</f>
        <v/>
      </c>
      <c r="Y11">
        <f>HYPERLINK("https://klasma.github.io/Logging_2181/tillsynsmail/A 46192-2019 tillsynsbegäran mail.docx", "A 46192-2019")</f>
        <v/>
      </c>
    </row>
    <row r="12" ht="15" customHeight="1">
      <c r="A12" t="inlineStr">
        <is>
          <t>A 48775-2019</t>
        </is>
      </c>
      <c r="B12" s="1" t="n">
        <v>43727</v>
      </c>
      <c r="C12" s="1" t="n">
        <v>45564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HYPERLINK("https://klasma.github.io/Logging_2181/artfynd/A 48775-2019 artfynd.xlsx", "A 48775-2019")</f>
        <v/>
      </c>
      <c r="T12">
        <f>HYPERLINK("https://klasma.github.io/Logging_2181/kartor/A 48775-2019 karta.png", "A 48775-2019")</f>
        <v/>
      </c>
      <c r="V12">
        <f>HYPERLINK("https://klasma.github.io/Logging_2181/klagomål/A 48775-2019 FSC-klagomål.docx", "A 48775-2019")</f>
        <v/>
      </c>
      <c r="W12">
        <f>HYPERLINK("https://klasma.github.io/Logging_2181/klagomålsmail/A 48775-2019 FSC-klagomål mail.docx", "A 48775-2019")</f>
        <v/>
      </c>
      <c r="X12">
        <f>HYPERLINK("https://klasma.github.io/Logging_2181/tillsyn/A 48775-2019 tillsynsbegäran.docx", "A 48775-2019")</f>
        <v/>
      </c>
      <c r="Y12">
        <f>HYPERLINK("https://klasma.github.io/Logging_2181/tillsynsmail/A 48775-2019 tillsynsbegäran mail.docx", "A 48775-2019")</f>
        <v/>
      </c>
    </row>
    <row r="13" ht="15" customHeight="1">
      <c r="A13" t="inlineStr">
        <is>
          <t>A 9731-2020</t>
        </is>
      </c>
      <c r="B13" s="1" t="n">
        <v>43881</v>
      </c>
      <c r="C13" s="1" t="n">
        <v>45564</v>
      </c>
      <c r="D13" t="inlineStr">
        <is>
          <t>GÄVLEBORGS LÄN</t>
        </is>
      </c>
      <c r="E13" t="inlineStr">
        <is>
          <t>SANDVIKEN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HYPERLINK("https://klasma.github.io/Logging_2181/artfynd/A 9731-2020 artfynd.xlsx", "A 9731-2020")</f>
        <v/>
      </c>
      <c r="T13">
        <f>HYPERLINK("https://klasma.github.io/Logging_2181/kartor/A 9731-2020 karta.png", "A 9731-2020")</f>
        <v/>
      </c>
      <c r="V13">
        <f>HYPERLINK("https://klasma.github.io/Logging_2181/klagomål/A 9731-2020 FSC-klagomål.docx", "A 9731-2020")</f>
        <v/>
      </c>
      <c r="W13">
        <f>HYPERLINK("https://klasma.github.io/Logging_2181/klagomålsmail/A 9731-2020 FSC-klagomål mail.docx", "A 9731-2020")</f>
        <v/>
      </c>
      <c r="X13">
        <f>HYPERLINK("https://klasma.github.io/Logging_2181/tillsyn/A 9731-2020 tillsynsbegäran.docx", "A 9731-2020")</f>
        <v/>
      </c>
      <c r="Y13">
        <f>HYPERLINK("https://klasma.github.io/Logging_2181/tillsynsmail/A 9731-2020 tillsynsbegäran mail.docx", "A 9731-2020")</f>
        <v/>
      </c>
    </row>
    <row r="14" ht="15" customHeight="1">
      <c r="A14" t="inlineStr">
        <is>
          <t>A 13645-2020</t>
        </is>
      </c>
      <c r="B14" s="1" t="n">
        <v>43903</v>
      </c>
      <c r="C14" s="1" t="n">
        <v>45564</v>
      </c>
      <c r="D14" t="inlineStr">
        <is>
          <t>GÄVLEBORGS LÄN</t>
        </is>
      </c>
      <c r="E14" t="inlineStr">
        <is>
          <t>SANDVIKEN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HYPERLINK("https://klasma.github.io/Logging_2181/artfynd/A 13645-2020 artfynd.xlsx", "A 13645-2020")</f>
        <v/>
      </c>
      <c r="T14">
        <f>HYPERLINK("https://klasma.github.io/Logging_2181/kartor/A 13645-2020 karta.png", "A 13645-2020")</f>
        <v/>
      </c>
      <c r="V14">
        <f>HYPERLINK("https://klasma.github.io/Logging_2181/klagomål/A 13645-2020 FSC-klagomål.docx", "A 13645-2020")</f>
        <v/>
      </c>
      <c r="W14">
        <f>HYPERLINK("https://klasma.github.io/Logging_2181/klagomålsmail/A 13645-2020 FSC-klagomål mail.docx", "A 13645-2020")</f>
        <v/>
      </c>
      <c r="X14">
        <f>HYPERLINK("https://klasma.github.io/Logging_2181/tillsyn/A 13645-2020 tillsynsbegäran.docx", "A 13645-2020")</f>
        <v/>
      </c>
      <c r="Y14">
        <f>HYPERLINK("https://klasma.github.io/Logging_2181/tillsynsmail/A 13645-2020 tillsynsbegäran mail.docx", "A 13645-2020")</f>
        <v/>
      </c>
    </row>
    <row r="15" ht="15" customHeight="1">
      <c r="A15" t="inlineStr">
        <is>
          <t>A 30998-2020</t>
        </is>
      </c>
      <c r="B15" s="1" t="n">
        <v>44011</v>
      </c>
      <c r="C15" s="1" t="n">
        <v>45564</v>
      </c>
      <c r="D15" t="inlineStr">
        <is>
          <t>GÄVLEBORGS LÄN</t>
        </is>
      </c>
      <c r="E15" t="inlineStr">
        <is>
          <t>SANDVIKEN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HYPERLINK("https://klasma.github.io/Logging_2181/artfynd/A 30998-2020 artfynd.xlsx", "A 30998-2020")</f>
        <v/>
      </c>
      <c r="T15">
        <f>HYPERLINK("https://klasma.github.io/Logging_2181/kartor/A 30998-2020 karta.png", "A 30998-2020")</f>
        <v/>
      </c>
      <c r="V15">
        <f>HYPERLINK("https://klasma.github.io/Logging_2181/klagomål/A 30998-2020 FSC-klagomål.docx", "A 30998-2020")</f>
        <v/>
      </c>
      <c r="W15">
        <f>HYPERLINK("https://klasma.github.io/Logging_2181/klagomålsmail/A 30998-2020 FSC-klagomål mail.docx", "A 30998-2020")</f>
        <v/>
      </c>
      <c r="X15">
        <f>HYPERLINK("https://klasma.github.io/Logging_2181/tillsyn/A 30998-2020 tillsynsbegäran.docx", "A 30998-2020")</f>
        <v/>
      </c>
      <c r="Y15">
        <f>HYPERLINK("https://klasma.github.io/Logging_2181/tillsynsmail/A 30998-2020 tillsynsbegäran mail.docx", "A 30998-2020")</f>
        <v/>
      </c>
    </row>
    <row r="16" ht="15" customHeight="1">
      <c r="A16" t="inlineStr">
        <is>
          <t>A 32799-2020</t>
        </is>
      </c>
      <c r="B16" s="1" t="n">
        <v>44020</v>
      </c>
      <c r="C16" s="1" t="n">
        <v>45564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öst AB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HYPERLINK("https://klasma.github.io/Logging_2181/artfynd/A 32799-2020 artfynd.xlsx", "A 32799-2020")</f>
        <v/>
      </c>
      <c r="T16">
        <f>HYPERLINK("https://klasma.github.io/Logging_2181/kartor/A 32799-2020 karta.png", "A 32799-2020")</f>
        <v/>
      </c>
      <c r="V16">
        <f>HYPERLINK("https://klasma.github.io/Logging_2181/klagomål/A 32799-2020 FSC-klagomål.docx", "A 32799-2020")</f>
        <v/>
      </c>
      <c r="W16">
        <f>HYPERLINK("https://klasma.github.io/Logging_2181/klagomålsmail/A 32799-2020 FSC-klagomål mail.docx", "A 32799-2020")</f>
        <v/>
      </c>
      <c r="X16">
        <f>HYPERLINK("https://klasma.github.io/Logging_2181/tillsyn/A 32799-2020 tillsynsbegäran.docx", "A 32799-2020")</f>
        <v/>
      </c>
      <c r="Y16">
        <f>HYPERLINK("https://klasma.github.io/Logging_2181/tillsynsmail/A 32799-2020 tillsynsbegäran mail.docx", "A 32799-2020")</f>
        <v/>
      </c>
    </row>
    <row r="17" ht="15" customHeight="1">
      <c r="A17" t="inlineStr">
        <is>
          <t>A 48805-2021</t>
        </is>
      </c>
      <c r="B17" s="1" t="n">
        <v>44452</v>
      </c>
      <c r="C17" s="1" t="n">
        <v>45564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48805-2021 artfynd.xlsx", "A 48805-2021")</f>
        <v/>
      </c>
      <c r="T17">
        <f>HYPERLINK("https://klasma.github.io/Logging_2181/kartor/A 48805-2021 karta.png", "A 48805-2021")</f>
        <v/>
      </c>
      <c r="U17">
        <f>HYPERLINK("https://klasma.github.io/Logging_2181/knärot/A 48805-2021 karta knärot.png", "A 48805-2021")</f>
        <v/>
      </c>
      <c r="V17">
        <f>HYPERLINK("https://klasma.github.io/Logging_2181/klagomål/A 48805-2021 FSC-klagomål.docx", "A 48805-2021")</f>
        <v/>
      </c>
      <c r="W17">
        <f>HYPERLINK("https://klasma.github.io/Logging_2181/klagomålsmail/A 48805-2021 FSC-klagomål mail.docx", "A 48805-2021")</f>
        <v/>
      </c>
      <c r="X17">
        <f>HYPERLINK("https://klasma.github.io/Logging_2181/tillsyn/A 48805-2021 tillsynsbegäran.docx", "A 48805-2021")</f>
        <v/>
      </c>
      <c r="Y17">
        <f>HYPERLINK("https://klasma.github.io/Logging_2181/tillsynsmail/A 48805-2021 tillsynsbegäran mail.docx", "A 48805-2021")</f>
        <v/>
      </c>
    </row>
    <row r="18" ht="15" customHeight="1">
      <c r="A18" t="inlineStr">
        <is>
          <t>A 6942-2022</t>
        </is>
      </c>
      <c r="B18" s="1" t="n">
        <v>44603</v>
      </c>
      <c r="C18" s="1" t="n">
        <v>45564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HYPERLINK("https://klasma.github.io/Logging_2181/artfynd/A 6942-2022 artfynd.xlsx", "A 6942-2022")</f>
        <v/>
      </c>
      <c r="T18">
        <f>HYPERLINK("https://klasma.github.io/Logging_2181/kartor/A 6942-2022 karta.png", "A 6942-2022")</f>
        <v/>
      </c>
      <c r="V18">
        <f>HYPERLINK("https://klasma.github.io/Logging_2181/klagomål/A 6942-2022 FSC-klagomål.docx", "A 6942-2022")</f>
        <v/>
      </c>
      <c r="W18">
        <f>HYPERLINK("https://klasma.github.io/Logging_2181/klagomålsmail/A 6942-2022 FSC-klagomål mail.docx", "A 6942-2022")</f>
        <v/>
      </c>
      <c r="X18">
        <f>HYPERLINK("https://klasma.github.io/Logging_2181/tillsyn/A 6942-2022 tillsynsbegäran.docx", "A 6942-2022")</f>
        <v/>
      </c>
      <c r="Y18">
        <f>HYPERLINK("https://klasma.github.io/Logging_2181/tillsynsmail/A 6942-2022 tillsynsbegäran mail.docx", "A 6942-2022")</f>
        <v/>
      </c>
      <c r="Z18">
        <f>HYPERLINK("https://klasma.github.io/Logging_2181/fåglar/A 6942-2022 prioriterade fågelarter.docx", "A 6942-2022")</f>
        <v/>
      </c>
    </row>
    <row r="19" ht="15" customHeight="1">
      <c r="A19" t="inlineStr">
        <is>
          <t>A 15729-2022</t>
        </is>
      </c>
      <c r="B19" s="1" t="n">
        <v>44663</v>
      </c>
      <c r="C19" s="1" t="n">
        <v>45564</v>
      </c>
      <c r="D19" t="inlineStr">
        <is>
          <t>GÄVLEBORGS LÄN</t>
        </is>
      </c>
      <c r="E19" t="inlineStr">
        <is>
          <t>SANDVIKEN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HYPERLINK("https://klasma.github.io/Logging_2181/artfynd/A 15729-2022 artfynd.xlsx", "A 15729-2022")</f>
        <v/>
      </c>
      <c r="T19">
        <f>HYPERLINK("https://klasma.github.io/Logging_2181/kartor/A 15729-2022 karta.png", "A 15729-2022")</f>
        <v/>
      </c>
      <c r="U19">
        <f>HYPERLINK("https://klasma.github.io/Logging_2181/knärot/A 15729-2022 karta knärot.png", "A 15729-2022")</f>
        <v/>
      </c>
      <c r="V19">
        <f>HYPERLINK("https://klasma.github.io/Logging_2181/klagomål/A 15729-2022 FSC-klagomål.docx", "A 15729-2022")</f>
        <v/>
      </c>
      <c r="W19">
        <f>HYPERLINK("https://klasma.github.io/Logging_2181/klagomålsmail/A 15729-2022 FSC-klagomål mail.docx", "A 15729-2022")</f>
        <v/>
      </c>
      <c r="X19">
        <f>HYPERLINK("https://klasma.github.io/Logging_2181/tillsyn/A 15729-2022 tillsynsbegäran.docx", "A 15729-2022")</f>
        <v/>
      </c>
      <c r="Y19">
        <f>HYPERLINK("https://klasma.github.io/Logging_2181/tillsynsmail/A 15729-2022 tillsynsbegäran mail.docx", "A 15729-2022")</f>
        <v/>
      </c>
    </row>
    <row r="20" ht="15" customHeight="1">
      <c r="A20" t="inlineStr">
        <is>
          <t>A 24698-2022</t>
        </is>
      </c>
      <c r="B20" s="1" t="n">
        <v>44727</v>
      </c>
      <c r="C20" s="1" t="n">
        <v>45564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14.8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HYPERLINK("https://klasma.github.io/Logging_2181/artfynd/A 24698-2022 artfynd.xlsx", "A 24698-2022")</f>
        <v/>
      </c>
      <c r="T20">
        <f>HYPERLINK("https://klasma.github.io/Logging_2181/kartor/A 24698-2022 karta.png", "A 24698-2022")</f>
        <v/>
      </c>
      <c r="V20">
        <f>HYPERLINK("https://klasma.github.io/Logging_2181/klagomål/A 24698-2022 FSC-klagomål.docx", "A 24698-2022")</f>
        <v/>
      </c>
      <c r="W20">
        <f>HYPERLINK("https://klasma.github.io/Logging_2181/klagomålsmail/A 24698-2022 FSC-klagomål mail.docx", "A 24698-2022")</f>
        <v/>
      </c>
      <c r="X20">
        <f>HYPERLINK("https://klasma.github.io/Logging_2181/tillsyn/A 24698-2022 tillsynsbegäran.docx", "A 24698-2022")</f>
        <v/>
      </c>
      <c r="Y20">
        <f>HYPERLINK("https://klasma.github.io/Logging_2181/tillsynsmail/A 24698-2022 tillsynsbegäran mail.docx", "A 24698-2022")</f>
        <v/>
      </c>
    </row>
    <row r="21" ht="15" customHeight="1">
      <c r="A21" t="inlineStr">
        <is>
          <t>A 25688-2022</t>
        </is>
      </c>
      <c r="B21" s="1" t="n">
        <v>44733</v>
      </c>
      <c r="C21" s="1" t="n">
        <v>45564</v>
      </c>
      <c r="D21" t="inlineStr">
        <is>
          <t>GÄVLEBORGS LÄN</t>
        </is>
      </c>
      <c r="E21" t="inlineStr">
        <is>
          <t>SANDVIKEN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HYPERLINK("https://klasma.github.io/Logging_2181/artfynd/A 25688-2022 artfynd.xlsx", "A 25688-2022")</f>
        <v/>
      </c>
      <c r="T21">
        <f>HYPERLINK("https://klasma.github.io/Logging_2181/kartor/A 25688-2022 karta.png", "A 25688-2022")</f>
        <v/>
      </c>
      <c r="V21">
        <f>HYPERLINK("https://klasma.github.io/Logging_2181/klagomål/A 25688-2022 FSC-klagomål.docx", "A 25688-2022")</f>
        <v/>
      </c>
      <c r="W21">
        <f>HYPERLINK("https://klasma.github.io/Logging_2181/klagomålsmail/A 25688-2022 FSC-klagomål mail.docx", "A 25688-2022")</f>
        <v/>
      </c>
      <c r="X21">
        <f>HYPERLINK("https://klasma.github.io/Logging_2181/tillsyn/A 25688-2022 tillsynsbegäran.docx", "A 25688-2022")</f>
        <v/>
      </c>
      <c r="Y21">
        <f>HYPERLINK("https://klasma.github.io/Logging_2181/tillsynsmail/A 25688-2022 tillsynsbegäran mail.docx", "A 25688-2022")</f>
        <v/>
      </c>
    </row>
    <row r="22" ht="15" customHeight="1">
      <c r="A22" t="inlineStr">
        <is>
          <t>A 31023-2022</t>
        </is>
      </c>
      <c r="B22" s="1" t="n">
        <v>44768</v>
      </c>
      <c r="C22" s="1" t="n">
        <v>45564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HYPERLINK("https://klasma.github.io/Logging_2181/artfynd/A 31023-2022 artfynd.xlsx", "A 31023-2022")</f>
        <v/>
      </c>
      <c r="T22">
        <f>HYPERLINK("https://klasma.github.io/Logging_2181/kartor/A 31023-2022 karta.png", "A 31023-2022")</f>
        <v/>
      </c>
      <c r="V22">
        <f>HYPERLINK("https://klasma.github.io/Logging_2181/klagomål/A 31023-2022 FSC-klagomål.docx", "A 31023-2022")</f>
        <v/>
      </c>
      <c r="W22">
        <f>HYPERLINK("https://klasma.github.io/Logging_2181/klagomålsmail/A 31023-2022 FSC-klagomål mail.docx", "A 31023-2022")</f>
        <v/>
      </c>
      <c r="X22">
        <f>HYPERLINK("https://klasma.github.io/Logging_2181/tillsyn/A 31023-2022 tillsynsbegäran.docx", "A 31023-2022")</f>
        <v/>
      </c>
      <c r="Y22">
        <f>HYPERLINK("https://klasma.github.io/Logging_2181/tillsynsmail/A 31023-2022 tillsynsbegäran mail.docx", "A 31023-2022")</f>
        <v/>
      </c>
    </row>
    <row r="23" ht="15" customHeight="1">
      <c r="A23" t="inlineStr">
        <is>
          <t>A 35525-2022</t>
        </is>
      </c>
      <c r="B23" s="1" t="n">
        <v>44799</v>
      </c>
      <c r="C23" s="1" t="n">
        <v>45564</v>
      </c>
      <c r="D23" t="inlineStr">
        <is>
          <t>GÄVLEBORGS LÄN</t>
        </is>
      </c>
      <c r="E23" t="inlineStr">
        <is>
          <t>SANDVIKEN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HYPERLINK("https://klasma.github.io/Logging_2181/artfynd/A 35525-2022 artfynd.xlsx", "A 35525-2022")</f>
        <v/>
      </c>
      <c r="T23">
        <f>HYPERLINK("https://klasma.github.io/Logging_2181/kartor/A 35525-2022 karta.png", "A 35525-2022")</f>
        <v/>
      </c>
      <c r="V23">
        <f>HYPERLINK("https://klasma.github.io/Logging_2181/klagomål/A 35525-2022 FSC-klagomål.docx", "A 35525-2022")</f>
        <v/>
      </c>
      <c r="W23">
        <f>HYPERLINK("https://klasma.github.io/Logging_2181/klagomålsmail/A 35525-2022 FSC-klagomål mail.docx", "A 35525-2022")</f>
        <v/>
      </c>
      <c r="X23">
        <f>HYPERLINK("https://klasma.github.io/Logging_2181/tillsyn/A 35525-2022 tillsynsbegäran.docx", "A 35525-2022")</f>
        <v/>
      </c>
      <c r="Y23">
        <f>HYPERLINK("https://klasma.github.io/Logging_2181/tillsynsmail/A 35525-2022 tillsynsbegäran mail.docx", "A 35525-2022")</f>
        <v/>
      </c>
    </row>
    <row r="24" ht="15" customHeight="1">
      <c r="A24" t="inlineStr">
        <is>
          <t>A 45909-2022</t>
        </is>
      </c>
      <c r="B24" s="1" t="n">
        <v>44846</v>
      </c>
      <c r="C24" s="1" t="n">
        <v>45564</v>
      </c>
      <c r="D24" t="inlineStr">
        <is>
          <t>GÄVLEBORGS LÄN</t>
        </is>
      </c>
      <c r="E24" t="inlineStr">
        <is>
          <t>SANDVIKEN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HYPERLINK("https://klasma.github.io/Logging_2181/artfynd/A 45909-2022 artfynd.xlsx", "A 45909-2022")</f>
        <v/>
      </c>
      <c r="T24">
        <f>HYPERLINK("https://klasma.github.io/Logging_2181/kartor/A 45909-2022 karta.png", "A 45909-2022")</f>
        <v/>
      </c>
      <c r="V24">
        <f>HYPERLINK("https://klasma.github.io/Logging_2181/klagomål/A 45909-2022 FSC-klagomål.docx", "A 45909-2022")</f>
        <v/>
      </c>
      <c r="W24">
        <f>HYPERLINK("https://klasma.github.io/Logging_2181/klagomålsmail/A 45909-2022 FSC-klagomål mail.docx", "A 45909-2022")</f>
        <v/>
      </c>
      <c r="X24">
        <f>HYPERLINK("https://klasma.github.io/Logging_2181/tillsyn/A 45909-2022 tillsynsbegäran.docx", "A 45909-2022")</f>
        <v/>
      </c>
      <c r="Y24">
        <f>HYPERLINK("https://klasma.github.io/Logging_2181/tillsynsmail/A 45909-2022 tillsynsbegäran mail.docx", "A 45909-2022")</f>
        <v/>
      </c>
    </row>
    <row r="25" ht="15" customHeight="1">
      <c r="A25" t="inlineStr">
        <is>
          <t>A 53259-2022</t>
        </is>
      </c>
      <c r="B25" s="1" t="n">
        <v>44876</v>
      </c>
      <c r="C25" s="1" t="n">
        <v>45564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53259-2022 artfynd.xlsx", "A 53259-2022")</f>
        <v/>
      </c>
      <c r="T25">
        <f>HYPERLINK("https://klasma.github.io/Logging_2181/kartor/A 53259-2022 karta.png", "A 53259-2022")</f>
        <v/>
      </c>
      <c r="U25">
        <f>HYPERLINK("https://klasma.github.io/Logging_2181/knärot/A 53259-2022 karta knärot.png", "A 53259-2022")</f>
        <v/>
      </c>
      <c r="V25">
        <f>HYPERLINK("https://klasma.github.io/Logging_2181/klagomål/A 53259-2022 FSC-klagomål.docx", "A 53259-2022")</f>
        <v/>
      </c>
      <c r="W25">
        <f>HYPERLINK("https://klasma.github.io/Logging_2181/klagomålsmail/A 53259-2022 FSC-klagomål mail.docx", "A 53259-2022")</f>
        <v/>
      </c>
      <c r="X25">
        <f>HYPERLINK("https://klasma.github.io/Logging_2181/tillsyn/A 53259-2022 tillsynsbegäran.docx", "A 53259-2022")</f>
        <v/>
      </c>
      <c r="Y25">
        <f>HYPERLINK("https://klasma.github.io/Logging_2181/tillsynsmail/A 53259-2022 tillsynsbegäran mail.docx", "A 53259-2022")</f>
        <v/>
      </c>
    </row>
    <row r="26" ht="15" customHeight="1">
      <c r="A26" t="inlineStr">
        <is>
          <t>A 58774-2022</t>
        </is>
      </c>
      <c r="B26" s="1" t="n">
        <v>44903</v>
      </c>
      <c r="C26" s="1" t="n">
        <v>45564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58774-2022 artfynd.xlsx", "A 58774-2022")</f>
        <v/>
      </c>
      <c r="T26">
        <f>HYPERLINK("https://klasma.github.io/Logging_2181/kartor/A 58774-2022 karta.png", "A 58774-2022")</f>
        <v/>
      </c>
      <c r="V26">
        <f>HYPERLINK("https://klasma.github.io/Logging_2181/klagomål/A 58774-2022 FSC-klagomål.docx", "A 58774-2022")</f>
        <v/>
      </c>
      <c r="W26">
        <f>HYPERLINK("https://klasma.github.io/Logging_2181/klagomålsmail/A 58774-2022 FSC-klagomål mail.docx", "A 58774-2022")</f>
        <v/>
      </c>
      <c r="X26">
        <f>HYPERLINK("https://klasma.github.io/Logging_2181/tillsyn/A 58774-2022 tillsynsbegäran.docx", "A 58774-2022")</f>
        <v/>
      </c>
      <c r="Y26">
        <f>HYPERLINK("https://klasma.github.io/Logging_2181/tillsynsmail/A 58774-2022 tillsynsbegäran mail.docx", "A 58774-2022")</f>
        <v/>
      </c>
    </row>
    <row r="27" ht="15" customHeight="1">
      <c r="A27" t="inlineStr">
        <is>
          <t>A 5015-2023</t>
        </is>
      </c>
      <c r="B27" s="1" t="n">
        <v>44958</v>
      </c>
      <c r="C27" s="1" t="n">
        <v>45564</v>
      </c>
      <c r="D27" t="inlineStr">
        <is>
          <t>GÄVLEBORGS LÄN</t>
        </is>
      </c>
      <c r="E27" t="inlineStr">
        <is>
          <t>SANDVIKEN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5015-2023 artfynd.xlsx", "A 5015-2023")</f>
        <v/>
      </c>
      <c r="T27">
        <f>HYPERLINK("https://klasma.github.io/Logging_2181/kartor/A 5015-2023 karta.png", "A 5015-2023")</f>
        <v/>
      </c>
      <c r="V27">
        <f>HYPERLINK("https://klasma.github.io/Logging_2181/klagomål/A 5015-2023 FSC-klagomål.docx", "A 5015-2023")</f>
        <v/>
      </c>
      <c r="W27">
        <f>HYPERLINK("https://klasma.github.io/Logging_2181/klagomålsmail/A 5015-2023 FSC-klagomål mail.docx", "A 5015-2023")</f>
        <v/>
      </c>
      <c r="X27">
        <f>HYPERLINK("https://klasma.github.io/Logging_2181/tillsyn/A 5015-2023 tillsynsbegäran.docx", "A 5015-2023")</f>
        <v/>
      </c>
      <c r="Y27">
        <f>HYPERLINK("https://klasma.github.io/Logging_2181/tillsynsmail/A 5015-2023 tillsynsbegäran mail.docx", "A 5015-2023")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45564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23161-2023</t>
        </is>
      </c>
      <c r="B29" s="1" t="n">
        <v>45075</v>
      </c>
      <c r="C29" s="1" t="n">
        <v>45564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HYPERLINK("https://klasma.github.io/Logging_2181/artfynd/A 23161-2023 artfynd.xlsx", "A 23161-2023")</f>
        <v/>
      </c>
      <c r="T29">
        <f>HYPERLINK("https://klasma.github.io/Logging_2181/kartor/A 23161-2023 karta.png", "A 23161-2023")</f>
        <v/>
      </c>
      <c r="V29">
        <f>HYPERLINK("https://klasma.github.io/Logging_2181/klagomål/A 23161-2023 FSC-klagomål.docx", "A 23161-2023")</f>
        <v/>
      </c>
      <c r="W29">
        <f>HYPERLINK("https://klasma.github.io/Logging_2181/klagomålsmail/A 23161-2023 FSC-klagomål mail.docx", "A 23161-2023")</f>
        <v/>
      </c>
      <c r="X29">
        <f>HYPERLINK("https://klasma.github.io/Logging_2181/tillsyn/A 23161-2023 tillsynsbegäran.docx", "A 23161-2023")</f>
        <v/>
      </c>
      <c r="Y29">
        <f>HYPERLINK("https://klasma.github.io/Logging_2181/tillsynsmail/A 23161-2023 tillsynsbegäran mail.docx", "A 23161-2023")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45564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45564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45564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45564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45564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45564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45564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45564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45564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45564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45564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45564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45564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45564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45564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45564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45564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45564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45564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45564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45564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45564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45564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45564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45564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45564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45564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45564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45564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45564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45564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45564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45564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45564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45564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45564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45564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45564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45564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45564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45564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45564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45564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45564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45564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45564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45564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45564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45564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45564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45564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45564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45564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45564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45564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45564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45564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45564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45564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45564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45564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45564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45564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45564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45564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45564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45564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45564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45564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45564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45564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45564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45564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45564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45564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45564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45564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45564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45564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45564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45564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45564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45564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45564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45564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45564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45564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45564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45564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45564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45564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45564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45564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45564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45564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45564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45564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45564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45564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45564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45564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45564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45564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45564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45564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45564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45564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45564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45564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45564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45564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45564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45564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45564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45564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45564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45564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45564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45564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45564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45564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45564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45564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45564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45564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45564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45564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45564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45564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45564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45564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45564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45564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45564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45564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45564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45564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45564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45564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45564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45564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45564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45564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45564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45564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45564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45564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45564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45564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45564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45564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45564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45564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45564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45564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45564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45564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45564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45564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45564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45564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45564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45564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45564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45564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45564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45564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45564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45564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45564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45564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45564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45564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45564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45564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45564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45564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45564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45564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45564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45564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45564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45564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45564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45564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45564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45564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45564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45564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45564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45564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45564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45564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45564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45564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45564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45564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45564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45564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45564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45564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45564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45564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45564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45564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45564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45564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45564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45564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45564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45564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45564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45564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45564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45564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45564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45564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45564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45564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45564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45564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45564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45564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45564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45564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45564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45564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45564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45564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45564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45564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45564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45564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45564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45564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45564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45564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45564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45564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45564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45564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45564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45564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45564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45564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45564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45564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45564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45564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45564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45564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45564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45564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45564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45564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45564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45564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45564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45564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45564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45564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45564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45564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45564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45564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45564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45564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45564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45564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45564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45564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45564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45564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45564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45564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45564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45564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45564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45564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45564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45564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45564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45564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45564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45564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45564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45564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45564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45564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45564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45564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45564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45564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45564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45564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45564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45564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45564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45564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45564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45564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45564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45564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45564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45564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45564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45564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45564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45564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45564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45564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45564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45564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45564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45564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45564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45564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45564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45564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45564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45564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45564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45564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45564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45564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45564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45564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45564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45564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45564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45564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45564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45564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45564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45564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45564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45564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45564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45564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45564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45564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45564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45564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45564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45564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45564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45564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45564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45564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45564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45564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45564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45564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45564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45564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45564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45564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45564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45564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45564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45564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45564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45564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45564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45564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45564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45564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45564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45564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45564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45564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45564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45564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45564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45564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45564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45564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45564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45564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45564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45564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45564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45564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45564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45564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45564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45564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45564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45564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45564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45564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45564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45564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45564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45564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45564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45564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45564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45564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45564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45564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45564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45564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45564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45564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45564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45564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45564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45564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45564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45564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45564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45564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45564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45564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45564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45564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45564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45564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45564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45564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45564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45564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45564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45564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45564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45564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45564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45564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45564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45564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45564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45564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45564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45564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45564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45564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45564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45564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45564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45564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45564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45564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45564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45564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45564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45564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45564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45564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45564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45564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45564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45564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45564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45564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45564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45564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45564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45564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45564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45564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45564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45564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45564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45564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45564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45564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45564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45564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45564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45564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45564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45564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45564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45564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45564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45564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45564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45564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45564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45564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45564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45564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45564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45564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45564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45564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45564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45564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45564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45564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45564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45564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45564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45564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45564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45564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45564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45564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45564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45564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45564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45564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45564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45564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45564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45564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45564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45564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45564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45564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45564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45564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45564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45564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45564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45564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45564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45564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45564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45564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45564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45564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45564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45564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45564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45564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45564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45564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45564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45564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45564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45564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45564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45564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45564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45564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45564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45564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45564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45564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45564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45564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45564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45564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45564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45564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45564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45564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45564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45564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45564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45564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45564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45564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45564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45564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45564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45564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45564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45564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45564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45564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45564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45564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45564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45564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45564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45564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45564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45564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45564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45564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45564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45564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45564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45564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45564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45564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45564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45564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45564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45564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45564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45564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45564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45564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45564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45564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45564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45564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45564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45564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45564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45564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45564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45564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45564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45564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45564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45564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45564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45564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45564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45564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45564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45564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45564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45564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45564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45564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45564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45564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45564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45564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45564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45564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45564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45564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45564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45564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45564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45564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45564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45564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45564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45564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45564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45564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45564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45564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45564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45564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45564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45564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45564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45564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45564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45564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45564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45564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45564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45564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45564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45564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45564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45564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45564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45564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45564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45564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45564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45564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45564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45564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45564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45564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45564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45564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45564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45564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45564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45564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45564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45564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45564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45564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45564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45564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45564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45564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45564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45564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45564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45564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45564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45564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45564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45564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45564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45564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45564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45564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45564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45564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45564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45564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45564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45564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45564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45564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45564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45564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45564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45564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45564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45564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45564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45564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45564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45564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45564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45564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45564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45564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45564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45564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45564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45564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45564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45564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45564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45564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45564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45564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45564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45564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45564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45564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45564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45564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45564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45564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45564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45564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45564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45564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45564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45564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45564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45564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45564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45564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45564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45564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45564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45564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45564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45564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45564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45564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45564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45564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45564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45564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45564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45564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45564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45564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45564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45564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45564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45564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45564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45564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45564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45564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45564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45564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45564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45564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45564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45564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45564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45564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45564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45564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45564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45564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45564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45564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45564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45564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45564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45564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45564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45564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45564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45564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45564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45564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45564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45564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45564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45564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45564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45564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45564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45564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45564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45564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45564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45564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45564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45564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45564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45564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45564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45564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45564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45564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45564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45564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45564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45564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45564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45564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45564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45564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45564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45564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45564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45564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45564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45564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45564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45564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45564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45564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45564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45564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45564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45564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45564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45564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45564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45564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45564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45564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45564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45564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45564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45564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45564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45564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45564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45564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45564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45564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45564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45564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45564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45564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45564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45564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45564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45564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45564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45564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45564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45564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45564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45564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45564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45564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45564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45564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45564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45564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45564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45564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45564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45564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45564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45564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37232-2024</t>
        </is>
      </c>
      <c r="B895" s="1" t="n">
        <v>45540</v>
      </c>
      <c r="C895" s="1" t="n">
        <v>45564</v>
      </c>
      <c r="D895" t="inlineStr">
        <is>
          <t>GÄVLEBORGS LÄN</t>
        </is>
      </c>
      <c r="E895" t="inlineStr">
        <is>
          <t>SANDVIKEN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37367-2024</t>
        </is>
      </c>
      <c r="B896" s="1" t="n">
        <v>45540</v>
      </c>
      <c r="C896" s="1" t="n">
        <v>45564</v>
      </c>
      <c r="D896" t="inlineStr">
        <is>
          <t>GÄVLEBORGS LÄN</t>
        </is>
      </c>
      <c r="E896" t="inlineStr">
        <is>
          <t>SANDVIKEN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37349-2024</t>
        </is>
      </c>
      <c r="B897" s="1" t="n">
        <v>45540</v>
      </c>
      <c r="C897" s="1" t="n">
        <v>45564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37453-2024</t>
        </is>
      </c>
      <c r="B898" s="1" t="n">
        <v>45540</v>
      </c>
      <c r="C898" s="1" t="n">
        <v>45564</v>
      </c>
      <c r="D898" t="inlineStr">
        <is>
          <t>GÄVLEBORGS LÄN</t>
        </is>
      </c>
      <c r="E898" t="inlineStr">
        <is>
          <t>SANDVIKEN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37348-2024</t>
        </is>
      </c>
      <c r="B899" s="1" t="n">
        <v>45540</v>
      </c>
      <c r="C899" s="1" t="n">
        <v>45564</v>
      </c>
      <c r="D899" t="inlineStr">
        <is>
          <t>GÄVLEBORGS LÄN</t>
        </is>
      </c>
      <c r="E899" t="inlineStr">
        <is>
          <t>SANDVIKEN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37443-2024</t>
        </is>
      </c>
      <c r="B900" s="1" t="n">
        <v>45540</v>
      </c>
      <c r="C900" s="1" t="n">
        <v>45564</v>
      </c>
      <c r="D900" t="inlineStr">
        <is>
          <t>GÄVLEBORGS LÄN</t>
        </is>
      </c>
      <c r="E900" t="inlineStr">
        <is>
          <t>SANDVIKEN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37455-2024</t>
        </is>
      </c>
      <c r="B901" s="1" t="n">
        <v>45540</v>
      </c>
      <c r="C901" s="1" t="n">
        <v>45564</v>
      </c>
      <c r="D901" t="inlineStr">
        <is>
          <t>GÄVLEBORGS LÄN</t>
        </is>
      </c>
      <c r="E901" t="inlineStr">
        <is>
          <t>SANDVIKEN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37459-2024</t>
        </is>
      </c>
      <c r="B902" s="1" t="n">
        <v>45540</v>
      </c>
      <c r="C902" s="1" t="n">
        <v>45564</v>
      </c>
      <c r="D902" t="inlineStr">
        <is>
          <t>GÄVLEBORGS LÄN</t>
        </is>
      </c>
      <c r="E902" t="inlineStr">
        <is>
          <t>SANDVIKEN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45564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45564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37604-2024</t>
        </is>
      </c>
      <c r="B905" s="1" t="n">
        <v>45541</v>
      </c>
      <c r="C905" s="1" t="n">
        <v>45564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37643-2024</t>
        </is>
      </c>
      <c r="B906" s="1" t="n">
        <v>45541</v>
      </c>
      <c r="C906" s="1" t="n">
        <v>45564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37641-2024</t>
        </is>
      </c>
      <c r="B907" s="1" t="n">
        <v>45541</v>
      </c>
      <c r="C907" s="1" t="n">
        <v>45564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45564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38202-2024</t>
        </is>
      </c>
      <c r="B909" s="1" t="n">
        <v>45545</v>
      </c>
      <c r="C909" s="1" t="n">
        <v>45564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38200-2024</t>
        </is>
      </c>
      <c r="B910" s="1" t="n">
        <v>45545</v>
      </c>
      <c r="C910" s="1" t="n">
        <v>45564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45564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45564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45564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38520-2024</t>
        </is>
      </c>
      <c r="B914" s="1" t="n">
        <v>45546</v>
      </c>
      <c r="C914" s="1" t="n">
        <v>45564</v>
      </c>
      <c r="D914" t="inlineStr">
        <is>
          <t>GÄVLEBORGS LÄN</t>
        </is>
      </c>
      <c r="E914" t="inlineStr">
        <is>
          <t>SANDVIKEN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38515-2024</t>
        </is>
      </c>
      <c r="B915" s="1" t="n">
        <v>45546</v>
      </c>
      <c r="C915" s="1" t="n">
        <v>45564</v>
      </c>
      <c r="D915" t="inlineStr">
        <is>
          <t>GÄVLEBORGS LÄN</t>
        </is>
      </c>
      <c r="E915" t="inlineStr">
        <is>
          <t>SANDVIKEN</t>
        </is>
      </c>
      <c r="G915" t="n">
        <v>18.1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45564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45564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45564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39342-2024</t>
        </is>
      </c>
      <c r="B919" s="1" t="n">
        <v>45551</v>
      </c>
      <c r="C919" s="1" t="n">
        <v>45564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39337-2024</t>
        </is>
      </c>
      <c r="B920" s="1" t="n">
        <v>45551</v>
      </c>
      <c r="C920" s="1" t="n">
        <v>45564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45564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45564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45564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45564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45564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41357-2024</t>
        </is>
      </c>
      <c r="B926" s="1" t="n">
        <v>45559</v>
      </c>
      <c r="C926" s="1" t="n">
        <v>45564</v>
      </c>
      <c r="D926" t="inlineStr">
        <is>
          <t>GÄVLEBORGS LÄN</t>
        </is>
      </c>
      <c r="E926" t="inlineStr">
        <is>
          <t>SANDVIKEN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41384-2024</t>
        </is>
      </c>
      <c r="B927" s="1" t="n">
        <v>45560</v>
      </c>
      <c r="C927" s="1" t="n">
        <v>45564</v>
      </c>
      <c r="D927" t="inlineStr">
        <is>
          <t>GÄVLEBORGS LÄN</t>
        </is>
      </c>
      <c r="E927" t="inlineStr">
        <is>
          <t>SANDVIKEN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41383-2024</t>
        </is>
      </c>
      <c r="B928" s="1" t="n">
        <v>45560</v>
      </c>
      <c r="C928" s="1" t="n">
        <v>45564</v>
      </c>
      <c r="D928" t="inlineStr">
        <is>
          <t>GÄVLEBORGS LÄN</t>
        </is>
      </c>
      <c r="E928" t="inlineStr">
        <is>
          <t>SANDVIKEN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41800-2024</t>
        </is>
      </c>
      <c r="B929" s="1" t="n">
        <v>45561</v>
      </c>
      <c r="C929" s="1" t="n">
        <v>45564</v>
      </c>
      <c r="D929" t="inlineStr">
        <is>
          <t>GÄVLEBORGS LÄN</t>
        </is>
      </c>
      <c r="E929" t="inlineStr">
        <is>
          <t>SANDVIKEN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41790-2024</t>
        </is>
      </c>
      <c r="B930" s="1" t="n">
        <v>45561</v>
      </c>
      <c r="C930" s="1" t="n">
        <v>45564</v>
      </c>
      <c r="D930" t="inlineStr">
        <is>
          <t>GÄVLEBORGS LÄN</t>
        </is>
      </c>
      <c r="E930" t="inlineStr">
        <is>
          <t>SANDVIKEN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42069-2024</t>
        </is>
      </c>
      <c r="B931" s="1" t="n">
        <v>45562</v>
      </c>
      <c r="C931" s="1" t="n">
        <v>45564</v>
      </c>
      <c r="D931" t="inlineStr">
        <is>
          <t>GÄVLEBORGS LÄN</t>
        </is>
      </c>
      <c r="E931" t="inlineStr">
        <is>
          <t>SANDVIKEN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42071-2024</t>
        </is>
      </c>
      <c r="B932" s="1" t="n">
        <v>45562</v>
      </c>
      <c r="C932" s="1" t="n">
        <v>45564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42107-2024</t>
        </is>
      </c>
      <c r="B933" s="1" t="n">
        <v>45562</v>
      </c>
      <c r="C933" s="1" t="n">
        <v>45564</v>
      </c>
      <c r="D933" t="inlineStr">
        <is>
          <t>GÄVLEBORGS LÄN</t>
        </is>
      </c>
      <c r="E933" t="inlineStr">
        <is>
          <t>SANDVIKEN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42088-2024</t>
        </is>
      </c>
      <c r="B934" s="1" t="n">
        <v>45562</v>
      </c>
      <c r="C934" s="1" t="n">
        <v>45564</v>
      </c>
      <c r="D934" t="inlineStr">
        <is>
          <t>GÄVLEBORGS LÄN</t>
        </is>
      </c>
      <c r="E934" t="inlineStr">
        <is>
          <t>SANDVIKEN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2024-09-29T12:05:35Z</dcterms:created>
  <dcterms:modified xmlns:dcterms="http://purl.org/dc/terms/" xmlns:xsi="http://www.w3.org/2001/XMLSchema-instance" xsi:type="dcterms:W3CDTF">2024-09-29T12:05:35Z</dcterms:modified>
</cp:coreProperties>
</file>