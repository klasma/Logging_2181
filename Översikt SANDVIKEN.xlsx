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46321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46321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46321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46321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46321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46321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46321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46321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36672-2023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45153</v>
      </c>
      <c r="E11" s="1" t="n">
        <v>46321</v>
      </c>
      <c r="F11" t="inlineStr">
        <is>
          <t>GÄVLEBORGS LÄN</t>
        </is>
      </c>
      <c r="G11" t="inlineStr">
        <is>
          <t>SANDVIKEN</t>
        </is>
      </c>
      <c r="I11" t="n">
        <v>6.4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10</v>
      </c>
      <c r="U11" t="n">
        <v>0</v>
      </c>
      <c r="V11" s="2" t="inlineStr">
        <is>
          <t>Större vattensalamander
Åkergroda
Mindre vattensalamander
Vanlig groda</t>
        </is>
      </c>
      <c r="W11">
        <f>HYPERLINK("https://klasma.github.io/Logging_2181/artfynd/A 36672-2023 artfynd.xlsx", "A 36672-2023")</f>
        <v/>
      </c>
      <c r="X11">
        <f>HYPERLINK("https://klasma.github.io/Logging_2181/kartor/A 36672-2023 karta.png", "A 36672-2023")</f>
        <v/>
      </c>
      <c r="Y11">
        <f>HYPERLINK("https://klasma.github.io/Logging_2181/kartor_geotiff/A 36672-2023 georefererad karta.tif", "A 36672-2023")</f>
        <v/>
      </c>
      <c r="AA11">
        <f>HYPERLINK("https://klasma.github.io/Logging_2181/klagomål/A 36672-2023 FSC-klagomål.docx", "A 36672-2023")</f>
        <v/>
      </c>
      <c r="AB11">
        <f>HYPERLINK("https://klasma.github.io/Logging_2181/klagomålsmail/A 36672-2023 FSC-klagomål mail.docx", "A 36672-2023")</f>
        <v/>
      </c>
      <c r="AC11">
        <f>HYPERLINK("https://klasma.github.io/Logging_2181/tillsyn/A 36672-2023 tillsynsbegäran.docx", "A 36672-2023")</f>
        <v/>
      </c>
      <c r="AD11">
        <f>HYPERLINK("https://klasma.github.io/Logging_2181/tillsynsmail/A 36672-2023 tillsynsbegäran mail.docx", "A 36672-2023")</f>
        <v/>
      </c>
    </row>
    <row r="12" ht="15" customHeight="1">
      <c r="A12" t="inlineStr">
        <is>
          <t>A 26047-2026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46181</v>
      </c>
      <c r="E12" s="1" t="n">
        <v>46321</v>
      </c>
      <c r="F12" t="inlineStr">
        <is>
          <t>GÄVLEBORGS LÄN</t>
        </is>
      </c>
      <c r="G12" t="inlineStr">
        <is>
          <t>SANDVIKEN</t>
        </is>
      </c>
      <c r="H12" t="inlineStr">
        <is>
          <t>Kommuner</t>
        </is>
      </c>
      <c r="I12" t="n">
        <v>8.199999999999999</v>
      </c>
      <c r="J12" t="n">
        <v>3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1</v>
      </c>
      <c r="V12" s="2" t="inlineStr">
        <is>
          <t>Blå taggsvamp
Nordfladdermus
Talltita
Kungsfågel</t>
        </is>
      </c>
      <c r="W12">
        <f>HYPERLINK("https://klasma.github.io/Logging_2181/artfynd/A 26047-2026 artfynd.xlsx", "A 26047-2026")</f>
        <v/>
      </c>
      <c r="X12">
        <f>HYPERLINK("https://klasma.github.io/Logging_2181/kartor/A 26047-2026 karta.png", "A 26047-2026")</f>
        <v/>
      </c>
      <c r="Y12">
        <f>HYPERLINK("https://klasma.github.io/Logging_2181/kartor_geotiff/A 26047-2026 georefererad karta.tif", "A 26047-2026")</f>
        <v/>
      </c>
      <c r="AA12">
        <f>HYPERLINK("https://klasma.github.io/Logging_2181/klagomål/A 26047-2026 FSC-klagomål.docx", "A 26047-2026")</f>
        <v/>
      </c>
      <c r="AB12">
        <f>HYPERLINK("https://klasma.github.io/Logging_2181/klagomålsmail/A 26047-2026 FSC-klagomål mail.docx", "A 26047-2026")</f>
        <v/>
      </c>
      <c r="AC12">
        <f>HYPERLINK("https://klasma.github.io/Logging_2181/tillsyn/A 26047-2026 tillsynsbegäran.docx", "A 26047-2026")</f>
        <v/>
      </c>
      <c r="AD12">
        <f>HYPERLINK("https://klasma.github.io/Logging_2181/tillsynsmail/A 26047-2026 tillsynsbegäran mail.docx", "A 26047-2026")</f>
        <v/>
      </c>
      <c r="AE12">
        <f>HYPERLINK("https://klasma.github.io/Logging_2181/fåglar/A 26047-2026 prioriterade fågelarter.docx", "A 26047-2026")</f>
        <v/>
      </c>
    </row>
    <row r="13" ht="15" customHeight="1">
      <c r="A13" t="inlineStr">
        <is>
          <t>A 26271-2026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46182</v>
      </c>
      <c r="E13" s="1" t="n">
        <v>46321</v>
      </c>
      <c r="F13" t="inlineStr">
        <is>
          <t>GÄVLEBORGS LÄN</t>
        </is>
      </c>
      <c r="G13" t="inlineStr">
        <is>
          <t>SANDVIKEN</t>
        </is>
      </c>
      <c r="H13" t="inlineStr">
        <is>
          <t>Kommuner</t>
        </is>
      </c>
      <c r="I13" t="n">
        <v>3.8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Brunlångöra
Nordfladdermus
Vattenfladdermus
Fläcknycklar</t>
        </is>
      </c>
      <c r="W13">
        <f>HYPERLINK("https://klasma.github.io/Logging_2181/artfynd/A 26271-2026 artfynd.xlsx", "A 26271-2026")</f>
        <v/>
      </c>
      <c r="X13">
        <f>HYPERLINK("https://klasma.github.io/Logging_2181/kartor/A 26271-2026 karta.png", "A 26271-2026")</f>
        <v/>
      </c>
      <c r="Y13">
        <f>HYPERLINK("https://klasma.github.io/Logging_2181/kartor_geotiff/A 26271-2026 georefererad karta.tif", "A 26271-2026")</f>
        <v/>
      </c>
      <c r="AA13">
        <f>HYPERLINK("https://klasma.github.io/Logging_2181/klagomål/A 26271-2026 FSC-klagomål.docx", "A 26271-2026")</f>
        <v/>
      </c>
      <c r="AB13">
        <f>HYPERLINK("https://klasma.github.io/Logging_2181/klagomålsmail/A 26271-2026 FSC-klagomål mail.docx", "A 26271-2026")</f>
        <v/>
      </c>
      <c r="AC13">
        <f>HYPERLINK("https://klasma.github.io/Logging_2181/tillsyn/A 26271-2026 tillsynsbegäran.docx", "A 26271-2026")</f>
        <v/>
      </c>
      <c r="AD13">
        <f>HYPERLINK("https://klasma.github.io/Logging_2181/tillsynsmail/A 26271-2026 tillsynsbegäran mail.docx", "A 26271-2026")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46321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46321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46321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12192-2026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46086</v>
      </c>
      <c r="E17" s="1" t="n">
        <v>46321</v>
      </c>
      <c r="F17" t="inlineStr">
        <is>
          <t>GÄVLEBORGS LÄN</t>
        </is>
      </c>
      <c r="G17" t="inlineStr">
        <is>
          <t>SANDVIKEN</t>
        </is>
      </c>
      <c r="I17" t="n">
        <v>0.6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Kattfotslav
Tretåig hackspett
Spillkråka</t>
        </is>
      </c>
      <c r="W17">
        <f>HYPERLINK("https://klasma.github.io/Logging_2181/artfynd/A 12192-2026 artfynd.xlsx", "A 12192-2026")</f>
        <v/>
      </c>
      <c r="X17">
        <f>HYPERLINK("https://klasma.github.io/Logging_2181/kartor/A 12192-2026 karta.png", "A 12192-2026")</f>
        <v/>
      </c>
      <c r="Y17">
        <f>HYPERLINK("https://klasma.github.io/Logging_2181/kartor_geotiff/A 12192-2026 georefererad karta.tif", "A 12192-2026")</f>
        <v/>
      </c>
      <c r="Z17">
        <f>HYPERLINK("https://klasma.github.io/Logging_2181/knärot/A 12192-2026 karta knärot.png", "A 12192-2026")</f>
        <v/>
      </c>
      <c r="AA17">
        <f>HYPERLINK("https://klasma.github.io/Logging_2181/klagomål/A 12192-2026 FSC-klagomål.docx", "A 12192-2026")</f>
        <v/>
      </c>
      <c r="AB17">
        <f>HYPERLINK("https://klasma.github.io/Logging_2181/klagomålsmail/A 12192-2026 FSC-klagomål mail.docx", "A 12192-2026")</f>
        <v/>
      </c>
      <c r="AC17">
        <f>HYPERLINK("https://klasma.github.io/Logging_2181/tillsyn/A 12192-2026 tillsynsbegäran.docx", "A 12192-2026")</f>
        <v/>
      </c>
      <c r="AD17">
        <f>HYPERLINK("https://klasma.github.io/Logging_2181/tillsynsmail/A 12192-2026 tillsynsbegäran mail.docx", "A 12192-2026")</f>
        <v/>
      </c>
      <c r="AE17">
        <f>HYPERLINK("https://klasma.github.io/Logging_2181/fåglar/A 12192-2026 prioriterade fågelarter.docx", "A 12192-2026")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46321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46321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A 37635-2024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46321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25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7</v>
      </c>
      <c r="U20" t="n">
        <v>0</v>
      </c>
      <c r="V20" s="2" t="inlineStr">
        <is>
          <t>Talltita
Tjäder
Kungsfågel
Revlummer</t>
        </is>
      </c>
      <c r="W20">
        <f>HYPERLINK("https://klasma.github.io/Logging_2181/artfynd/A 37635-2024 artfynd.xlsx", "A 37635-2024")</f>
        <v/>
      </c>
      <c r="X20">
        <f>HYPERLINK("https://klasma.github.io/Logging_2181/kartor/A 37635-2024 karta.png", "A 37635-2024")</f>
        <v/>
      </c>
      <c r="Y20">
        <f>HYPERLINK("https://klasma.github.io/Logging_2181/kartor_geotiff/A 37635-2024 georefererad karta.tif", "A 37635-2024")</f>
        <v/>
      </c>
      <c r="AA20">
        <f>HYPERLINK("https://klasma.github.io/Logging_2181/klagomål/A 37635-2024 FSC-klagomål.docx", "A 37635-2024")</f>
        <v/>
      </c>
      <c r="AB20">
        <f>HYPERLINK("https://klasma.github.io/Logging_2181/klagomålsmail/A 37635-2024 FSC-klagomål mail.docx", "A 37635-2024")</f>
        <v/>
      </c>
      <c r="AC20">
        <f>HYPERLINK("https://klasma.github.io/Logging_2181/tillsyn/A 37635-2024 tillsynsbegäran.docx", "A 37635-2024")</f>
        <v/>
      </c>
      <c r="AD20">
        <f>HYPERLINK("https://klasma.github.io/Logging_2181/tillsynsmail/A 37635-2024 tillsynsbegäran mail.docx", "A 37635-2024")</f>
        <v/>
      </c>
      <c r="AE20">
        <f>HYPERLINK("https://klasma.github.io/Logging_2181/fåglar/A 37635-2024 prioriterade fågelarter.docx", "A 37635-2024")</f>
        <v/>
      </c>
    </row>
    <row r="21" ht="15" customHeight="1">
      <c r="A21" t="inlineStr">
        <is>
          <t>A 2857-2025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46321</v>
      </c>
      <c r="F21" t="inlineStr">
        <is>
          <t>GÄVLEBORGS LÄN</t>
        </is>
      </c>
      <c r="G21" t="inlineStr">
        <is>
          <t>SANDVIKEN</t>
        </is>
      </c>
      <c r="I21" t="n">
        <v>1.3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Större flatbagge
Tallticka
Bronshjon
Thomsons trägnagare</t>
        </is>
      </c>
      <c r="W21">
        <f>HYPERLINK("https://klasma.github.io/Logging_2181/artfynd/A 2857-2025 artfynd.xlsx", "A 2857-2025")</f>
        <v/>
      </c>
      <c r="X21">
        <f>HYPERLINK("https://klasma.github.io/Logging_2181/kartor/A 2857-2025 karta.png", "A 2857-2025")</f>
        <v/>
      </c>
      <c r="Y21">
        <f>HYPERLINK("https://klasma.github.io/Logging_2181/kartor_geotiff/A 2857-2025 georefererad karta.tif", "A 2857-2025")</f>
        <v/>
      </c>
      <c r="AA21">
        <f>HYPERLINK("https://klasma.github.io/Logging_2181/klagomål/A 2857-2025 FSC-klagomål.docx", "A 2857-2025")</f>
        <v/>
      </c>
      <c r="AB21">
        <f>HYPERLINK("https://klasma.github.io/Logging_2181/klagomålsmail/A 2857-2025 FSC-klagomål mail.docx", "A 2857-2025")</f>
        <v/>
      </c>
      <c r="AC21">
        <f>HYPERLINK("https://klasma.github.io/Logging_2181/tillsyn/A 2857-2025 tillsynsbegäran.docx", "A 2857-2025")</f>
        <v/>
      </c>
      <c r="AD21">
        <f>HYPERLINK("https://klasma.github.io/Logging_2181/tillsynsmail/A 2857-2025 tillsynsbegäran mail.docx", "A 2857-2025")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46321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46321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46321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46321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46321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46321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31310-2026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46321</v>
      </c>
      <c r="F28" t="inlineStr">
        <is>
          <t>GÄVLEBORGS LÄN</t>
        </is>
      </c>
      <c r="G28" t="inlineStr">
        <is>
          <t>SANDVIKEN</t>
        </is>
      </c>
      <c r="I28" t="n">
        <v>0.7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Vågbandad barkbock
Åkergroda
Vanlig padda</t>
        </is>
      </c>
      <c r="W28">
        <f>HYPERLINK("https://klasma.github.io/Logging_2181/artfynd/A 31310-2026 artfynd.xlsx", "A 31310-2026")</f>
        <v/>
      </c>
      <c r="X28">
        <f>HYPERLINK("https://klasma.github.io/Logging_2181/kartor/A 31310-2026 karta.png", "A 31310-2026")</f>
        <v/>
      </c>
      <c r="Y28">
        <f>HYPERLINK("https://klasma.github.io/Logging_2181/kartor_geotiff/A 31310-2026 georefererad karta.tif", "A 31310-2026")</f>
        <v/>
      </c>
      <c r="AA28">
        <f>HYPERLINK("https://klasma.github.io/Logging_2181/klagomål/A 31310-2026 FSC-klagomål.docx", "A 31310-2026")</f>
        <v/>
      </c>
      <c r="AB28">
        <f>HYPERLINK("https://klasma.github.io/Logging_2181/klagomålsmail/A 31310-2026 FSC-klagomål mail.docx", "A 31310-2026")</f>
        <v/>
      </c>
      <c r="AC28">
        <f>HYPERLINK("https://klasma.github.io/Logging_2181/tillsyn/A 31310-2026 tillsynsbegäran.docx", "A 31310-2026")</f>
        <v/>
      </c>
      <c r="AD28">
        <f>HYPERLINK("https://klasma.github.io/Logging_2181/tillsynsmail/A 31310-2026 tillsynsbegäran mail.docx", "A 31310-2026")</f>
        <v/>
      </c>
    </row>
    <row r="29" ht="15" customHeight="1">
      <c r="A29" t="inlineStr">
        <is>
          <t>A 6108-2026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46053</v>
      </c>
      <c r="E29" s="1" t="n">
        <v>46321</v>
      </c>
      <c r="F29" t="inlineStr">
        <is>
          <t>GÄVLEBORGS LÄN</t>
        </is>
      </c>
      <c r="G29" t="inlineStr">
        <is>
          <t>SANDVIKEN</t>
        </is>
      </c>
      <c r="I29" t="n">
        <v>3.9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Knärot
Granvivel
Linnea</t>
        </is>
      </c>
      <c r="W29">
        <f>HYPERLINK("https://klasma.github.io/Logging_2181/artfynd/A 6108-2026 artfynd.xlsx", "A 6108-2026")</f>
        <v/>
      </c>
      <c r="X29">
        <f>HYPERLINK("https://klasma.github.io/Logging_2181/kartor/A 6108-2026 karta.png", "A 6108-2026")</f>
        <v/>
      </c>
      <c r="Y29">
        <f>HYPERLINK("https://klasma.github.io/Logging_2181/kartor_geotiff/A 6108-2026 georefererad karta.tif", "A 6108-2026")</f>
        <v/>
      </c>
      <c r="Z29">
        <f>HYPERLINK("https://klasma.github.io/Logging_2181/knärot/A 6108-2026 karta knärot.png", "A 6108-2026")</f>
        <v/>
      </c>
      <c r="AA29">
        <f>HYPERLINK("https://klasma.github.io/Logging_2181/klagomål/A 6108-2026 FSC-klagomål.docx", "A 6108-2026")</f>
        <v/>
      </c>
      <c r="AB29">
        <f>HYPERLINK("https://klasma.github.io/Logging_2181/klagomålsmail/A 6108-2026 FSC-klagomål mail.docx", "A 6108-2026")</f>
        <v/>
      </c>
      <c r="AC29">
        <f>HYPERLINK("https://klasma.github.io/Logging_2181/tillsyn/A 6108-2026 tillsynsbegäran.docx", "A 6108-2026")</f>
        <v/>
      </c>
      <c r="AD29">
        <f>HYPERLINK("https://klasma.github.io/Logging_2181/tillsynsmail/A 6108-2026 tillsynsbegäran mail.docx", "A 6108-2026")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46321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6311-2026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46321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Tjäder
Vanlig groda
Vanlig padda</t>
        </is>
      </c>
      <c r="W31">
        <f>HYPERLINK("https://klasma.github.io/Logging_2181/artfynd/A 6311-2026 artfynd.xlsx", "A 6311-2026")</f>
        <v/>
      </c>
      <c r="X31">
        <f>HYPERLINK("https://klasma.github.io/Logging_2181/kartor/A 6311-2026 karta.png", "A 6311-2026")</f>
        <v/>
      </c>
      <c r="Y31">
        <f>HYPERLINK("https://klasma.github.io/Logging_2181/kartor_geotiff/A 6311-2026 georefererad karta.tif", "A 6311-2026")</f>
        <v/>
      </c>
      <c r="AA31">
        <f>HYPERLINK("https://klasma.github.io/Logging_2181/klagomål/A 6311-2026 FSC-klagomål.docx", "A 6311-2026")</f>
        <v/>
      </c>
      <c r="AB31">
        <f>HYPERLINK("https://klasma.github.io/Logging_2181/klagomålsmail/A 6311-2026 FSC-klagomål mail.docx", "A 6311-2026")</f>
        <v/>
      </c>
      <c r="AC31">
        <f>HYPERLINK("https://klasma.github.io/Logging_2181/tillsyn/A 6311-2026 tillsynsbegäran.docx", "A 6311-2026")</f>
        <v/>
      </c>
      <c r="AD31">
        <f>HYPERLINK("https://klasma.github.io/Logging_2181/tillsynsmail/A 6311-2026 tillsynsbegäran mail.docx", "A 6311-2026")</f>
        <v/>
      </c>
      <c r="AE31">
        <f>HYPERLINK("https://klasma.github.io/Logging_2181/fåglar/A 6311-2026 prioriterade fågelarter.docx", "A 6311-2026")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46321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46321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46321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46321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27014-2026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46321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4.8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Nordfladdermus
Tjäder</t>
        </is>
      </c>
      <c r="W36">
        <f>HYPERLINK("https://klasma.github.io/Logging_2181/artfynd/A 27014-2026 artfynd.xlsx", "A 27014-2026")</f>
        <v/>
      </c>
      <c r="X36">
        <f>HYPERLINK("https://klasma.github.io/Logging_2181/kartor/A 27014-2026 karta.png", "A 27014-2026")</f>
        <v/>
      </c>
      <c r="Y36">
        <f>HYPERLINK("https://klasma.github.io/Logging_2181/kartor_geotiff/A 27014-2026 georefererad karta.tif", "A 27014-2026")</f>
        <v/>
      </c>
      <c r="AA36">
        <f>HYPERLINK("https://klasma.github.io/Logging_2181/klagomål/A 27014-2026 FSC-klagomål.docx", "A 27014-2026")</f>
        <v/>
      </c>
      <c r="AB36">
        <f>HYPERLINK("https://klasma.github.io/Logging_2181/klagomålsmail/A 27014-2026 FSC-klagomål mail.docx", "A 27014-2026")</f>
        <v/>
      </c>
      <c r="AC36">
        <f>HYPERLINK("https://klasma.github.io/Logging_2181/tillsyn/A 27014-2026 tillsynsbegäran.docx", "A 27014-2026")</f>
        <v/>
      </c>
      <c r="AD36">
        <f>HYPERLINK("https://klasma.github.io/Logging_2181/tillsynsmail/A 27014-2026 tillsynsbegäran mail.docx", "A 27014-2026")</f>
        <v/>
      </c>
      <c r="AE36">
        <f>HYPERLINK("https://klasma.github.io/Logging_2181/fåglar/A 27014-2026 prioriterade fågelarter.docx", "A 27014-2026")</f>
        <v/>
      </c>
    </row>
    <row r="37" ht="15" customHeight="1">
      <c r="A37" t="inlineStr">
        <is>
          <t>A 27184-2026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46321</v>
      </c>
      <c r="F37" t="inlineStr">
        <is>
          <t>GÄVLEBORGS LÄN</t>
        </is>
      </c>
      <c r="G37" t="inlineStr">
        <is>
          <t>SANDVIKEN</t>
        </is>
      </c>
      <c r="I37" t="n">
        <v>1.5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Talltita</t>
        </is>
      </c>
      <c r="W37">
        <f>HYPERLINK("https://klasma.github.io/Logging_2181/artfynd/A 27184-2026 artfynd.xlsx", "A 27184-2026")</f>
        <v/>
      </c>
      <c r="X37">
        <f>HYPERLINK("https://klasma.github.io/Logging_2181/kartor/A 27184-2026 karta.png", "A 27184-2026")</f>
        <v/>
      </c>
      <c r="Y37">
        <f>HYPERLINK("https://klasma.github.io/Logging_2181/kartor_geotiff/A 27184-2026 georefererad karta.tif", "A 27184-2026")</f>
        <v/>
      </c>
      <c r="AA37">
        <f>HYPERLINK("https://klasma.github.io/Logging_2181/klagomål/A 27184-2026 FSC-klagomål.docx", "A 27184-2026")</f>
        <v/>
      </c>
      <c r="AB37">
        <f>HYPERLINK("https://klasma.github.io/Logging_2181/klagomålsmail/A 27184-2026 FSC-klagomål mail.docx", "A 27184-2026")</f>
        <v/>
      </c>
      <c r="AC37">
        <f>HYPERLINK("https://klasma.github.io/Logging_2181/tillsyn/A 27184-2026 tillsynsbegäran.docx", "A 27184-2026")</f>
        <v/>
      </c>
      <c r="AD37">
        <f>HYPERLINK("https://klasma.github.io/Logging_2181/tillsynsmail/A 27184-2026 tillsynsbegäran mail.docx", "A 27184-2026")</f>
        <v/>
      </c>
      <c r="AE37">
        <f>HYPERLINK("https://klasma.github.io/Logging_2181/fåglar/A 27184-2026 prioriterade fågelarter.docx", "A 27184-2026")</f>
        <v/>
      </c>
    </row>
    <row r="38" ht="15" customHeight="1">
      <c r="A38" t="inlineStr">
        <is>
          <t>A 29111-2026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46201</v>
      </c>
      <c r="E38" s="1" t="n">
        <v>46321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Knärot
Tallticka</t>
        </is>
      </c>
      <c r="W38">
        <f>HYPERLINK("https://klasma.github.io/Logging_2181/artfynd/A 29111-2026 artfynd.xlsx", "A 29111-2026")</f>
        <v/>
      </c>
      <c r="X38">
        <f>HYPERLINK("https://klasma.github.io/Logging_2181/kartor/A 29111-2026 karta.png", "A 29111-2026")</f>
        <v/>
      </c>
      <c r="Y38">
        <f>HYPERLINK("https://klasma.github.io/Logging_2181/kartor_geotiff/A 29111-2026 georefererad karta.tif", "A 29111-2026")</f>
        <v/>
      </c>
      <c r="Z38">
        <f>HYPERLINK("https://klasma.github.io/Logging_2181/knärot/A 29111-2026 karta knärot.png", "A 29111-2026")</f>
        <v/>
      </c>
      <c r="AA38">
        <f>HYPERLINK("https://klasma.github.io/Logging_2181/klagomål/A 29111-2026 FSC-klagomål.docx", "A 29111-2026")</f>
        <v/>
      </c>
      <c r="AB38">
        <f>HYPERLINK("https://klasma.github.io/Logging_2181/klagomålsmail/A 29111-2026 FSC-klagomål mail.docx", "A 29111-2026")</f>
        <v/>
      </c>
      <c r="AC38">
        <f>HYPERLINK("https://klasma.github.io/Logging_2181/tillsyn/A 29111-2026 tillsynsbegäran.docx", "A 29111-2026")</f>
        <v/>
      </c>
      <c r="AD38">
        <f>HYPERLINK("https://klasma.github.io/Logging_2181/tillsynsmail/A 29111-2026 tillsynsbegäran mail.docx", "A 29111-2026")</f>
        <v/>
      </c>
    </row>
    <row r="39" ht="15" customHeight="1">
      <c r="A39" t="inlineStr">
        <is>
          <t>A 39510-2026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46321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Mörk vedstrit
Plattlummer</t>
        </is>
      </c>
      <c r="W39">
        <f>HYPERLINK("https://klasma.github.io/Logging_2181/artfynd/A 39510-2026 artfynd.xlsx", "A 39510-2026")</f>
        <v/>
      </c>
      <c r="X39">
        <f>HYPERLINK("https://klasma.github.io/Logging_2181/kartor/A 39510-2026 karta.png", "A 39510-2026")</f>
        <v/>
      </c>
      <c r="Y39">
        <f>HYPERLINK("https://klasma.github.io/Logging_2181/kartor_geotiff/A 39510-2026 georefererad karta.tif", "A 39510-2026")</f>
        <v/>
      </c>
      <c r="AA39">
        <f>HYPERLINK("https://klasma.github.io/Logging_2181/klagomål/A 39510-2026 FSC-klagomål.docx", "A 39510-2026")</f>
        <v/>
      </c>
      <c r="AB39">
        <f>HYPERLINK("https://klasma.github.io/Logging_2181/klagomålsmail/A 39510-2026 FSC-klagomål mail.docx", "A 39510-2026")</f>
        <v/>
      </c>
      <c r="AC39">
        <f>HYPERLINK("https://klasma.github.io/Logging_2181/tillsyn/A 39510-2026 tillsynsbegäran.docx", "A 39510-2026")</f>
        <v/>
      </c>
      <c r="AD39">
        <f>HYPERLINK("https://klasma.github.io/Logging_2181/tillsynsmail/A 39510-2026 tillsynsbegäran mail.docx", "A 39510-2026")</f>
        <v/>
      </c>
    </row>
    <row r="40" ht="15" customHeight="1">
      <c r="A40" t="inlineStr">
        <is>
          <t>A 33867-2026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46321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1.2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Kortskaftad ärgspik</t>
        </is>
      </c>
      <c r="W40">
        <f>HYPERLINK("https://klasma.github.io/Logging_2181/artfynd/A 33867-2026 artfynd.xlsx", "A 33867-2026")</f>
        <v/>
      </c>
      <c r="X40">
        <f>HYPERLINK("https://klasma.github.io/Logging_2181/kartor/A 33867-2026 karta.png", "A 33867-2026")</f>
        <v/>
      </c>
      <c r="Y40">
        <f>HYPERLINK("https://klasma.github.io/Logging_2181/kartor_geotiff/A 33867-2026 georefererad karta.tif", "A 33867-2026")</f>
        <v/>
      </c>
      <c r="AA40">
        <f>HYPERLINK("https://klasma.github.io/Logging_2181/klagomål/A 33867-2026 FSC-klagomål.docx", "A 33867-2026")</f>
        <v/>
      </c>
      <c r="AB40">
        <f>HYPERLINK("https://klasma.github.io/Logging_2181/klagomålsmail/A 33867-2026 FSC-klagomål mail.docx", "A 33867-2026")</f>
        <v/>
      </c>
      <c r="AC40">
        <f>HYPERLINK("https://klasma.github.io/Logging_2181/tillsyn/A 33867-2026 tillsynsbegäran.docx", "A 33867-2026")</f>
        <v/>
      </c>
      <c r="AD40">
        <f>HYPERLINK("https://klasma.github.io/Logging_2181/tillsynsmail/A 33867-2026 tillsynsbegäran mail.docx", "A 33867-2026")</f>
        <v/>
      </c>
    </row>
    <row r="41" ht="15" customHeight="1">
      <c r="A41" t="inlineStr">
        <is>
          <t>A 34124-2026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46321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2.1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Blåsippa
Revlummer</t>
        </is>
      </c>
      <c r="W41">
        <f>HYPERLINK("https://klasma.github.io/Logging_2181/artfynd/A 34124-2026 artfynd.xlsx", "A 34124-2026")</f>
        <v/>
      </c>
      <c r="X41">
        <f>HYPERLINK("https://klasma.github.io/Logging_2181/kartor/A 34124-2026 karta.png", "A 34124-2026")</f>
        <v/>
      </c>
      <c r="Y41">
        <f>HYPERLINK("https://klasma.github.io/Logging_2181/kartor_geotiff/A 34124-2026 georefererad karta.tif", "A 34124-2026")</f>
        <v/>
      </c>
      <c r="AA41">
        <f>HYPERLINK("https://klasma.github.io/Logging_2181/klagomål/A 34124-2026 FSC-klagomål.docx", "A 34124-2026")</f>
        <v/>
      </c>
      <c r="AB41">
        <f>HYPERLINK("https://klasma.github.io/Logging_2181/klagomålsmail/A 34124-2026 FSC-klagomål mail.docx", "A 34124-2026")</f>
        <v/>
      </c>
      <c r="AC41">
        <f>HYPERLINK("https://klasma.github.io/Logging_2181/tillsyn/A 34124-2026 tillsynsbegäran.docx", "A 34124-2026")</f>
        <v/>
      </c>
      <c r="AD41">
        <f>HYPERLINK("https://klasma.github.io/Logging_2181/tillsynsmail/A 34124-2026 tillsynsbegäran mail.docx", "A 34124-2026")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46321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35377-2026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46321</v>
      </c>
      <c r="F43" t="inlineStr">
        <is>
          <t>GÄVLEBORGS LÄN</t>
        </is>
      </c>
      <c r="G43" t="inlineStr">
        <is>
          <t>SANDVIKEN</t>
        </is>
      </c>
      <c r="I43" t="n">
        <v>1.8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Garnlav
Tallticka</t>
        </is>
      </c>
      <c r="W43">
        <f>HYPERLINK("https://klasma.github.io/Logging_2181/artfynd/A 35377-2026 artfynd.xlsx", "A 35377-2026")</f>
        <v/>
      </c>
      <c r="X43">
        <f>HYPERLINK("https://klasma.github.io/Logging_2181/kartor/A 35377-2026 karta.png", "A 35377-2026")</f>
        <v/>
      </c>
      <c r="Y43">
        <f>HYPERLINK("https://klasma.github.io/Logging_2181/kartor_geotiff/A 35377-2026 georefererad karta.tif", "A 35377-2026")</f>
        <v/>
      </c>
      <c r="AA43">
        <f>HYPERLINK("https://klasma.github.io/Logging_2181/klagomål/A 35377-2026 FSC-klagomål.docx", "A 35377-2026")</f>
        <v/>
      </c>
      <c r="AB43">
        <f>HYPERLINK("https://klasma.github.io/Logging_2181/klagomålsmail/A 35377-2026 FSC-klagomål mail.docx", "A 35377-2026")</f>
        <v/>
      </c>
      <c r="AC43">
        <f>HYPERLINK("https://klasma.github.io/Logging_2181/tillsyn/A 35377-2026 tillsynsbegäran.docx", "A 35377-2026")</f>
        <v/>
      </c>
      <c r="AD43">
        <f>HYPERLINK("https://klasma.github.io/Logging_2181/tillsynsmail/A 35377-2026 tillsynsbegäran mail.docx", "A 35377-2026")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46321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42869-2024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46321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6.9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Rödgul trumpetsvamp
Vanlig padda</t>
        </is>
      </c>
      <c r="W45">
        <f>HYPERLINK("https://klasma.github.io/Logging_2181/artfynd/A 42869-2024 artfynd.xlsx", "A 42869-2024")</f>
        <v/>
      </c>
      <c r="X45">
        <f>HYPERLINK("https://klasma.github.io/Logging_2181/kartor/A 42869-2024 karta.png", "A 42869-2024")</f>
        <v/>
      </c>
      <c r="Y45">
        <f>HYPERLINK("https://klasma.github.io/Logging_2181/kartor_geotiff/A 42869-2024 georefererad karta.tif", "A 42869-2024")</f>
        <v/>
      </c>
      <c r="AA45">
        <f>HYPERLINK("https://klasma.github.io/Logging_2181/klagomål/A 42869-2024 FSC-klagomål.docx", "A 42869-2024")</f>
        <v/>
      </c>
      <c r="AB45">
        <f>HYPERLINK("https://klasma.github.io/Logging_2181/klagomålsmail/A 42869-2024 FSC-klagomål mail.docx", "A 42869-2024")</f>
        <v/>
      </c>
      <c r="AC45">
        <f>HYPERLINK("https://klasma.github.io/Logging_2181/tillsyn/A 42869-2024 tillsynsbegäran.docx", "A 42869-2024")</f>
        <v/>
      </c>
      <c r="AD45">
        <f>HYPERLINK("https://klasma.github.io/Logging_2181/tillsynsmail/A 42869-2024 tillsynsbegäran mail.docx", "A 42869-2024")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46321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A 1179-2026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46321</v>
      </c>
      <c r="F47" t="inlineStr">
        <is>
          <t>GÄVLEBORGS LÄN</t>
        </is>
      </c>
      <c r="G47" t="inlineStr">
        <is>
          <t>SANDVIKEN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Strutbräken
Revlummer</t>
        </is>
      </c>
      <c r="W47">
        <f>HYPERLINK("https://klasma.github.io/Logging_2181/artfynd/A 1179-2026 artfynd.xlsx", "A 1179-2026")</f>
        <v/>
      </c>
      <c r="X47">
        <f>HYPERLINK("https://klasma.github.io/Logging_2181/kartor/A 1179-2026 karta.png", "A 1179-2026")</f>
        <v/>
      </c>
      <c r="Y47">
        <f>HYPERLINK("https://klasma.github.io/Logging_2181/kartor_geotiff/A 1179-2026 georefererad karta.tif", "A 1179-2026")</f>
        <v/>
      </c>
      <c r="AA47">
        <f>HYPERLINK("https://klasma.github.io/Logging_2181/klagomål/A 1179-2026 FSC-klagomål.docx", "A 1179-2026")</f>
        <v/>
      </c>
      <c r="AB47">
        <f>HYPERLINK("https://klasma.github.io/Logging_2181/klagomålsmail/A 1179-2026 FSC-klagomål mail.docx", "A 1179-2026")</f>
        <v/>
      </c>
      <c r="AC47">
        <f>HYPERLINK("https://klasma.github.io/Logging_2181/tillsyn/A 1179-2026 tillsynsbegäran.docx", "A 1179-2026")</f>
        <v/>
      </c>
      <c r="AD47">
        <f>HYPERLINK("https://klasma.github.io/Logging_2181/tillsynsmail/A 1179-2026 tillsynsbegäran mail.docx", "A 1179-2026")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46321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35523-2022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46321</v>
      </c>
      <c r="F49" t="inlineStr">
        <is>
          <t>GÄVLEBORGS LÄN</t>
        </is>
      </c>
      <c r="G49" t="inlineStr">
        <is>
          <t>SANDVIKEN</t>
        </is>
      </c>
      <c r="I49" t="n">
        <v>2.1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Nattviol</t>
        </is>
      </c>
      <c r="W49">
        <f>HYPERLINK("https://klasma.github.io/Logging_2181/artfynd/A 35523-2022 artfynd.xlsx", "A 35523-2022")</f>
        <v/>
      </c>
      <c r="X49">
        <f>HYPERLINK("https://klasma.github.io/Logging_2181/kartor/A 35523-2022 karta.png", "A 35523-2022")</f>
        <v/>
      </c>
      <c r="Y49">
        <f>HYPERLINK("https://klasma.github.io/Logging_2181/kartor_geotiff/A 35523-2022 georefererad karta.tif", "A 35523-2022")</f>
        <v/>
      </c>
      <c r="Z49">
        <f>HYPERLINK("https://klasma.github.io/Logging_2181/knärot/A 35523-2022 karta knärot.png", "A 35523-2022")</f>
        <v/>
      </c>
      <c r="AA49">
        <f>HYPERLINK("https://klasma.github.io/Logging_2181/klagomål/A 35523-2022 FSC-klagomål.docx", "A 35523-2022")</f>
        <v/>
      </c>
      <c r="AB49">
        <f>HYPERLINK("https://klasma.github.io/Logging_2181/klagomålsmail/A 35523-2022 FSC-klagomål mail.docx", "A 35523-2022")</f>
        <v/>
      </c>
      <c r="AC49">
        <f>HYPERLINK("https://klasma.github.io/Logging_2181/tillsyn/A 35523-2022 tillsynsbegäran.docx", "A 35523-2022")</f>
        <v/>
      </c>
      <c r="AD49">
        <f>HYPERLINK("https://klasma.github.io/Logging_2181/tillsynsmail/A 35523-2022 tillsynsbegäran mail.docx", "A 35523-2022")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46321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46321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46321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46321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46321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46321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46321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46321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Plattlummer</t>
        </is>
      </c>
      <c r="W57">
        <f>HYPERLINK("https://klasma.github.io/Logging_2181/artfynd/A 39872-2025 artfynd.xlsx", "A 39872-2025")</f>
        <v/>
      </c>
      <c r="X57">
        <f>HYPERLINK("https://klasma.github.io/Logging_2181/kartor/A 39872-2025 karta.png", "A 39872-2025")</f>
        <v/>
      </c>
      <c r="Y57">
        <f>HYPERLINK("https://klasma.github.io/Logging_2181/kartor_geotiff/A 39872-2025 georefererad karta.tif", "A 39872-2025")</f>
        <v/>
      </c>
      <c r="AA57">
        <f>HYPERLINK("https://klasma.github.io/Logging_2181/klagomål/A 39872-2025 FSC-klagomål.docx", "A 39872-2025")</f>
        <v/>
      </c>
      <c r="AB57">
        <f>HYPERLINK("https://klasma.github.io/Logging_2181/klagomålsmail/A 39872-2025 FSC-klagomål mail.docx", "A 39872-2025")</f>
        <v/>
      </c>
      <c r="AC57">
        <f>HYPERLINK("https://klasma.github.io/Logging_2181/tillsyn/A 39872-2025 tillsynsbegäran.docx", "A 39872-2025")</f>
        <v/>
      </c>
      <c r="AD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46321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HYPERLINK("https://klasma.github.io/Logging_2181/artfynd/A 39873-2025 artfynd.xlsx", "A 39873-2025")</f>
        <v/>
      </c>
      <c r="X58">
        <f>HYPERLINK("https://klasma.github.io/Logging_2181/kartor/A 39873-2025 karta.png", "A 39873-2025")</f>
        <v/>
      </c>
      <c r="Y58">
        <f>HYPERLINK("https://klasma.github.io/Logging_2181/kartor_geotiff/A 39873-2025 georefererad karta.tif", "A 39873-2025")</f>
        <v/>
      </c>
      <c r="AA58">
        <f>HYPERLINK("https://klasma.github.io/Logging_2181/klagomål/A 39873-2025 FSC-klagomål.docx", "A 39873-2025")</f>
        <v/>
      </c>
      <c r="AB58">
        <f>HYPERLINK("https://klasma.github.io/Logging_2181/klagomålsmail/A 39873-2025 FSC-klagomål mail.docx", "A 39873-2025")</f>
        <v/>
      </c>
      <c r="AC58">
        <f>HYPERLINK("https://klasma.github.io/Logging_2181/tillsyn/A 39873-2025 tillsynsbegäran.docx", "A 39873-2025")</f>
        <v/>
      </c>
      <c r="AD58">
        <f>HYPERLINK("https://klasma.github.io/Logging_2181/tillsynsmail/A 39873-2025 tillsynsbegäran mail.docx", "A 39873-2025")</f>
        <v/>
      </c>
    </row>
    <row r="59" ht="15" customHeight="1">
      <c r="A59" t="inlineStr">
        <is>
          <t>A 24171-2026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46321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Svedjenäva</t>
        </is>
      </c>
      <c r="W59">
        <f>HYPERLINK("https://klasma.github.io/Logging_2181/artfynd/A 24171-2026 artfynd.xlsx", "A 24171-2026")</f>
        <v/>
      </c>
      <c r="X59">
        <f>HYPERLINK("https://klasma.github.io/Logging_2181/kartor/A 24171-2026 karta.png", "A 24171-2026")</f>
        <v/>
      </c>
      <c r="Y59">
        <f>HYPERLINK("https://klasma.github.io/Logging_2181/kartor_geotiff/A 24171-2026 georefererad karta.tif", "A 24171-2026")</f>
        <v/>
      </c>
      <c r="AA59">
        <f>HYPERLINK("https://klasma.github.io/Logging_2181/klagomål/A 24171-2026 FSC-klagomål.docx", "A 24171-2026")</f>
        <v/>
      </c>
      <c r="AB59">
        <f>HYPERLINK("https://klasma.github.io/Logging_2181/klagomålsmail/A 24171-2026 FSC-klagomål mail.docx", "A 24171-2026")</f>
        <v/>
      </c>
      <c r="AC59">
        <f>HYPERLINK("https://klasma.github.io/Logging_2181/tillsyn/A 24171-2026 tillsynsbegäran.docx", "A 24171-2026")</f>
        <v/>
      </c>
      <c r="AD59">
        <f>HYPERLINK("https://klasma.github.io/Logging_2181/tillsynsmail/A 24171-2026 tillsynsbegäran mail.docx", "A 24171-2026")</f>
        <v/>
      </c>
    </row>
    <row r="60" ht="15" customHeight="1">
      <c r="A60" t="inlineStr">
        <is>
          <t>A 24357-2026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46169</v>
      </c>
      <c r="E60" s="1" t="n">
        <v>46321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HYPERLINK("https://klasma.github.io/Logging_2181/artfynd/A 24357-2026 artfynd.xlsx", "A 24357-2026")</f>
        <v/>
      </c>
      <c r="X60">
        <f>HYPERLINK("https://klasma.github.io/Logging_2181/kartor/A 24357-2026 karta.png", "A 24357-2026")</f>
        <v/>
      </c>
      <c r="Y60">
        <f>HYPERLINK("https://klasma.github.io/Logging_2181/kartor_geotiff/A 24357-2026 georefererad karta.tif", "A 24357-2026")</f>
        <v/>
      </c>
      <c r="AA60">
        <f>HYPERLINK("https://klasma.github.io/Logging_2181/klagomål/A 24357-2026 FSC-klagomål.docx", "A 24357-2026")</f>
        <v/>
      </c>
      <c r="AB60">
        <f>HYPERLINK("https://klasma.github.io/Logging_2181/klagomålsmail/A 24357-2026 FSC-klagomål mail.docx", "A 24357-2026")</f>
        <v/>
      </c>
      <c r="AC60">
        <f>HYPERLINK("https://klasma.github.io/Logging_2181/tillsyn/A 24357-2026 tillsynsbegäran.docx", "A 24357-2026")</f>
        <v/>
      </c>
      <c r="AD60">
        <f>HYPERLINK("https://klasma.github.io/Logging_2181/tillsynsmail/A 24357-2026 tillsynsbegäran mail.docx", "A 24357-2026")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46321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25247-2026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46175</v>
      </c>
      <c r="E62" s="1" t="n">
        <v>46321</v>
      </c>
      <c r="F62" t="inlineStr">
        <is>
          <t>GÄVLEBORGS LÄN</t>
        </is>
      </c>
      <c r="G62" t="inlineStr">
        <is>
          <t>SANDVIKEN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Skinnlav</t>
        </is>
      </c>
      <c r="W62">
        <f>HYPERLINK("https://klasma.github.io/Logging_2181/artfynd/A 25247-2026 artfynd.xlsx", "A 25247-2026")</f>
        <v/>
      </c>
      <c r="X62">
        <f>HYPERLINK("https://klasma.github.io/Logging_2181/kartor/A 25247-2026 karta.png", "A 25247-2026")</f>
        <v/>
      </c>
      <c r="Y62">
        <f>HYPERLINK("https://klasma.github.io/Logging_2181/kartor_geotiff/A 25247-2026 georefererad karta.tif", "A 25247-2026")</f>
        <v/>
      </c>
      <c r="AA62">
        <f>HYPERLINK("https://klasma.github.io/Logging_2181/klagomål/A 25247-2026 FSC-klagomål.docx", "A 25247-2026")</f>
        <v/>
      </c>
      <c r="AB62">
        <f>HYPERLINK("https://klasma.github.io/Logging_2181/klagomålsmail/A 25247-2026 FSC-klagomål mail.docx", "A 25247-2026")</f>
        <v/>
      </c>
      <c r="AC62">
        <f>HYPERLINK("https://klasma.github.io/Logging_2181/tillsyn/A 25247-2026 tillsynsbegäran.docx", "A 25247-2026")</f>
        <v/>
      </c>
      <c r="AD62">
        <f>HYPERLINK("https://klasma.github.io/Logging_2181/tillsynsmail/A 25247-2026 tillsynsbegäran mail.docx", "A 25247-2026")</f>
        <v/>
      </c>
    </row>
    <row r="63" ht="15" customHeight="1">
      <c r="A63" t="inlineStr">
        <is>
          <t>A 5015-2023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46321</v>
      </c>
      <c r="F63" t="inlineStr">
        <is>
          <t>GÄVLEBORGS LÄN</t>
        </is>
      </c>
      <c r="G63" t="inlineStr">
        <is>
          <t>SANDVIKEN</t>
        </is>
      </c>
      <c r="I63" t="n">
        <v>7.8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Slåtterfibbla</t>
        </is>
      </c>
      <c r="W63">
        <f>HYPERLINK("https://klasma.github.io/Logging_2181/artfynd/A 5015-2023 artfynd.xlsx", "A 5015-2023")</f>
        <v/>
      </c>
      <c r="X63">
        <f>HYPERLINK("https://klasma.github.io/Logging_2181/kartor/A 5015-2023 karta.png", "A 5015-2023")</f>
        <v/>
      </c>
      <c r="Y63">
        <f>HYPERLINK("https://klasma.github.io/Logging_2181/kartor_geotiff/A 5015-2023 georefererad karta.tif", "A 5015-2023")</f>
        <v/>
      </c>
      <c r="AA63">
        <f>HYPERLINK("https://klasma.github.io/Logging_2181/klagomål/A 5015-2023 FSC-klagomål.docx", "A 5015-2023")</f>
        <v/>
      </c>
      <c r="AB63">
        <f>HYPERLINK("https://klasma.github.io/Logging_2181/klagomålsmail/A 5015-2023 FSC-klagomål mail.docx", "A 5015-2023")</f>
        <v/>
      </c>
      <c r="AC63">
        <f>HYPERLINK("https://klasma.github.io/Logging_2181/tillsyn/A 5015-2023 tillsynsbegäran.docx", "A 5015-2023")</f>
        <v/>
      </c>
      <c r="AD63">
        <f>HYPERLINK("https://klasma.github.io/Logging_2181/tillsynsmail/A 5015-2023 tillsynsbegäran mail.docx", "A 5015-2023")</f>
        <v/>
      </c>
    </row>
    <row r="64" ht="15" customHeight="1">
      <c r="A64" t="inlineStr">
        <is>
          <t>A 26212-2026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46321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0.7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HYPERLINK("https://klasma.github.io/Logging_2181/artfynd/A 26212-2026 artfynd.xlsx", "A 26212-2026")</f>
        <v/>
      </c>
      <c r="X64">
        <f>HYPERLINK("https://klasma.github.io/Logging_2181/kartor/A 26212-2026 karta.png", "A 26212-2026")</f>
        <v/>
      </c>
      <c r="Y64">
        <f>HYPERLINK("https://klasma.github.io/Logging_2181/kartor_geotiff/A 26212-2026 georefererad karta.tif", "A 26212-2026")</f>
        <v/>
      </c>
      <c r="Z64">
        <f>HYPERLINK("https://klasma.github.io/Logging_2181/knärot/A 26212-2026 karta knärot.png", "A 26212-2026")</f>
        <v/>
      </c>
      <c r="AA64">
        <f>HYPERLINK("https://klasma.github.io/Logging_2181/klagomål/A 26212-2026 FSC-klagomål.docx", "A 26212-2026")</f>
        <v/>
      </c>
      <c r="AB64">
        <f>HYPERLINK("https://klasma.github.io/Logging_2181/klagomålsmail/A 26212-2026 FSC-klagomål mail.docx", "A 26212-2026")</f>
        <v/>
      </c>
      <c r="AC64">
        <f>HYPERLINK("https://klasma.github.io/Logging_2181/tillsyn/A 26212-2026 tillsynsbegäran.docx", "A 26212-2026")</f>
        <v/>
      </c>
      <c r="AD64">
        <f>HYPERLINK("https://klasma.github.io/Logging_2181/tillsynsmail/A 26212-2026 tillsynsbegäran mail.docx", "A 26212-2026")</f>
        <v/>
      </c>
    </row>
    <row r="65" ht="15" customHeight="1">
      <c r="A65" t="inlineStr">
        <is>
          <t>A 27207-2026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46188</v>
      </c>
      <c r="E65" s="1" t="n">
        <v>46321</v>
      </c>
      <c r="F65" t="inlineStr">
        <is>
          <t>GÄVLEBORGS LÄN</t>
        </is>
      </c>
      <c r="G65" t="inlineStr">
        <is>
          <t>SANDVIKEN</t>
        </is>
      </c>
      <c r="H65" t="inlineStr">
        <is>
          <t>Kommuner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Kungsfågel</t>
        </is>
      </c>
      <c r="W65">
        <f>HYPERLINK("https://klasma.github.io/Logging_2181/artfynd/A 27207-2026 artfynd.xlsx", "A 27207-2026")</f>
        <v/>
      </c>
      <c r="X65">
        <f>HYPERLINK("https://klasma.github.io/Logging_2181/kartor/A 27207-2026 karta.png", "A 27207-2026")</f>
        <v/>
      </c>
      <c r="Y65">
        <f>HYPERLINK("https://klasma.github.io/Logging_2181/kartor_geotiff/A 27207-2026 georefererad karta.tif", "A 27207-2026")</f>
        <v/>
      </c>
      <c r="AA65">
        <f>HYPERLINK("https://klasma.github.io/Logging_2181/klagomål/A 27207-2026 FSC-klagomål.docx", "A 27207-2026")</f>
        <v/>
      </c>
      <c r="AB65">
        <f>HYPERLINK("https://klasma.github.io/Logging_2181/klagomålsmail/A 27207-2026 FSC-klagomål mail.docx", "A 27207-2026")</f>
        <v/>
      </c>
      <c r="AC65">
        <f>HYPERLINK("https://klasma.github.io/Logging_2181/tillsyn/A 27207-2026 tillsynsbegäran.docx", "A 27207-2026")</f>
        <v/>
      </c>
      <c r="AD65">
        <f>HYPERLINK("https://klasma.github.io/Logging_2181/tillsynsmail/A 27207-2026 tillsynsbegäran mail.docx", "A 27207-2026")</f>
        <v/>
      </c>
    </row>
    <row r="66" ht="15" customHeight="1">
      <c r="A66" t="inlineStr">
        <is>
          <t>A 25479-2023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46321</v>
      </c>
      <c r="F66" t="inlineStr">
        <is>
          <t>GÄVLEBORGS LÄN</t>
        </is>
      </c>
      <c r="G66" t="inlineStr">
        <is>
          <t>SANDVIKEN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Grönpyrola</t>
        </is>
      </c>
      <c r="W66">
        <f>HYPERLINK("https://klasma.github.io/Logging_2181/artfynd/A 25479-2023 artfynd.xlsx", "A 25479-2023")</f>
        <v/>
      </c>
      <c r="X66">
        <f>HYPERLINK("https://klasma.github.io/Logging_2181/kartor/A 25479-2023 karta.png", "A 25479-2023")</f>
        <v/>
      </c>
      <c r="Y66">
        <f>HYPERLINK("https://klasma.github.io/Logging_2181/kartor_geotiff/A 25479-2023 georefererad karta.tif", "A 25479-2023")</f>
        <v/>
      </c>
      <c r="AA66">
        <f>HYPERLINK("https://klasma.github.io/Logging_2181/klagomål/A 25479-2023 FSC-klagomål.docx", "A 25479-2023")</f>
        <v/>
      </c>
      <c r="AB66">
        <f>HYPERLINK("https://klasma.github.io/Logging_2181/klagomålsmail/A 25479-2023 FSC-klagomål mail.docx", "A 25479-2023")</f>
        <v/>
      </c>
      <c r="AC66">
        <f>HYPERLINK("https://klasma.github.io/Logging_2181/tillsyn/A 25479-2023 tillsynsbegäran.docx", "A 25479-2023")</f>
        <v/>
      </c>
      <c r="AD66">
        <f>HYPERLINK("https://klasma.github.io/Logging_2181/tillsynsmail/A 25479-2023 tillsynsbegäran mail.docx", "A 25479-2023")</f>
        <v/>
      </c>
    </row>
    <row r="67" ht="15" customHeight="1">
      <c r="A67" t="inlineStr">
        <is>
          <t>A 57934-2025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46321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Grönsiska</t>
        </is>
      </c>
      <c r="W67">
        <f>HYPERLINK("https://klasma.github.io/Logging_2181/artfynd/A 57934-2025 artfynd.xlsx", "A 57934-2025")</f>
        <v/>
      </c>
      <c r="X67">
        <f>HYPERLINK("https://klasma.github.io/Logging_2181/kartor/A 57934-2025 karta.png", "A 57934-2025")</f>
        <v/>
      </c>
      <c r="Y67">
        <f>HYPERLINK("https://klasma.github.io/Logging_2181/kartor_geotiff/A 57934-2025 georefererad karta.tif", "A 57934-2025")</f>
        <v/>
      </c>
      <c r="AA67">
        <f>HYPERLINK("https://klasma.github.io/Logging_2181/klagomål/A 57934-2025 FSC-klagomål.docx", "A 57934-2025")</f>
        <v/>
      </c>
      <c r="AB67">
        <f>HYPERLINK("https://klasma.github.io/Logging_2181/klagomålsmail/A 57934-2025 FSC-klagomål mail.docx", "A 57934-2025")</f>
        <v/>
      </c>
      <c r="AC67">
        <f>HYPERLINK("https://klasma.github.io/Logging_2181/tillsyn/A 57934-2025 tillsynsbegäran.docx", "A 57934-2025")</f>
        <v/>
      </c>
      <c r="AD67">
        <f>HYPERLINK("https://klasma.github.io/Logging_2181/tillsynsmail/A 57934-2025 tillsynsbegäran mail.docx", "A 57934-2025")</f>
        <v/>
      </c>
    </row>
    <row r="68" ht="15" customHeight="1">
      <c r="A68" t="inlineStr">
        <is>
          <t>A 23289-2024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46321</v>
      </c>
      <c r="F68" t="inlineStr">
        <is>
          <t>GÄVLEBORGS LÄN</t>
        </is>
      </c>
      <c r="G68" t="inlineStr">
        <is>
          <t>SANDVIKEN</t>
        </is>
      </c>
      <c r="H68" t="inlineStr">
        <is>
          <t>Kyrkan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Skogsödla</t>
        </is>
      </c>
      <c r="W68">
        <f>HYPERLINK("https://klasma.github.io/Logging_2181/artfynd/A 23289-2024 artfynd.xlsx", "A 23289-2024")</f>
        <v/>
      </c>
      <c r="X68">
        <f>HYPERLINK("https://klasma.github.io/Logging_2181/kartor/A 23289-2024 karta.png", "A 23289-2024")</f>
        <v/>
      </c>
      <c r="Y68">
        <f>HYPERLINK("https://klasma.github.io/Logging_2181/kartor_geotiff/A 23289-2024 georefererad karta.tif", "A 23289-2024")</f>
        <v/>
      </c>
      <c r="AA68">
        <f>HYPERLINK("https://klasma.github.io/Logging_2181/klagomål/A 23289-2024 FSC-klagomål.docx", "A 23289-2024")</f>
        <v/>
      </c>
      <c r="AB68">
        <f>HYPERLINK("https://klasma.github.io/Logging_2181/klagomålsmail/A 23289-2024 FSC-klagomål mail.docx", "A 23289-2024")</f>
        <v/>
      </c>
      <c r="AC68">
        <f>HYPERLINK("https://klasma.github.io/Logging_2181/tillsyn/A 23289-2024 tillsynsbegäran.docx", "A 23289-2024")</f>
        <v/>
      </c>
      <c r="AD68">
        <f>HYPERLINK("https://klasma.github.io/Logging_2181/tillsynsmail/A 23289-2024 tillsynsbegäran mail.docx", "A 23289-2024")</f>
        <v/>
      </c>
    </row>
    <row r="69" ht="15" customHeight="1">
      <c r="A69" t="inlineStr">
        <is>
          <t>A 4384-2023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44955</v>
      </c>
      <c r="E69" s="1" t="n">
        <v>46321</v>
      </c>
      <c r="F69" t="inlineStr">
        <is>
          <t>GÄVLEBORGS LÄN</t>
        </is>
      </c>
      <c r="G69" t="inlineStr">
        <is>
          <t>SANDVIKEN</t>
        </is>
      </c>
      <c r="I69" t="n">
        <v>1.4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Sångsvan</t>
        </is>
      </c>
      <c r="W69">
        <f>HYPERLINK("https://klasma.github.io/Logging_2181/artfynd/A 4384-2023 artfynd.xlsx", "A 4384-2023")</f>
        <v/>
      </c>
      <c r="X69">
        <f>HYPERLINK("https://klasma.github.io/Logging_2181/kartor/A 4384-2023 karta.png", "A 4384-2023")</f>
        <v/>
      </c>
      <c r="Y69">
        <f>HYPERLINK("https://klasma.github.io/Logging_2181/kartor_geotiff/A 4384-2023 georefererad karta.tif", "A 4384-2023")</f>
        <v/>
      </c>
      <c r="AA69">
        <f>HYPERLINK("https://klasma.github.io/Logging_2181/klagomål/A 4384-2023 FSC-klagomål.docx", "A 4384-2023")</f>
        <v/>
      </c>
      <c r="AB69">
        <f>HYPERLINK("https://klasma.github.io/Logging_2181/klagomålsmail/A 4384-2023 FSC-klagomål mail.docx", "A 4384-2023")</f>
        <v/>
      </c>
      <c r="AC69">
        <f>HYPERLINK("https://klasma.github.io/Logging_2181/tillsyn/A 4384-2023 tillsynsbegäran.docx", "A 4384-2023")</f>
        <v/>
      </c>
      <c r="AD69">
        <f>HYPERLINK("https://klasma.github.io/Logging_2181/tillsynsmail/A 4384-2023 tillsynsbegäran mail.docx", "A 4384-2023")</f>
        <v/>
      </c>
      <c r="AE69">
        <f>HYPERLINK("https://klasma.github.io/Logging_2181/fåglar/A 4384-2023 prioriterade fågelarter.docx", "A 4384-2023")</f>
        <v/>
      </c>
    </row>
    <row r="70" ht="15" customHeight="1">
      <c r="A70" t="inlineStr">
        <is>
          <t>A 31311-2026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46219</v>
      </c>
      <c r="E70" s="1" t="n">
        <v>46321</v>
      </c>
      <c r="F70" t="inlineStr">
        <is>
          <t>GÄVLEBORGS LÄN</t>
        </is>
      </c>
      <c r="G70" t="inlineStr">
        <is>
          <t>SANDVIKEN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Vanlig padda</t>
        </is>
      </c>
      <c r="W70">
        <f>HYPERLINK("https://klasma.github.io/Logging_2181/artfynd/A 31311-2026 artfynd.xlsx", "A 31311-2026")</f>
        <v/>
      </c>
      <c r="X70">
        <f>HYPERLINK("https://klasma.github.io/Logging_2181/kartor/A 31311-2026 karta.png", "A 31311-2026")</f>
        <v/>
      </c>
      <c r="Y70">
        <f>HYPERLINK("https://klasma.github.io/Logging_2181/kartor_geotiff/A 31311-2026 georefererad karta.tif", "A 31311-2026")</f>
        <v/>
      </c>
      <c r="AA70">
        <f>HYPERLINK("https://klasma.github.io/Logging_2181/klagomål/A 31311-2026 FSC-klagomål.docx", "A 31311-2026")</f>
        <v/>
      </c>
      <c r="AB70">
        <f>HYPERLINK("https://klasma.github.io/Logging_2181/klagomålsmail/A 31311-2026 FSC-klagomål mail.docx", "A 31311-2026")</f>
        <v/>
      </c>
      <c r="AC70">
        <f>HYPERLINK("https://klasma.github.io/Logging_2181/tillsyn/A 31311-2026 tillsynsbegäran.docx", "A 31311-2026")</f>
        <v/>
      </c>
      <c r="AD70">
        <f>HYPERLINK("https://klasma.github.io/Logging_2181/tillsynsmail/A 31311-2026 tillsynsbegäran mail.docx", "A 31311-2026")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46321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38109-2026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46281</v>
      </c>
      <c r="E72" s="1" t="n">
        <v>46321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11.9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Linmåra/småsnärjmåra</t>
        </is>
      </c>
      <c r="W72">
        <f>HYPERLINK("https://klasma.github.io/Logging_2181/artfynd/A 38109-2026 artfynd.xlsx", "A 38109-2026")</f>
        <v/>
      </c>
      <c r="X72">
        <f>HYPERLINK("https://klasma.github.io/Logging_2181/kartor/A 38109-2026 karta.png", "A 38109-2026")</f>
        <v/>
      </c>
      <c r="Y72">
        <f>HYPERLINK("https://klasma.github.io/Logging_2181/kartor_geotiff/A 38109-2026 georefererad karta.tif", "A 38109-2026")</f>
        <v/>
      </c>
      <c r="AA72">
        <f>HYPERLINK("https://klasma.github.io/Logging_2181/klagomål/A 38109-2026 FSC-klagomål.docx", "A 38109-2026")</f>
        <v/>
      </c>
      <c r="AB72">
        <f>HYPERLINK("https://klasma.github.io/Logging_2181/klagomålsmail/A 38109-2026 FSC-klagomål mail.docx", "A 38109-2026")</f>
        <v/>
      </c>
      <c r="AC72">
        <f>HYPERLINK("https://klasma.github.io/Logging_2181/tillsyn/A 38109-2026 tillsynsbegäran.docx", "A 38109-2026")</f>
        <v/>
      </c>
      <c r="AD72">
        <f>HYPERLINK("https://klasma.github.io/Logging_2181/tillsynsmail/A 38109-2026 tillsynsbegäran mail.docx", "A 38109-2026")</f>
        <v/>
      </c>
    </row>
    <row r="73" ht="15" customHeight="1">
      <c r="A73" t="inlineStr">
        <is>
          <t>A 32533-2026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46239</v>
      </c>
      <c r="E73" s="1" t="n">
        <v>46321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3.1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Järnsparv</t>
        </is>
      </c>
      <c r="W73">
        <f>HYPERLINK("https://klasma.github.io/Logging_2181/artfynd/A 32533-2026 artfynd.xlsx", "A 32533-2026")</f>
        <v/>
      </c>
      <c r="X73">
        <f>HYPERLINK("https://klasma.github.io/Logging_2181/kartor/A 32533-2026 karta.png", "A 32533-2026")</f>
        <v/>
      </c>
      <c r="Y73">
        <f>HYPERLINK("https://klasma.github.io/Logging_2181/kartor_geotiff/A 32533-2026 georefererad karta.tif", "A 32533-2026")</f>
        <v/>
      </c>
      <c r="AA73">
        <f>HYPERLINK("https://klasma.github.io/Logging_2181/klagomål/A 32533-2026 FSC-klagomål.docx", "A 32533-2026")</f>
        <v/>
      </c>
      <c r="AB73">
        <f>HYPERLINK("https://klasma.github.io/Logging_2181/klagomålsmail/A 32533-2026 FSC-klagomål mail.docx", "A 32533-2026")</f>
        <v/>
      </c>
      <c r="AC73">
        <f>HYPERLINK("https://klasma.github.io/Logging_2181/tillsyn/A 32533-2026 tillsynsbegäran.docx", "A 32533-2026")</f>
        <v/>
      </c>
      <c r="AD73">
        <f>HYPERLINK("https://klasma.github.io/Logging_2181/tillsynsmail/A 32533-2026 tillsynsbegäran mail.docx", "A 32533-2026")</f>
        <v/>
      </c>
      <c r="AE73">
        <f>HYPERLINK("https://klasma.github.io/Logging_2181/fåglar/A 32533-2026 prioriterade fågelarter.docx", "A 32533-2026")</f>
        <v/>
      </c>
    </row>
    <row r="74" ht="15" customHeight="1">
      <c r="A74" t="inlineStr">
        <is>
          <t>A 32539-2026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46239</v>
      </c>
      <c r="E74" s="1" t="n">
        <v>46321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32539-2026 artfynd.xlsx", "A 32539-2026")</f>
        <v/>
      </c>
      <c r="X74">
        <f>HYPERLINK("https://klasma.github.io/Logging_2181/kartor/A 32539-2026 karta.png", "A 32539-2026")</f>
        <v/>
      </c>
      <c r="Y74">
        <f>HYPERLINK("https://klasma.github.io/Logging_2181/kartor_geotiff/A 32539-2026 georefererad karta.tif", "A 32539-2026")</f>
        <v/>
      </c>
      <c r="AA74">
        <f>HYPERLINK("https://klasma.github.io/Logging_2181/klagomål/A 32539-2026 FSC-klagomål.docx", "A 32539-2026")</f>
        <v/>
      </c>
      <c r="AB74">
        <f>HYPERLINK("https://klasma.github.io/Logging_2181/klagomålsmail/A 32539-2026 FSC-klagomål mail.docx", "A 32539-2026")</f>
        <v/>
      </c>
      <c r="AC74">
        <f>HYPERLINK("https://klasma.github.io/Logging_2181/tillsyn/A 32539-2026 tillsynsbegäran.docx", "A 32539-2026")</f>
        <v/>
      </c>
      <c r="AD74">
        <f>HYPERLINK("https://klasma.github.io/Logging_2181/tillsynsmail/A 32539-2026 tillsynsbegäran mail.docx", "A 32539-2026")</f>
        <v/>
      </c>
    </row>
    <row r="75" ht="15" customHeight="1">
      <c r="A75" t="inlineStr">
        <is>
          <t>A 32544-2026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46239</v>
      </c>
      <c r="E75" s="1" t="n">
        <v>46321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3.8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HYPERLINK("https://klasma.github.io/Logging_2181/artfynd/A 32544-2026 artfynd.xlsx", "A 32544-2026")</f>
        <v/>
      </c>
      <c r="X75">
        <f>HYPERLINK("https://klasma.github.io/Logging_2181/kartor/A 32544-2026 karta.png", "A 32544-2026")</f>
        <v/>
      </c>
      <c r="Y75">
        <f>HYPERLINK("https://klasma.github.io/Logging_2181/kartor_geotiff/A 32544-2026 georefererad karta.tif", "A 32544-2026")</f>
        <v/>
      </c>
      <c r="AA75">
        <f>HYPERLINK("https://klasma.github.io/Logging_2181/klagomål/A 32544-2026 FSC-klagomål.docx", "A 32544-2026")</f>
        <v/>
      </c>
      <c r="AB75">
        <f>HYPERLINK("https://klasma.github.io/Logging_2181/klagomålsmail/A 32544-2026 FSC-klagomål mail.docx", "A 32544-2026")</f>
        <v/>
      </c>
      <c r="AC75">
        <f>HYPERLINK("https://klasma.github.io/Logging_2181/tillsyn/A 32544-2026 tillsynsbegäran.docx", "A 32544-2026")</f>
        <v/>
      </c>
      <c r="AD75">
        <f>HYPERLINK("https://klasma.github.io/Logging_2181/tillsynsmail/A 32544-2026 tillsynsbegäran mail.docx", "A 32544-2026")</f>
        <v/>
      </c>
    </row>
    <row r="76" ht="15" customHeight="1">
      <c r="A76" t="inlineStr">
        <is>
          <t>A 1083-2026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46321</v>
      </c>
      <c r="F76" t="inlineStr">
        <is>
          <t>GÄVLEBORGS LÄN</t>
        </is>
      </c>
      <c r="G76" t="inlineStr">
        <is>
          <t>SANDVIKEN</t>
        </is>
      </c>
      <c r="I76" t="n">
        <v>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HYPERLINK("https://klasma.github.io/Logging_2181/artfynd/A 1083-2026 artfynd.xlsx", "A 1083-2026")</f>
        <v/>
      </c>
      <c r="X76">
        <f>HYPERLINK("https://klasma.github.io/Logging_2181/kartor/A 1083-2026 karta.png", "A 1083-2026")</f>
        <v/>
      </c>
      <c r="Y76">
        <f>HYPERLINK("https://klasma.github.io/Logging_2181/kartor_geotiff/A 1083-2026 georefererad karta.tif", "A 1083-2026")</f>
        <v/>
      </c>
      <c r="AA76">
        <f>HYPERLINK("https://klasma.github.io/Logging_2181/klagomål/A 1083-2026 FSC-klagomål.docx", "A 1083-2026")</f>
        <v/>
      </c>
      <c r="AB76">
        <f>HYPERLINK("https://klasma.github.io/Logging_2181/klagomålsmail/A 1083-2026 FSC-klagomål mail.docx", "A 1083-2026")</f>
        <v/>
      </c>
      <c r="AC76">
        <f>HYPERLINK("https://klasma.github.io/Logging_2181/tillsyn/A 1083-2026 tillsynsbegäran.docx", "A 1083-2026")</f>
        <v/>
      </c>
      <c r="AD76">
        <f>HYPERLINK("https://klasma.github.io/Logging_2181/tillsynsmail/A 1083-2026 tillsynsbegäran mail.docx", "A 1083-2026")</f>
        <v/>
      </c>
    </row>
    <row r="77" ht="15" customHeight="1">
      <c r="A77" t="inlineStr">
        <is>
          <t>A 25323-2025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46321</v>
      </c>
      <c r="F77" t="inlineStr">
        <is>
          <t>GÄVLEBORGS LÄN</t>
        </is>
      </c>
      <c r="G77" t="inlineStr">
        <is>
          <t>SANDVIKEN</t>
        </is>
      </c>
      <c r="H77" t="inlineStr">
        <is>
          <t>Sveaskog</t>
        </is>
      </c>
      <c r="I77" t="n">
        <v>3.8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Plattlummer</t>
        </is>
      </c>
      <c r="W77">
        <f>HYPERLINK("https://klasma.github.io/Logging_2181/artfynd/A 25323-2025 artfynd.xlsx", "A 25323-2025")</f>
        <v/>
      </c>
      <c r="X77">
        <f>HYPERLINK("https://klasma.github.io/Logging_2181/kartor/A 25323-2025 karta.png", "A 25323-2025")</f>
        <v/>
      </c>
      <c r="Y77">
        <f>HYPERLINK("https://klasma.github.io/Logging_2181/kartor_geotiff/A 25323-2025 georefererad karta.tif", "A 25323-2025")</f>
        <v/>
      </c>
      <c r="AA77">
        <f>HYPERLINK("https://klasma.github.io/Logging_2181/klagomål/A 25323-2025 FSC-klagomål.docx", "A 25323-2025")</f>
        <v/>
      </c>
      <c r="AB77">
        <f>HYPERLINK("https://klasma.github.io/Logging_2181/klagomålsmail/A 25323-2025 FSC-klagomål mail.docx", "A 25323-2025")</f>
        <v/>
      </c>
      <c r="AC77">
        <f>HYPERLINK("https://klasma.github.io/Logging_2181/tillsyn/A 25323-2025 tillsynsbegäran.docx", "A 25323-2025")</f>
        <v/>
      </c>
      <c r="AD77">
        <f>HYPERLINK("https://klasma.github.io/Logging_2181/tillsynsmail/A 25323-2025 tillsynsbegäran mail.docx", "A 25323-2025")</f>
        <v/>
      </c>
    </row>
    <row r="78" ht="15" customHeight="1">
      <c r="A78" t="inlineStr">
        <is>
          <t>A 25314-2025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46321</v>
      </c>
      <c r="F78" t="inlineStr">
        <is>
          <t>GÄVLEBORGS LÄN</t>
        </is>
      </c>
      <c r="G78" t="inlineStr">
        <is>
          <t>SANDVIKEN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HYPERLINK("https://klasma.github.io/Logging_2181/artfynd/A 25314-2025 artfynd.xlsx", "A 25314-2025")</f>
        <v/>
      </c>
      <c r="X78">
        <f>HYPERLINK("https://klasma.github.io/Logging_2181/kartor/A 25314-2025 karta.png", "A 25314-2025")</f>
        <v/>
      </c>
      <c r="Y78">
        <f>HYPERLINK("https://klasma.github.io/Logging_2181/kartor_geotiff/A 25314-2025 georefererad karta.tif", "A 25314-2025")</f>
        <v/>
      </c>
      <c r="AA78">
        <f>HYPERLINK("https://klasma.github.io/Logging_2181/klagomål/A 25314-2025 FSC-klagomål.docx", "A 25314-2025")</f>
        <v/>
      </c>
      <c r="AB78">
        <f>HYPERLINK("https://klasma.github.io/Logging_2181/klagomålsmail/A 25314-2025 FSC-klagomål mail.docx", "A 25314-2025")</f>
        <v/>
      </c>
      <c r="AC78">
        <f>HYPERLINK("https://klasma.github.io/Logging_2181/tillsyn/A 25314-2025 tillsynsbegäran.docx", "A 25314-2025")</f>
        <v/>
      </c>
      <c r="AD78">
        <f>HYPERLINK("https://klasma.github.io/Logging_2181/tillsynsmail/A 25314-2025 tillsynsbegäran mail.docx", "A 25314-2025")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46321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23225-2026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46162</v>
      </c>
      <c r="E80" s="1" t="n">
        <v>46321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1.3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Rödvingetrast</t>
        </is>
      </c>
      <c r="W80">
        <f>HYPERLINK("https://klasma.github.io/Logging_2181/artfynd/A 23225-2026 artfynd.xlsx", "A 23225-2026")</f>
        <v/>
      </c>
      <c r="X80">
        <f>HYPERLINK("https://klasma.github.io/Logging_2181/kartor/A 23225-2026 karta.png", "A 23225-2026")</f>
        <v/>
      </c>
      <c r="Y80">
        <f>HYPERLINK("https://klasma.github.io/Logging_2181/kartor_geotiff/A 23225-2026 georefererad karta.tif", "A 23225-2026")</f>
        <v/>
      </c>
      <c r="AA80">
        <f>HYPERLINK("https://klasma.github.io/Logging_2181/klagomål/A 23225-2026 FSC-klagomål.docx", "A 23225-2026")</f>
        <v/>
      </c>
      <c r="AB80">
        <f>HYPERLINK("https://klasma.github.io/Logging_2181/klagomålsmail/A 23225-2026 FSC-klagomål mail.docx", "A 23225-2026")</f>
        <v/>
      </c>
      <c r="AC80">
        <f>HYPERLINK("https://klasma.github.io/Logging_2181/tillsyn/A 23225-2026 tillsynsbegäran.docx", "A 23225-2026")</f>
        <v/>
      </c>
      <c r="AD80">
        <f>HYPERLINK("https://klasma.github.io/Logging_2181/tillsynsmail/A 23225-2026 tillsynsbegäran mail.docx", "A 23225-2026")</f>
        <v/>
      </c>
      <c r="AE80">
        <f>HYPERLINK("https://klasma.github.io/Logging_2181/fåglar/A 23225-2026 prioriterade fågelarter.docx", "A 23225-2026")</f>
        <v/>
      </c>
    </row>
    <row r="81" ht="15" customHeight="1">
      <c r="A81" t="inlineStr">
        <is>
          <t>A 9267-2026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46069</v>
      </c>
      <c r="E81" s="1" t="n">
        <v>46321</v>
      </c>
      <c r="F81" t="inlineStr">
        <is>
          <t>GÄVLEBORGS LÄN</t>
        </is>
      </c>
      <c r="G81" t="inlineStr">
        <is>
          <t>SANDVIKEN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Gullpudra</t>
        </is>
      </c>
      <c r="W81">
        <f>HYPERLINK("https://klasma.github.io/Logging_2181/artfynd/A 9267-2026 artfynd.xlsx", "A 9267-2026")</f>
        <v/>
      </c>
      <c r="X81">
        <f>HYPERLINK("https://klasma.github.io/Logging_2181/kartor/A 9267-2026 karta.png", "A 9267-2026")</f>
        <v/>
      </c>
      <c r="Y81">
        <f>HYPERLINK("https://klasma.github.io/Logging_2181/kartor_geotiff/A 9267-2026 georefererad karta.tif", "A 9267-2026")</f>
        <v/>
      </c>
      <c r="AA81">
        <f>HYPERLINK("https://klasma.github.io/Logging_2181/klagomål/A 9267-2026 FSC-klagomål.docx", "A 9267-2026")</f>
        <v/>
      </c>
      <c r="AB81">
        <f>HYPERLINK("https://klasma.github.io/Logging_2181/klagomålsmail/A 9267-2026 FSC-klagomål mail.docx", "A 9267-2026")</f>
        <v/>
      </c>
      <c r="AC81">
        <f>HYPERLINK("https://klasma.github.io/Logging_2181/tillsyn/A 9267-2026 tillsynsbegäran.docx", "A 9267-2026")</f>
        <v/>
      </c>
      <c r="AD81">
        <f>HYPERLINK("https://klasma.github.io/Logging_2181/tillsynsmail/A 9267-2026 tillsynsbegäran mail.docx", "A 9267-2026")</f>
        <v/>
      </c>
    </row>
    <row r="82" ht="15" customHeight="1">
      <c r="A82" t="inlineStr">
        <is>
          <t>A 11784-2026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46321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HYPERLINK("https://klasma.github.io/Logging_2181/artfynd/A 11784-2026 artfynd.xlsx", "A 11784-2026")</f>
        <v/>
      </c>
      <c r="X82">
        <f>HYPERLINK("https://klasma.github.io/Logging_2181/kartor/A 11784-2026 karta.png", "A 11784-2026")</f>
        <v/>
      </c>
      <c r="Y82">
        <f>HYPERLINK("https://klasma.github.io/Logging_2181/kartor_geotiff/A 11784-2026 georefererad karta.tif", "A 11784-2026")</f>
        <v/>
      </c>
      <c r="AA82">
        <f>HYPERLINK("https://klasma.github.io/Logging_2181/klagomål/A 11784-2026 FSC-klagomål.docx", "A 11784-2026")</f>
        <v/>
      </c>
      <c r="AB82">
        <f>HYPERLINK("https://klasma.github.io/Logging_2181/klagomålsmail/A 11784-2026 FSC-klagomål mail.docx", "A 11784-2026")</f>
        <v/>
      </c>
      <c r="AC82">
        <f>HYPERLINK("https://klasma.github.io/Logging_2181/tillsyn/A 11784-2026 tillsynsbegäran.docx", "A 11784-2026")</f>
        <v/>
      </c>
      <c r="AD82">
        <f>HYPERLINK("https://klasma.github.io/Logging_2181/tillsynsmail/A 11784-2026 tillsynsbegäran mail.docx", "A 11784-2026")</f>
        <v/>
      </c>
    </row>
    <row r="83" ht="15" customHeight="1">
      <c r="A83" t="inlineStr">
        <is>
          <t>A 34406-2026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46321</v>
      </c>
      <c r="F83" t="inlineStr">
        <is>
          <t>GÄVLEBORGS LÄN</t>
        </is>
      </c>
      <c r="G83" t="inlineStr">
        <is>
          <t>SANDVIKEN</t>
        </is>
      </c>
      <c r="I83" t="n">
        <v>15.1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Loppstarr</t>
        </is>
      </c>
      <c r="W83">
        <f>HYPERLINK("https://klasma.github.io/Logging_2181/artfynd/A 34406-2026 artfynd.xlsx", "A 34406-2026")</f>
        <v/>
      </c>
      <c r="X83">
        <f>HYPERLINK("https://klasma.github.io/Logging_2181/kartor/A 34406-2026 karta.png", "A 34406-2026")</f>
        <v/>
      </c>
      <c r="Y83">
        <f>HYPERLINK("https://klasma.github.io/Logging_2181/kartor_geotiff/A 34406-2026 georefererad karta.tif", "A 34406-2026")</f>
        <v/>
      </c>
      <c r="AA83">
        <f>HYPERLINK("https://klasma.github.io/Logging_2181/klagomål/A 34406-2026 FSC-klagomål.docx", "A 34406-2026")</f>
        <v/>
      </c>
      <c r="AB83">
        <f>HYPERLINK("https://klasma.github.io/Logging_2181/klagomålsmail/A 34406-2026 FSC-klagomål mail.docx", "A 34406-2026")</f>
        <v/>
      </c>
      <c r="AC83">
        <f>HYPERLINK("https://klasma.github.io/Logging_2181/tillsyn/A 34406-2026 tillsynsbegäran.docx", "A 34406-2026")</f>
        <v/>
      </c>
      <c r="AD83">
        <f>HYPERLINK("https://klasma.github.io/Logging_2181/tillsynsmail/A 34406-2026 tillsynsbegäran mail.docx", "A 34406-2026")</f>
        <v/>
      </c>
    </row>
    <row r="84" ht="15" customHeight="1">
      <c r="A84" t="inlineStr">
        <is>
          <t>A 13645-2026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46321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HYPERLINK("https://klasma.github.io/Logging_2181/artfynd/A 13645-2026 artfynd.xlsx", "A 13645-2026")</f>
        <v/>
      </c>
      <c r="X84">
        <f>HYPERLINK("https://klasma.github.io/Logging_2181/kartor/A 13645-2026 karta.png", "A 13645-2026")</f>
        <v/>
      </c>
      <c r="Y84">
        <f>HYPERLINK("https://klasma.github.io/Logging_2181/kartor_geotiff/A 13645-2026 georefererad karta.tif", "A 13645-2026")</f>
        <v/>
      </c>
      <c r="AA84">
        <f>HYPERLINK("https://klasma.github.io/Logging_2181/klagomål/A 13645-2026 FSC-klagomål.docx", "A 13645-2026")</f>
        <v/>
      </c>
      <c r="AB84">
        <f>HYPERLINK("https://klasma.github.io/Logging_2181/klagomålsmail/A 13645-2026 FSC-klagomål mail.docx", "A 13645-2026")</f>
        <v/>
      </c>
      <c r="AC84">
        <f>HYPERLINK("https://klasma.github.io/Logging_2181/tillsyn/A 13645-2026 tillsynsbegäran.docx", "A 13645-2026")</f>
        <v/>
      </c>
      <c r="AD84">
        <f>HYPERLINK("https://klasma.github.io/Logging_2181/tillsynsmail/A 13645-2026 tillsynsbegäran mail.docx", "A 13645-2026")</f>
        <v/>
      </c>
      <c r="AE84">
        <f>HYPERLINK("https://klasma.github.io/Logging_2181/fåglar/A 13645-2026 prioriterade fågelarter.docx", "A 13645-2026")</f>
        <v/>
      </c>
    </row>
    <row r="85" ht="15" customHeight="1">
      <c r="A85" t="inlineStr">
        <is>
          <t>A 15121-2026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46321</v>
      </c>
      <c r="F85" t="inlineStr">
        <is>
          <t>GÄVLEBORGS LÄN</t>
        </is>
      </c>
      <c r="G85" t="inlineStr">
        <is>
          <t>SANDVIKEN</t>
        </is>
      </c>
      <c r="I85" t="n">
        <v>2.7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Brandticka</t>
        </is>
      </c>
      <c r="W85">
        <f>HYPERLINK("https://klasma.github.io/Logging_2181/artfynd/A 15121-2026 artfynd.xlsx", "A 15121-2026")</f>
        <v/>
      </c>
      <c r="X85">
        <f>HYPERLINK("https://klasma.github.io/Logging_2181/kartor/A 15121-2026 karta.png", "A 15121-2026")</f>
        <v/>
      </c>
      <c r="Y85">
        <f>HYPERLINK("https://klasma.github.io/Logging_2181/kartor_geotiff/A 15121-2026 georefererad karta.tif", "A 15121-2026")</f>
        <v/>
      </c>
      <c r="AA85">
        <f>HYPERLINK("https://klasma.github.io/Logging_2181/klagomål/A 15121-2026 FSC-klagomål.docx", "A 15121-2026")</f>
        <v/>
      </c>
      <c r="AB85">
        <f>HYPERLINK("https://klasma.github.io/Logging_2181/klagomålsmail/A 15121-2026 FSC-klagomål mail.docx", "A 15121-2026")</f>
        <v/>
      </c>
      <c r="AC85">
        <f>HYPERLINK("https://klasma.github.io/Logging_2181/tillsyn/A 15121-2026 tillsynsbegäran.docx", "A 15121-2026")</f>
        <v/>
      </c>
      <c r="AD85">
        <f>HYPERLINK("https://klasma.github.io/Logging_2181/tillsynsmail/A 15121-2026 tillsynsbegäran mail.docx", "A 15121-2026")</f>
        <v/>
      </c>
    </row>
    <row r="86" ht="15" customHeight="1">
      <c r="A86" t="inlineStr">
        <is>
          <t>A 14835-2026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46104</v>
      </c>
      <c r="E86" s="1" t="n">
        <v>46321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2.5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Höstlåsbräken</t>
        </is>
      </c>
      <c r="W86">
        <f>HYPERLINK("https://klasma.github.io/Logging_2181/artfynd/A 14835-2026 artfynd.xlsx", "A 14835-2026")</f>
        <v/>
      </c>
      <c r="X86">
        <f>HYPERLINK("https://klasma.github.io/Logging_2181/kartor/A 14835-2026 karta.png", "A 14835-2026")</f>
        <v/>
      </c>
      <c r="Y86">
        <f>HYPERLINK("https://klasma.github.io/Logging_2181/kartor_geotiff/A 14835-2026 georefererad karta.tif", "A 14835-2026")</f>
        <v/>
      </c>
      <c r="AA86">
        <f>HYPERLINK("https://klasma.github.io/Logging_2181/klagomål/A 14835-2026 FSC-klagomål.docx", "A 14835-2026")</f>
        <v/>
      </c>
      <c r="AB86">
        <f>HYPERLINK("https://klasma.github.io/Logging_2181/klagomålsmail/A 14835-2026 FSC-klagomål mail.docx", "A 14835-2026")</f>
        <v/>
      </c>
      <c r="AC86">
        <f>HYPERLINK("https://klasma.github.io/Logging_2181/tillsyn/A 14835-2026 tillsynsbegäran.docx", "A 14835-2026")</f>
        <v/>
      </c>
      <c r="AD86">
        <f>HYPERLINK("https://klasma.github.io/Logging_2181/tillsynsmail/A 14835-2026 tillsynsbegäran mail.docx", "A 14835-2026")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46321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HYPERLINK("https://klasma.github.io/Logging_2181/artfynd/A 42115-2023 artfynd.xlsx", "A 42115-2023")</f>
        <v/>
      </c>
      <c r="X87">
        <f>HYPERLINK("https://klasma.github.io/Logging_2181/kartor/A 42115-2023 karta.png", "A 42115-2023")</f>
        <v/>
      </c>
      <c r="Y87">
        <f>HYPERLINK("https://klasma.github.io/Logging_2181/kartor_geotiff/A 42115-2023 georefererad karta.tif", "A 42115-2023")</f>
        <v/>
      </c>
      <c r="AA87">
        <f>HYPERLINK("https://klasma.github.io/Logging_2181/klagomål/A 42115-2023 FSC-klagomål.docx", "A 42115-2023")</f>
        <v/>
      </c>
      <c r="AB87">
        <f>HYPERLINK("https://klasma.github.io/Logging_2181/klagomålsmail/A 42115-2023 FSC-klagomål mail.docx", "A 42115-2023")</f>
        <v/>
      </c>
      <c r="AC87">
        <f>HYPERLINK("https://klasma.github.io/Logging_2181/tillsyn/A 42115-2023 tillsynsbegäran.docx", "A 42115-2023")</f>
        <v/>
      </c>
      <c r="AD87">
        <f>HYPERLINK("https://klasma.github.io/Logging_2181/tillsynsmail/A 42115-2023 tillsynsbegäran mail.docx", "A 42115-2023")</f>
        <v/>
      </c>
      <c r="AE87">
        <f>HYPERLINK("https://klasma.github.io/Logging_2181/fåglar/A 42115-2023 prioriterade fågelarter.docx", "A 42115-2023")</f>
        <v/>
      </c>
    </row>
    <row r="88" ht="15" customHeight="1">
      <c r="A88" t="inlineStr">
        <is>
          <t>A 41678-2026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46301</v>
      </c>
      <c r="E88" s="1" t="n">
        <v>46321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väst AB</t>
        </is>
      </c>
      <c r="I88" t="n">
        <v>3.4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Fjällig taggsvamp s.str.</t>
        </is>
      </c>
      <c r="W88">
        <f>HYPERLINK("https://klasma.github.io/Logging_2181/artfynd/A 41678-2026 artfynd.xlsx", "A 41678-2026")</f>
        <v/>
      </c>
      <c r="X88">
        <f>HYPERLINK("https://klasma.github.io/Logging_2181/kartor/A 41678-2026 karta.png", "A 41678-2026")</f>
        <v/>
      </c>
      <c r="Y88">
        <f>HYPERLINK("https://klasma.github.io/Logging_2181/kartor_geotiff/A 41678-2026 georefererad karta.tif", "A 41678-2026")</f>
        <v/>
      </c>
      <c r="AA88">
        <f>HYPERLINK("https://klasma.github.io/Logging_2181/klagomål/A 41678-2026 FSC-klagomål.docx", "A 41678-2026")</f>
        <v/>
      </c>
      <c r="AB88">
        <f>HYPERLINK("https://klasma.github.io/Logging_2181/klagomålsmail/A 41678-2026 FSC-klagomål mail.docx", "A 41678-2026")</f>
        <v/>
      </c>
      <c r="AC88">
        <f>HYPERLINK("https://klasma.github.io/Logging_2181/tillsyn/A 41678-2026 tillsynsbegäran.docx", "A 41678-2026")</f>
        <v/>
      </c>
      <c r="AD88">
        <f>HYPERLINK("https://klasma.github.io/Logging_2181/tillsynsmail/A 41678-2026 tillsynsbegäran mail.docx", "A 41678-2026")</f>
        <v/>
      </c>
    </row>
    <row r="89" ht="15" customHeight="1">
      <c r="A89" t="inlineStr">
        <is>
          <t>A 35419-2026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46261</v>
      </c>
      <c r="E89" s="1" t="n">
        <v>46321</v>
      </c>
      <c r="F89" t="inlineStr">
        <is>
          <t>GÄVLEBORGS LÄN</t>
        </is>
      </c>
      <c r="G89" t="inlineStr">
        <is>
          <t>SANDVIKEN</t>
        </is>
      </c>
      <c r="I89" t="n">
        <v>0.9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HYPERLINK("https://klasma.github.io/Logging_2181/artfynd/A 35419-2026 artfynd.xlsx", "A 35419-2026")</f>
        <v/>
      </c>
      <c r="X89">
        <f>HYPERLINK("https://klasma.github.io/Logging_2181/kartor/A 35419-2026 karta.png", "A 35419-2026")</f>
        <v/>
      </c>
      <c r="Y89">
        <f>HYPERLINK("https://klasma.github.io/Logging_2181/kartor_geotiff/A 35419-2026 georefererad karta.tif", "A 35419-2026")</f>
        <v/>
      </c>
      <c r="AA89">
        <f>HYPERLINK("https://klasma.github.io/Logging_2181/klagomål/A 35419-2026 FSC-klagomål.docx", "A 35419-2026")</f>
        <v/>
      </c>
      <c r="AB89">
        <f>HYPERLINK("https://klasma.github.io/Logging_2181/klagomålsmail/A 35419-2026 FSC-klagomål mail.docx", "A 35419-2026")</f>
        <v/>
      </c>
      <c r="AC89">
        <f>HYPERLINK("https://klasma.github.io/Logging_2181/tillsyn/A 35419-2026 tillsynsbegäran.docx", "A 35419-2026")</f>
        <v/>
      </c>
      <c r="AD89">
        <f>HYPERLINK("https://klasma.github.io/Logging_2181/tillsynsmail/A 35419-2026 tillsynsbegäran mail.docx", "A 35419-2026")</f>
        <v/>
      </c>
    </row>
    <row r="90" ht="15" customHeight="1">
      <c r="A90" t="inlineStr">
        <is>
          <t>A 17062-2026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46114</v>
      </c>
      <c r="E90" s="1" t="n">
        <v>46321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Vårärt</t>
        </is>
      </c>
      <c r="W90">
        <f>HYPERLINK("https://klasma.github.io/Logging_2181/artfynd/A 17062-2026 artfynd.xlsx", "A 17062-2026")</f>
        <v/>
      </c>
      <c r="X90">
        <f>HYPERLINK("https://klasma.github.io/Logging_2181/kartor/A 17062-2026 karta.png", "A 17062-2026")</f>
        <v/>
      </c>
      <c r="Y90">
        <f>HYPERLINK("https://klasma.github.io/Logging_2181/kartor_geotiff/A 17062-2026 georefererad karta.tif", "A 17062-2026")</f>
        <v/>
      </c>
      <c r="AA90">
        <f>HYPERLINK("https://klasma.github.io/Logging_2181/klagomål/A 17062-2026 FSC-klagomål.docx", "A 17062-2026")</f>
        <v/>
      </c>
      <c r="AB90">
        <f>HYPERLINK("https://klasma.github.io/Logging_2181/klagomålsmail/A 17062-2026 FSC-klagomål mail.docx", "A 17062-2026")</f>
        <v/>
      </c>
      <c r="AC90">
        <f>HYPERLINK("https://klasma.github.io/Logging_2181/tillsyn/A 17062-2026 tillsynsbegäran.docx", "A 17062-2026")</f>
        <v/>
      </c>
      <c r="AD90">
        <f>HYPERLINK("https://klasma.github.io/Logging_2181/tillsynsmail/A 17062-2026 tillsynsbegäran mail.docx", "A 17062-2026")</f>
        <v/>
      </c>
    </row>
    <row r="91" ht="15" customHeight="1">
      <c r="A91" t="inlineStr">
        <is>
          <t>A 42018-2026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46304</v>
      </c>
      <c r="E91" s="1" t="n">
        <v>46321</v>
      </c>
      <c r="F91" t="inlineStr">
        <is>
          <t>GÄVLEBORGS LÄN</t>
        </is>
      </c>
      <c r="G91" t="inlineStr">
        <is>
          <t>SANDVIKEN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Kransmossa</t>
        </is>
      </c>
      <c r="W91">
        <f>HYPERLINK("https://klasma.github.io/Logging_2181/artfynd/A 42018-2026 artfynd.xlsx", "A 42018-2026")</f>
        <v/>
      </c>
      <c r="X91">
        <f>HYPERLINK("https://klasma.github.io/Logging_2181/kartor/A 42018-2026 karta.png", "A 42018-2026")</f>
        <v/>
      </c>
      <c r="Y91">
        <f>HYPERLINK("https://klasma.github.io/Logging_2181/kartor_geotiff/A 42018-2026 georefererad karta.tif", "A 42018-2026")</f>
        <v/>
      </c>
      <c r="AA91">
        <f>HYPERLINK("https://klasma.github.io/Logging_2181/klagomål/A 42018-2026 FSC-klagomål.docx", "A 42018-2026")</f>
        <v/>
      </c>
      <c r="AB91">
        <f>HYPERLINK("https://klasma.github.io/Logging_2181/klagomålsmail/A 42018-2026 FSC-klagomål mail.docx", "A 42018-2026")</f>
        <v/>
      </c>
      <c r="AC91">
        <f>HYPERLINK("https://klasma.github.io/Logging_2181/tillsyn/A 42018-2026 tillsynsbegäran.docx", "A 42018-2026")</f>
        <v/>
      </c>
      <c r="AD91">
        <f>HYPERLINK("https://klasma.github.io/Logging_2181/tillsynsmail/A 42018-2026 tillsynsbegäran mail.docx", "A 42018-2026")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46321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36417-2025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46321</v>
      </c>
      <c r="F93" t="inlineStr">
        <is>
          <t>GÄVLEBORGS LÄN</t>
        </is>
      </c>
      <c r="G93" t="inlineStr">
        <is>
          <t>SANDVIKEN</t>
        </is>
      </c>
      <c r="H93" t="inlineStr">
        <is>
          <t>Sveaskog</t>
        </is>
      </c>
      <c r="I93" t="n">
        <v>3.9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36417-2025 artfynd.xlsx", "A 36417-2025")</f>
        <v/>
      </c>
      <c r="X93">
        <f>HYPERLINK("https://klasma.github.io/Logging_2181/kartor/A 36417-2025 karta.png", "A 36417-2025")</f>
        <v/>
      </c>
      <c r="Y93">
        <f>HYPERLINK("https://klasma.github.io/Logging_2181/kartor_geotiff/A 36417-2025 georefererad karta.tif", "A 36417-2025")</f>
        <v/>
      </c>
      <c r="Z93">
        <f>HYPERLINK("https://klasma.github.io/Logging_2181/knärot/A 36417-2025 karta knärot.png", "A 36417-2025")</f>
        <v/>
      </c>
      <c r="AA93">
        <f>HYPERLINK("https://klasma.github.io/Logging_2181/klagomål/A 36417-2025 FSC-klagomål.docx", "A 36417-2025")</f>
        <v/>
      </c>
      <c r="AB93">
        <f>HYPERLINK("https://klasma.github.io/Logging_2181/klagomålsmail/A 36417-2025 FSC-klagomål mail.docx", "A 36417-2025")</f>
        <v/>
      </c>
      <c r="AC93">
        <f>HYPERLINK("https://klasma.github.io/Logging_2181/tillsyn/A 36417-2025 tillsynsbegäran.docx", "A 36417-2025")</f>
        <v/>
      </c>
      <c r="AD93">
        <f>HYPERLINK("https://klasma.github.io/Logging_2181/tillsynsmail/A 36417-2025 tillsynsbegäran mail.docx", "A 36417-2025")</f>
        <v/>
      </c>
    </row>
    <row r="94" ht="15" customHeight="1">
      <c r="A94" t="inlineStr">
        <is>
          <t>A 41792-2026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46303</v>
      </c>
      <c r="E94" s="1" t="n">
        <v>46321</v>
      </c>
      <c r="F94" t="inlineStr">
        <is>
          <t>GÄVLEBORGS LÄN</t>
        </is>
      </c>
      <c r="G94" t="inlineStr">
        <is>
          <t>SANDVIKEN</t>
        </is>
      </c>
      <c r="I94" t="n">
        <v>6.9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HYPERLINK("https://klasma.github.io/Logging_2181/artfynd/A 41792-2026 artfynd.xlsx", "A 41792-2026")</f>
        <v/>
      </c>
      <c r="X94">
        <f>HYPERLINK("https://klasma.github.io/Logging_2181/kartor/A 41792-2026 karta.png", "A 41792-2026")</f>
        <v/>
      </c>
      <c r="Y94">
        <f>HYPERLINK("https://klasma.github.io/Logging_2181/kartor_geotiff/A 41792-2026 georefererad karta.tif", "A 41792-2026")</f>
        <v/>
      </c>
      <c r="AA94">
        <f>HYPERLINK("https://klasma.github.io/Logging_2181/klagomål/A 41792-2026 FSC-klagomål.docx", "A 41792-2026")</f>
        <v/>
      </c>
      <c r="AB94">
        <f>HYPERLINK("https://klasma.github.io/Logging_2181/klagomålsmail/A 41792-2026 FSC-klagomål mail.docx", "A 41792-2026")</f>
        <v/>
      </c>
      <c r="AC94">
        <f>HYPERLINK("https://klasma.github.io/Logging_2181/tillsyn/A 41792-2026 tillsynsbegäran.docx", "A 41792-2026")</f>
        <v/>
      </c>
      <c r="AD94">
        <f>HYPERLINK("https://klasma.github.io/Logging_2181/tillsynsmail/A 41792-2026 tillsynsbegäran mail.docx", "A 41792-2026")</f>
        <v/>
      </c>
    </row>
    <row r="95" ht="15" customHeight="1">
      <c r="A95" t="inlineStr">
        <is>
          <t>A 35479-2026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46262</v>
      </c>
      <c r="E95" s="1" t="n">
        <v>46321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7.3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groda</t>
        </is>
      </c>
      <c r="W95">
        <f>HYPERLINK("https://klasma.github.io/Logging_2181/artfynd/A 35479-2026 artfynd.xlsx", "A 35479-2026")</f>
        <v/>
      </c>
      <c r="X95">
        <f>HYPERLINK("https://klasma.github.io/Logging_2181/kartor/A 35479-2026 karta.png", "A 35479-2026")</f>
        <v/>
      </c>
      <c r="Y95">
        <f>HYPERLINK("https://klasma.github.io/Logging_2181/kartor_geotiff/A 35479-2026 georefererad karta.tif", "A 35479-2026")</f>
        <v/>
      </c>
      <c r="AA95">
        <f>HYPERLINK("https://klasma.github.io/Logging_2181/klagomål/A 35479-2026 FSC-klagomål.docx", "A 35479-2026")</f>
        <v/>
      </c>
      <c r="AB95">
        <f>HYPERLINK("https://klasma.github.io/Logging_2181/klagomålsmail/A 35479-2026 FSC-klagomål mail.docx", "A 35479-2026")</f>
        <v/>
      </c>
      <c r="AC95">
        <f>HYPERLINK("https://klasma.github.io/Logging_2181/tillsyn/A 35479-2026 tillsynsbegäran.docx", "A 35479-2026")</f>
        <v/>
      </c>
      <c r="AD95">
        <f>HYPERLINK("https://klasma.github.io/Logging_2181/tillsynsmail/A 35479-2026 tillsynsbegäran mail.docx", "A 35479-2026")</f>
        <v/>
      </c>
    </row>
    <row r="96" ht="15" customHeight="1">
      <c r="A96" t="inlineStr">
        <is>
          <t>A 35540-2026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46321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Lopplummer (aggregat)</t>
        </is>
      </c>
      <c r="W96">
        <f>HYPERLINK("https://klasma.github.io/Logging_2181/artfynd/A 35540-2026 artfynd.xlsx", "A 35540-2026")</f>
        <v/>
      </c>
      <c r="X96">
        <f>HYPERLINK("https://klasma.github.io/Logging_2181/kartor/A 35540-2026 karta.png", "A 35540-2026")</f>
        <v/>
      </c>
      <c r="Y96">
        <f>HYPERLINK("https://klasma.github.io/Logging_2181/kartor_geotiff/A 35540-2026 georefererad karta.tif", "A 35540-2026")</f>
        <v/>
      </c>
      <c r="AA96">
        <f>HYPERLINK("https://klasma.github.io/Logging_2181/klagomål/A 35540-2026 FSC-klagomål.docx", "A 35540-2026")</f>
        <v/>
      </c>
      <c r="AB96">
        <f>HYPERLINK("https://klasma.github.io/Logging_2181/klagomålsmail/A 35540-2026 FSC-klagomål mail.docx", "A 35540-2026")</f>
        <v/>
      </c>
      <c r="AC96">
        <f>HYPERLINK("https://klasma.github.io/Logging_2181/tillsyn/A 35540-2026 tillsynsbegäran.docx", "A 35540-2026")</f>
        <v/>
      </c>
      <c r="AD96">
        <f>HYPERLINK("https://klasma.github.io/Logging_2181/tillsynsmail/A 35540-2026 tillsynsbegäran mail.docx", "A 35540-2026")</f>
        <v/>
      </c>
    </row>
    <row r="97" ht="15" customHeight="1">
      <c r="A97" t="inlineStr">
        <is>
          <t>A 19272-2026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46321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9.4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HYPERLINK("https://klasma.github.io/Logging_2181/artfynd/A 19272-2026 artfynd.xlsx", "A 19272-2026")</f>
        <v/>
      </c>
      <c r="X97">
        <f>HYPERLINK("https://klasma.github.io/Logging_2181/kartor/A 19272-2026 karta.png", "A 19272-2026")</f>
        <v/>
      </c>
      <c r="Y97">
        <f>HYPERLINK("https://klasma.github.io/Logging_2181/kartor_geotiff/A 19272-2026 georefererad karta.tif", "A 19272-2026")</f>
        <v/>
      </c>
      <c r="AA97">
        <f>HYPERLINK("https://klasma.github.io/Logging_2181/klagomål/A 19272-2026 FSC-klagomål.docx", "A 19272-2026")</f>
        <v/>
      </c>
      <c r="AB97">
        <f>HYPERLINK("https://klasma.github.io/Logging_2181/klagomålsmail/A 19272-2026 FSC-klagomål mail.docx", "A 19272-2026")</f>
        <v/>
      </c>
      <c r="AC97">
        <f>HYPERLINK("https://klasma.github.io/Logging_2181/tillsyn/A 19272-2026 tillsynsbegäran.docx", "A 19272-2026")</f>
        <v/>
      </c>
      <c r="AD97">
        <f>HYPERLINK("https://klasma.github.io/Logging_2181/tillsynsmail/A 19272-2026 tillsynsbegäran mail.docx", "A 19272-2026")</f>
        <v/>
      </c>
    </row>
    <row r="98" ht="15" customHeight="1">
      <c r="A98" t="inlineStr">
        <is>
          <t>A 38350-2025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46321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väst AB</t>
        </is>
      </c>
      <c r="I98" t="n">
        <v>25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Brandticka</t>
        </is>
      </c>
      <c r="W98">
        <f>HYPERLINK("https://klasma.github.io/Logging_2181/artfynd/A 38350-2025 artfynd.xlsx", "A 38350-2025")</f>
        <v/>
      </c>
      <c r="X98">
        <f>HYPERLINK("https://klasma.github.io/Logging_2181/kartor/A 38350-2025 karta.png", "A 38350-2025")</f>
        <v/>
      </c>
      <c r="Y98">
        <f>HYPERLINK("https://klasma.github.io/Logging_2181/kartor_geotiff/A 38350-2025 georefererad karta.tif", "A 38350-2025")</f>
        <v/>
      </c>
      <c r="AA98">
        <f>HYPERLINK("https://klasma.github.io/Logging_2181/klagomål/A 38350-2025 FSC-klagomål.docx", "A 38350-2025")</f>
        <v/>
      </c>
      <c r="AB98">
        <f>HYPERLINK("https://klasma.github.io/Logging_2181/klagomålsmail/A 38350-2025 FSC-klagomål mail.docx", "A 38350-2025")</f>
        <v/>
      </c>
      <c r="AC98">
        <f>HYPERLINK("https://klasma.github.io/Logging_2181/tillsyn/A 38350-2025 tillsynsbegäran.docx", "A 38350-2025")</f>
        <v/>
      </c>
      <c r="AD98">
        <f>HYPERLINK("https://klasma.github.io/Logging_2181/tillsynsmail/A 38350-2025 tillsynsbegäran mail.docx", "A 38350-2025")</f>
        <v/>
      </c>
    </row>
    <row r="99" ht="15" customHeight="1">
      <c r="A99" t="inlineStr">
        <is>
          <t>A 36596-2026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46269</v>
      </c>
      <c r="E99" s="1" t="n">
        <v>46321</v>
      </c>
      <c r="F99" t="inlineStr">
        <is>
          <t>GÄVLEBORGS LÄN</t>
        </is>
      </c>
      <c r="G99" t="inlineStr">
        <is>
          <t>SANDVIKEN</t>
        </is>
      </c>
      <c r="I99" t="n">
        <v>10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36596-2026 artfynd.xlsx", "A 36596-2026")</f>
        <v/>
      </c>
      <c r="X99">
        <f>HYPERLINK("https://klasma.github.io/Logging_2181/kartor/A 36596-2026 karta.png", "A 36596-2026")</f>
        <v/>
      </c>
      <c r="Y99">
        <f>HYPERLINK("https://klasma.github.io/Logging_2181/kartor_geotiff/A 36596-2026 georefererad karta.tif", "A 36596-2026")</f>
        <v/>
      </c>
      <c r="AA99">
        <f>HYPERLINK("https://klasma.github.io/Logging_2181/klagomål/A 36596-2026 FSC-klagomål.docx", "A 36596-2026")</f>
        <v/>
      </c>
      <c r="AB99">
        <f>HYPERLINK("https://klasma.github.io/Logging_2181/klagomålsmail/A 36596-2026 FSC-klagomål mail.docx", "A 36596-2026")</f>
        <v/>
      </c>
      <c r="AC99">
        <f>HYPERLINK("https://klasma.github.io/Logging_2181/tillsyn/A 36596-2026 tillsynsbegäran.docx", "A 36596-2026")</f>
        <v/>
      </c>
      <c r="AD99">
        <f>HYPERLINK("https://klasma.github.io/Logging_2181/tillsynsmail/A 36596-2026 tillsynsbegäran mail.docx", "A 36596-2026")</f>
        <v/>
      </c>
    </row>
    <row r="100" ht="15" customHeight="1">
      <c r="A100" t="inlineStr">
        <is>
          <t>A 4324-2026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46321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11.2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Järpe</t>
        </is>
      </c>
      <c r="W100">
        <f>HYPERLINK("https://klasma.github.io/Logging_2181/artfynd/A 4324-2026 artfynd.xlsx", "A 4324-2026")</f>
        <v/>
      </c>
      <c r="X100">
        <f>HYPERLINK("https://klasma.github.io/Logging_2181/kartor/A 4324-2026 karta.png", "A 4324-2026")</f>
        <v/>
      </c>
      <c r="Y100">
        <f>HYPERLINK("https://klasma.github.io/Logging_2181/kartor_geotiff/A 4324-2026 georefererad karta.tif", "A 4324-2026")</f>
        <v/>
      </c>
      <c r="AA100">
        <f>HYPERLINK("https://klasma.github.io/Logging_2181/klagomål/A 4324-2026 FSC-klagomål.docx", "A 4324-2026")</f>
        <v/>
      </c>
      <c r="AB100">
        <f>HYPERLINK("https://klasma.github.io/Logging_2181/klagomålsmail/A 4324-2026 FSC-klagomål mail.docx", "A 4324-2026")</f>
        <v/>
      </c>
      <c r="AC100">
        <f>HYPERLINK("https://klasma.github.io/Logging_2181/tillsyn/A 4324-2026 tillsynsbegäran.docx", "A 4324-2026")</f>
        <v/>
      </c>
      <c r="AD100">
        <f>HYPERLINK("https://klasma.github.io/Logging_2181/tillsynsmail/A 4324-2026 tillsynsbegäran mail.docx", "A 4324-2026")</f>
        <v/>
      </c>
      <c r="AE100">
        <f>HYPERLINK("https://klasma.github.io/Logging_2181/fåglar/A 4324-2026 prioriterade fågelarter.docx", "A 4324-2026")</f>
        <v/>
      </c>
    </row>
    <row r="101" ht="15" customHeight="1">
      <c r="A101" t="inlineStr">
        <is>
          <t>A 43566-2026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46311</v>
      </c>
      <c r="E101" s="1" t="n">
        <v>46321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väst AB</t>
        </is>
      </c>
      <c r="I101" t="n">
        <v>24.3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0</v>
      </c>
      <c r="V101" s="2" t="inlineStr">
        <is>
          <t>Mosippa</t>
        </is>
      </c>
      <c r="W101">
        <f>HYPERLINK("https://klasma.github.io/Logging_2181/artfynd/A 43566-2026 artfynd.xlsx", "A 43566-2026")</f>
        <v/>
      </c>
      <c r="X101">
        <f>HYPERLINK("https://klasma.github.io/Logging_2181/kartor/A 43566-2026 karta.png", "A 43566-2026")</f>
        <v/>
      </c>
      <c r="Y101">
        <f>HYPERLINK("https://klasma.github.io/Logging_2181/kartor_geotiff/A 43566-2026 georefererad karta.tif", "A 43566-2026")</f>
        <v/>
      </c>
      <c r="AA101">
        <f>HYPERLINK("https://klasma.github.io/Logging_2181/klagomål/A 43566-2026 FSC-klagomål.docx", "A 43566-2026")</f>
        <v/>
      </c>
      <c r="AB101">
        <f>HYPERLINK("https://klasma.github.io/Logging_2181/klagomålsmail/A 43566-2026 FSC-klagomål mail.docx", "A 43566-2026")</f>
        <v/>
      </c>
      <c r="AC101">
        <f>HYPERLINK("https://klasma.github.io/Logging_2181/tillsyn/A 43566-2026 tillsynsbegäran.docx", "A 43566-2026")</f>
        <v/>
      </c>
      <c r="AD101">
        <f>HYPERLINK("https://klasma.github.io/Logging_2181/tillsynsmail/A 43566-2026 tillsynsbegäran mail.docx", "A 43566-2026")</f>
        <v/>
      </c>
    </row>
    <row r="102" ht="15" customHeight="1">
      <c r="A102" t="inlineStr">
        <is>
          <t>A 6972-2026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46321</v>
      </c>
      <c r="F102" t="inlineStr">
        <is>
          <t>GÄVLEBORGS LÄN</t>
        </is>
      </c>
      <c r="G102" t="inlineStr">
        <is>
          <t>SANDVIKEN</t>
        </is>
      </c>
      <c r="H102" t="inlineStr">
        <is>
          <t>Naturvårdsverket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Svartvit flugsnappare</t>
        </is>
      </c>
      <c r="W102">
        <f>HYPERLINK("https://klasma.github.io/Logging_2181/artfynd/A 6972-2026 artfynd.xlsx", "A 6972-2026")</f>
        <v/>
      </c>
      <c r="X102">
        <f>HYPERLINK("https://klasma.github.io/Logging_2181/kartor/A 6972-2026 karta.png", "A 6972-2026")</f>
        <v/>
      </c>
      <c r="Y102">
        <f>HYPERLINK("https://klasma.github.io/Logging_2181/kartor_geotiff/A 6972-2026 georefererad karta.tif", "A 6972-2026")</f>
        <v/>
      </c>
      <c r="AA102">
        <f>HYPERLINK("https://klasma.github.io/Logging_2181/klagomål/A 6972-2026 FSC-klagomål.docx", "A 6972-2026")</f>
        <v/>
      </c>
      <c r="AB102">
        <f>HYPERLINK("https://klasma.github.io/Logging_2181/klagomålsmail/A 6972-2026 FSC-klagomål mail.docx", "A 6972-2026")</f>
        <v/>
      </c>
      <c r="AC102">
        <f>HYPERLINK("https://klasma.github.io/Logging_2181/tillsyn/A 6972-2026 tillsynsbegäran.docx", "A 6972-2026")</f>
        <v/>
      </c>
      <c r="AD102">
        <f>HYPERLINK("https://klasma.github.io/Logging_2181/tillsynsmail/A 6972-2026 tillsynsbegäran mail.docx", "A 6972-2026")</f>
        <v/>
      </c>
    </row>
    <row r="103" ht="15" customHeight="1">
      <c r="A103" t="inlineStr">
        <is>
          <t>A 41349-2025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45899</v>
      </c>
      <c r="E103" s="1" t="n">
        <v>46321</v>
      </c>
      <c r="F103" t="inlineStr">
        <is>
          <t>GÄVLEBORGS LÄN</t>
        </is>
      </c>
      <c r="G103" t="inlineStr">
        <is>
          <t>SANDVIKEN</t>
        </is>
      </c>
      <c r="I103" t="n">
        <v>3.7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Skogsklocka</t>
        </is>
      </c>
      <c r="W103">
        <f>HYPERLINK("https://klasma.github.io/Logging_2181/artfynd/A 41349-2025 artfynd.xlsx", "A 41349-2025")</f>
        <v/>
      </c>
      <c r="X103">
        <f>HYPERLINK("https://klasma.github.io/Logging_2181/kartor/A 41349-2025 karta.png", "A 41349-2025")</f>
        <v/>
      </c>
      <c r="Y103">
        <f>HYPERLINK("https://klasma.github.io/Logging_2181/kartor_geotiff/A 41349-2025 georefererad karta.tif", "A 41349-2025")</f>
        <v/>
      </c>
      <c r="AA103">
        <f>HYPERLINK("https://klasma.github.io/Logging_2181/klagomål/A 41349-2025 FSC-klagomål.docx", "A 41349-2025")</f>
        <v/>
      </c>
      <c r="AB103">
        <f>HYPERLINK("https://klasma.github.io/Logging_2181/klagomålsmail/A 41349-2025 FSC-klagomål mail.docx", "A 41349-2025")</f>
        <v/>
      </c>
      <c r="AC103">
        <f>HYPERLINK("https://klasma.github.io/Logging_2181/tillsyn/A 41349-2025 tillsynsbegäran.docx", "A 41349-2025")</f>
        <v/>
      </c>
      <c r="AD103">
        <f>HYPERLINK("https://klasma.github.io/Logging_2181/tillsynsmail/A 41349-2025 tillsynsbegäran mail.docx", "A 41349-2025")</f>
        <v/>
      </c>
    </row>
    <row r="104" ht="15" customHeight="1">
      <c r="A104" t="inlineStr">
        <is>
          <t>A 21532-2026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46321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Svartvit flugsnappare</t>
        </is>
      </c>
      <c r="W104">
        <f>HYPERLINK("https://klasma.github.io/Logging_2181/artfynd/A 21532-2026 artfynd.xlsx", "A 21532-2026")</f>
        <v/>
      </c>
      <c r="X104">
        <f>HYPERLINK("https://klasma.github.io/Logging_2181/kartor/A 21532-2026 karta.png", "A 21532-2026")</f>
        <v/>
      </c>
      <c r="Y104">
        <f>HYPERLINK("https://klasma.github.io/Logging_2181/kartor_geotiff/A 21532-2026 georefererad karta.tif", "A 21532-2026")</f>
        <v/>
      </c>
      <c r="AA104">
        <f>HYPERLINK("https://klasma.github.io/Logging_2181/klagomål/A 21532-2026 FSC-klagomål.docx", "A 21532-2026")</f>
        <v/>
      </c>
      <c r="AB104">
        <f>HYPERLINK("https://klasma.github.io/Logging_2181/klagomålsmail/A 21532-2026 FSC-klagomål mail.docx", "A 21532-2026")</f>
        <v/>
      </c>
      <c r="AC104">
        <f>HYPERLINK("https://klasma.github.io/Logging_2181/tillsyn/A 21532-2026 tillsynsbegäran.docx", "A 21532-2026")</f>
        <v/>
      </c>
      <c r="AD104">
        <f>HYPERLINK("https://klasma.github.io/Logging_2181/tillsynsmail/A 21532-2026 tillsynsbegäran mail.docx", "A 21532-2026")</f>
        <v/>
      </c>
    </row>
    <row r="105" ht="15" customHeight="1">
      <c r="A105" t="inlineStr">
        <is>
          <t>A 12419-2025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46321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öst AB</t>
        </is>
      </c>
      <c r="I105" t="n">
        <v>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Månlåsbräken</t>
        </is>
      </c>
      <c r="W105">
        <f>HYPERLINK("https://klasma.github.io/Logging_2181/artfynd/A 12419-2025 artfynd.xlsx", "A 12419-2025")</f>
        <v/>
      </c>
      <c r="X105">
        <f>HYPERLINK("https://klasma.github.io/Logging_2181/kartor/A 12419-2025 karta.png", "A 12419-2025")</f>
        <v/>
      </c>
      <c r="Y105">
        <f>HYPERLINK("https://klasma.github.io/Logging_2181/kartor_geotiff/A 12419-2025 georefererad karta.tif", "A 12419-2025")</f>
        <v/>
      </c>
      <c r="AA105">
        <f>HYPERLINK("https://klasma.github.io/Logging_2181/klagomål/A 12419-2025 FSC-klagomål.docx", "A 12419-2025")</f>
        <v/>
      </c>
      <c r="AB105">
        <f>HYPERLINK("https://klasma.github.io/Logging_2181/klagomålsmail/A 12419-2025 FSC-klagomål mail.docx", "A 12419-2025")</f>
        <v/>
      </c>
      <c r="AC105">
        <f>HYPERLINK("https://klasma.github.io/Logging_2181/tillsyn/A 12419-2025 tillsynsbegäran.docx", "A 12419-2025")</f>
        <v/>
      </c>
      <c r="AD105">
        <f>HYPERLINK("https://klasma.github.io/Logging_2181/tillsynsmail/A 12419-2025 tillsynsbegäran mail.docx", "A 12419-2025")</f>
        <v/>
      </c>
    </row>
    <row r="106" ht="15" customHeight="1">
      <c r="A106" t="inlineStr">
        <is>
          <t>A 3316-2023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44949</v>
      </c>
      <c r="E106" s="1" t="n">
        <v>46321</v>
      </c>
      <c r="F106" t="inlineStr">
        <is>
          <t>GÄVLEBORGS LÄN</t>
        </is>
      </c>
      <c r="G106" t="inlineStr">
        <is>
          <t>SANDVIKEN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Orre</t>
        </is>
      </c>
      <c r="W106">
        <f>HYPERLINK("https://klasma.github.io/Logging_2181/artfynd/A 3316-2023 artfynd.xlsx", "A 3316-2023")</f>
        <v/>
      </c>
      <c r="X106">
        <f>HYPERLINK("https://klasma.github.io/Logging_2181/kartor/A 3316-2023 karta.png", "A 3316-2023")</f>
        <v/>
      </c>
      <c r="Y106">
        <f>HYPERLINK("https://klasma.github.io/Logging_2181/kartor_geotiff/A 3316-2023 georefererad karta.tif", "A 3316-2023")</f>
        <v/>
      </c>
      <c r="AA106">
        <f>HYPERLINK("https://klasma.github.io/Logging_2181/klagomål/A 3316-2023 FSC-klagomål.docx", "A 3316-2023")</f>
        <v/>
      </c>
      <c r="AB106">
        <f>HYPERLINK("https://klasma.github.io/Logging_2181/klagomålsmail/A 3316-2023 FSC-klagomål mail.docx", "A 3316-2023")</f>
        <v/>
      </c>
      <c r="AC106">
        <f>HYPERLINK("https://klasma.github.io/Logging_2181/tillsyn/A 3316-2023 tillsynsbegäran.docx", "A 3316-2023")</f>
        <v/>
      </c>
      <c r="AD106">
        <f>HYPERLINK("https://klasma.github.io/Logging_2181/tillsynsmail/A 3316-2023 tillsynsbegäran mail.docx", "A 3316-2023")</f>
        <v/>
      </c>
      <c r="AE106">
        <f>HYPERLINK("https://klasma.github.io/Logging_2181/fåglar/A 3316-2023 prioriterade fågelarter.docx", "A 3316-2023")</f>
        <v/>
      </c>
    </row>
    <row r="107" ht="15" customHeight="1">
      <c r="A107" t="inlineStr">
        <is>
          <t>A 22275-2024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46321</v>
      </c>
      <c r="F107" t="inlineStr">
        <is>
          <t>GÄVLEBORGS LÄN</t>
        </is>
      </c>
      <c r="G107" t="inlineStr">
        <is>
          <t>SANDVIKEN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Ekorrbär</t>
        </is>
      </c>
      <c r="W107">
        <f>HYPERLINK("https://klasma.github.io/Logging_2181/artfynd/A 22275-2024 artfynd.xlsx", "A 22275-2024")</f>
        <v/>
      </c>
      <c r="X107">
        <f>HYPERLINK("https://klasma.github.io/Logging_2181/kartor/A 22275-2024 karta.png", "A 22275-2024")</f>
        <v/>
      </c>
      <c r="Y107">
        <f>HYPERLINK("https://klasma.github.io/Logging_2181/kartor_geotiff/A 22275-2024 georefererad karta.tif", "A 22275-2024")</f>
        <v/>
      </c>
      <c r="AA107">
        <f>HYPERLINK("https://klasma.github.io/Logging_2181/klagomål/A 22275-2024 FSC-klagomål.docx", "A 22275-2024")</f>
        <v/>
      </c>
      <c r="AB107">
        <f>HYPERLINK("https://klasma.github.io/Logging_2181/klagomålsmail/A 22275-2024 FSC-klagomål mail.docx", "A 22275-2024")</f>
        <v/>
      </c>
      <c r="AC107">
        <f>HYPERLINK("https://klasma.github.io/Logging_2181/tillsyn/A 22275-2024 tillsynsbegäran.docx", "A 22275-2024")</f>
        <v/>
      </c>
      <c r="AD107">
        <f>HYPERLINK("https://klasma.github.io/Logging_2181/tillsynsmail/A 22275-2024 tillsynsbegäran mail.docx", "A 22275-2024")</f>
        <v/>
      </c>
    </row>
    <row r="108" ht="15" customHeight="1">
      <c r="A108" t="inlineStr">
        <is>
          <t>A 58845-2023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46321</v>
      </c>
      <c r="F108" t="inlineStr">
        <is>
          <t>GÄVLEBORGS LÄN</t>
        </is>
      </c>
      <c r="G108" t="inlineStr">
        <is>
          <t>SANDVIKEN</t>
        </is>
      </c>
      <c r="I108" t="n">
        <v>1.5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4</v>
      </c>
      <c r="U108" t="n">
        <v>0</v>
      </c>
      <c r="V108" s="2" t="inlineStr">
        <is>
          <t>Vanlig padda</t>
        </is>
      </c>
      <c r="W108">
        <f>HYPERLINK("https://klasma.github.io/Logging_2181/artfynd/A 58845-2023 artfynd.xlsx", "A 58845-2023")</f>
        <v/>
      </c>
      <c r="X108">
        <f>HYPERLINK("https://klasma.github.io/Logging_2181/kartor/A 58845-2023 karta.png", "A 58845-2023")</f>
        <v/>
      </c>
      <c r="Y108">
        <f>HYPERLINK("https://klasma.github.io/Logging_2181/kartor_geotiff/A 58845-2023 georefererad karta.tif", "A 58845-2023")</f>
        <v/>
      </c>
      <c r="AA108">
        <f>HYPERLINK("https://klasma.github.io/Logging_2181/klagomål/A 58845-2023 FSC-klagomål.docx", "A 58845-2023")</f>
        <v/>
      </c>
      <c r="AB108">
        <f>HYPERLINK("https://klasma.github.io/Logging_2181/klagomålsmail/A 58845-2023 FSC-klagomål mail.docx", "A 58845-2023")</f>
        <v/>
      </c>
      <c r="AC108">
        <f>HYPERLINK("https://klasma.github.io/Logging_2181/tillsyn/A 58845-2023 tillsynsbegäran.docx", "A 58845-2023")</f>
        <v/>
      </c>
      <c r="AD108">
        <f>HYPERLINK("https://klasma.github.io/Logging_2181/tillsynsmail/A 58845-2023 tillsynsbegäran mail.docx", "A 58845-2023")</f>
        <v/>
      </c>
    </row>
    <row r="109" ht="15" customHeight="1">
      <c r="A109" t="inlineStr">
        <is>
          <t>A 45427-2023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45194</v>
      </c>
      <c r="E109" s="1" t="n">
        <v>46321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3.5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Mattlummer</t>
        </is>
      </c>
      <c r="W109">
        <f>HYPERLINK("https://klasma.github.io/Logging_2181/artfynd/A 45427-2023 artfynd.xlsx", "A 45427-2023")</f>
        <v/>
      </c>
      <c r="X109">
        <f>HYPERLINK("https://klasma.github.io/Logging_2181/kartor/A 45427-2023 karta.png", "A 45427-2023")</f>
        <v/>
      </c>
      <c r="Y109">
        <f>HYPERLINK("https://klasma.github.io/Logging_2181/kartor_geotiff/A 45427-2023 georefererad karta.tif", "A 45427-2023")</f>
        <v/>
      </c>
      <c r="AA109">
        <f>HYPERLINK("https://klasma.github.io/Logging_2181/klagomål/A 45427-2023 FSC-klagomål.docx", "A 45427-2023")</f>
        <v/>
      </c>
      <c r="AB109">
        <f>HYPERLINK("https://klasma.github.io/Logging_2181/klagomålsmail/A 45427-2023 FSC-klagomål mail.docx", "A 45427-2023")</f>
        <v/>
      </c>
      <c r="AC109">
        <f>HYPERLINK("https://klasma.github.io/Logging_2181/tillsyn/A 45427-2023 tillsynsbegäran.docx", "A 45427-2023")</f>
        <v/>
      </c>
      <c r="AD109">
        <f>HYPERLINK("https://klasma.github.io/Logging_2181/tillsynsmail/A 45427-2023 tillsynsbegäran mail.docx", "A 45427-2023")</f>
        <v/>
      </c>
    </row>
    <row r="110" ht="15" customHeight="1">
      <c r="A110" t="inlineStr">
        <is>
          <t>A 15729-2022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44663</v>
      </c>
      <c r="E110" s="1" t="n">
        <v>46321</v>
      </c>
      <c r="F110" t="inlineStr">
        <is>
          <t>GÄVLEBORGS LÄN</t>
        </is>
      </c>
      <c r="G110" t="inlineStr">
        <is>
          <t>SANDVIKEN</t>
        </is>
      </c>
      <c r="I110" t="n">
        <v>2.1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Knärot</t>
        </is>
      </c>
      <c r="W110">
        <f>HYPERLINK("https://klasma.github.io/Logging_2181/artfynd/A 15729-2022 artfynd.xlsx", "A 15729-2022")</f>
        <v/>
      </c>
      <c r="X110">
        <f>HYPERLINK("https://klasma.github.io/Logging_2181/kartor/A 15729-2022 karta.png", "A 15729-2022")</f>
        <v/>
      </c>
      <c r="Y110">
        <f>HYPERLINK("https://klasma.github.io/Logging_2181/kartor_geotiff/A 15729-2022 georefererad karta.tif", "A 15729-2022")</f>
        <v/>
      </c>
      <c r="Z110">
        <f>HYPERLINK("https://klasma.github.io/Logging_2181/knärot/A 15729-2022 karta knärot.png", "A 15729-2022")</f>
        <v/>
      </c>
      <c r="AA110">
        <f>HYPERLINK("https://klasma.github.io/Logging_2181/klagomål/A 15729-2022 FSC-klagomål.docx", "A 15729-2022")</f>
        <v/>
      </c>
      <c r="AB110">
        <f>HYPERLINK("https://klasma.github.io/Logging_2181/klagomålsmail/A 15729-2022 FSC-klagomål mail.docx", "A 15729-2022")</f>
        <v/>
      </c>
      <c r="AC110">
        <f>HYPERLINK("https://klasma.github.io/Logging_2181/tillsyn/A 15729-2022 tillsynsbegäran.docx", "A 15729-2022")</f>
        <v/>
      </c>
      <c r="AD110">
        <f>HYPERLINK("https://klasma.github.io/Logging_2181/tillsynsmail/A 15729-2022 tillsynsbegäran mail.docx", "A 15729-2022")</f>
        <v/>
      </c>
    </row>
    <row r="111" ht="15" customHeight="1">
      <c r="A111" t="inlineStr">
        <is>
          <t>S 504-2025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45706</v>
      </c>
      <c r="E111" s="1" t="n">
        <v>46321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19.3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Fläcknycklar</t>
        </is>
      </c>
      <c r="W111">
        <f>HYPERLINK("https://klasma.github.io/Logging_2181/artfynd/S 504-2025 artfynd.xlsx", "S 504-2025")</f>
        <v/>
      </c>
      <c r="X111">
        <f>HYPERLINK("https://klasma.github.io/Logging_2181/kartor/S 504-2025 karta.png", "S 504-2025")</f>
        <v/>
      </c>
      <c r="Y111">
        <f>HYPERLINK("https://klasma.github.io/Logging_2181/kartor_geotiff/S 504-2025 georefererad karta.tif", "S 504-2025")</f>
        <v/>
      </c>
      <c r="AA111">
        <f>HYPERLINK("https://klasma.github.io/Logging_2181/klagomål/S 504-2025 FSC-klagomål.docx", "S 504-2025")</f>
        <v/>
      </c>
      <c r="AB111">
        <f>HYPERLINK("https://klasma.github.io/Logging_2181/klagomålsmail/S 504-2025 FSC-klagomål mail.docx", "S 504-2025")</f>
        <v/>
      </c>
      <c r="AC111">
        <f>HYPERLINK("https://klasma.github.io/Logging_2181/tillsyn/S 504-2025 tillsynsbegäran.docx", "S 504-2025")</f>
        <v/>
      </c>
      <c r="AD111">
        <f>HYPERLINK("https://klasma.github.io/Logging_2181/tillsynsmail/S 504-2025 tillsynsbegäran mail.docx", "S 504-2025")</f>
        <v/>
      </c>
    </row>
    <row r="112" ht="15" customHeight="1">
      <c r="A112" t="inlineStr">
        <is>
          <t>S 242-2024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45319</v>
      </c>
      <c r="E112" s="1" t="n">
        <v>46321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51.8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HYPERLINK("https://klasma.github.io/Logging_2181/artfynd/S 242-2024 artfynd.xlsx", "S 242-2024")</f>
        <v/>
      </c>
      <c r="X112">
        <f>HYPERLINK("https://klasma.github.io/Logging_2181/kartor/S 242-2024 karta.png", "S 242-2024")</f>
        <v/>
      </c>
      <c r="Y112">
        <f>HYPERLINK("https://klasma.github.io/Logging_2181/kartor_geotiff/S 242-2024 georefererad karta.tif", "S 242-2024")</f>
        <v/>
      </c>
      <c r="AA112">
        <f>HYPERLINK("https://klasma.github.io/Logging_2181/klagomål/S 242-2024 FSC-klagomål.docx", "S 242-2024")</f>
        <v/>
      </c>
      <c r="AB112">
        <f>HYPERLINK("https://klasma.github.io/Logging_2181/klagomålsmail/S 242-2024 FSC-klagomål mail.docx", "S 242-2024")</f>
        <v/>
      </c>
      <c r="AC112">
        <f>HYPERLINK("https://klasma.github.io/Logging_2181/tillsyn/S 242-2024 tillsynsbegäran.docx", "S 242-2024")</f>
        <v/>
      </c>
      <c r="AD112">
        <f>HYPERLINK("https://klasma.github.io/Logging_2181/tillsynsmail/S 242-2024 tillsynsbegäran mail.docx", "S 242-2024")</f>
        <v/>
      </c>
      <c r="AE112">
        <f>HYPERLINK("https://klasma.github.io/Logging_2181/fåglar/S 242-2024 prioriterade fågelarter.docx", "S 242-2024")</f>
        <v/>
      </c>
    </row>
    <row r="113" ht="15" customHeight="1">
      <c r="A113" t="inlineStr">
        <is>
          <t>S 1687-2023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45064</v>
      </c>
      <c r="E113" s="1" t="n">
        <v>46321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HYPERLINK("https://klasma.github.io/Logging_2181/artfynd/S 1687-2023 artfynd.xlsx", "S 1687-2023")</f>
        <v/>
      </c>
      <c r="X113">
        <f>HYPERLINK("https://klasma.github.io/Logging_2181/kartor/S 1687-2023 karta.png", "S 1687-2023")</f>
        <v/>
      </c>
      <c r="Y113">
        <f>HYPERLINK("https://klasma.github.io/Logging_2181/kartor_geotiff/S 1687-2023 georefererad karta.tif", "S 1687-2023")</f>
        <v/>
      </c>
      <c r="AA113">
        <f>HYPERLINK("https://klasma.github.io/Logging_2181/klagomål/S 1687-2023 FSC-klagomål.docx", "S 1687-2023")</f>
        <v/>
      </c>
      <c r="AB113">
        <f>HYPERLINK("https://klasma.github.io/Logging_2181/klagomålsmail/S 1687-2023 FSC-klagomål mail.docx", "S 1687-2023")</f>
        <v/>
      </c>
      <c r="AC113">
        <f>HYPERLINK("https://klasma.github.io/Logging_2181/tillsyn/S 1687-2023 tillsynsbegäran.docx", "S 1687-2023")</f>
        <v/>
      </c>
      <c r="AD113">
        <f>HYPERLINK("https://klasma.github.io/Logging_2181/tillsynsmail/S 1687-2023 tillsynsbegäran mail.docx", "S 1687-2023")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46321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46321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46321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46321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46321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46321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46321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46321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46321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46321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46321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46321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46321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46321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46321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46321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46321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46321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46321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46321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46321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46321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46321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46321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46321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46321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46321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46321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46321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46321</v>
      </c>
      <c r="F143" t="inlineStr">
        <is>
          <t>GÄVLEBORGS LÄN</t>
        </is>
      </c>
      <c r="G143" t="inlineStr">
        <is>
          <t>SANDVIKEN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46321</v>
      </c>
      <c r="F144" t="inlineStr">
        <is>
          <t>GÄVLEBORGS LÄN</t>
        </is>
      </c>
      <c r="G144" t="inlineStr">
        <is>
          <t>SANDVIKEN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46321</v>
      </c>
      <c r="F145" t="inlineStr">
        <is>
          <t>GÄVLEBORGS LÄN</t>
        </is>
      </c>
      <c r="G145" t="inlineStr">
        <is>
          <t>SANDVIKEN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46321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45552</v>
      </c>
      <c r="E147" s="1" t="n">
        <v>46321</v>
      </c>
      <c r="F147" t="inlineStr">
        <is>
          <t>GÄVLEBORGS LÄN</t>
        </is>
      </c>
      <c r="G147" t="inlineStr">
        <is>
          <t>SANDVIKEN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46321</v>
      </c>
      <c r="F148" t="inlineStr">
        <is>
          <t>GÄVLEBORGS LÄN</t>
        </is>
      </c>
      <c r="G148" t="inlineStr">
        <is>
          <t>SANDVIKEN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45330</v>
      </c>
      <c r="E149" s="1" t="n">
        <v>46321</v>
      </c>
      <c r="F149" t="inlineStr">
        <is>
          <t>GÄVLEBORGS LÄN</t>
        </is>
      </c>
      <c r="G149" t="inlineStr">
        <is>
          <t>SANDVIKEN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46321</v>
      </c>
      <c r="F150" t="inlineStr">
        <is>
          <t>GÄVLEBORGS LÄN</t>
        </is>
      </c>
      <c r="G150" t="inlineStr">
        <is>
          <t>SANDVIKEN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46321</v>
      </c>
      <c r="F151" t="inlineStr">
        <is>
          <t>GÄVLEBORGS LÄN</t>
        </is>
      </c>
      <c r="G151" t="inlineStr">
        <is>
          <t>SANDVIKEN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46321</v>
      </c>
      <c r="F152" t="inlineStr">
        <is>
          <t>GÄVLEBORGS LÄN</t>
        </is>
      </c>
      <c r="G152" t="inlineStr">
        <is>
          <t>SANDVIKEN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46321</v>
      </c>
      <c r="F153" t="inlineStr">
        <is>
          <t>GÄVLEBORGS LÄN</t>
        </is>
      </c>
      <c r="G153" t="inlineStr">
        <is>
          <t>SANDVIKEN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46321</v>
      </c>
      <c r="F154" t="inlineStr">
        <is>
          <t>GÄVLEBORGS LÄN</t>
        </is>
      </c>
      <c r="G154" t="inlineStr">
        <is>
          <t>SANDVIKEN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46321</v>
      </c>
      <c r="F155" t="inlineStr">
        <is>
          <t>GÄVLEBORGS LÄN</t>
        </is>
      </c>
      <c r="G155" t="inlineStr">
        <is>
          <t>SANDVIKEN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46321</v>
      </c>
      <c r="F156" t="inlineStr">
        <is>
          <t>GÄVLEBORGS LÄN</t>
        </is>
      </c>
      <c r="G156" t="inlineStr">
        <is>
          <t>SANDVIKEN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46321</v>
      </c>
      <c r="F157" t="inlineStr">
        <is>
          <t>GÄVLEBORGS LÄN</t>
        </is>
      </c>
      <c r="G157" t="inlineStr">
        <is>
          <t>SANDVIKEN</t>
        </is>
      </c>
      <c r="H157" t="inlineStr">
        <is>
          <t>Bergvik skog väst AB</t>
        </is>
      </c>
      <c r="I157" t="n">
        <v>8.1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46321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46321</v>
      </c>
      <c r="F159" t="inlineStr">
        <is>
          <t>GÄVLEBORGS LÄN</t>
        </is>
      </c>
      <c r="G159" t="inlineStr">
        <is>
          <t>SANDVIKEN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46321</v>
      </c>
      <c r="F160" t="inlineStr">
        <is>
          <t>GÄVLEBORGS LÄN</t>
        </is>
      </c>
      <c r="G160" t="inlineStr">
        <is>
          <t>SANDVIKEN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46321</v>
      </c>
      <c r="F161" t="inlineStr">
        <is>
          <t>GÄVLEBORGS LÄN</t>
        </is>
      </c>
      <c r="G161" t="inlineStr">
        <is>
          <t>SANDVIKEN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45404</v>
      </c>
      <c r="E162" s="1" t="n">
        <v>46321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öst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46321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23217-2023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45075</v>
      </c>
      <c r="E164" s="1" t="n">
        <v>46321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46321</v>
      </c>
      <c r="F165" t="inlineStr">
        <is>
          <t>GÄVLEBORGS LÄN</t>
        </is>
      </c>
      <c r="G165" t="inlineStr">
        <is>
          <t>SANDVIKEN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46321</v>
      </c>
      <c r="F166" t="inlineStr">
        <is>
          <t>GÄVLEBORGS LÄN</t>
        </is>
      </c>
      <c r="G166" t="inlineStr">
        <is>
          <t>SANDVIKEN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46321</v>
      </c>
      <c r="F167" t="inlineStr">
        <is>
          <t>GÄVLEBORGS LÄN</t>
        </is>
      </c>
      <c r="G167" t="inlineStr">
        <is>
          <t>SANDVIKEN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46321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46321</v>
      </c>
      <c r="F169" t="inlineStr">
        <is>
          <t>GÄVLEBORGS LÄN</t>
        </is>
      </c>
      <c r="G169" t="inlineStr">
        <is>
          <t>SANDVIKEN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46321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44818</v>
      </c>
      <c r="E171" s="1" t="n">
        <v>46321</v>
      </c>
      <c r="F171" t="inlineStr">
        <is>
          <t>GÄVLEBORGS LÄN</t>
        </is>
      </c>
      <c r="G171" t="inlineStr">
        <is>
          <t>SANDVIKEN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46321</v>
      </c>
      <c r="F172" t="inlineStr">
        <is>
          <t>GÄVLEBORGS LÄN</t>
        </is>
      </c>
      <c r="G172" t="inlineStr">
        <is>
          <t>SANDVIKEN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46321</v>
      </c>
      <c r="F173" t="inlineStr">
        <is>
          <t>GÄVLEBORGS LÄN</t>
        </is>
      </c>
      <c r="G173" t="inlineStr">
        <is>
          <t>SANDVIKEN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46321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öst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46321</v>
      </c>
      <c r="F175" t="inlineStr">
        <is>
          <t>GÄVLEBORGS LÄN</t>
        </is>
      </c>
      <c r="G175" t="inlineStr">
        <is>
          <t>SANDVIKEN</t>
        </is>
      </c>
      <c r="H175" t="inlineStr">
        <is>
          <t>Övriga statliga verk och myndigheter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46321</v>
      </c>
      <c r="F176" t="inlineStr">
        <is>
          <t>GÄVLEBORGS LÄN</t>
        </is>
      </c>
      <c r="G176" t="inlineStr">
        <is>
          <t>SANDVIKEN</t>
        </is>
      </c>
      <c r="H176" t="inlineStr">
        <is>
          <t>Övriga statliga verk och myndigheter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46321</v>
      </c>
      <c r="F177" t="inlineStr">
        <is>
          <t>GÄVLEBORGS LÄN</t>
        </is>
      </c>
      <c r="G177" t="inlineStr">
        <is>
          <t>SANDVIKEN</t>
        </is>
      </c>
      <c r="I177" t="n">
        <v>14.2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46321</v>
      </c>
      <c r="F178" t="inlineStr">
        <is>
          <t>GÄVLEBORGS LÄN</t>
        </is>
      </c>
      <c r="G178" t="inlineStr">
        <is>
          <t>SANDVIKEN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46321</v>
      </c>
      <c r="F179" t="inlineStr">
        <is>
          <t>GÄVLEBORGS LÄN</t>
        </is>
      </c>
      <c r="G179" t="inlineStr">
        <is>
          <t>SANDVIKEN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46321</v>
      </c>
      <c r="F180" t="inlineStr">
        <is>
          <t>GÄVLEBORGS LÄN</t>
        </is>
      </c>
      <c r="G180" t="inlineStr">
        <is>
          <t>SANDVIKEN</t>
        </is>
      </c>
      <c r="H180" t="inlineStr">
        <is>
          <t>Övriga statliga verk och myndigheter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46321</v>
      </c>
      <c r="F181" t="inlineStr">
        <is>
          <t>GÄVLEBORGS LÄN</t>
        </is>
      </c>
      <c r="G181" t="inlineStr">
        <is>
          <t>SANDVIKEN</t>
        </is>
      </c>
      <c r="H181" t="inlineStr">
        <is>
          <t>Övriga statliga verk och myndigheter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46321</v>
      </c>
      <c r="F182" t="inlineStr">
        <is>
          <t>GÄVLEBORGS LÄN</t>
        </is>
      </c>
      <c r="G182" t="inlineStr">
        <is>
          <t>SANDVIKEN</t>
        </is>
      </c>
      <c r="H182" t="inlineStr">
        <is>
          <t>Övriga statliga verk och myndigheter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46321</v>
      </c>
      <c r="F183" t="inlineStr">
        <is>
          <t>GÄVLEBORGS LÄN</t>
        </is>
      </c>
      <c r="G183" t="inlineStr">
        <is>
          <t>SANDVIKEN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46321</v>
      </c>
      <c r="F184" t="inlineStr">
        <is>
          <t>GÄVLEBORGS LÄN</t>
        </is>
      </c>
      <c r="G184" t="inlineStr">
        <is>
          <t>SANDVIKEN</t>
        </is>
      </c>
      <c r="H184" t="inlineStr">
        <is>
          <t>Kyrkan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46321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öst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46321</v>
      </c>
      <c r="F186" t="inlineStr">
        <is>
          <t>GÄVLEBORGS LÄN</t>
        </is>
      </c>
      <c r="G186" t="inlineStr">
        <is>
          <t>SANDVIKEN</t>
        </is>
      </c>
      <c r="H186" t="inlineStr">
        <is>
          <t>Bergvik skog öst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46321</v>
      </c>
      <c r="F187" t="inlineStr">
        <is>
          <t>GÄVLEBORGS LÄN</t>
        </is>
      </c>
      <c r="G187" t="inlineStr">
        <is>
          <t>SANDVIKEN</t>
        </is>
      </c>
      <c r="H187" t="inlineStr">
        <is>
          <t>Kyrkan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46321</v>
      </c>
      <c r="F188" t="inlineStr">
        <is>
          <t>GÄVLEBORGS LÄN</t>
        </is>
      </c>
      <c r="G188" t="inlineStr">
        <is>
          <t>SANDVIKEN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46165</v>
      </c>
      <c r="E189" s="1" t="n">
        <v>46321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46165</v>
      </c>
      <c r="E190" s="1" t="n">
        <v>46321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46165</v>
      </c>
      <c r="E191" s="1" t="n">
        <v>46321</v>
      </c>
      <c r="F191" t="inlineStr">
        <is>
          <t>GÄVLEBORGS LÄN</t>
        </is>
      </c>
      <c r="G191" t="inlineStr">
        <is>
          <t>SANDVIKEN</t>
        </is>
      </c>
      <c r="H191" t="inlineStr">
        <is>
          <t>Bergvik skog öst AB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46167</v>
      </c>
      <c r="E192" s="1" t="n">
        <v>46321</v>
      </c>
      <c r="F192" t="inlineStr">
        <is>
          <t>GÄVLEBORGS LÄN</t>
        </is>
      </c>
      <c r="G192" t="inlineStr">
        <is>
          <t>SANDVIKEN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45668</v>
      </c>
      <c r="E193" s="1" t="n">
        <v>46321</v>
      </c>
      <c r="F193" t="inlineStr">
        <is>
          <t>GÄVLEBORGS LÄN</t>
        </is>
      </c>
      <c r="G193" t="inlineStr">
        <is>
          <t>SANDVIKEN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46321</v>
      </c>
      <c r="F194" t="inlineStr">
        <is>
          <t>GÄVLEBORGS LÄN</t>
        </is>
      </c>
      <c r="G194" t="inlineStr">
        <is>
          <t>SANDVIKEN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45268</v>
      </c>
      <c r="E195" s="1" t="n">
        <v>46321</v>
      </c>
      <c r="F195" t="inlineStr">
        <is>
          <t>GÄVLEBORGS LÄN</t>
        </is>
      </c>
      <c r="G195" t="inlineStr">
        <is>
          <t>SANDVIKEN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21456-2023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46321</v>
      </c>
      <c r="F196" t="inlineStr">
        <is>
          <t>GÄVLEBORGS LÄN</t>
        </is>
      </c>
      <c r="G196" t="inlineStr">
        <is>
          <t>SANDVIKEN</t>
        </is>
      </c>
      <c r="H196" t="inlineStr">
        <is>
          <t>Kommuner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46165</v>
      </c>
      <c r="E197" s="1" t="n">
        <v>46321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öst AB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46321</v>
      </c>
      <c r="F198" t="inlineStr">
        <is>
          <t>GÄVLEBORGS LÄN</t>
        </is>
      </c>
      <c r="G198" t="inlineStr">
        <is>
          <t>SANDVIKEN</t>
        </is>
      </c>
      <c r="H198" t="inlineStr">
        <is>
          <t>Kommuner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46321</v>
      </c>
      <c r="F199" t="inlineStr">
        <is>
          <t>GÄVLEBORGS LÄN</t>
        </is>
      </c>
      <c r="G199" t="inlineStr">
        <is>
          <t>SANDVIKEN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46321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46165</v>
      </c>
      <c r="E201" s="1" t="n">
        <v>46321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46321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46168</v>
      </c>
      <c r="E203" s="1" t="n">
        <v>46321</v>
      </c>
      <c r="F203" t="inlineStr">
        <is>
          <t>GÄVLEBORGS LÄN</t>
        </is>
      </c>
      <c r="G203" t="inlineStr">
        <is>
          <t>SANDVIKEN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46321</v>
      </c>
      <c r="F204" t="inlineStr">
        <is>
          <t>GÄVLEBORGS LÄN</t>
        </is>
      </c>
      <c r="G204" t="inlineStr">
        <is>
          <t>SANDVIKEN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46169</v>
      </c>
      <c r="E205" s="1" t="n">
        <v>46321</v>
      </c>
      <c r="F205" t="inlineStr">
        <is>
          <t>GÄVLEBORGS LÄN</t>
        </is>
      </c>
      <c r="G205" t="inlineStr">
        <is>
          <t>SANDVIKEN</t>
        </is>
      </c>
      <c r="H205" t="inlineStr">
        <is>
          <t>Kommuner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46169</v>
      </c>
      <c r="E206" s="1" t="n">
        <v>46321</v>
      </c>
      <c r="F206" t="inlineStr">
        <is>
          <t>GÄVLEBORGS LÄN</t>
        </is>
      </c>
      <c r="G206" t="inlineStr">
        <is>
          <t>SANDVIKEN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46321</v>
      </c>
      <c r="F207" t="inlineStr">
        <is>
          <t>GÄVLEBORGS LÄN</t>
        </is>
      </c>
      <c r="G207" t="inlineStr">
        <is>
          <t>SANDVIKEN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46169</v>
      </c>
      <c r="E208" s="1" t="n">
        <v>46321</v>
      </c>
      <c r="F208" t="inlineStr">
        <is>
          <t>GÄVLEBORGS LÄN</t>
        </is>
      </c>
      <c r="G208" t="inlineStr">
        <is>
          <t>SANDVIKEN</t>
        </is>
      </c>
      <c r="H208" t="inlineStr">
        <is>
          <t>Kommuner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46321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46321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46321</v>
      </c>
      <c r="F211" t="inlineStr">
        <is>
          <t>GÄVLEBORGS LÄN</t>
        </is>
      </c>
      <c r="G211" t="inlineStr">
        <is>
          <t>SANDVIKEN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45252</v>
      </c>
      <c r="E212" s="1" t="n">
        <v>46321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46321</v>
      </c>
      <c r="F213" t="inlineStr">
        <is>
          <t>GÄVLEBORGS LÄN</t>
        </is>
      </c>
      <c r="G213" t="inlineStr">
        <is>
          <t>SANDVIKEN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46321</v>
      </c>
      <c r="F214" t="inlineStr">
        <is>
          <t>GÄVLEBORGS LÄN</t>
        </is>
      </c>
      <c r="G214" t="inlineStr">
        <is>
          <t>SANDVIKEN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46321</v>
      </c>
      <c r="F215" t="inlineStr">
        <is>
          <t>GÄVLEBORGS LÄN</t>
        </is>
      </c>
      <c r="G215" t="inlineStr">
        <is>
          <t>SANDVIKEN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48263-2025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46321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11.9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46321</v>
      </c>
      <c r="F217" t="inlineStr">
        <is>
          <t>GÄVLEBORGS LÄN</t>
        </is>
      </c>
      <c r="G217" t="inlineStr">
        <is>
          <t>SANDVIKEN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46321</v>
      </c>
      <c r="F218" t="inlineStr">
        <is>
          <t>GÄVLEBORGS LÄN</t>
        </is>
      </c>
      <c r="G218" t="inlineStr">
        <is>
          <t>SANDVIKEN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46045</v>
      </c>
      <c r="E219" s="1" t="n">
        <v>46321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45933</v>
      </c>
      <c r="E220" s="1" t="n">
        <v>46321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46321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46321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väst AB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46321</v>
      </c>
      <c r="F223" t="inlineStr">
        <is>
          <t>GÄVLEBORGS LÄN</t>
        </is>
      </c>
      <c r="G223" t="inlineStr">
        <is>
          <t>SANDVIKEN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49021-2025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46321</v>
      </c>
      <c r="F224" t="inlineStr">
        <is>
          <t>GÄVLEBORGS LÄN</t>
        </is>
      </c>
      <c r="G224" t="inlineStr">
        <is>
          <t>SANDVIKEN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46321</v>
      </c>
      <c r="F225" t="inlineStr">
        <is>
          <t>GÄVLEBORGS LÄN</t>
        </is>
      </c>
      <c r="G225" t="inlineStr">
        <is>
          <t>SANDVIKEN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49217-2025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45938</v>
      </c>
      <c r="E226" s="1" t="n">
        <v>46321</v>
      </c>
      <c r="F226" t="inlineStr">
        <is>
          <t>GÄVLEBORGS LÄN</t>
        </is>
      </c>
      <c r="G226" t="inlineStr">
        <is>
          <t>SANDVIKEN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46321</v>
      </c>
      <c r="F227" t="inlineStr">
        <is>
          <t>GÄVLEBORGS LÄN</t>
        </is>
      </c>
      <c r="G227" t="inlineStr">
        <is>
          <t>SANDVIKEN</t>
        </is>
      </c>
      <c r="H227" t="inlineStr">
        <is>
          <t>Sveaskog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46321</v>
      </c>
      <c r="F228" t="inlineStr">
        <is>
          <t>GÄVLEBORGS LÄN</t>
        </is>
      </c>
      <c r="G228" t="inlineStr">
        <is>
          <t>SANDVIKEN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46321</v>
      </c>
      <c r="F229" t="inlineStr">
        <is>
          <t>GÄVLEBORGS LÄN</t>
        </is>
      </c>
      <c r="G229" t="inlineStr">
        <is>
          <t>SANDVIKEN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46321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46321</v>
      </c>
      <c r="F231" t="inlineStr">
        <is>
          <t>GÄVLEBORGS LÄN</t>
        </is>
      </c>
      <c r="G231" t="inlineStr">
        <is>
          <t>SANDVIKEN</t>
        </is>
      </c>
      <c r="H231" t="inlineStr">
        <is>
          <t>Kommuner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46321</v>
      </c>
      <c r="F232" t="inlineStr">
        <is>
          <t>GÄVLEBORGS LÄN</t>
        </is>
      </c>
      <c r="G232" t="inlineStr">
        <is>
          <t>SANDVIKEN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46321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16.6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46321</v>
      </c>
      <c r="F234" t="inlineStr">
        <is>
          <t>GÄVLEBORGS LÄN</t>
        </is>
      </c>
      <c r="G234" t="inlineStr">
        <is>
          <t>SANDVIKEN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46321</v>
      </c>
      <c r="F235" t="inlineStr">
        <is>
          <t>GÄVLEBORGS LÄN</t>
        </is>
      </c>
      <c r="G235" t="inlineStr">
        <is>
          <t>SANDVIKEN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46321</v>
      </c>
      <c r="F236" t="inlineStr">
        <is>
          <t>GÄVLEBORGS LÄN</t>
        </is>
      </c>
      <c r="G236" t="inlineStr">
        <is>
          <t>SANDVIKEN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46321</v>
      </c>
      <c r="F237" t="inlineStr">
        <is>
          <t>GÄVLEBORGS LÄN</t>
        </is>
      </c>
      <c r="G237" t="inlineStr">
        <is>
          <t>SANDVIKEN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46321</v>
      </c>
      <c r="F238" t="inlineStr">
        <is>
          <t>GÄVLEBORGS LÄN</t>
        </is>
      </c>
      <c r="G238" t="inlineStr">
        <is>
          <t>SANDVIKEN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46321</v>
      </c>
      <c r="F239" t="inlineStr">
        <is>
          <t>GÄVLEBORGS LÄN</t>
        </is>
      </c>
      <c r="G239" t="inlineStr">
        <is>
          <t>SANDVIKEN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45480</v>
      </c>
      <c r="E240" s="1" t="n">
        <v>46321</v>
      </c>
      <c r="F240" t="inlineStr">
        <is>
          <t>GÄVLEBORGS LÄN</t>
        </is>
      </c>
      <c r="G240" t="inlineStr">
        <is>
          <t>SANDVIKEN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46321</v>
      </c>
      <c r="F241" t="inlineStr">
        <is>
          <t>GÄVLEBORGS LÄN</t>
        </is>
      </c>
      <c r="G241" t="inlineStr">
        <is>
          <t>SANDVIKEN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46321</v>
      </c>
      <c r="F242" t="inlineStr">
        <is>
          <t>GÄVLEBORGS LÄN</t>
        </is>
      </c>
      <c r="G242" t="inlineStr">
        <is>
          <t>SANDVIKEN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46321</v>
      </c>
      <c r="F243" t="inlineStr">
        <is>
          <t>GÄVLEBORGS LÄN</t>
        </is>
      </c>
      <c r="G243" t="inlineStr">
        <is>
          <t>SANDVIKEN</t>
        </is>
      </c>
      <c r="H243" t="inlineStr">
        <is>
          <t>Bergvik skog öst AB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46176</v>
      </c>
      <c r="E244" s="1" t="n">
        <v>46321</v>
      </c>
      <c r="F244" t="inlineStr">
        <is>
          <t>GÄVLEBORGS LÄN</t>
        </is>
      </c>
      <c r="G244" t="inlineStr">
        <is>
          <t>SANDVIKEN</t>
        </is>
      </c>
      <c r="H244" t="inlineStr">
        <is>
          <t>Bergvik skog öst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46321</v>
      </c>
      <c r="F245" t="inlineStr">
        <is>
          <t>GÄVLEBORGS LÄN</t>
        </is>
      </c>
      <c r="G245" t="inlineStr">
        <is>
          <t>SANDVIKEN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45415</v>
      </c>
      <c r="E246" s="1" t="n">
        <v>46321</v>
      </c>
      <c r="F246" t="inlineStr">
        <is>
          <t>GÄVLEBORGS LÄN</t>
        </is>
      </c>
      <c r="G246" t="inlineStr">
        <is>
          <t>SANDVIKEN</t>
        </is>
      </c>
      <c r="H246" t="inlineStr">
        <is>
          <t>Kommuner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50851-2025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45946</v>
      </c>
      <c r="E247" s="1" t="n">
        <v>46321</v>
      </c>
      <c r="F247" t="inlineStr">
        <is>
          <t>GÄVLEBORGS LÄN</t>
        </is>
      </c>
      <c r="G247" t="inlineStr">
        <is>
          <t>SANDVIKEN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46321</v>
      </c>
      <c r="F248" t="inlineStr">
        <is>
          <t>GÄVLEBORGS LÄN</t>
        </is>
      </c>
      <c r="G248" t="inlineStr">
        <is>
          <t>SANDVIKEN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46321</v>
      </c>
      <c r="F249" t="inlineStr">
        <is>
          <t>GÄVLEBORGS LÄN</t>
        </is>
      </c>
      <c r="G249" t="inlineStr">
        <is>
          <t>SANDVIKEN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46321</v>
      </c>
      <c r="F250" t="inlineStr">
        <is>
          <t>GÄVLEBORGS LÄN</t>
        </is>
      </c>
      <c r="G250" t="inlineStr">
        <is>
          <t>SANDVIKEN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38449-2023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46321</v>
      </c>
      <c r="F251" t="inlineStr">
        <is>
          <t>GÄVLEBORGS LÄN</t>
        </is>
      </c>
      <c r="G251" t="inlineStr">
        <is>
          <t>SANDVIKEN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46321</v>
      </c>
      <c r="F252" t="inlineStr">
        <is>
          <t>GÄVLEBORGS LÄN</t>
        </is>
      </c>
      <c r="G252" t="inlineStr">
        <is>
          <t>SANDVIKEN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45327</v>
      </c>
      <c r="E253" s="1" t="n">
        <v>46321</v>
      </c>
      <c r="F253" t="inlineStr">
        <is>
          <t>GÄVLEBORGS LÄN</t>
        </is>
      </c>
      <c r="G253" t="inlineStr">
        <is>
          <t>SANDVIKEN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46321</v>
      </c>
      <c r="F254" t="inlineStr">
        <is>
          <t>GÄVLEBORGS LÄN</t>
        </is>
      </c>
      <c r="G254" t="inlineStr">
        <is>
          <t>SANDVIKEN</t>
        </is>
      </c>
      <c r="H254" t="inlineStr">
        <is>
          <t>Bergvik skog öst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46321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45087</v>
      </c>
      <c r="E256" s="1" t="n">
        <v>46321</v>
      </c>
      <c r="F256" t="inlineStr">
        <is>
          <t>GÄVLEBORGS LÄN</t>
        </is>
      </c>
      <c r="G256" t="inlineStr">
        <is>
          <t>SANDVIKEN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46321</v>
      </c>
      <c r="F257" t="inlineStr">
        <is>
          <t>GÄVLEBORGS LÄN</t>
        </is>
      </c>
      <c r="G257" t="inlineStr">
        <is>
          <t>SANDVIKEN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46321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32291-2024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46321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45169</v>
      </c>
      <c r="E260" s="1" t="n">
        <v>46321</v>
      </c>
      <c r="F260" t="inlineStr">
        <is>
          <t>GÄVLEBORGS LÄN</t>
        </is>
      </c>
      <c r="G260" t="inlineStr">
        <is>
          <t>SANDVIKEN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46321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HYPERLINK("https://klasma.github.io/Logging_2181/knärot/A 52786-2025 karta knärot.png", "A 52786-2025")</f>
        <v/>
      </c>
      <c r="AA261">
        <f>HYPERLINK("https://klasma.github.io/Logging_2181/klagomål/A 52786-2025 FSC-klagomål.docx", "A 52786-2025")</f>
        <v/>
      </c>
      <c r="AB261">
        <f>HYPERLINK("https://klasma.github.io/Logging_2181/klagomålsmail/A 52786-2025 FSC-klagomål mail.docx", "A 52786-2025")</f>
        <v/>
      </c>
      <c r="AC261">
        <f>HYPERLINK("https://klasma.github.io/Logging_2181/tillsyn/A 52786-2025 tillsynsbegäran.docx", "A 52786-2025")</f>
        <v/>
      </c>
      <c r="AD261">
        <f>HYPERLINK("https://klasma.github.io/Logging_2181/tillsynsmail/A 52786-2025 tillsynsbegäran mail.docx", "A 52786-2025")</f>
        <v/>
      </c>
    </row>
    <row r="262" ht="15" customHeight="1">
      <c r="A262" t="inlineStr">
        <is>
          <t>A 49704-2023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45212</v>
      </c>
      <c r="E262" s="1" t="n">
        <v>46321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46321</v>
      </c>
      <c r="F263" t="inlineStr">
        <is>
          <t>GÄVLEBORGS LÄN</t>
        </is>
      </c>
      <c r="G263" t="inlineStr">
        <is>
          <t>SANDVIKEN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46321</v>
      </c>
      <c r="F264" t="inlineStr">
        <is>
          <t>GÄVLEBORGS LÄN</t>
        </is>
      </c>
      <c r="G264" t="inlineStr">
        <is>
          <t>SANDVIKEN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46321</v>
      </c>
      <c r="F265" t="inlineStr">
        <is>
          <t>GÄVLEBORGS LÄN</t>
        </is>
      </c>
      <c r="G265" t="inlineStr">
        <is>
          <t>SANDVIKEN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46321</v>
      </c>
      <c r="F266" t="inlineStr">
        <is>
          <t>GÄVLEBORGS LÄN</t>
        </is>
      </c>
      <c r="G266" t="inlineStr">
        <is>
          <t>SANDVIKEN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46321</v>
      </c>
      <c r="F267" t="inlineStr">
        <is>
          <t>GÄVLEBORGS LÄN</t>
        </is>
      </c>
      <c r="G267" t="inlineStr">
        <is>
          <t>SANDVIKEN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46321</v>
      </c>
      <c r="F268" t="inlineStr">
        <is>
          <t>GÄVLEBORGS LÄN</t>
        </is>
      </c>
      <c r="G268" t="inlineStr">
        <is>
          <t>SANDVIKEN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46321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25828-2024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45467</v>
      </c>
      <c r="E270" s="1" t="n">
        <v>46321</v>
      </c>
      <c r="F270" t="inlineStr">
        <is>
          <t>GÄVLEBORGS LÄN</t>
        </is>
      </c>
      <c r="G270" t="inlineStr">
        <is>
          <t>SANDVIKEN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44797</v>
      </c>
      <c r="E271" s="1" t="n">
        <v>46321</v>
      </c>
      <c r="F271" t="inlineStr">
        <is>
          <t>GÄVLEBORGS LÄN</t>
        </is>
      </c>
      <c r="G271" t="inlineStr">
        <is>
          <t>SANDVIKEN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46321</v>
      </c>
      <c r="F272" t="inlineStr">
        <is>
          <t>GÄVLEBORGS LÄN</t>
        </is>
      </c>
      <c r="G272" t="inlineStr">
        <is>
          <t>SANDVIKEN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44988</v>
      </c>
      <c r="E273" s="1" t="n">
        <v>46321</v>
      </c>
      <c r="F273" t="inlineStr">
        <is>
          <t>GÄVLEBORGS LÄN</t>
        </is>
      </c>
      <c r="G273" t="inlineStr">
        <is>
          <t>SANDVIKEN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14720-2026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46321</v>
      </c>
      <c r="F274" t="inlineStr">
        <is>
          <t>GÄVLEBORGS LÄN</t>
        </is>
      </c>
      <c r="G274" t="inlineStr">
        <is>
          <t>SANDVIKEN</t>
        </is>
      </c>
      <c r="H274" t="inlineStr">
        <is>
          <t>Kommuner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46321</v>
      </c>
      <c r="F275" t="inlineStr">
        <is>
          <t>GÄVLEBORGS LÄN</t>
        </is>
      </c>
      <c r="G275" t="inlineStr">
        <is>
          <t>SANDVIKEN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46321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46321</v>
      </c>
      <c r="F277" t="inlineStr">
        <is>
          <t>GÄVLEBORGS LÄN</t>
        </is>
      </c>
      <c r="G277" t="inlineStr">
        <is>
          <t>SANDVIKEN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46321</v>
      </c>
      <c r="F278" t="inlineStr">
        <is>
          <t>GÄVLEBORGS LÄN</t>
        </is>
      </c>
      <c r="G278" t="inlineStr">
        <is>
          <t>SANDVIKEN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45968</v>
      </c>
      <c r="E279" s="1" t="n">
        <v>46321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46321</v>
      </c>
      <c r="F280" t="inlineStr">
        <is>
          <t>GÄVLEBORGS LÄN</t>
        </is>
      </c>
      <c r="G280" t="inlineStr">
        <is>
          <t>SANDVIKEN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46321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öst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46321</v>
      </c>
      <c r="F282" t="inlineStr">
        <is>
          <t>GÄVLEBORGS LÄN</t>
        </is>
      </c>
      <c r="G282" t="inlineStr">
        <is>
          <t>SANDVIKEN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55595-2025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46321</v>
      </c>
      <c r="F283" t="inlineStr">
        <is>
          <t>GÄVLEBORGS LÄN</t>
        </is>
      </c>
      <c r="G283" t="inlineStr">
        <is>
          <t>SANDVIKEN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46321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46321</v>
      </c>
      <c r="F285" t="inlineStr">
        <is>
          <t>GÄVLEBORGS LÄN</t>
        </is>
      </c>
      <c r="G285" t="inlineStr">
        <is>
          <t>SANDVIKEN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46321</v>
      </c>
      <c r="F286" t="inlineStr">
        <is>
          <t>GÄVLEBORGS LÄN</t>
        </is>
      </c>
      <c r="G286" t="inlineStr">
        <is>
          <t>SANDVIKEN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55355-2025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46321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46321</v>
      </c>
      <c r="F288" t="inlineStr">
        <is>
          <t>GÄVLEBORGS LÄN</t>
        </is>
      </c>
      <c r="G288" t="inlineStr">
        <is>
          <t>SANDVIKEN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46321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26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46196</v>
      </c>
      <c r="E290" s="1" t="n">
        <v>46321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46321</v>
      </c>
      <c r="F291" t="inlineStr">
        <is>
          <t>GÄVLEBORGS LÄN</t>
        </is>
      </c>
      <c r="G291" t="inlineStr">
        <is>
          <t>SANDVIKEN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46321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11.9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43121-2024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45567</v>
      </c>
      <c r="E293" s="1" t="n">
        <v>46321</v>
      </c>
      <c r="F293" t="inlineStr">
        <is>
          <t>GÄVLEBORGS LÄN</t>
        </is>
      </c>
      <c r="G293" t="inlineStr">
        <is>
          <t>SANDVIKEN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46321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46321</v>
      </c>
      <c r="F295" t="inlineStr">
        <is>
          <t>GÄVLEBORGS LÄN</t>
        </is>
      </c>
      <c r="G295" t="inlineStr">
        <is>
          <t>SANDVIKEN</t>
        </is>
      </c>
      <c r="I295" t="n">
        <v>10.4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46321</v>
      </c>
      <c r="F296" t="inlineStr">
        <is>
          <t>GÄVLEBORGS LÄN</t>
        </is>
      </c>
      <c r="G296" t="inlineStr">
        <is>
          <t>SANDVIKEN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46321</v>
      </c>
      <c r="F297" t="inlineStr">
        <is>
          <t>GÄVLEBORGS LÄN</t>
        </is>
      </c>
      <c r="G297" t="inlineStr">
        <is>
          <t>SANDVIKEN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29115-2026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46201</v>
      </c>
      <c r="E298" s="1" t="n">
        <v>46321</v>
      </c>
      <c r="F298" t="inlineStr">
        <is>
          <t>GÄVLEBORGS LÄN</t>
        </is>
      </c>
      <c r="G298" t="inlineStr">
        <is>
          <t>SANDVIKEN</t>
        </is>
      </c>
      <c r="H298" t="inlineStr">
        <is>
          <t>Kommuner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45977</v>
      </c>
      <c r="E299" s="1" t="n">
        <v>46321</v>
      </c>
      <c r="F299" t="inlineStr">
        <is>
          <t>GÄVLEBORGS LÄN</t>
        </is>
      </c>
      <c r="G299" t="inlineStr">
        <is>
          <t>SANDVIKEN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46321</v>
      </c>
      <c r="F300" t="inlineStr">
        <is>
          <t>GÄVLEBORGS LÄN</t>
        </is>
      </c>
      <c r="G300" t="inlineStr">
        <is>
          <t>SANDVIKEN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46321</v>
      </c>
      <c r="F301" t="inlineStr">
        <is>
          <t>GÄVLEBORGS LÄN</t>
        </is>
      </c>
      <c r="G301" t="inlineStr">
        <is>
          <t>SANDVIKEN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46321</v>
      </c>
      <c r="F302" t="inlineStr">
        <is>
          <t>GÄVLEBORGS LÄN</t>
        </is>
      </c>
      <c r="G302" t="inlineStr">
        <is>
          <t>SANDVIKEN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64587-2023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45281</v>
      </c>
      <c r="E303" s="1" t="n">
        <v>46321</v>
      </c>
      <c r="F303" t="inlineStr">
        <is>
          <t>GÄVLEBORGS LÄN</t>
        </is>
      </c>
      <c r="G303" t="inlineStr">
        <is>
          <t>SANDVIKEN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46203</v>
      </c>
      <c r="E304" s="1" t="n">
        <v>46321</v>
      </c>
      <c r="F304" t="inlineStr">
        <is>
          <t>GÄVLEBORGS LÄN</t>
        </is>
      </c>
      <c r="G304" t="inlineStr">
        <is>
          <t>SANDVIKEN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46321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45540</v>
      </c>
      <c r="E306" s="1" t="n">
        <v>46321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46321</v>
      </c>
      <c r="F307" t="inlineStr">
        <is>
          <t>GÄVLEBORGS LÄN</t>
        </is>
      </c>
      <c r="G307" t="inlineStr">
        <is>
          <t>SANDVIKEN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46321</v>
      </c>
      <c r="F308" t="inlineStr">
        <is>
          <t>GÄVLEBORGS LÄN</t>
        </is>
      </c>
      <c r="G308" t="inlineStr">
        <is>
          <t>SANDVIKEN</t>
        </is>
      </c>
      <c r="H308" t="inlineStr">
        <is>
          <t>Naturvårdsverket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29972-2022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44756</v>
      </c>
      <c r="E309" s="1" t="n">
        <v>46321</v>
      </c>
      <c r="F309" t="inlineStr">
        <is>
          <t>GÄVLEBORGS LÄN</t>
        </is>
      </c>
      <c r="G309" t="inlineStr">
        <is>
          <t>SANDVIKEN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46321</v>
      </c>
      <c r="F310" t="inlineStr">
        <is>
          <t>GÄVLEBORGS LÄN</t>
        </is>
      </c>
      <c r="G310" t="inlineStr">
        <is>
          <t>SANDVIKEN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46321</v>
      </c>
      <c r="F311" t="inlineStr">
        <is>
          <t>GÄVLEBORGS LÄN</t>
        </is>
      </c>
      <c r="G311" t="inlineStr">
        <is>
          <t>SANDVIKEN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60908-2022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44914</v>
      </c>
      <c r="E312" s="1" t="n">
        <v>46321</v>
      </c>
      <c r="F312" t="inlineStr">
        <is>
          <t>GÄVLEBORGS LÄN</t>
        </is>
      </c>
      <c r="G312" t="inlineStr">
        <is>
          <t>SANDVIKEN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46204</v>
      </c>
      <c r="E313" s="1" t="n">
        <v>46321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46321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46321</v>
      </c>
      <c r="F315" t="inlineStr">
        <is>
          <t>GÄVLEBORGS LÄN</t>
        </is>
      </c>
      <c r="G315" t="inlineStr">
        <is>
          <t>SANDVIKEN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46321</v>
      </c>
      <c r="F316" t="inlineStr">
        <is>
          <t>GÄVLEBORGS LÄN</t>
        </is>
      </c>
      <c r="G316" t="inlineStr">
        <is>
          <t>SANDVIKEN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46321</v>
      </c>
      <c r="F317" t="inlineStr">
        <is>
          <t>GÄVLEBORGS LÄN</t>
        </is>
      </c>
      <c r="G317" t="inlineStr">
        <is>
          <t>SANDVIKEN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46321</v>
      </c>
      <c r="F318" t="inlineStr">
        <is>
          <t>GÄVLEBORGS LÄN</t>
        </is>
      </c>
      <c r="G318" t="inlineStr">
        <is>
          <t>SANDVIKEN</t>
        </is>
      </c>
      <c r="H318" t="inlineStr">
        <is>
          <t>Naturvårdsverket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44918</v>
      </c>
      <c r="E319" s="1" t="n">
        <v>46321</v>
      </c>
      <c r="F319" t="inlineStr">
        <is>
          <t>GÄVLEBORGS LÄN</t>
        </is>
      </c>
      <c r="G319" t="inlineStr">
        <is>
          <t>SANDVIKEN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45983</v>
      </c>
      <c r="E320" s="1" t="n">
        <v>46321</v>
      </c>
      <c r="F320" t="inlineStr">
        <is>
          <t>GÄVLEBORGS LÄN</t>
        </is>
      </c>
      <c r="G320" t="inlineStr">
        <is>
          <t>SANDVIKEN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46321</v>
      </c>
      <c r="F321" t="inlineStr">
        <is>
          <t>GÄVLEBORGS LÄN</t>
        </is>
      </c>
      <c r="G321" t="inlineStr">
        <is>
          <t>SANDVIKEN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45984</v>
      </c>
      <c r="E322" s="1" t="n">
        <v>46321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45984</v>
      </c>
      <c r="E323" s="1" t="n">
        <v>46321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45984</v>
      </c>
      <c r="E324" s="1" t="n">
        <v>46321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46321</v>
      </c>
      <c r="F325" t="inlineStr">
        <is>
          <t>GÄVLEBORGS LÄN</t>
        </is>
      </c>
      <c r="G325" t="inlineStr">
        <is>
          <t>SANDVIKEN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46321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10895-2025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46321</v>
      </c>
      <c r="F327" t="inlineStr">
        <is>
          <t>GÄVLEBORGS LÄN</t>
        </is>
      </c>
      <c r="G327" t="inlineStr">
        <is>
          <t>SANDVIKEN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46321</v>
      </c>
      <c r="F328" t="inlineStr">
        <is>
          <t>GÄVLEBORGS LÄN</t>
        </is>
      </c>
      <c r="G328" t="inlineStr">
        <is>
          <t>SANDVIKEN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46321</v>
      </c>
      <c r="F329" t="inlineStr">
        <is>
          <t>GÄVLEBORGS LÄN</t>
        </is>
      </c>
      <c r="G329" t="inlineStr">
        <is>
          <t>SANDVIKEN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46321</v>
      </c>
      <c r="F330" t="inlineStr">
        <is>
          <t>GÄVLEBORGS LÄN</t>
        </is>
      </c>
      <c r="G330" t="inlineStr">
        <is>
          <t>SANDVIKEN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46177</v>
      </c>
      <c r="E331" s="1" t="n">
        <v>46321</v>
      </c>
      <c r="F331" t="inlineStr">
        <is>
          <t>GÄVLEBORGS LÄN</t>
        </is>
      </c>
      <c r="G331" t="inlineStr">
        <is>
          <t>SANDVIKEN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46321</v>
      </c>
      <c r="F332" t="inlineStr">
        <is>
          <t>GÄVLEBORGS LÄN</t>
        </is>
      </c>
      <c r="G332" t="inlineStr">
        <is>
          <t>SANDVIKEN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45476</v>
      </c>
      <c r="E333" s="1" t="n">
        <v>46321</v>
      </c>
      <c r="F333" t="inlineStr">
        <is>
          <t>GÄVLEBORGS LÄN</t>
        </is>
      </c>
      <c r="G333" t="inlineStr">
        <is>
          <t>SANDVIKEN</t>
        </is>
      </c>
      <c r="H333" t="inlineStr">
        <is>
          <t>Kommuner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46321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46321</v>
      </c>
      <c r="F335" t="inlineStr">
        <is>
          <t>GÄVLEBORGS LÄN</t>
        </is>
      </c>
      <c r="G335" t="inlineStr">
        <is>
          <t>SANDVIKEN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46321</v>
      </c>
      <c r="F336" t="inlineStr">
        <is>
          <t>GÄVLEBORGS LÄN</t>
        </is>
      </c>
      <c r="G336" t="inlineStr">
        <is>
          <t>SANDVIKEN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45649</v>
      </c>
      <c r="E337" s="1" t="n">
        <v>46321</v>
      </c>
      <c r="F337" t="inlineStr">
        <is>
          <t>GÄVLEBORGS LÄN</t>
        </is>
      </c>
      <c r="G337" t="inlineStr">
        <is>
          <t>SANDVIKEN</t>
        </is>
      </c>
      <c r="I337" t="n">
        <v>11.1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45085</v>
      </c>
      <c r="E338" s="1" t="n">
        <v>46321</v>
      </c>
      <c r="F338" t="inlineStr">
        <is>
          <t>GÄVLEBORGS LÄN</t>
        </is>
      </c>
      <c r="G338" t="inlineStr">
        <is>
          <t>SANDVIKEN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46321</v>
      </c>
      <c r="F339" t="inlineStr">
        <is>
          <t>GÄVLEBORGS LÄN</t>
        </is>
      </c>
      <c r="G339" t="inlineStr">
        <is>
          <t>SANDVIKEN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46219</v>
      </c>
      <c r="E340" s="1" t="n">
        <v>46321</v>
      </c>
      <c r="F340" t="inlineStr">
        <is>
          <t>GÄVLEBORGS LÄN</t>
        </is>
      </c>
      <c r="G340" t="inlineStr">
        <is>
          <t>SANDVIKEN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46321</v>
      </c>
      <c r="F341" t="inlineStr">
        <is>
          <t>GÄVLEBORGS LÄN</t>
        </is>
      </c>
      <c r="G341" t="inlineStr">
        <is>
          <t>SANDVIKEN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58804-2025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45986</v>
      </c>
      <c r="E342" s="1" t="n">
        <v>46321</v>
      </c>
      <c r="F342" t="inlineStr">
        <is>
          <t>GÄVLEBORGS LÄN</t>
        </is>
      </c>
      <c r="G342" t="inlineStr">
        <is>
          <t>SANDVIKEN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46321</v>
      </c>
      <c r="F343" t="inlineStr">
        <is>
          <t>GÄVLEBORGS LÄN</t>
        </is>
      </c>
      <c r="G343" t="inlineStr">
        <is>
          <t>SANDVIKEN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46321</v>
      </c>
      <c r="F344" t="inlineStr">
        <is>
          <t>GÄVLEBORGS LÄN</t>
        </is>
      </c>
      <c r="G344" t="inlineStr">
        <is>
          <t>SANDVIKEN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46321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45779</v>
      </c>
      <c r="E346" s="1" t="n">
        <v>46321</v>
      </c>
      <c r="F346" t="inlineStr">
        <is>
          <t>GÄVLEBORGS LÄN</t>
        </is>
      </c>
      <c r="G346" t="inlineStr">
        <is>
          <t>SANDVIKEN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46321</v>
      </c>
      <c r="F347" t="inlineStr">
        <is>
          <t>GÄVLEBORGS LÄN</t>
        </is>
      </c>
      <c r="G347" t="inlineStr">
        <is>
          <t>SANDVIKEN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46227</v>
      </c>
      <c r="E348" s="1" t="n">
        <v>46321</v>
      </c>
      <c r="F348" t="inlineStr">
        <is>
          <t>GÄVLEBORGS LÄN</t>
        </is>
      </c>
      <c r="G348" t="inlineStr">
        <is>
          <t>SANDVIKEN</t>
        </is>
      </c>
      <c r="H348" t="inlineStr">
        <is>
          <t>Kommuner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46321</v>
      </c>
      <c r="F349" t="inlineStr">
        <is>
          <t>GÄVLEBORGS LÄN</t>
        </is>
      </c>
      <c r="G349" t="inlineStr">
        <is>
          <t>SANDVIKEN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31802-2026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46230</v>
      </c>
      <c r="E350" s="1" t="n">
        <v>46321</v>
      </c>
      <c r="F350" t="inlineStr">
        <is>
          <t>GÄVLEBORGS LÄN</t>
        </is>
      </c>
      <c r="G350" t="inlineStr">
        <is>
          <t>SANDVIKEN</t>
        </is>
      </c>
      <c r="H350" t="inlineStr">
        <is>
          <t>Kommuner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46230</v>
      </c>
      <c r="E351" s="1" t="n">
        <v>46321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11.2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47710-2022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44854</v>
      </c>
      <c r="E352" s="1" t="n">
        <v>46321</v>
      </c>
      <c r="F352" t="inlineStr">
        <is>
          <t>GÄVLEBORGS LÄN</t>
        </is>
      </c>
      <c r="G352" t="inlineStr">
        <is>
          <t>SANDVIKEN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41284-2023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45174</v>
      </c>
      <c r="E353" s="1" t="n">
        <v>46321</v>
      </c>
      <c r="F353" t="inlineStr">
        <is>
          <t>GÄVLEBORGS LÄN</t>
        </is>
      </c>
      <c r="G353" t="inlineStr">
        <is>
          <t>SANDVIKEN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45240</v>
      </c>
      <c r="E354" s="1" t="n">
        <v>46321</v>
      </c>
      <c r="F354" t="inlineStr">
        <is>
          <t>GÄVLEBORGS LÄN</t>
        </is>
      </c>
      <c r="G354" t="inlineStr">
        <is>
          <t>SANDVIKEN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40460-2024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45555</v>
      </c>
      <c r="E355" s="1" t="n">
        <v>46321</v>
      </c>
      <c r="F355" t="inlineStr">
        <is>
          <t>GÄVLEBORGS LÄN</t>
        </is>
      </c>
      <c r="G355" t="inlineStr">
        <is>
          <t>SANDVIKEN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55446-2024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46321</v>
      </c>
      <c r="F356" t="inlineStr">
        <is>
          <t>GÄVLEBORGS LÄN</t>
        </is>
      </c>
      <c r="G356" t="inlineStr">
        <is>
          <t>SANDVIKEN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48319-2023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46321</v>
      </c>
      <c r="F357" t="inlineStr">
        <is>
          <t>GÄVLEBORGS LÄN</t>
        </is>
      </c>
      <c r="G357" t="inlineStr">
        <is>
          <t>SANDVIKEN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46321</v>
      </c>
      <c r="F358" t="inlineStr">
        <is>
          <t>GÄVLEBORGS LÄN</t>
        </is>
      </c>
      <c r="G358" t="inlineStr">
        <is>
          <t>SANDVIKEN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46280</v>
      </c>
      <c r="E359" s="1" t="n">
        <v>46321</v>
      </c>
      <c r="F359" t="inlineStr">
        <is>
          <t>GÄVLEBORGS LÄN</t>
        </is>
      </c>
      <c r="G359" t="inlineStr">
        <is>
          <t>SANDVIKEN</t>
        </is>
      </c>
      <c r="H359" t="inlineStr">
        <is>
          <t>Kommuner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45178</v>
      </c>
      <c r="E360" s="1" t="n">
        <v>46321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väst AB</t>
        </is>
      </c>
      <c r="I360" t="n">
        <v>16.5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69521-2021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44531</v>
      </c>
      <c r="E361" s="1" t="n">
        <v>46321</v>
      </c>
      <c r="F361" t="inlineStr">
        <is>
          <t>GÄVLEBORGS LÄN</t>
        </is>
      </c>
      <c r="G361" t="inlineStr">
        <is>
          <t>SANDVIKEN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46013</v>
      </c>
      <c r="E362" s="1" t="n">
        <v>46321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45679</v>
      </c>
      <c r="E363" s="1" t="n">
        <v>46321</v>
      </c>
      <c r="F363" t="inlineStr">
        <is>
          <t>GÄVLEBORGS LÄN</t>
        </is>
      </c>
      <c r="G363" t="inlineStr">
        <is>
          <t>SANDVIKEN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33623-2024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45520</v>
      </c>
      <c r="E364" s="1" t="n">
        <v>46321</v>
      </c>
      <c r="F364" t="inlineStr">
        <is>
          <t>GÄVLEBORGS LÄN</t>
        </is>
      </c>
      <c r="G364" t="inlineStr">
        <is>
          <t>SANDVIKEN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46021</v>
      </c>
      <c r="E365" s="1" t="n">
        <v>46321</v>
      </c>
      <c r="F365" t="inlineStr">
        <is>
          <t>GÄVLEBORGS LÄN</t>
        </is>
      </c>
      <c r="G365" t="inlineStr">
        <is>
          <t>SANDVIKEN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45525</v>
      </c>
      <c r="E366" s="1" t="n">
        <v>46321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46321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46321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46321</v>
      </c>
      <c r="F369" t="inlineStr">
        <is>
          <t>GÄVLEBORGS LÄN</t>
        </is>
      </c>
      <c r="G369" t="inlineStr">
        <is>
          <t>SANDVIKEN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46321</v>
      </c>
      <c r="F370" t="inlineStr">
        <is>
          <t>GÄVLEBORGS LÄN</t>
        </is>
      </c>
      <c r="G370" t="inlineStr">
        <is>
          <t>SANDVIKEN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46321</v>
      </c>
      <c r="F371" t="inlineStr">
        <is>
          <t>GÄVLEBORGS LÄN</t>
        </is>
      </c>
      <c r="G371" t="inlineStr">
        <is>
          <t>SANDVIKEN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46321</v>
      </c>
      <c r="F372" t="inlineStr">
        <is>
          <t>GÄVLEBORGS LÄN</t>
        </is>
      </c>
      <c r="G372" t="inlineStr">
        <is>
          <t>SANDVIKEN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46036</v>
      </c>
      <c r="E373" s="1" t="n">
        <v>46321</v>
      </c>
      <c r="F373" t="inlineStr">
        <is>
          <t>GÄVLEBORGS LÄN</t>
        </is>
      </c>
      <c r="G373" t="inlineStr">
        <is>
          <t>SANDVIKEN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46321</v>
      </c>
      <c r="F374" t="inlineStr">
        <is>
          <t>GÄVLEBORGS LÄN</t>
        </is>
      </c>
      <c r="G374" t="inlineStr">
        <is>
          <t>SANDVIKEN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46321</v>
      </c>
      <c r="F375" t="inlineStr">
        <is>
          <t>GÄVLEBORGS LÄN</t>
        </is>
      </c>
      <c r="G375" t="inlineStr">
        <is>
          <t>SANDVIKEN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46321</v>
      </c>
      <c r="F376" t="inlineStr">
        <is>
          <t>GÄVLEBORGS LÄN</t>
        </is>
      </c>
      <c r="G376" t="inlineStr">
        <is>
          <t>SANDVIKEN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45475</v>
      </c>
      <c r="E377" s="1" t="n">
        <v>46321</v>
      </c>
      <c r="F377" t="inlineStr">
        <is>
          <t>GÄVLEBORGS LÄN</t>
        </is>
      </c>
      <c r="G377" t="inlineStr">
        <is>
          <t>SANDVIKEN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46321</v>
      </c>
      <c r="F378" t="inlineStr">
        <is>
          <t>GÄVLEBORGS LÄN</t>
        </is>
      </c>
      <c r="G378" t="inlineStr">
        <is>
          <t>SANDVIKEN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46035</v>
      </c>
      <c r="E379" s="1" t="n">
        <v>46321</v>
      </c>
      <c r="F379" t="inlineStr">
        <is>
          <t>GÄVLEBORGS LÄN</t>
        </is>
      </c>
      <c r="G379" t="inlineStr">
        <is>
          <t>SANDVIKEN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46321</v>
      </c>
      <c r="F380" t="inlineStr">
        <is>
          <t>GÄVLEBORGS LÄN</t>
        </is>
      </c>
      <c r="G380" t="inlineStr">
        <is>
          <t>SANDVIKEN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46321</v>
      </c>
      <c r="F381" t="inlineStr">
        <is>
          <t>GÄVLEBORGS LÄN</t>
        </is>
      </c>
      <c r="G381" t="inlineStr">
        <is>
          <t>SANDVIKEN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46042</v>
      </c>
      <c r="E382" s="1" t="n">
        <v>46321</v>
      </c>
      <c r="F382" t="inlineStr">
        <is>
          <t>GÄVLEBORGS LÄN</t>
        </is>
      </c>
      <c r="G382" t="inlineStr">
        <is>
          <t>SANDVIKEN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45188</v>
      </c>
      <c r="E383" s="1" t="n">
        <v>46321</v>
      </c>
      <c r="F383" t="inlineStr">
        <is>
          <t>GÄVLEBORGS LÄN</t>
        </is>
      </c>
      <c r="G383" t="inlineStr">
        <is>
          <t>SANDVIKEN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15682-2024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45404</v>
      </c>
      <c r="E384" s="1" t="n">
        <v>46321</v>
      </c>
      <c r="F384" t="inlineStr">
        <is>
          <t>GÄVLEBORGS LÄN</t>
        </is>
      </c>
      <c r="G384" t="inlineStr">
        <is>
          <t>SANDVIKEN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46287</v>
      </c>
      <c r="E385" s="1" t="n">
        <v>46321</v>
      </c>
      <c r="F385" t="inlineStr">
        <is>
          <t>GÄVLEBORGS LÄN</t>
        </is>
      </c>
      <c r="G385" t="inlineStr">
        <is>
          <t>SANDVIKEN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46288</v>
      </c>
      <c r="E386" s="1" t="n">
        <v>46321</v>
      </c>
      <c r="F386" t="inlineStr">
        <is>
          <t>GÄVLEBORGS LÄN</t>
        </is>
      </c>
      <c r="G386" t="inlineStr">
        <is>
          <t>SANDVIKEN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46321</v>
      </c>
      <c r="F387" t="inlineStr">
        <is>
          <t>GÄVLEBORGS LÄN</t>
        </is>
      </c>
      <c r="G387" t="inlineStr">
        <is>
          <t>SANDVIKEN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46321</v>
      </c>
      <c r="F388" t="inlineStr">
        <is>
          <t>GÄVLEBORGS LÄN</t>
        </is>
      </c>
      <c r="G388" t="inlineStr">
        <is>
          <t>SANDVIKEN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46321</v>
      </c>
      <c r="F389" t="inlineStr">
        <is>
          <t>GÄVLEBORGS LÄN</t>
        </is>
      </c>
      <c r="G389" t="inlineStr">
        <is>
          <t>SANDVIKEN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45278</v>
      </c>
      <c r="E390" s="1" t="n">
        <v>46321</v>
      </c>
      <c r="F390" t="inlineStr">
        <is>
          <t>GÄVLEBORGS LÄN</t>
        </is>
      </c>
      <c r="G390" t="inlineStr">
        <is>
          <t>SANDVIKEN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46321</v>
      </c>
      <c r="F391" t="inlineStr">
        <is>
          <t>GÄVLEBORGS LÄN</t>
        </is>
      </c>
      <c r="G391" t="inlineStr">
        <is>
          <t>SANDVIKEN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46321</v>
      </c>
      <c r="F392" t="inlineStr">
        <is>
          <t>GÄVLEBORGS LÄN</t>
        </is>
      </c>
      <c r="G392" t="inlineStr">
        <is>
          <t>SANDVIKEN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39396-2026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46321</v>
      </c>
      <c r="F393" t="inlineStr">
        <is>
          <t>GÄVLEBORGS LÄN</t>
        </is>
      </c>
      <c r="G393" t="inlineStr">
        <is>
          <t>SANDVIKEN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46287</v>
      </c>
      <c r="E394" s="1" t="n">
        <v>46321</v>
      </c>
      <c r="F394" t="inlineStr">
        <is>
          <t>GÄVLEBORGS LÄN</t>
        </is>
      </c>
      <c r="G394" t="inlineStr">
        <is>
          <t>SANDVIKEN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53322-2024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46321</v>
      </c>
      <c r="F395" t="inlineStr">
        <is>
          <t>GÄVLEBORGS LÄN</t>
        </is>
      </c>
      <c r="G395" t="inlineStr">
        <is>
          <t>SANDVIKEN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46321</v>
      </c>
      <c r="F396" t="inlineStr">
        <is>
          <t>GÄVLEBORGS LÄN</t>
        </is>
      </c>
      <c r="G396" t="inlineStr">
        <is>
          <t>SANDVIKEN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45673</v>
      </c>
      <c r="E397" s="1" t="n">
        <v>46321</v>
      </c>
      <c r="F397" t="inlineStr">
        <is>
          <t>GÄVLEBORGS LÄN</t>
        </is>
      </c>
      <c r="G397" t="inlineStr">
        <is>
          <t>SANDVIKEN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46244</v>
      </c>
      <c r="E398" s="1" t="n">
        <v>46321</v>
      </c>
      <c r="F398" t="inlineStr">
        <is>
          <t>GÄVLEBORGS LÄN</t>
        </is>
      </c>
      <c r="G398" t="inlineStr">
        <is>
          <t>SANDVIKEN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18725-2025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46321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46321</v>
      </c>
      <c r="F400" t="inlineStr">
        <is>
          <t>GÄVLEBORGS LÄN</t>
        </is>
      </c>
      <c r="G400" t="inlineStr">
        <is>
          <t>SANDVIKEN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46321</v>
      </c>
      <c r="F401" t="inlineStr">
        <is>
          <t>GÄVLEBORGS LÄN</t>
        </is>
      </c>
      <c r="G401" t="inlineStr">
        <is>
          <t>SANDVIKEN</t>
        </is>
      </c>
      <c r="H401" t="inlineStr">
        <is>
          <t>Sveaskog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46321</v>
      </c>
      <c r="F402" t="inlineStr">
        <is>
          <t>GÄVLEBORGS LÄN</t>
        </is>
      </c>
      <c r="G402" t="inlineStr">
        <is>
          <t>SANDVIKEN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32875-2026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46244</v>
      </c>
      <c r="E403" s="1" t="n">
        <v>46321</v>
      </c>
      <c r="F403" t="inlineStr">
        <is>
          <t>GÄVLEBORGS LÄN</t>
        </is>
      </c>
      <c r="G403" t="inlineStr">
        <is>
          <t>SANDVIKEN</t>
        </is>
      </c>
      <c r="H403" t="inlineStr">
        <is>
          <t>Kommuner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46321</v>
      </c>
      <c r="F404" t="inlineStr">
        <is>
          <t>GÄVLEBORGS LÄN</t>
        </is>
      </c>
      <c r="G404" t="inlineStr">
        <is>
          <t>SANDVIKEN</t>
        </is>
      </c>
      <c r="H404" t="inlineStr">
        <is>
          <t>Kommuner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45799</v>
      </c>
      <c r="E405" s="1" t="n">
        <v>46321</v>
      </c>
      <c r="F405" t="inlineStr">
        <is>
          <t>GÄVLEBORGS LÄN</t>
        </is>
      </c>
      <c r="G405" t="inlineStr">
        <is>
          <t>SANDVIKEN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38995-2026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46287</v>
      </c>
      <c r="E406" s="1" t="n">
        <v>46321</v>
      </c>
      <c r="F406" t="inlineStr">
        <is>
          <t>GÄVLEBORGS LÄN</t>
        </is>
      </c>
      <c r="G406" t="inlineStr">
        <is>
          <t>SANDVIKEN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45800</v>
      </c>
      <c r="E407" s="1" t="n">
        <v>46321</v>
      </c>
      <c r="F407" t="inlineStr">
        <is>
          <t>GÄVLEBORGS LÄN</t>
        </is>
      </c>
      <c r="G407" t="inlineStr">
        <is>
          <t>SANDVIKEN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45799</v>
      </c>
      <c r="E408" s="1" t="n">
        <v>46321</v>
      </c>
      <c r="F408" t="inlineStr">
        <is>
          <t>GÄVLEBORGS LÄN</t>
        </is>
      </c>
      <c r="G408" t="inlineStr">
        <is>
          <t>SANDVIKEN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46321</v>
      </c>
      <c r="F409" t="inlineStr">
        <is>
          <t>GÄVLEBORGS LÄN</t>
        </is>
      </c>
      <c r="G409" t="inlineStr">
        <is>
          <t>SANDVIKEN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46321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46321</v>
      </c>
      <c r="F411" t="inlineStr">
        <is>
          <t>GÄVLEBORGS LÄN</t>
        </is>
      </c>
      <c r="G411" t="inlineStr">
        <is>
          <t>SANDVIKEN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46247</v>
      </c>
      <c r="E412" s="1" t="n">
        <v>46321</v>
      </c>
      <c r="F412" t="inlineStr">
        <is>
          <t>GÄVLEBORGS LÄN</t>
        </is>
      </c>
      <c r="G412" t="inlineStr">
        <is>
          <t>SANDVIKEN</t>
        </is>
      </c>
      <c r="H412" t="inlineStr">
        <is>
          <t>Kommuner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33136-2023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45126</v>
      </c>
      <c r="E413" s="1" t="n">
        <v>46321</v>
      </c>
      <c r="F413" t="inlineStr">
        <is>
          <t>GÄVLEBORGS LÄN</t>
        </is>
      </c>
      <c r="G413" t="inlineStr">
        <is>
          <t>SANDVIKEN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46246</v>
      </c>
      <c r="E414" s="1" t="n">
        <v>46321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46321</v>
      </c>
      <c r="F415" t="inlineStr">
        <is>
          <t>GÄVLEBORGS LÄN</t>
        </is>
      </c>
      <c r="G415" t="inlineStr">
        <is>
          <t>SANDVIKEN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46321</v>
      </c>
      <c r="F416" t="inlineStr">
        <is>
          <t>GÄVLEBORGS LÄN</t>
        </is>
      </c>
      <c r="G416" t="inlineStr">
        <is>
          <t>SANDVIKEN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46321</v>
      </c>
      <c r="F417" t="inlineStr">
        <is>
          <t>GÄVLEBORGS LÄN</t>
        </is>
      </c>
      <c r="G417" t="inlineStr">
        <is>
          <t>SANDVIKEN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46321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46321</v>
      </c>
      <c r="F419" t="inlineStr">
        <is>
          <t>GÄVLEBORGS LÄN</t>
        </is>
      </c>
      <c r="G419" t="inlineStr">
        <is>
          <t>SANDVIKEN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45805</v>
      </c>
      <c r="E420" s="1" t="n">
        <v>46321</v>
      </c>
      <c r="F420" t="inlineStr">
        <is>
          <t>GÄVLEBORGS LÄN</t>
        </is>
      </c>
      <c r="G420" t="inlineStr">
        <is>
          <t>SANDVIKEN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46321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46321</v>
      </c>
      <c r="F422" t="inlineStr">
        <is>
          <t>GÄVLEBORGS LÄN</t>
        </is>
      </c>
      <c r="G422" t="inlineStr">
        <is>
          <t>SANDVIKEN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46321</v>
      </c>
      <c r="F423" t="inlineStr">
        <is>
          <t>GÄVLEBORGS LÄN</t>
        </is>
      </c>
      <c r="G423" t="inlineStr">
        <is>
          <t>SANDVIKEN</t>
        </is>
      </c>
      <c r="I423" t="n">
        <v>8.800000000000001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45810</v>
      </c>
      <c r="E424" s="1" t="n">
        <v>46321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63309-2023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45274</v>
      </c>
      <c r="E425" s="1" t="n">
        <v>46321</v>
      </c>
      <c r="F425" t="inlineStr">
        <is>
          <t>GÄVLEBORGS LÄN</t>
        </is>
      </c>
      <c r="G425" t="inlineStr">
        <is>
          <t>SANDVIKEN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46321</v>
      </c>
      <c r="F426" t="inlineStr">
        <is>
          <t>GÄVLEBORGS LÄN</t>
        </is>
      </c>
      <c r="G426" t="inlineStr">
        <is>
          <t>SANDVIKEN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46321</v>
      </c>
      <c r="F427" t="inlineStr">
        <is>
          <t>GÄVLEBORGS LÄN</t>
        </is>
      </c>
      <c r="G427" t="inlineStr">
        <is>
          <t>SANDVIKEN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46321</v>
      </c>
      <c r="F428" t="inlineStr">
        <is>
          <t>GÄVLEBORGS LÄN</t>
        </is>
      </c>
      <c r="G428" t="inlineStr">
        <is>
          <t>SANDVIKEN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46321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46321</v>
      </c>
      <c r="F430" t="inlineStr">
        <is>
          <t>GÄVLEBORGS LÄN</t>
        </is>
      </c>
      <c r="G430" t="inlineStr">
        <is>
          <t>SANDVIKEN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46321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väst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46321</v>
      </c>
      <c r="F432" t="inlineStr">
        <is>
          <t>GÄVLEBORGS LÄN</t>
        </is>
      </c>
      <c r="G432" t="inlineStr">
        <is>
          <t>SANDVIKEN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7910-2026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46063</v>
      </c>
      <c r="E433" s="1" t="n">
        <v>46321</v>
      </c>
      <c r="F433" t="inlineStr">
        <is>
          <t>GÄVLEBORGS LÄN</t>
        </is>
      </c>
      <c r="G433" t="inlineStr">
        <is>
          <t>SANDVIKEN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7914-2026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46063</v>
      </c>
      <c r="E434" s="1" t="n">
        <v>46321</v>
      </c>
      <c r="F434" t="inlineStr">
        <is>
          <t>GÄVLEBORGS LÄN</t>
        </is>
      </c>
      <c r="G434" t="inlineStr">
        <is>
          <t>SANDVIKEN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46321</v>
      </c>
      <c r="F435" t="inlineStr">
        <is>
          <t>GÄVLEBORGS LÄN</t>
        </is>
      </c>
      <c r="G435" t="inlineStr">
        <is>
          <t>SANDVIKEN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46321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46321</v>
      </c>
      <c r="F437" t="inlineStr">
        <is>
          <t>GÄVLEBORGS LÄN</t>
        </is>
      </c>
      <c r="G437" t="inlineStr">
        <is>
          <t>SANDVIKEN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46063</v>
      </c>
      <c r="E438" s="1" t="n">
        <v>46321</v>
      </c>
      <c r="F438" t="inlineStr">
        <is>
          <t>GÄVLEBORGS LÄN</t>
        </is>
      </c>
      <c r="G438" t="inlineStr">
        <is>
          <t>SANDVIKEN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46321</v>
      </c>
      <c r="F439" t="inlineStr">
        <is>
          <t>GÄVLEBORGS LÄN</t>
        </is>
      </c>
      <c r="G439" t="inlineStr">
        <is>
          <t>SANDVIKEN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46321</v>
      </c>
      <c r="F440" t="inlineStr">
        <is>
          <t>GÄVLEBORGS LÄN</t>
        </is>
      </c>
      <c r="G440" t="inlineStr">
        <is>
          <t>SANDVIKEN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46321</v>
      </c>
      <c r="F441" t="inlineStr">
        <is>
          <t>GÄVLEBORGS LÄN</t>
        </is>
      </c>
      <c r="G441" t="inlineStr">
        <is>
          <t>SANDVIKEN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46066</v>
      </c>
      <c r="E442" s="1" t="n">
        <v>46321</v>
      </c>
      <c r="F442" t="inlineStr">
        <is>
          <t>GÄVLEBORGS LÄN</t>
        </is>
      </c>
      <c r="G442" t="inlineStr">
        <is>
          <t>SANDVIKEN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46321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46321</v>
      </c>
      <c r="F444" t="inlineStr">
        <is>
          <t>GÄVLEBORGS LÄN</t>
        </is>
      </c>
      <c r="G444" t="inlineStr">
        <is>
          <t>SANDVIKEN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8608-2026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46321</v>
      </c>
      <c r="F445" t="inlineStr">
        <is>
          <t>GÄVLEBORGS LÄN</t>
        </is>
      </c>
      <c r="G445" t="inlineStr">
        <is>
          <t>SANDVIKEN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46321</v>
      </c>
      <c r="F446" t="inlineStr">
        <is>
          <t>GÄVLEBORGS LÄN</t>
        </is>
      </c>
      <c r="G446" t="inlineStr">
        <is>
          <t>SANDVIKEN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45483</v>
      </c>
      <c r="E447" s="1" t="n">
        <v>46321</v>
      </c>
      <c r="F447" t="inlineStr">
        <is>
          <t>GÄVLEBORGS LÄN</t>
        </is>
      </c>
      <c r="G447" t="inlineStr">
        <is>
          <t>SANDVIKEN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46321</v>
      </c>
      <c r="F448" t="inlineStr">
        <is>
          <t>GÄVLEBORGS LÄN</t>
        </is>
      </c>
      <c r="G448" t="inlineStr">
        <is>
          <t>SANDVIKEN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46321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9142-2026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46069</v>
      </c>
      <c r="E450" s="1" t="n">
        <v>46321</v>
      </c>
      <c r="F450" t="inlineStr">
        <is>
          <t>GÄVLEBORGS LÄN</t>
        </is>
      </c>
      <c r="G450" t="inlineStr">
        <is>
          <t>SANDVIKEN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46321</v>
      </c>
      <c r="F451" t="inlineStr">
        <is>
          <t>GÄVLEBORGS LÄN</t>
        </is>
      </c>
      <c r="G451" t="inlineStr">
        <is>
          <t>SANDVIKEN</t>
        </is>
      </c>
      <c r="H451" t="inlineStr">
        <is>
          <t>Naturvårdsverket</t>
        </is>
      </c>
      <c r="I451" t="n">
        <v>19.5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46321</v>
      </c>
      <c r="F452" t="inlineStr">
        <is>
          <t>GÄVLEBORGS LÄN</t>
        </is>
      </c>
      <c r="G452" t="inlineStr">
        <is>
          <t>SANDVIKEN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46321</v>
      </c>
      <c r="F453" t="inlineStr">
        <is>
          <t>GÄVLEBORGS LÄN</t>
        </is>
      </c>
      <c r="G453" t="inlineStr">
        <is>
          <t>SANDVIKEN</t>
        </is>
      </c>
      <c r="H453" t="inlineStr">
        <is>
          <t>Naturvårdsverket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46321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46321</v>
      </c>
      <c r="F455" t="inlineStr">
        <is>
          <t>GÄVLEBORGS LÄN</t>
        </is>
      </c>
      <c r="G455" t="inlineStr">
        <is>
          <t>SANDVIKEN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28424-2025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45819</v>
      </c>
      <c r="E456" s="1" t="n">
        <v>46321</v>
      </c>
      <c r="F456" t="inlineStr">
        <is>
          <t>GÄVLEBORGS LÄN</t>
        </is>
      </c>
      <c r="G456" t="inlineStr">
        <is>
          <t>SANDVIKEN</t>
        </is>
      </c>
      <c r="I456" t="n">
        <v>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46321</v>
      </c>
      <c r="F457" t="inlineStr">
        <is>
          <t>GÄVLEBORGS LÄN</t>
        </is>
      </c>
      <c r="G457" t="inlineStr">
        <is>
          <t>SANDVIKEN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10346-2026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46321</v>
      </c>
      <c r="F458" t="inlineStr">
        <is>
          <t>GÄVLEBORGS LÄN</t>
        </is>
      </c>
      <c r="G458" t="inlineStr">
        <is>
          <t>SANDVIKEN</t>
        </is>
      </c>
      <c r="H458" t="inlineStr">
        <is>
          <t>Kommuner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45819</v>
      </c>
      <c r="E459" s="1" t="n">
        <v>46321</v>
      </c>
      <c r="F459" t="inlineStr">
        <is>
          <t>GÄVLEBORGS LÄN</t>
        </is>
      </c>
      <c r="G459" t="inlineStr">
        <is>
          <t>SANDVIKEN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46321</v>
      </c>
      <c r="F460" t="inlineStr">
        <is>
          <t>GÄVLEBORGS LÄN</t>
        </is>
      </c>
      <c r="G460" t="inlineStr">
        <is>
          <t>SANDVIKEN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46074</v>
      </c>
      <c r="E461" s="1" t="n">
        <v>46321</v>
      </c>
      <c r="F461" t="inlineStr">
        <is>
          <t>GÄVLEBORGS LÄN</t>
        </is>
      </c>
      <c r="G461" t="inlineStr">
        <is>
          <t>SANDVIKEN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46321</v>
      </c>
      <c r="F462" t="inlineStr">
        <is>
          <t>GÄVLEBORGS LÄN</t>
        </is>
      </c>
      <c r="G462" t="inlineStr">
        <is>
          <t>SANDVIKEN</t>
        </is>
      </c>
      <c r="H462" t="inlineStr">
        <is>
          <t>Kommuner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46321</v>
      </c>
      <c r="F463" t="inlineStr">
        <is>
          <t>GÄVLEBORGS LÄN</t>
        </is>
      </c>
      <c r="G463" t="inlineStr">
        <is>
          <t>SANDVIKEN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46321</v>
      </c>
      <c r="F464" t="inlineStr">
        <is>
          <t>GÄVLEBORGS LÄN</t>
        </is>
      </c>
      <c r="G464" t="inlineStr">
        <is>
          <t>SANDVIKEN</t>
        </is>
      </c>
      <c r="H464" t="inlineStr">
        <is>
          <t>Sveaskog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45825</v>
      </c>
      <c r="E465" s="1" t="n">
        <v>46321</v>
      </c>
      <c r="F465" t="inlineStr">
        <is>
          <t>GÄVLEBORGS LÄN</t>
        </is>
      </c>
      <c r="G465" t="inlineStr">
        <is>
          <t>SANDVIKEN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46321</v>
      </c>
      <c r="F466" t="inlineStr">
        <is>
          <t>GÄVLEBORGS LÄN</t>
        </is>
      </c>
      <c r="G466" t="inlineStr">
        <is>
          <t>SANDVIKEN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46321</v>
      </c>
      <c r="F467" t="inlineStr">
        <is>
          <t>GÄVLEBORGS LÄN</t>
        </is>
      </c>
      <c r="G467" t="inlineStr">
        <is>
          <t>SANDVIKEN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10808-2026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46321</v>
      </c>
      <c r="F468" t="inlineStr">
        <is>
          <t>GÄVLEBORGS LÄN</t>
        </is>
      </c>
      <c r="G468" t="inlineStr">
        <is>
          <t>SANDVIKEN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11213-2026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46321</v>
      </c>
      <c r="F469" t="inlineStr">
        <is>
          <t>GÄVLEBORGS LÄN</t>
        </is>
      </c>
      <c r="G469" t="inlineStr">
        <is>
          <t>SANDVIKEN</t>
        </is>
      </c>
      <c r="I469" t="n">
        <v>14.5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45827</v>
      </c>
      <c r="E470" s="1" t="n">
        <v>46321</v>
      </c>
      <c r="F470" t="inlineStr">
        <is>
          <t>GÄVLEBORGS LÄN</t>
        </is>
      </c>
      <c r="G470" t="inlineStr">
        <is>
          <t>SANDVIKEN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34036-2026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46252</v>
      </c>
      <c r="E471" s="1" t="n">
        <v>46321</v>
      </c>
      <c r="F471" t="inlineStr">
        <is>
          <t>GÄVLEBORGS LÄN</t>
        </is>
      </c>
      <c r="G471" t="inlineStr">
        <is>
          <t>SANDVIKEN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11191-2026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46080</v>
      </c>
      <c r="E472" s="1" t="n">
        <v>46321</v>
      </c>
      <c r="F472" t="inlineStr">
        <is>
          <t>GÄVLEBORGS LÄN</t>
        </is>
      </c>
      <c r="G472" t="inlineStr">
        <is>
          <t>SANDVIKEN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46321</v>
      </c>
      <c r="F473" t="inlineStr">
        <is>
          <t>GÄVLEBORGS LÄN</t>
        </is>
      </c>
      <c r="G473" t="inlineStr">
        <is>
          <t>SANDVIKEN</t>
        </is>
      </c>
      <c r="H473" t="inlineStr">
        <is>
          <t>Naturvårdsverket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46321</v>
      </c>
      <c r="F474" t="inlineStr">
        <is>
          <t>GÄVLEBORGS LÄN</t>
        </is>
      </c>
      <c r="G474" t="inlineStr">
        <is>
          <t>SANDVIKEN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46321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10.5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46321</v>
      </c>
      <c r="F476" t="inlineStr">
        <is>
          <t>GÄVLEBORGS LÄN</t>
        </is>
      </c>
      <c r="G476" t="inlineStr">
        <is>
          <t>SANDVIKEN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46321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46085</v>
      </c>
      <c r="E478" s="1" t="n">
        <v>46321</v>
      </c>
      <c r="F478" t="inlineStr">
        <is>
          <t>GÄVLEBORGS LÄN</t>
        </is>
      </c>
      <c r="G478" t="inlineStr">
        <is>
          <t>SANDVIKEN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46321</v>
      </c>
      <c r="F479" t="inlineStr">
        <is>
          <t>GÄVLEBORGS LÄN</t>
        </is>
      </c>
      <c r="G479" t="inlineStr">
        <is>
          <t>SANDVIKEN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45832</v>
      </c>
      <c r="E480" s="1" t="n">
        <v>46321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46321</v>
      </c>
      <c r="F481" t="inlineStr">
        <is>
          <t>GÄVLEBORGS LÄN</t>
        </is>
      </c>
      <c r="G481" t="inlineStr">
        <is>
          <t>SANDVIKEN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12656-2026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46091</v>
      </c>
      <c r="E482" s="1" t="n">
        <v>46321</v>
      </c>
      <c r="F482" t="inlineStr">
        <is>
          <t>GÄVLEBORGS LÄN</t>
        </is>
      </c>
      <c r="G482" t="inlineStr">
        <is>
          <t>SANDVIKEN</t>
        </is>
      </c>
      <c r="H482" t="inlineStr">
        <is>
          <t>Naturvårdsverket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46095</v>
      </c>
      <c r="E483" s="1" t="n">
        <v>46321</v>
      </c>
      <c r="F483" t="inlineStr">
        <is>
          <t>GÄVLEBORGS LÄN</t>
        </is>
      </c>
      <c r="G483" t="inlineStr">
        <is>
          <t>SANDVIKEN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30843-2025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45831</v>
      </c>
      <c r="E484" s="1" t="n">
        <v>46321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46115</v>
      </c>
      <c r="E485" s="1" t="n">
        <v>46321</v>
      </c>
      <c r="F485" t="inlineStr">
        <is>
          <t>GÄVLEBORGS LÄN</t>
        </is>
      </c>
      <c r="G485" t="inlineStr">
        <is>
          <t>SANDVIKEN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46321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46321</v>
      </c>
      <c r="F487" t="inlineStr">
        <is>
          <t>GÄVLEBORGS LÄN</t>
        </is>
      </c>
      <c r="G487" t="inlineStr">
        <is>
          <t>SANDVIKEN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46321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12146-2026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46086</v>
      </c>
      <c r="E489" s="1" t="n">
        <v>46321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12317-2026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46087</v>
      </c>
      <c r="E490" s="1" t="n">
        <v>46321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27.2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46086</v>
      </c>
      <c r="E491" s="1" t="n">
        <v>46321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12062-2026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46086</v>
      </c>
      <c r="E492" s="1" t="n">
        <v>46321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46086</v>
      </c>
      <c r="E493" s="1" t="n">
        <v>46321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46058</v>
      </c>
      <c r="E494" s="1" t="n">
        <v>46321</v>
      </c>
      <c r="F494" t="inlineStr">
        <is>
          <t>GÄVLEBORGS LÄN</t>
        </is>
      </c>
      <c r="G494" t="inlineStr">
        <is>
          <t>SANDVIKEN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46321</v>
      </c>
      <c r="F495" t="inlineStr">
        <is>
          <t>GÄVLEBORGS LÄN</t>
        </is>
      </c>
      <c r="G495" t="inlineStr">
        <is>
          <t>SANDVIKEN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45833</v>
      </c>
      <c r="E496" s="1" t="n">
        <v>46321</v>
      </c>
      <c r="F496" t="inlineStr">
        <is>
          <t>GÄVLEBORGS LÄN</t>
        </is>
      </c>
      <c r="G496" t="inlineStr">
        <is>
          <t>SANDVIKEN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12293-2026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46087</v>
      </c>
      <c r="E497" s="1" t="n">
        <v>46321</v>
      </c>
      <c r="F497" t="inlineStr">
        <is>
          <t>GÄVLEBORGS LÄN</t>
        </is>
      </c>
      <c r="G497" t="inlineStr">
        <is>
          <t>SANDVIKEN</t>
        </is>
      </c>
      <c r="H497" t="inlineStr">
        <is>
          <t>Kommuner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12098-2026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46086</v>
      </c>
      <c r="E498" s="1" t="n">
        <v>46321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46086</v>
      </c>
      <c r="E499" s="1" t="n">
        <v>46321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12208-2026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46087</v>
      </c>
      <c r="E500" s="1" t="n">
        <v>46321</v>
      </c>
      <c r="F500" t="inlineStr">
        <is>
          <t>GÄVLEBORGS LÄN</t>
        </is>
      </c>
      <c r="G500" t="inlineStr">
        <is>
          <t>SANDVIKEN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46251</v>
      </c>
      <c r="E501" s="1" t="n">
        <v>46321</v>
      </c>
      <c r="F501" t="inlineStr">
        <is>
          <t>GÄVLEBORGS LÄN</t>
        </is>
      </c>
      <c r="G501" t="inlineStr">
        <is>
          <t>SANDVIKEN</t>
        </is>
      </c>
      <c r="H501" t="inlineStr">
        <is>
          <t>Sveaskog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46321</v>
      </c>
      <c r="F502" t="inlineStr">
        <is>
          <t>GÄVLEBORGS LÄN</t>
        </is>
      </c>
      <c r="G502" t="inlineStr">
        <is>
          <t>SANDVIKEN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46321</v>
      </c>
      <c r="F503" t="inlineStr">
        <is>
          <t>GÄVLEBORGS LÄN</t>
        </is>
      </c>
      <c r="G503" t="inlineStr">
        <is>
          <t>SANDVIKEN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46086</v>
      </c>
      <c r="E504" s="1" t="n">
        <v>46321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46086</v>
      </c>
      <c r="E505" s="1" t="n">
        <v>46321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46321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18752-2026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46128</v>
      </c>
      <c r="E507" s="1" t="n">
        <v>46321</v>
      </c>
      <c r="F507" t="inlineStr">
        <is>
          <t>GÄVLEBORGS LÄN</t>
        </is>
      </c>
      <c r="G507" t="inlineStr">
        <is>
          <t>SANDVIKEN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46321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46095</v>
      </c>
      <c r="E509" s="1" t="n">
        <v>46321</v>
      </c>
      <c r="F509" t="inlineStr">
        <is>
          <t>GÄVLEBORGS LÄN</t>
        </is>
      </c>
      <c r="G509" t="inlineStr">
        <is>
          <t>SANDVIKEN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12433-2026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46090</v>
      </c>
      <c r="E510" s="1" t="n">
        <v>46321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61301-2025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46321</v>
      </c>
      <c r="F511" t="inlineStr">
        <is>
          <t>GÄVLEBORGS LÄN</t>
        </is>
      </c>
      <c r="G511" t="inlineStr">
        <is>
          <t>SANDVIKEN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46321</v>
      </c>
      <c r="F512" t="inlineStr">
        <is>
          <t>GÄVLEBORGS LÄN</t>
        </is>
      </c>
      <c r="G512" t="inlineStr">
        <is>
          <t>SANDVIKEN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46090</v>
      </c>
      <c r="E513" s="1" t="n">
        <v>46321</v>
      </c>
      <c r="F513" t="inlineStr">
        <is>
          <t>GÄVLEBORGS LÄN</t>
        </is>
      </c>
      <c r="G513" t="inlineStr">
        <is>
          <t>SANDVIKEN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46091</v>
      </c>
      <c r="E514" s="1" t="n">
        <v>46321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46321</v>
      </c>
      <c r="F515" t="inlineStr">
        <is>
          <t>GÄVLEBORGS LÄN</t>
        </is>
      </c>
      <c r="G515" t="inlineStr">
        <is>
          <t>SANDVIKEN</t>
        </is>
      </c>
      <c r="H515" t="inlineStr">
        <is>
          <t>Kommuner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34606-2026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46321</v>
      </c>
      <c r="F516" t="inlineStr">
        <is>
          <t>GÄVLEBORGS LÄN</t>
        </is>
      </c>
      <c r="G516" t="inlineStr">
        <is>
          <t>SANDVIKEN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12704-2026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46091</v>
      </c>
      <c r="E517" s="1" t="n">
        <v>46321</v>
      </c>
      <c r="F517" t="inlineStr">
        <is>
          <t>GÄVLEBORGS LÄN</t>
        </is>
      </c>
      <c r="G517" t="inlineStr">
        <is>
          <t>SANDVIKEN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46321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46065</v>
      </c>
      <c r="E519" s="1" t="n">
        <v>46321</v>
      </c>
      <c r="F519" t="inlineStr">
        <is>
          <t>GÄVLEBORGS LÄN</t>
        </is>
      </c>
      <c r="G519" t="inlineStr">
        <is>
          <t>SANDVIKEN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13108-2026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46093</v>
      </c>
      <c r="E520" s="1" t="n">
        <v>46321</v>
      </c>
      <c r="F520" t="inlineStr">
        <is>
          <t>GÄVLEBORGS LÄN</t>
        </is>
      </c>
      <c r="G520" t="inlineStr">
        <is>
          <t>SANDVIKEN</t>
        </is>
      </c>
      <c r="I520" t="n">
        <v>22.5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29616-2026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46321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12826-2026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46321</v>
      </c>
      <c r="F522" t="inlineStr">
        <is>
          <t>GÄVLEBORGS LÄN</t>
        </is>
      </c>
      <c r="G522" t="inlineStr">
        <is>
          <t>SANDVIKEN</t>
        </is>
      </c>
      <c r="H522" t="inlineStr">
        <is>
          <t>Naturvårdsverket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58198-2025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45984</v>
      </c>
      <c r="E523" s="1" t="n">
        <v>46321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46092</v>
      </c>
      <c r="E524" s="1" t="n">
        <v>46321</v>
      </c>
      <c r="F524" t="inlineStr">
        <is>
          <t>GÄVLEBORGS LÄN</t>
        </is>
      </c>
      <c r="G524" t="inlineStr">
        <is>
          <t>SANDVIKEN</t>
        </is>
      </c>
      <c r="H524" t="inlineStr">
        <is>
          <t>Naturvårdsverket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13138-2026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46093</v>
      </c>
      <c r="E525" s="1" t="n">
        <v>46321</v>
      </c>
      <c r="F525" t="inlineStr">
        <is>
          <t>GÄVLEBORGS LÄN</t>
        </is>
      </c>
      <c r="G525" t="inlineStr">
        <is>
          <t>SANDVIKEN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46321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46321</v>
      </c>
      <c r="F527" t="inlineStr">
        <is>
          <t>GÄVLEBORGS LÄN</t>
        </is>
      </c>
      <c r="G527" t="inlineStr">
        <is>
          <t>SANDVIKEN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46321</v>
      </c>
      <c r="F528" t="inlineStr">
        <is>
          <t>GÄVLEBORGS LÄN</t>
        </is>
      </c>
      <c r="G528" t="inlineStr">
        <is>
          <t>SANDVIKEN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33015-2025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46321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27.3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46095</v>
      </c>
      <c r="E530" s="1" t="n">
        <v>46321</v>
      </c>
      <c r="F530" t="inlineStr">
        <is>
          <t>GÄVLEBORGS LÄN</t>
        </is>
      </c>
      <c r="G530" t="inlineStr">
        <is>
          <t>SANDVIKEN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46095</v>
      </c>
      <c r="E531" s="1" t="n">
        <v>46321</v>
      </c>
      <c r="F531" t="inlineStr">
        <is>
          <t>GÄVLEBORGS LÄN</t>
        </is>
      </c>
      <c r="G531" t="inlineStr">
        <is>
          <t>SANDVIKEN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13586-2026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46095</v>
      </c>
      <c r="E532" s="1" t="n">
        <v>46321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46097</v>
      </c>
      <c r="E533" s="1" t="n">
        <v>46321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46097</v>
      </c>
      <c r="E534" s="1" t="n">
        <v>46321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46321</v>
      </c>
      <c r="F535" t="inlineStr">
        <is>
          <t>GÄVLEBORGS LÄN</t>
        </is>
      </c>
      <c r="G535" t="inlineStr">
        <is>
          <t>SANDVIKEN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13582-2026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46095</v>
      </c>
      <c r="E536" s="1" t="n">
        <v>46321</v>
      </c>
      <c r="F536" t="inlineStr">
        <is>
          <t>GÄVLEBORGS LÄN</t>
        </is>
      </c>
      <c r="G536" t="inlineStr">
        <is>
          <t>SANDVIKEN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46321</v>
      </c>
      <c r="F537" t="inlineStr">
        <is>
          <t>GÄVLEBORGS LÄN</t>
        </is>
      </c>
      <c r="G537" t="inlineStr">
        <is>
          <t>SANDVIKEN</t>
        </is>
      </c>
      <c r="H537" t="inlineStr">
        <is>
          <t>Sveaskog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13727-2026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46097</v>
      </c>
      <c r="E538" s="1" t="n">
        <v>46321</v>
      </c>
      <c r="F538" t="inlineStr">
        <is>
          <t>GÄVLEBORGS LÄN</t>
        </is>
      </c>
      <c r="G538" t="inlineStr">
        <is>
          <t>SANDVIKEN</t>
        </is>
      </c>
      <c r="H538" t="inlineStr">
        <is>
          <t>Kommuner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46321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34408-2026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46321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46095</v>
      </c>
      <c r="E541" s="1" t="n">
        <v>46321</v>
      </c>
      <c r="F541" t="inlineStr">
        <is>
          <t>GÄVLEBORGS LÄN</t>
        </is>
      </c>
      <c r="G541" t="inlineStr">
        <is>
          <t>SANDVIKEN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46321</v>
      </c>
      <c r="F542" t="inlineStr">
        <is>
          <t>GÄVLEBORGS LÄN</t>
        </is>
      </c>
      <c r="G542" t="inlineStr">
        <is>
          <t>SANDVIKEN</t>
        </is>
      </c>
      <c r="H542" t="inlineStr">
        <is>
          <t>Sveaskog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46321</v>
      </c>
      <c r="F543" t="inlineStr">
        <is>
          <t>GÄVLEBORGS LÄN</t>
        </is>
      </c>
      <c r="G543" t="inlineStr">
        <is>
          <t>SANDVIKEN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58200-2025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45984</v>
      </c>
      <c r="E544" s="1" t="n">
        <v>46321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46321</v>
      </c>
      <c r="F545" t="inlineStr">
        <is>
          <t>GÄVLEBORGS LÄN</t>
        </is>
      </c>
      <c r="G545" t="inlineStr">
        <is>
          <t>SANDVIKEN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46321</v>
      </c>
      <c r="F546" t="inlineStr">
        <is>
          <t>GÄVLEBORGS LÄN</t>
        </is>
      </c>
      <c r="G546" t="inlineStr">
        <is>
          <t>SANDVIKEN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46099</v>
      </c>
      <c r="E547" s="1" t="n">
        <v>46321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46099</v>
      </c>
      <c r="E548" s="1" t="n">
        <v>46321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33874-2026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46251</v>
      </c>
      <c r="E549" s="1" t="n">
        <v>46321</v>
      </c>
      <c r="F549" t="inlineStr">
        <is>
          <t>GÄVLEBORGS LÄN</t>
        </is>
      </c>
      <c r="G549" t="inlineStr">
        <is>
          <t>SANDVIKEN</t>
        </is>
      </c>
      <c r="H549" t="inlineStr">
        <is>
          <t>Sveaskog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46099</v>
      </c>
      <c r="E550" s="1" t="n">
        <v>46321</v>
      </c>
      <c r="F550" t="inlineStr">
        <is>
          <t>GÄVLEBORGS LÄN</t>
        </is>
      </c>
      <c r="G550" t="inlineStr">
        <is>
          <t>SANDVIKEN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33757-2025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45842</v>
      </c>
      <c r="E551" s="1" t="n">
        <v>46321</v>
      </c>
      <c r="F551" t="inlineStr">
        <is>
          <t>GÄVLEBORGS LÄN</t>
        </is>
      </c>
      <c r="G551" t="inlineStr">
        <is>
          <t>SANDVIKEN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46321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8.6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46099</v>
      </c>
      <c r="E553" s="1" t="n">
        <v>46321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14044-2026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46098</v>
      </c>
      <c r="E554" s="1" t="n">
        <v>46321</v>
      </c>
      <c r="F554" t="inlineStr">
        <is>
          <t>GÄVLEBORGS LÄN</t>
        </is>
      </c>
      <c r="G554" t="inlineStr">
        <is>
          <t>SANDVIKEN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46100</v>
      </c>
      <c r="E555" s="1" t="n">
        <v>46321</v>
      </c>
      <c r="F555" t="inlineStr">
        <is>
          <t>GÄVLEBORGS LÄN</t>
        </is>
      </c>
      <c r="G555" t="inlineStr">
        <is>
          <t>SANDVIKEN</t>
        </is>
      </c>
      <c r="H555" t="inlineStr">
        <is>
          <t>Sveaskog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34219-2025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45845</v>
      </c>
      <c r="E556" s="1" t="n">
        <v>46321</v>
      </c>
      <c r="F556" t="inlineStr">
        <is>
          <t>GÄVLEBORGS LÄN</t>
        </is>
      </c>
      <c r="G556" t="inlineStr">
        <is>
          <t>SANDVIKEN</t>
        </is>
      </c>
      <c r="H556" t="inlineStr">
        <is>
          <t>Sveaskog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46100</v>
      </c>
      <c r="E557" s="1" t="n">
        <v>46321</v>
      </c>
      <c r="F557" t="inlineStr">
        <is>
          <t>GÄVLEBORGS LÄN</t>
        </is>
      </c>
      <c r="G557" t="inlineStr">
        <is>
          <t>SANDVIKEN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46321</v>
      </c>
      <c r="F558" t="inlineStr">
        <is>
          <t>GÄVLEBORGS LÄN</t>
        </is>
      </c>
      <c r="G558" t="inlineStr">
        <is>
          <t>SANDVIKEN</t>
        </is>
      </c>
      <c r="H558" t="inlineStr">
        <is>
          <t>Kommuner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18357-2025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45762</v>
      </c>
      <c r="E559" s="1" t="n">
        <v>46321</v>
      </c>
      <c r="F559" t="inlineStr">
        <is>
          <t>GÄVLEBORGS LÄN</t>
        </is>
      </c>
      <c r="G559" t="inlineStr">
        <is>
          <t>SANDVIKEN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14649-2026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46321</v>
      </c>
      <c r="F560" t="inlineStr">
        <is>
          <t>GÄVLEBORGS LÄN</t>
        </is>
      </c>
      <c r="G560" t="inlineStr">
        <is>
          <t>SANDVIKEN</t>
        </is>
      </c>
      <c r="H560" t="inlineStr">
        <is>
          <t>Kommuner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46044</v>
      </c>
      <c r="E561" s="1" t="n">
        <v>46321</v>
      </c>
      <c r="F561" t="inlineStr">
        <is>
          <t>GÄVLEBORGS LÄN</t>
        </is>
      </c>
      <c r="G561" t="inlineStr">
        <is>
          <t>SANDVIKEN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34879-2026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46321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41328-2026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46301</v>
      </c>
      <c r="E563" s="1" t="n">
        <v>46321</v>
      </c>
      <c r="F563" t="inlineStr">
        <is>
          <t>GÄVLEBORGS LÄN</t>
        </is>
      </c>
      <c r="G563" t="inlineStr">
        <is>
          <t>SANDVIKEN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15113-2026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46105</v>
      </c>
      <c r="E564" s="1" t="n">
        <v>46321</v>
      </c>
      <c r="F564" t="inlineStr">
        <is>
          <t>GÄVLEBORGS LÄN</t>
        </is>
      </c>
      <c r="G564" t="inlineStr">
        <is>
          <t>SANDVIKEN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15778-2026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46107</v>
      </c>
      <c r="E565" s="1" t="n">
        <v>46321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46321</v>
      </c>
      <c r="F566" t="inlineStr">
        <is>
          <t>GÄVLEBORGS LÄN</t>
        </is>
      </c>
      <c r="G566" t="inlineStr">
        <is>
          <t>SANDVIKEN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46321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46321</v>
      </c>
      <c r="F568" t="inlineStr">
        <is>
          <t>GÄVLEBORGS LÄN</t>
        </is>
      </c>
      <c r="G568" t="inlineStr">
        <is>
          <t>SANDVIKEN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46321</v>
      </c>
      <c r="F569" t="inlineStr">
        <is>
          <t>GÄVLEBORGS LÄN</t>
        </is>
      </c>
      <c r="G569" t="inlineStr">
        <is>
          <t>SANDVIKEN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15770-2026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46321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16328-2026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46111</v>
      </c>
      <c r="E571" s="1" t="n">
        <v>46321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16019-2026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46321</v>
      </c>
      <c r="F572" t="inlineStr">
        <is>
          <t>GÄVLEBORGS LÄN</t>
        </is>
      </c>
      <c r="G572" t="inlineStr">
        <is>
          <t>SANDVIKEN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16242-2026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46111</v>
      </c>
      <c r="E573" s="1" t="n">
        <v>46321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46321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16060-2026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46108</v>
      </c>
      <c r="E575" s="1" t="n">
        <v>46321</v>
      </c>
      <c r="F575" t="inlineStr">
        <is>
          <t>GÄVLEBORGS LÄN</t>
        </is>
      </c>
      <c r="G575" t="inlineStr">
        <is>
          <t>SANDVIKEN</t>
        </is>
      </c>
      <c r="H575" t="inlineStr">
        <is>
          <t>Kommuner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29608-2026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46321</v>
      </c>
      <c r="F576" t="inlineStr">
        <is>
          <t>GÄVLEBORGS LÄN</t>
        </is>
      </c>
      <c r="G576" t="inlineStr">
        <is>
          <t>SANDVIKEN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46321</v>
      </c>
      <c r="F577" t="inlineStr">
        <is>
          <t>GÄVLEBORGS LÄN</t>
        </is>
      </c>
      <c r="G577" t="inlineStr">
        <is>
          <t>SANDVIKEN</t>
        </is>
      </c>
      <c r="H577" t="inlineStr">
        <is>
          <t>Sveaskog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16569-2026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46321</v>
      </c>
      <c r="F578" t="inlineStr">
        <is>
          <t>GÄVLEBORGS LÄN</t>
        </is>
      </c>
      <c r="G578" t="inlineStr">
        <is>
          <t>SANDVIKEN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46321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46261</v>
      </c>
      <c r="E580" s="1" t="n">
        <v>46321</v>
      </c>
      <c r="F580" t="inlineStr">
        <is>
          <t>GÄVLEBORGS LÄN</t>
        </is>
      </c>
      <c r="G580" t="inlineStr">
        <is>
          <t>SANDVIKEN</t>
        </is>
      </c>
      <c r="H580" t="inlineStr">
        <is>
          <t>Sveaskog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36107-2025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45866</v>
      </c>
      <c r="E581" s="1" t="n">
        <v>46321</v>
      </c>
      <c r="F581" t="inlineStr">
        <is>
          <t>GÄVLEBORGS LÄN</t>
        </is>
      </c>
      <c r="G581" t="inlineStr">
        <is>
          <t>SANDVIKEN</t>
        </is>
      </c>
      <c r="H581" t="inlineStr">
        <is>
          <t>Sveaskog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11800-2026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46085</v>
      </c>
      <c r="E582" s="1" t="n">
        <v>46321</v>
      </c>
      <c r="F582" t="inlineStr">
        <is>
          <t>GÄVLEBORGS LÄN</t>
        </is>
      </c>
      <c r="G582" t="inlineStr">
        <is>
          <t>SANDVIKEN</t>
        </is>
      </c>
      <c r="H582" t="inlineStr">
        <is>
          <t>Naturvårdsverket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45540</v>
      </c>
      <c r="E583" s="1" t="n">
        <v>46321</v>
      </c>
      <c r="F583" t="inlineStr">
        <is>
          <t>GÄVLEBORGS LÄN</t>
        </is>
      </c>
      <c r="G583" t="inlineStr">
        <is>
          <t>SANDVIKEN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17166-2026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46115</v>
      </c>
      <c r="E584" s="1" t="n">
        <v>46321</v>
      </c>
      <c r="F584" t="inlineStr">
        <is>
          <t>GÄVLEBORGS LÄN</t>
        </is>
      </c>
      <c r="G584" t="inlineStr">
        <is>
          <t>SANDVIKEN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17173-2026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46115</v>
      </c>
      <c r="E585" s="1" t="n">
        <v>46321</v>
      </c>
      <c r="F585" t="inlineStr">
        <is>
          <t>GÄVLEBORGS LÄN</t>
        </is>
      </c>
      <c r="G585" t="inlineStr">
        <is>
          <t>SANDVIKEN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35995-2025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45863</v>
      </c>
      <c r="E586" s="1" t="n">
        <v>46321</v>
      </c>
      <c r="F586" t="inlineStr">
        <is>
          <t>GÄVLEBORGS LÄN</t>
        </is>
      </c>
      <c r="G586" t="inlineStr">
        <is>
          <t>SANDVIKEN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46115</v>
      </c>
      <c r="E587" s="1" t="n">
        <v>46321</v>
      </c>
      <c r="F587" t="inlineStr">
        <is>
          <t>GÄVLEBORGS LÄN</t>
        </is>
      </c>
      <c r="G587" t="inlineStr">
        <is>
          <t>SANDVIKEN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35414-2026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46261</v>
      </c>
      <c r="E588" s="1" t="n">
        <v>46321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36091-2025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45866</v>
      </c>
      <c r="E589" s="1" t="n">
        <v>46321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17165-2026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46115</v>
      </c>
      <c r="E590" s="1" t="n">
        <v>46321</v>
      </c>
      <c r="F590" t="inlineStr">
        <is>
          <t>GÄVLEBORGS LÄN</t>
        </is>
      </c>
      <c r="G590" t="inlineStr">
        <is>
          <t>SANDVIKEN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45562-2022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44845</v>
      </c>
      <c r="E591" s="1" t="n">
        <v>46321</v>
      </c>
      <c r="F591" t="inlineStr">
        <is>
          <t>GÄVLEBORGS LÄN</t>
        </is>
      </c>
      <c r="G591" t="inlineStr">
        <is>
          <t>SANDVIKEN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16958-2026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46114</v>
      </c>
      <c r="E592" s="1" t="n">
        <v>46321</v>
      </c>
      <c r="F592" t="inlineStr">
        <is>
          <t>GÄVLEBORGS LÄN</t>
        </is>
      </c>
      <c r="G592" t="inlineStr">
        <is>
          <t>SANDVIKEN</t>
        </is>
      </c>
      <c r="I592" t="n">
        <v>10.3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17175-2026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46115</v>
      </c>
      <c r="E593" s="1" t="n">
        <v>46321</v>
      </c>
      <c r="F593" t="inlineStr">
        <is>
          <t>GÄVLEBORGS LÄN</t>
        </is>
      </c>
      <c r="G593" t="inlineStr">
        <is>
          <t>SANDVIKEN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46321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36212-2025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45867</v>
      </c>
      <c r="E595" s="1" t="n">
        <v>46321</v>
      </c>
      <c r="F595" t="inlineStr">
        <is>
          <t>GÄVLEBORGS LÄN</t>
        </is>
      </c>
      <c r="G595" t="inlineStr">
        <is>
          <t>SANDVIKEN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17361-2026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46119</v>
      </c>
      <c r="E596" s="1" t="n">
        <v>46321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46116</v>
      </c>
      <c r="E597" s="1" t="n">
        <v>46321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17180-2026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46116</v>
      </c>
      <c r="E598" s="1" t="n">
        <v>46321</v>
      </c>
      <c r="F598" t="inlineStr">
        <is>
          <t>GÄVLEBORGS LÄN</t>
        </is>
      </c>
      <c r="G598" t="inlineStr">
        <is>
          <t>SANDVIKEN</t>
        </is>
      </c>
      <c r="I598" t="n">
        <v>8.9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46321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17171-2026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46115</v>
      </c>
      <c r="E600" s="1" t="n">
        <v>46321</v>
      </c>
      <c r="F600" t="inlineStr">
        <is>
          <t>GÄVLEBORGS LÄN</t>
        </is>
      </c>
      <c r="G600" t="inlineStr">
        <is>
          <t>SANDVIKEN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35254-2026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46321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46116</v>
      </c>
      <c r="E602" s="1" t="n">
        <v>46321</v>
      </c>
      <c r="F602" t="inlineStr">
        <is>
          <t>GÄVLEBORGS LÄN</t>
        </is>
      </c>
      <c r="G602" t="inlineStr">
        <is>
          <t>SANDVIKEN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46261</v>
      </c>
      <c r="E603" s="1" t="n">
        <v>46321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46119</v>
      </c>
      <c r="E604" s="1" t="n">
        <v>46321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46119</v>
      </c>
      <c r="E605" s="1" t="n">
        <v>46321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46321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45870</v>
      </c>
      <c r="E607" s="1" t="n">
        <v>46321</v>
      </c>
      <c r="F607" t="inlineStr">
        <is>
          <t>GÄVLEBORGS LÄN</t>
        </is>
      </c>
      <c r="G607" t="inlineStr">
        <is>
          <t>SANDVIKEN</t>
        </is>
      </c>
      <c r="H607" t="inlineStr">
        <is>
          <t>Sveaskog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17473-2026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46120</v>
      </c>
      <c r="E608" s="1" t="n">
        <v>46321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17626-2026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46121</v>
      </c>
      <c r="E609" s="1" t="n">
        <v>46321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44564</v>
      </c>
      <c r="E610" s="1" t="n">
        <v>46321</v>
      </c>
      <c r="F610" t="inlineStr">
        <is>
          <t>GÄVLEBORGS LÄN</t>
        </is>
      </c>
      <c r="G610" t="inlineStr">
        <is>
          <t>SANDVIKEN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32849-2022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44784</v>
      </c>
      <c r="E611" s="1" t="n">
        <v>46321</v>
      </c>
      <c r="F611" t="inlineStr">
        <is>
          <t>GÄVLEBORGS LÄN</t>
        </is>
      </c>
      <c r="G611" t="inlineStr">
        <is>
          <t>SANDVIKEN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36732-2025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45873</v>
      </c>
      <c r="E612" s="1" t="n">
        <v>46321</v>
      </c>
      <c r="F612" t="inlineStr">
        <is>
          <t>GÄVLEBORGS LÄN</t>
        </is>
      </c>
      <c r="G612" t="inlineStr">
        <is>
          <t>SANDVIKEN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46121</v>
      </c>
      <c r="E613" s="1" t="n">
        <v>46321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23539-2026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46163</v>
      </c>
      <c r="E614" s="1" t="n">
        <v>46321</v>
      </c>
      <c r="F614" t="inlineStr">
        <is>
          <t>GÄVLEBORGS LÄN</t>
        </is>
      </c>
      <c r="G614" t="inlineStr">
        <is>
          <t>SANDVIKEN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46261</v>
      </c>
      <c r="E615" s="1" t="n">
        <v>46321</v>
      </c>
      <c r="F615" t="inlineStr">
        <is>
          <t>GÄVLEBORGS LÄN</t>
        </is>
      </c>
      <c r="G615" t="inlineStr">
        <is>
          <t>SANDVIKEN</t>
        </is>
      </c>
      <c r="H615" t="inlineStr">
        <is>
          <t>Naturvårdsverket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46261</v>
      </c>
      <c r="E616" s="1" t="n">
        <v>46321</v>
      </c>
      <c r="F616" t="inlineStr">
        <is>
          <t>GÄVLEBORGS LÄN</t>
        </is>
      </c>
      <c r="G616" t="inlineStr">
        <is>
          <t>SANDVIKEN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46261</v>
      </c>
      <c r="E617" s="1" t="n">
        <v>46321</v>
      </c>
      <c r="F617" t="inlineStr">
        <is>
          <t>GÄVLEBORGS LÄN</t>
        </is>
      </c>
      <c r="G617" t="inlineStr">
        <is>
          <t>SANDVIKEN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46321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35376-2026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46261</v>
      </c>
      <c r="E619" s="1" t="n">
        <v>46321</v>
      </c>
      <c r="F619" t="inlineStr">
        <is>
          <t>GÄVLEBORGS LÄN</t>
        </is>
      </c>
      <c r="G619" t="inlineStr">
        <is>
          <t>SANDVIKEN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35107-2026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46321</v>
      </c>
      <c r="F620" t="inlineStr">
        <is>
          <t>GÄVLEBORGS LÄN</t>
        </is>
      </c>
      <c r="G620" t="inlineStr">
        <is>
          <t>SANDVIKEN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36693-2025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45873</v>
      </c>
      <c r="E621" s="1" t="n">
        <v>46321</v>
      </c>
      <c r="F621" t="inlineStr">
        <is>
          <t>GÄVLEBORGS LÄN</t>
        </is>
      </c>
      <c r="G621" t="inlineStr">
        <is>
          <t>SANDVIKEN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35420-2026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46261</v>
      </c>
      <c r="E622" s="1" t="n">
        <v>46321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46261</v>
      </c>
      <c r="E623" s="1" t="n">
        <v>46321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45070</v>
      </c>
      <c r="E624" s="1" t="n">
        <v>46321</v>
      </c>
      <c r="F624" t="inlineStr">
        <is>
          <t>GÄVLEBORGS LÄN</t>
        </is>
      </c>
      <c r="G624" t="inlineStr">
        <is>
          <t>SANDVIKEN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46321</v>
      </c>
      <c r="F625" t="inlineStr">
        <is>
          <t>GÄVLEBORGS LÄN</t>
        </is>
      </c>
      <c r="G625" t="inlineStr">
        <is>
          <t>SANDVIKEN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36793-2025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45873</v>
      </c>
      <c r="E626" s="1" t="n">
        <v>46321</v>
      </c>
      <c r="F626" t="inlineStr">
        <is>
          <t>GÄVLEBORGS LÄN</t>
        </is>
      </c>
      <c r="G626" t="inlineStr">
        <is>
          <t>SANDVIKEN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36795-2025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45873</v>
      </c>
      <c r="E627" s="1" t="n">
        <v>46321</v>
      </c>
      <c r="F627" t="inlineStr">
        <is>
          <t>GÄVLEBORGS LÄN</t>
        </is>
      </c>
      <c r="G627" t="inlineStr">
        <is>
          <t>SANDVIKEN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18395-2026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46126</v>
      </c>
      <c r="E628" s="1" t="n">
        <v>46321</v>
      </c>
      <c r="F628" t="inlineStr">
        <is>
          <t>GÄVLEBORGS LÄN</t>
        </is>
      </c>
      <c r="G628" t="inlineStr">
        <is>
          <t>SANDVIKEN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46126</v>
      </c>
      <c r="E629" s="1" t="n">
        <v>46321</v>
      </c>
      <c r="F629" t="inlineStr">
        <is>
          <t>GÄVLEBORGS LÄN</t>
        </is>
      </c>
      <c r="G629" t="inlineStr">
        <is>
          <t>SANDVIKEN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18224-2026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46126</v>
      </c>
      <c r="E630" s="1" t="n">
        <v>46321</v>
      </c>
      <c r="F630" t="inlineStr">
        <is>
          <t>GÄVLEBORGS LÄN</t>
        </is>
      </c>
      <c r="G630" t="inlineStr">
        <is>
          <t>SANDVIKEN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14092-2026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46321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46321</v>
      </c>
      <c r="F632" t="inlineStr">
        <is>
          <t>GÄVLEBORGS LÄN</t>
        </is>
      </c>
      <c r="G632" t="inlineStr">
        <is>
          <t>SANDVIKEN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46261</v>
      </c>
      <c r="E633" s="1" t="n">
        <v>46321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35417-2026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46261</v>
      </c>
      <c r="E634" s="1" t="n">
        <v>46321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19018-2026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46130</v>
      </c>
      <c r="E635" s="1" t="n">
        <v>46321</v>
      </c>
      <c r="F635" t="inlineStr">
        <is>
          <t>GÄVLEBORGS LÄN</t>
        </is>
      </c>
      <c r="G635" t="inlineStr">
        <is>
          <t>SANDVIKEN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46321</v>
      </c>
      <c r="F636" t="inlineStr">
        <is>
          <t>GÄVLEBORGS LÄN</t>
        </is>
      </c>
      <c r="G636" t="inlineStr">
        <is>
          <t>SANDVIKEN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19189-2026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46321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35432-2026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46262</v>
      </c>
      <c r="E638" s="1" t="n">
        <v>46321</v>
      </c>
      <c r="F638" t="inlineStr">
        <is>
          <t>GÄVLEBORGS LÄN</t>
        </is>
      </c>
      <c r="G638" t="inlineStr">
        <is>
          <t>SANDVIKEN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35434-2026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46262</v>
      </c>
      <c r="E639" s="1" t="n">
        <v>46321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18991-2026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46129</v>
      </c>
      <c r="E640" s="1" t="n">
        <v>46321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18656-2026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46128</v>
      </c>
      <c r="E641" s="1" t="n">
        <v>46321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19467-2026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46132</v>
      </c>
      <c r="E642" s="1" t="n">
        <v>46321</v>
      </c>
      <c r="F642" t="inlineStr">
        <is>
          <t>GÄVLEBORGS LÄN</t>
        </is>
      </c>
      <c r="G642" t="inlineStr">
        <is>
          <t>SANDVIKEN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46128</v>
      </c>
      <c r="E643" s="1" t="n">
        <v>46321</v>
      </c>
      <c r="F643" t="inlineStr">
        <is>
          <t>GÄVLEBORGS LÄN</t>
        </is>
      </c>
      <c r="G643" t="inlineStr">
        <is>
          <t>SANDVIKEN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18811-2026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46128</v>
      </c>
      <c r="E644" s="1" t="n">
        <v>46321</v>
      </c>
      <c r="F644" t="inlineStr">
        <is>
          <t>GÄVLEBORGS LÄN</t>
        </is>
      </c>
      <c r="G644" t="inlineStr">
        <is>
          <t>SANDVIKEN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11756-2023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44994</v>
      </c>
      <c r="E645" s="1" t="n">
        <v>46321</v>
      </c>
      <c r="F645" t="inlineStr">
        <is>
          <t>GÄVLEBORGS LÄN</t>
        </is>
      </c>
      <c r="G645" t="inlineStr">
        <is>
          <t>SANDVIKEN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11764-2023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44994</v>
      </c>
      <c r="E646" s="1" t="n">
        <v>46321</v>
      </c>
      <c r="F646" t="inlineStr">
        <is>
          <t>GÄVLEBORGS LÄN</t>
        </is>
      </c>
      <c r="G646" t="inlineStr">
        <is>
          <t>SANDVIKEN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12675-2026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46091</v>
      </c>
      <c r="E647" s="1" t="n">
        <v>46321</v>
      </c>
      <c r="F647" t="inlineStr">
        <is>
          <t>GÄVLEBORGS LÄN</t>
        </is>
      </c>
      <c r="G647" t="inlineStr">
        <is>
          <t>SANDVIKEN</t>
        </is>
      </c>
      <c r="H647" t="inlineStr">
        <is>
          <t>Naturvårdsverket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46321</v>
      </c>
      <c r="F648" t="inlineStr">
        <is>
          <t>GÄVLEBORGS LÄN</t>
        </is>
      </c>
      <c r="G648" t="inlineStr">
        <is>
          <t>SANDVIKEN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46321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12732-2026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46321</v>
      </c>
      <c r="F650" t="inlineStr">
        <is>
          <t>GÄVLEBORGS LÄN</t>
        </is>
      </c>
      <c r="G650" t="inlineStr">
        <is>
          <t>SANDVIKEN</t>
        </is>
      </c>
      <c r="H650" t="inlineStr">
        <is>
          <t>Naturvårdsverket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18990-2026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46129</v>
      </c>
      <c r="E651" s="1" t="n">
        <v>46321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18988-2026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46129</v>
      </c>
      <c r="E652" s="1" t="n">
        <v>46321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46129</v>
      </c>
      <c r="E653" s="1" t="n">
        <v>46321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46129</v>
      </c>
      <c r="E654" s="1" t="n">
        <v>46321</v>
      </c>
      <c r="F654" t="inlineStr">
        <is>
          <t>GÄVLEBORGS LÄN</t>
        </is>
      </c>
      <c r="G654" t="inlineStr">
        <is>
          <t>SANDVIKEN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35578-2026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46262</v>
      </c>
      <c r="E655" s="1" t="n">
        <v>46321</v>
      </c>
      <c r="F655" t="inlineStr">
        <is>
          <t>GÄVLEBORGS LÄN</t>
        </is>
      </c>
      <c r="G655" t="inlineStr">
        <is>
          <t>SANDVIKEN</t>
        </is>
      </c>
      <c r="H655" t="inlineStr">
        <is>
          <t>Naturvårdsverket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22070-2023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45069</v>
      </c>
      <c r="E656" s="1" t="n">
        <v>46321</v>
      </c>
      <c r="F656" t="inlineStr">
        <is>
          <t>GÄVLEBORGS LÄN</t>
        </is>
      </c>
      <c r="G656" t="inlineStr">
        <is>
          <t>SANDVIKEN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35575-2026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46262</v>
      </c>
      <c r="E657" s="1" t="n">
        <v>46321</v>
      </c>
      <c r="F657" t="inlineStr">
        <is>
          <t>GÄVLEBORGS LÄN</t>
        </is>
      </c>
      <c r="G657" t="inlineStr">
        <is>
          <t>SANDVIKEN</t>
        </is>
      </c>
      <c r="H657" t="inlineStr">
        <is>
          <t>Naturvårdsverket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46129</v>
      </c>
      <c r="E658" s="1" t="n">
        <v>46321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7624-2023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44972</v>
      </c>
      <c r="E659" s="1" t="n">
        <v>46321</v>
      </c>
      <c r="F659" t="inlineStr">
        <is>
          <t>GÄVLEBORGS LÄN</t>
        </is>
      </c>
      <c r="G659" t="inlineStr">
        <is>
          <t>SANDVIKEN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10578-2025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45721</v>
      </c>
      <c r="E660" s="1" t="n">
        <v>46321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19273-2026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46133</v>
      </c>
      <c r="E661" s="1" t="n">
        <v>46321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38673-2025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45884</v>
      </c>
      <c r="E662" s="1" t="n">
        <v>46321</v>
      </c>
      <c r="F662" t="inlineStr">
        <is>
          <t>GÄVLEBORGS LÄN</t>
        </is>
      </c>
      <c r="G662" t="inlineStr">
        <is>
          <t>SANDVIKEN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19904-2026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46136</v>
      </c>
      <c r="E663" s="1" t="n">
        <v>46321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35451-2026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46262</v>
      </c>
      <c r="E664" s="1" t="n">
        <v>46321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12776-2026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46091</v>
      </c>
      <c r="E665" s="1" t="n">
        <v>46321</v>
      </c>
      <c r="F665" t="inlineStr">
        <is>
          <t>GÄVLEBORGS LÄN</t>
        </is>
      </c>
      <c r="G665" t="inlineStr">
        <is>
          <t>SANDVIKEN</t>
        </is>
      </c>
      <c r="H665" t="inlineStr">
        <is>
          <t>Naturvårdsverket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23476-2026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46321</v>
      </c>
      <c r="F666" t="inlineStr">
        <is>
          <t>GÄVLEBORGS LÄN</t>
        </is>
      </c>
      <c r="G666" t="inlineStr">
        <is>
          <t>SANDVIKEN</t>
        </is>
      </c>
      <c r="H666" t="inlineStr">
        <is>
          <t>Övriga statliga verk och myndigheter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19827-2026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46321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16.4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52932-2022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44875</v>
      </c>
      <c r="E668" s="1" t="n">
        <v>46321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35576-2026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46262</v>
      </c>
      <c r="E669" s="1" t="n">
        <v>46321</v>
      </c>
      <c r="F669" t="inlineStr">
        <is>
          <t>GÄVLEBORGS LÄN</t>
        </is>
      </c>
      <c r="G669" t="inlineStr">
        <is>
          <t>SANDVIKEN</t>
        </is>
      </c>
      <c r="H669" t="inlineStr">
        <is>
          <t>Naturvårdsverket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46321</v>
      </c>
      <c r="F670" t="inlineStr">
        <is>
          <t>GÄVLEBORGS LÄN</t>
        </is>
      </c>
      <c r="G670" t="inlineStr">
        <is>
          <t>SANDVIKEN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35481-2026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46262</v>
      </c>
      <c r="E671" s="1" t="n">
        <v>46321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6.7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42243-2026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46307</v>
      </c>
      <c r="E672" s="1" t="n">
        <v>46321</v>
      </c>
      <c r="F672" t="inlineStr">
        <is>
          <t>GÄVLEBORGS LÄN</t>
        </is>
      </c>
      <c r="G672" t="inlineStr">
        <is>
          <t>SANDVIKEN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46136</v>
      </c>
      <c r="E673" s="1" t="n">
        <v>46321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42325-2026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46307</v>
      </c>
      <c r="E674" s="1" t="n">
        <v>46321</v>
      </c>
      <c r="F674" t="inlineStr">
        <is>
          <t>GÄVLEBORGS LÄN</t>
        </is>
      </c>
      <c r="G674" t="inlineStr">
        <is>
          <t>SANDVIKEN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19865-2026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46135</v>
      </c>
      <c r="E675" s="1" t="n">
        <v>46321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46086</v>
      </c>
      <c r="E676" s="1" t="n">
        <v>46321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13258-2026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46321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6.6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46321</v>
      </c>
      <c r="F678" t="inlineStr">
        <is>
          <t>GÄVLEBORGS LÄN</t>
        </is>
      </c>
      <c r="G678" t="inlineStr">
        <is>
          <t>SANDVIKEN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46090</v>
      </c>
      <c r="E679" s="1" t="n">
        <v>46321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40745-2024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45558</v>
      </c>
      <c r="E680" s="1" t="n">
        <v>46321</v>
      </c>
      <c r="F680" t="inlineStr">
        <is>
          <t>GÄVLEBORGS LÄN</t>
        </is>
      </c>
      <c r="G680" t="inlineStr">
        <is>
          <t>SANDVIKEN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46310</v>
      </c>
      <c r="E681" s="1" t="n">
        <v>46321</v>
      </c>
      <c r="F681" t="inlineStr">
        <is>
          <t>GÄVLEBORGS LÄN</t>
        </is>
      </c>
      <c r="G681" t="inlineStr">
        <is>
          <t>SANDVIKEN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41125-2026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46300</v>
      </c>
      <c r="E682" s="1" t="n">
        <v>46321</v>
      </c>
      <c r="F682" t="inlineStr">
        <is>
          <t>GÄVLEBORGS LÄN</t>
        </is>
      </c>
      <c r="G682" t="inlineStr">
        <is>
          <t>SANDVIKEN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8379-2025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45709</v>
      </c>
      <c r="E683" s="1" t="n">
        <v>46321</v>
      </c>
      <c r="F683" t="inlineStr">
        <is>
          <t>GÄVLEBORGS LÄN</t>
        </is>
      </c>
      <c r="G683" t="inlineStr">
        <is>
          <t>SANDVIKEN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35863-2026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46266</v>
      </c>
      <c r="E684" s="1" t="n">
        <v>46321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3899-2022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44587</v>
      </c>
      <c r="E685" s="1" t="n">
        <v>46321</v>
      </c>
      <c r="F685" t="inlineStr">
        <is>
          <t>GÄVLEBORGS LÄN</t>
        </is>
      </c>
      <c r="G685" t="inlineStr">
        <is>
          <t>SANDVIKEN</t>
        </is>
      </c>
      <c r="H685" t="inlineStr">
        <is>
          <t>Kyrkan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4768-2026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46321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8698-2024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45356</v>
      </c>
      <c r="E687" s="1" t="n">
        <v>46321</v>
      </c>
      <c r="F687" t="inlineStr">
        <is>
          <t>GÄVLEBORGS LÄN</t>
        </is>
      </c>
      <c r="G687" t="inlineStr">
        <is>
          <t>SANDVIKEN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35865-2026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46266</v>
      </c>
      <c r="E688" s="1" t="n">
        <v>46321</v>
      </c>
      <c r="F688" t="inlineStr">
        <is>
          <t>GÄVLEBORGS LÄN</t>
        </is>
      </c>
      <c r="G688" t="inlineStr">
        <is>
          <t>SANDVIKEN</t>
        </is>
      </c>
      <c r="H688" t="inlineStr">
        <is>
          <t>Sveaskog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1392-2024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45303</v>
      </c>
      <c r="E689" s="1" t="n">
        <v>46321</v>
      </c>
      <c r="F689" t="inlineStr">
        <is>
          <t>GÄVLEBORGS LÄN</t>
        </is>
      </c>
      <c r="G689" t="inlineStr">
        <is>
          <t>SANDVIKEN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8604-2026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46065</v>
      </c>
      <c r="E690" s="1" t="n">
        <v>46321</v>
      </c>
      <c r="F690" t="inlineStr">
        <is>
          <t>GÄVLEBORGS LÄN</t>
        </is>
      </c>
      <c r="G690" t="inlineStr">
        <is>
          <t>SANDVIKEN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46035</v>
      </c>
      <c r="E691" s="1" t="n">
        <v>46321</v>
      </c>
      <c r="F691" t="inlineStr">
        <is>
          <t>GÄVLEBORGS LÄN</t>
        </is>
      </c>
      <c r="G691" t="inlineStr">
        <is>
          <t>SANDVIKEN</t>
        </is>
      </c>
      <c r="I691" t="n">
        <v>6.9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46321</v>
      </c>
      <c r="F692" t="inlineStr">
        <is>
          <t>GÄVLEBORGS LÄN</t>
        </is>
      </c>
      <c r="G692" t="inlineStr">
        <is>
          <t>SANDVIKEN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27969-2024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45476</v>
      </c>
      <c r="E693" s="1" t="n">
        <v>46321</v>
      </c>
      <c r="F693" t="inlineStr">
        <is>
          <t>GÄVLEBORGS LÄN</t>
        </is>
      </c>
      <c r="G693" t="inlineStr">
        <is>
          <t>SANDVIKEN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7911-2026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46321</v>
      </c>
      <c r="F694" t="inlineStr">
        <is>
          <t>GÄVLEBORGS LÄN</t>
        </is>
      </c>
      <c r="G694" t="inlineStr">
        <is>
          <t>SANDVIKEN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42495-2025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45905</v>
      </c>
      <c r="E695" s="1" t="n">
        <v>46321</v>
      </c>
      <c r="F695" t="inlineStr">
        <is>
          <t>GÄVLEBORGS LÄN</t>
        </is>
      </c>
      <c r="G695" t="inlineStr">
        <is>
          <t>SANDVIKEN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35492-2026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46262</v>
      </c>
      <c r="E696" s="1" t="n">
        <v>46321</v>
      </c>
      <c r="F696" t="inlineStr">
        <is>
          <t>GÄVLEBORGS LÄN</t>
        </is>
      </c>
      <c r="G696" t="inlineStr">
        <is>
          <t>SANDVIKEN</t>
        </is>
      </c>
      <c r="I696" t="n">
        <v>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43304-2026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46314</v>
      </c>
      <c r="E697" s="1" t="n">
        <v>46321</v>
      </c>
      <c r="F697" t="inlineStr">
        <is>
          <t>GÄVLEBORGS LÄN</t>
        </is>
      </c>
      <c r="G697" t="inlineStr">
        <is>
          <t>SANDVIKEN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46055</v>
      </c>
      <c r="E698" s="1" t="n">
        <v>46321</v>
      </c>
      <c r="F698" t="inlineStr">
        <is>
          <t>GÄVLEBORGS LÄN</t>
        </is>
      </c>
      <c r="G698" t="inlineStr">
        <is>
          <t>SANDVIKEN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13194-2025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45735</v>
      </c>
      <c r="E699" s="1" t="n">
        <v>46321</v>
      </c>
      <c r="F699" t="inlineStr">
        <is>
          <t>GÄVLEBORGS LÄN</t>
        </is>
      </c>
      <c r="G699" t="inlineStr">
        <is>
          <t>SANDVIKEN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21178-2025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45779</v>
      </c>
      <c r="E700" s="1" t="n">
        <v>46321</v>
      </c>
      <c r="F700" t="inlineStr">
        <is>
          <t>GÄVLEBORGS LÄN</t>
        </is>
      </c>
      <c r="G700" t="inlineStr">
        <is>
          <t>SANDVIKEN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43283-2026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46314</v>
      </c>
      <c r="E701" s="1" t="n">
        <v>46321</v>
      </c>
      <c r="F701" t="inlineStr">
        <is>
          <t>GÄVLEBORGS LÄN</t>
        </is>
      </c>
      <c r="G701" t="inlineStr">
        <is>
          <t>SANDVIKEN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43286-2026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46314</v>
      </c>
      <c r="E702" s="1" t="n">
        <v>46321</v>
      </c>
      <c r="F702" t="inlineStr">
        <is>
          <t>GÄVLEBORGS LÄN</t>
        </is>
      </c>
      <c r="G702" t="inlineStr">
        <is>
          <t>SANDVIKEN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28063-2023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45099</v>
      </c>
      <c r="E703" s="1" t="n">
        <v>46321</v>
      </c>
      <c r="F703" t="inlineStr">
        <is>
          <t>GÄVLEBORGS LÄN</t>
        </is>
      </c>
      <c r="G703" t="inlineStr">
        <is>
          <t>SANDVIKEN</t>
        </is>
      </c>
      <c r="I703" t="n">
        <v>8.1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7898-2026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46321</v>
      </c>
      <c r="F704" t="inlineStr">
        <is>
          <t>GÄVLEBORGS LÄN</t>
        </is>
      </c>
      <c r="G704" t="inlineStr">
        <is>
          <t>SANDVIKEN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46321</v>
      </c>
      <c r="F705" t="inlineStr">
        <is>
          <t>GÄVLEBORGS LÄN</t>
        </is>
      </c>
      <c r="G705" t="inlineStr">
        <is>
          <t>SANDVIKEN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43284-2026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46314</v>
      </c>
      <c r="E706" s="1" t="n">
        <v>46321</v>
      </c>
      <c r="F706" t="inlineStr">
        <is>
          <t>GÄVLEBORGS LÄN</t>
        </is>
      </c>
      <c r="G706" t="inlineStr">
        <is>
          <t>SANDVIKEN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8570-2026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46065</v>
      </c>
      <c r="E707" s="1" t="n">
        <v>46321</v>
      </c>
      <c r="F707" t="inlineStr">
        <is>
          <t>GÄVLEBORGS LÄN</t>
        </is>
      </c>
      <c r="G707" t="inlineStr">
        <is>
          <t>SANDVIKEN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46063</v>
      </c>
      <c r="E708" s="1" t="n">
        <v>46321</v>
      </c>
      <c r="F708" t="inlineStr">
        <is>
          <t>GÄVLEBORGS LÄN</t>
        </is>
      </c>
      <c r="G708" t="inlineStr">
        <is>
          <t>SANDVIKEN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9601-2026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46321</v>
      </c>
      <c r="F709" t="inlineStr">
        <is>
          <t>GÄVLEBORGS LÄN</t>
        </is>
      </c>
      <c r="G709" t="inlineStr">
        <is>
          <t>SANDVIKEN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6078-2026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46321</v>
      </c>
      <c r="F710" t="inlineStr">
        <is>
          <t>GÄVLEBORGS LÄN</t>
        </is>
      </c>
      <c r="G710" t="inlineStr">
        <is>
          <t>SANDVIKEN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55539-2023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45238</v>
      </c>
      <c r="E711" s="1" t="n">
        <v>46321</v>
      </c>
      <c r="F711" t="inlineStr">
        <is>
          <t>GÄVLEBORGS LÄN</t>
        </is>
      </c>
      <c r="G711" t="inlineStr">
        <is>
          <t>SANDVIKEN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46321</v>
      </c>
      <c r="F712" t="inlineStr">
        <is>
          <t>GÄVLEBORGS LÄN</t>
        </is>
      </c>
      <c r="G712" t="inlineStr">
        <is>
          <t>SANDVIKEN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46321</v>
      </c>
      <c r="F713" t="inlineStr">
        <is>
          <t>GÄVLEBORGS LÄN</t>
        </is>
      </c>
      <c r="G713" t="inlineStr">
        <is>
          <t>SANDVIKEN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36656-2024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45537</v>
      </c>
      <c r="E714" s="1" t="n">
        <v>46321</v>
      </c>
      <c r="F714" t="inlineStr">
        <is>
          <t>GÄVLEBORGS LÄN</t>
        </is>
      </c>
      <c r="G714" t="inlineStr">
        <is>
          <t>SANDVIKEN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14910-2026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46321</v>
      </c>
      <c r="F715" t="inlineStr">
        <is>
          <t>GÄVLEBORGS LÄN</t>
        </is>
      </c>
      <c r="G715" t="inlineStr">
        <is>
          <t>SANDVIKEN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46038</v>
      </c>
      <c r="E716" s="1" t="n">
        <v>46321</v>
      </c>
      <c r="F716" t="inlineStr">
        <is>
          <t>GÄVLEBORGS LÄN</t>
        </is>
      </c>
      <c r="G716" t="inlineStr">
        <is>
          <t>SANDVIKEN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49209-2024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45595</v>
      </c>
      <c r="E717" s="1" t="n">
        <v>46321</v>
      </c>
      <c r="F717" t="inlineStr">
        <is>
          <t>GÄVLEBORGS LÄN</t>
        </is>
      </c>
      <c r="G717" t="inlineStr">
        <is>
          <t>SANDVIKEN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46061</v>
      </c>
      <c r="E718" s="1" t="n">
        <v>46321</v>
      </c>
      <c r="F718" t="inlineStr">
        <is>
          <t>GÄVLEBORGS LÄN</t>
        </is>
      </c>
      <c r="G718" t="inlineStr">
        <is>
          <t>SANDVIKEN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44717-2025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45917</v>
      </c>
      <c r="E719" s="1" t="n">
        <v>46321</v>
      </c>
      <c r="F719" t="inlineStr">
        <is>
          <t>GÄVLEBORGS LÄN</t>
        </is>
      </c>
      <c r="G719" t="inlineStr">
        <is>
          <t>SANDVIKEN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46046</v>
      </c>
      <c r="E720" s="1" t="n">
        <v>46321</v>
      </c>
      <c r="F720" t="inlineStr">
        <is>
          <t>GÄVLEBORGS LÄN</t>
        </is>
      </c>
      <c r="G720" t="inlineStr">
        <is>
          <t>SANDVIKEN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11967-2025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45728</v>
      </c>
      <c r="E721" s="1" t="n">
        <v>46321</v>
      </c>
      <c r="F721" t="inlineStr">
        <is>
          <t>GÄVLEBORGS LÄN</t>
        </is>
      </c>
      <c r="G721" t="inlineStr">
        <is>
          <t>SANDVIKEN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37024-2026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46273</v>
      </c>
      <c r="E722" s="1" t="n">
        <v>46321</v>
      </c>
      <c r="F722" t="inlineStr">
        <is>
          <t>GÄVLEBORGS LÄN</t>
        </is>
      </c>
      <c r="G722" t="inlineStr">
        <is>
          <t>SANDVIKEN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20618-2026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46321</v>
      </c>
      <c r="F723" t="inlineStr">
        <is>
          <t>GÄVLEBORGS LÄN</t>
        </is>
      </c>
      <c r="G723" t="inlineStr">
        <is>
          <t>SANDVIKEN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46058</v>
      </c>
      <c r="E724" s="1" t="n">
        <v>46321</v>
      </c>
      <c r="F724" t="inlineStr">
        <is>
          <t>GÄVLEBORGS LÄN</t>
        </is>
      </c>
      <c r="G724" t="inlineStr">
        <is>
          <t>SANDVIKEN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11894-2026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46321</v>
      </c>
      <c r="F725" t="inlineStr">
        <is>
          <t>GÄVLEBORGS LÄN</t>
        </is>
      </c>
      <c r="G725" t="inlineStr">
        <is>
          <t>SANDVIKEN</t>
        </is>
      </c>
      <c r="I725" t="n">
        <v>8.199999999999999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11205-2026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46080</v>
      </c>
      <c r="E726" s="1" t="n">
        <v>46321</v>
      </c>
      <c r="F726" t="inlineStr">
        <is>
          <t>GÄVLEBORGS LÄN</t>
        </is>
      </c>
      <c r="G726" t="inlineStr">
        <is>
          <t>SANDVIKEN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46036</v>
      </c>
      <c r="E727" s="1" t="n">
        <v>46321</v>
      </c>
      <c r="F727" t="inlineStr">
        <is>
          <t>GÄVLEBORGS LÄN</t>
        </is>
      </c>
      <c r="G727" t="inlineStr">
        <is>
          <t>SANDVIKEN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50900-2024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45602</v>
      </c>
      <c r="E728" s="1" t="n">
        <v>46321</v>
      </c>
      <c r="F728" t="inlineStr">
        <is>
          <t>GÄVLEBORGS LÄN</t>
        </is>
      </c>
      <c r="G728" t="inlineStr">
        <is>
          <t>SANDVIKEN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9139-2026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46069</v>
      </c>
      <c r="E729" s="1" t="n">
        <v>46321</v>
      </c>
      <c r="F729" t="inlineStr">
        <is>
          <t>GÄVLEBORGS LÄN</t>
        </is>
      </c>
      <c r="G729" t="inlineStr">
        <is>
          <t>SANDVIKEN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38319-2025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45883</v>
      </c>
      <c r="E730" s="1" t="n">
        <v>46321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46321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46037</v>
      </c>
      <c r="E732" s="1" t="n">
        <v>46321</v>
      </c>
      <c r="F732" t="inlineStr">
        <is>
          <t>GÄVLEBORGS LÄN</t>
        </is>
      </c>
      <c r="G732" t="inlineStr">
        <is>
          <t>SANDVIKEN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46029</v>
      </c>
      <c r="E733" s="1" t="n">
        <v>46321</v>
      </c>
      <c r="F733" t="inlineStr">
        <is>
          <t>GÄVLEBORGS LÄN</t>
        </is>
      </c>
      <c r="G733" t="inlineStr">
        <is>
          <t>SANDVIKEN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19499-2026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46134</v>
      </c>
      <c r="E734" s="1" t="n">
        <v>46321</v>
      </c>
      <c r="F734" t="inlineStr">
        <is>
          <t>GÄVLEBORGS LÄN</t>
        </is>
      </c>
      <c r="G734" t="inlineStr">
        <is>
          <t>SANDVIKEN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15237-2026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46105</v>
      </c>
      <c r="E735" s="1" t="n">
        <v>46321</v>
      </c>
      <c r="F735" t="inlineStr">
        <is>
          <t>GÄVLEBORGS LÄN</t>
        </is>
      </c>
      <c r="G735" t="inlineStr">
        <is>
          <t>SANDVIKEN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58885-2023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45252</v>
      </c>
      <c r="E736" s="1" t="n">
        <v>46321</v>
      </c>
      <c r="F736" t="inlineStr">
        <is>
          <t>GÄVLEBORGS LÄN</t>
        </is>
      </c>
      <c r="G736" t="inlineStr">
        <is>
          <t>SANDVIKEN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46321</v>
      </c>
      <c r="F737" t="inlineStr">
        <is>
          <t>GÄVLEBORGS LÄN</t>
        </is>
      </c>
      <c r="G737" t="inlineStr">
        <is>
          <t>SANDVIKEN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36203-2025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45867</v>
      </c>
      <c r="E738" s="1" t="n">
        <v>46321</v>
      </c>
      <c r="F738" t="inlineStr">
        <is>
          <t>GÄVLEBORGS LÄN</t>
        </is>
      </c>
      <c r="G738" t="inlineStr">
        <is>
          <t>SANDVIKEN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46071</v>
      </c>
      <c r="E739" s="1" t="n">
        <v>46321</v>
      </c>
      <c r="F739" t="inlineStr">
        <is>
          <t>GÄVLEBORGS LÄN</t>
        </is>
      </c>
      <c r="G739" t="inlineStr">
        <is>
          <t>SANDVIKEN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46043</v>
      </c>
      <c r="E740" s="1" t="n">
        <v>46321</v>
      </c>
      <c r="F740" t="inlineStr">
        <is>
          <t>GÄVLEBORGS LÄN</t>
        </is>
      </c>
      <c r="G740" t="inlineStr">
        <is>
          <t>SANDVIKEN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11810-2023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44994</v>
      </c>
      <c r="E741" s="1" t="n">
        <v>46321</v>
      </c>
      <c r="F741" t="inlineStr">
        <is>
          <t>GÄVLEBORGS LÄN</t>
        </is>
      </c>
      <c r="G741" t="inlineStr">
        <is>
          <t>SANDVIKEN</t>
        </is>
      </c>
      <c r="I741" t="n">
        <v>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46058</v>
      </c>
      <c r="E742" s="1" t="n">
        <v>46321</v>
      </c>
      <c r="F742" t="inlineStr">
        <is>
          <t>GÄVLEBORGS LÄN</t>
        </is>
      </c>
      <c r="G742" t="inlineStr">
        <is>
          <t>SANDVIKEN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15340-2026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46105</v>
      </c>
      <c r="E743" s="1" t="n">
        <v>46321</v>
      </c>
      <c r="F743" t="inlineStr">
        <is>
          <t>GÄVLEBORGS LÄN</t>
        </is>
      </c>
      <c r="G743" t="inlineStr">
        <is>
          <t>SANDVIKEN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12427-2026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46090</v>
      </c>
      <c r="E744" s="1" t="n">
        <v>46321</v>
      </c>
      <c r="F744" t="inlineStr">
        <is>
          <t>GÄVLEBORGS LÄN</t>
        </is>
      </c>
      <c r="G744" t="inlineStr">
        <is>
          <t>SANDVIKEN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12477-2026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46090</v>
      </c>
      <c r="E745" s="1" t="n">
        <v>46321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20636-2026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46141</v>
      </c>
      <c r="E746" s="1" t="n">
        <v>46321</v>
      </c>
      <c r="F746" t="inlineStr">
        <is>
          <t>GÄVLEBORGS LÄN</t>
        </is>
      </c>
      <c r="G746" t="inlineStr">
        <is>
          <t>SANDVIKEN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9694-2026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46072</v>
      </c>
      <c r="E747" s="1" t="n">
        <v>46321</v>
      </c>
      <c r="F747" t="inlineStr">
        <is>
          <t>GÄVLEBORGS LÄN</t>
        </is>
      </c>
      <c r="G747" t="inlineStr">
        <is>
          <t>SANDVIKEN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46321</v>
      </c>
      <c r="F748" t="inlineStr">
        <is>
          <t>GÄVLEBORGS LÄN</t>
        </is>
      </c>
      <c r="G748" t="inlineStr">
        <is>
          <t>SANDVIKEN</t>
        </is>
      </c>
      <c r="I748" t="n">
        <v>11.2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48435-2024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45590</v>
      </c>
      <c r="E749" s="1" t="n">
        <v>46321</v>
      </c>
      <c r="F749" t="inlineStr">
        <is>
          <t>GÄVLEBORGS LÄN</t>
        </is>
      </c>
      <c r="G749" t="inlineStr">
        <is>
          <t>SANDVIKEN</t>
        </is>
      </c>
      <c r="I749" t="n">
        <v>6.7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46038</v>
      </c>
      <c r="E750" s="1" t="n">
        <v>46321</v>
      </c>
      <c r="F750" t="inlineStr">
        <is>
          <t>GÄVLEBORGS LÄN</t>
        </is>
      </c>
      <c r="G750" t="inlineStr">
        <is>
          <t>SANDVIKEN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19421-2025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45769</v>
      </c>
      <c r="E751" s="1" t="n">
        <v>46321</v>
      </c>
      <c r="F751" t="inlineStr">
        <is>
          <t>GÄVLEBORGS LÄN</t>
        </is>
      </c>
      <c r="G751" t="inlineStr">
        <is>
          <t>SANDVIKEN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37455-2026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46275</v>
      </c>
      <c r="E752" s="1" t="n">
        <v>46321</v>
      </c>
      <c r="F752" t="inlineStr">
        <is>
          <t>GÄVLEBORGS LÄN</t>
        </is>
      </c>
      <c r="G752" t="inlineStr">
        <is>
          <t>SANDVIKEN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13632-2024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45390</v>
      </c>
      <c r="E753" s="1" t="n">
        <v>46321</v>
      </c>
      <c r="F753" t="inlineStr">
        <is>
          <t>GÄVLEBORGS LÄN</t>
        </is>
      </c>
      <c r="G753" t="inlineStr">
        <is>
          <t>SANDVIKEN</t>
        </is>
      </c>
      <c r="H753" t="inlineStr">
        <is>
          <t>Kyrkan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8600-2026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46065</v>
      </c>
      <c r="E754" s="1" t="n">
        <v>46321</v>
      </c>
      <c r="F754" t="inlineStr">
        <is>
          <t>GÄVLEBORGS LÄN</t>
        </is>
      </c>
      <c r="G754" t="inlineStr">
        <is>
          <t>SANDVIKEN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20917-2026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46142</v>
      </c>
      <c r="E755" s="1" t="n">
        <v>46321</v>
      </c>
      <c r="F755" t="inlineStr">
        <is>
          <t>GÄVLEBORGS LÄN</t>
        </is>
      </c>
      <c r="G755" t="inlineStr">
        <is>
          <t>SANDVIKEN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21576-2026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46148</v>
      </c>
      <c r="E756" s="1" t="n">
        <v>46321</v>
      </c>
      <c r="F756" t="inlineStr">
        <is>
          <t>GÄVLEBORGS LÄN</t>
        </is>
      </c>
      <c r="G756" t="inlineStr">
        <is>
          <t>SANDVIKEN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21334-2026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46147</v>
      </c>
      <c r="E757" s="1" t="n">
        <v>46321</v>
      </c>
      <c r="F757" t="inlineStr">
        <is>
          <t>GÄVLEBORGS LÄN</t>
        </is>
      </c>
      <c r="G757" t="inlineStr">
        <is>
          <t>SANDVIKEN</t>
        </is>
      </c>
      <c r="H757" t="inlineStr">
        <is>
          <t>Kommuner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21295-2026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46147</v>
      </c>
      <c r="E758" s="1" t="n">
        <v>46321</v>
      </c>
      <c r="F758" t="inlineStr">
        <is>
          <t>GÄVLEBORGS LÄN</t>
        </is>
      </c>
      <c r="G758" t="inlineStr">
        <is>
          <t>SANDVIKEN</t>
        </is>
      </c>
      <c r="H758" t="inlineStr">
        <is>
          <t>Kommuner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21377-2026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46147</v>
      </c>
      <c r="E759" s="1" t="n">
        <v>46321</v>
      </c>
      <c r="F759" t="inlineStr">
        <is>
          <t>GÄVLEBORGS LÄN</t>
        </is>
      </c>
      <c r="G759" t="inlineStr">
        <is>
          <t>SANDVIKEN</t>
        </is>
      </c>
      <c r="H759" t="inlineStr">
        <is>
          <t>Kommuner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21343-2026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46147</v>
      </c>
      <c r="E760" s="1" t="n">
        <v>46321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21288-2026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46147</v>
      </c>
      <c r="E761" s="1" t="n">
        <v>46321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21773-2026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46150</v>
      </c>
      <c r="E762" s="1" t="n">
        <v>46321</v>
      </c>
      <c r="F762" t="inlineStr">
        <is>
          <t>GÄVLEBORGS LÄN</t>
        </is>
      </c>
      <c r="G762" t="inlineStr">
        <is>
          <t>SANDVIKEN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4461-2023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44956</v>
      </c>
      <c r="E763" s="1" t="n">
        <v>46321</v>
      </c>
      <c r="F763" t="inlineStr">
        <is>
          <t>GÄVLEBORGS LÄN</t>
        </is>
      </c>
      <c r="G763" t="inlineStr">
        <is>
          <t>SANDVIKEN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50797-2023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45217</v>
      </c>
      <c r="E764" s="1" t="n">
        <v>46321</v>
      </c>
      <c r="F764" t="inlineStr">
        <is>
          <t>GÄVLEBORGS LÄN</t>
        </is>
      </c>
      <c r="G764" t="inlineStr">
        <is>
          <t>SANDVIKEN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24465-2023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45082</v>
      </c>
      <c r="E765" s="1" t="n">
        <v>46321</v>
      </c>
      <c r="F765" t="inlineStr">
        <is>
          <t>GÄVLEBORGS LÄN</t>
        </is>
      </c>
      <c r="G765" t="inlineStr">
        <is>
          <t>SANDVIKEN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3635-2026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46321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12120-2026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46086</v>
      </c>
      <c r="E767" s="1" t="n">
        <v>46321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46048</v>
      </c>
      <c r="E768" s="1" t="n">
        <v>46321</v>
      </c>
      <c r="F768" t="inlineStr">
        <is>
          <t>GÄVLEBORGS LÄN</t>
        </is>
      </c>
      <c r="G768" t="inlineStr">
        <is>
          <t>SANDVIKEN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21951-2026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46151</v>
      </c>
      <c r="E769" s="1" t="n">
        <v>46321</v>
      </c>
      <c r="F769" t="inlineStr">
        <is>
          <t>GÄVLEBORGS LÄN</t>
        </is>
      </c>
      <c r="G769" t="inlineStr">
        <is>
          <t>SANDVIKEN</t>
        </is>
      </c>
      <c r="I769" t="n">
        <v>11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12149-2026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46086</v>
      </c>
      <c r="E770" s="1" t="n">
        <v>46321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27006-2023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45094</v>
      </c>
      <c r="E771" s="1" t="n">
        <v>46321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43090-2023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45182</v>
      </c>
      <c r="E772" s="1" t="n">
        <v>46321</v>
      </c>
      <c r="F772" t="inlineStr">
        <is>
          <t>GÄVLEBORGS LÄN</t>
        </is>
      </c>
      <c r="G772" t="inlineStr">
        <is>
          <t>SANDVIKEN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5257-2026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46050</v>
      </c>
      <c r="E773" s="1" t="n">
        <v>46321</v>
      </c>
      <c r="F773" t="inlineStr">
        <is>
          <t>GÄVLEBORGS LÄN</t>
        </is>
      </c>
      <c r="G773" t="inlineStr">
        <is>
          <t>SANDVIKEN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11089-2026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46079</v>
      </c>
      <c r="E774" s="1" t="n">
        <v>46321</v>
      </c>
      <c r="F774" t="inlineStr">
        <is>
          <t>GÄVLEBORGS LÄN</t>
        </is>
      </c>
      <c r="G774" t="inlineStr">
        <is>
          <t>SANDVIKEN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22068-2026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46153</v>
      </c>
      <c r="E775" s="1" t="n">
        <v>46321</v>
      </c>
      <c r="F775" t="inlineStr">
        <is>
          <t>GÄVLEBORGS LÄN</t>
        </is>
      </c>
      <c r="G775" t="inlineStr">
        <is>
          <t>SANDVIKEN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46035</v>
      </c>
      <c r="E776" s="1" t="n">
        <v>46321</v>
      </c>
      <c r="F776" t="inlineStr">
        <is>
          <t>GÄVLEBORGS LÄN</t>
        </is>
      </c>
      <c r="G776" t="inlineStr">
        <is>
          <t>SANDVIKEN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11393-2023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44988</v>
      </c>
      <c r="E777" s="1" t="n">
        <v>46321</v>
      </c>
      <c r="F777" t="inlineStr">
        <is>
          <t>GÄVLEBORGS LÄN</t>
        </is>
      </c>
      <c r="G777" t="inlineStr">
        <is>
          <t>SANDVIKEN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16012-2026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46108</v>
      </c>
      <c r="E778" s="1" t="n">
        <v>46321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13551-2026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46321</v>
      </c>
      <c r="F779" t="inlineStr">
        <is>
          <t>GÄVLEBORGS LÄN</t>
        </is>
      </c>
      <c r="G779" t="inlineStr">
        <is>
          <t>SANDVIKEN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60891-2023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45261</v>
      </c>
      <c r="E780" s="1" t="n">
        <v>46321</v>
      </c>
      <c r="F780" t="inlineStr">
        <is>
          <t>GÄVLEBORGS LÄN</t>
        </is>
      </c>
      <c r="G780" t="inlineStr">
        <is>
          <t>SANDVIKEN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60897-2023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45261</v>
      </c>
      <c r="E781" s="1" t="n">
        <v>46321</v>
      </c>
      <c r="F781" t="inlineStr">
        <is>
          <t>GÄVLEBORGS LÄN</t>
        </is>
      </c>
      <c r="G781" t="inlineStr">
        <is>
          <t>SANDVIKEN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16102-2026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46108</v>
      </c>
      <c r="E782" s="1" t="n">
        <v>46321</v>
      </c>
      <c r="F782" t="inlineStr">
        <is>
          <t>GÄVLEBORGS LÄN</t>
        </is>
      </c>
      <c r="G782" t="inlineStr">
        <is>
          <t>SANDVIKEN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58182-2023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45245</v>
      </c>
      <c r="E783" s="1" t="n">
        <v>46321</v>
      </c>
      <c r="F783" t="inlineStr">
        <is>
          <t>GÄVLEBORGS LÄN</t>
        </is>
      </c>
      <c r="G783" t="inlineStr">
        <is>
          <t>SANDVIKEN</t>
        </is>
      </c>
      <c r="I783" t="n">
        <v>8.1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28523-2024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45478</v>
      </c>
      <c r="E784" s="1" t="n">
        <v>46321</v>
      </c>
      <c r="F784" t="inlineStr">
        <is>
          <t>GÄVLEBORGS LÄN</t>
        </is>
      </c>
      <c r="G784" t="inlineStr">
        <is>
          <t>SANDVIKEN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14867-2026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46104</v>
      </c>
      <c r="E785" s="1" t="n">
        <v>46321</v>
      </c>
      <c r="F785" t="inlineStr">
        <is>
          <t>GÄVLEBORGS LÄN</t>
        </is>
      </c>
      <c r="G785" t="inlineStr">
        <is>
          <t>SANDVIKEN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35184-2022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44797</v>
      </c>
      <c r="E786" s="1" t="n">
        <v>46321</v>
      </c>
      <c r="F786" t="inlineStr">
        <is>
          <t>GÄVLEBORGS LÄN</t>
        </is>
      </c>
      <c r="G786" t="inlineStr">
        <is>
          <t>SANDVIKEN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15907-2023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45022</v>
      </c>
      <c r="E787" s="1" t="n">
        <v>46321</v>
      </c>
      <c r="F787" t="inlineStr">
        <is>
          <t>GÄVLEBORGS LÄN</t>
        </is>
      </c>
      <c r="G787" t="inlineStr">
        <is>
          <t>SANDVIKEN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1712-2025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45671</v>
      </c>
      <c r="E788" s="1" t="n">
        <v>46321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47974-2024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45589</v>
      </c>
      <c r="E789" s="1" t="n">
        <v>46321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väst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50765-2024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45602</v>
      </c>
      <c r="E790" s="1" t="n">
        <v>46321</v>
      </c>
      <c r="F790" t="inlineStr">
        <is>
          <t>GÄVLEBORGS LÄN</t>
        </is>
      </c>
      <c r="G790" t="inlineStr">
        <is>
          <t>SANDVIKEN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53719-2024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45615</v>
      </c>
      <c r="E791" s="1" t="n">
        <v>46321</v>
      </c>
      <c r="F791" t="inlineStr">
        <is>
          <t>GÄVLEBORGS LÄN</t>
        </is>
      </c>
      <c r="G791" t="inlineStr">
        <is>
          <t>SANDVIKEN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3119-2022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44582</v>
      </c>
      <c r="E792" s="1" t="n">
        <v>46321</v>
      </c>
      <c r="F792" t="inlineStr">
        <is>
          <t>GÄVLEBORGS LÄN</t>
        </is>
      </c>
      <c r="G792" t="inlineStr">
        <is>
          <t>SANDVIKEN</t>
        </is>
      </c>
      <c r="H792" t="inlineStr">
        <is>
          <t>Kyrkan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5586-2025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45693</v>
      </c>
      <c r="E793" s="1" t="n">
        <v>46321</v>
      </c>
      <c r="F793" t="inlineStr">
        <is>
          <t>GÄVLEBORGS LÄN</t>
        </is>
      </c>
      <c r="G793" t="inlineStr">
        <is>
          <t>SANDVIKEN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12421-2025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45730</v>
      </c>
      <c r="E794" s="1" t="n">
        <v>46321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61858-2024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45649</v>
      </c>
      <c r="E795" s="1" t="n">
        <v>46321</v>
      </c>
      <c r="F795" t="inlineStr">
        <is>
          <t>GÄVLEBORGS LÄN</t>
        </is>
      </c>
      <c r="G795" t="inlineStr">
        <is>
          <t>SANDVIKEN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61859-2024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46321</v>
      </c>
      <c r="F796" t="inlineStr">
        <is>
          <t>GÄVLEBORGS LÄN</t>
        </is>
      </c>
      <c r="G796" t="inlineStr">
        <is>
          <t>SANDVIKEN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52772-2023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45226</v>
      </c>
      <c r="E797" s="1" t="n">
        <v>46321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44101-2023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45188</v>
      </c>
      <c r="E798" s="1" t="n">
        <v>46321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1675-2025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45670</v>
      </c>
      <c r="E799" s="1" t="n">
        <v>46321</v>
      </c>
      <c r="F799" t="inlineStr">
        <is>
          <t>GÄVLEBORGS LÄN</t>
        </is>
      </c>
      <c r="G799" t="inlineStr">
        <is>
          <t>SANDVIKEN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45102-2022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44843</v>
      </c>
      <c r="E800" s="1" t="n">
        <v>46321</v>
      </c>
      <c r="F800" t="inlineStr">
        <is>
          <t>GÄVLEBORGS LÄN</t>
        </is>
      </c>
      <c r="G800" t="inlineStr">
        <is>
          <t>SANDVIKEN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7679-2025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45706</v>
      </c>
      <c r="E801" s="1" t="n">
        <v>46321</v>
      </c>
      <c r="F801" t="inlineStr">
        <is>
          <t>GÄVLEBORGS LÄN</t>
        </is>
      </c>
      <c r="G801" t="inlineStr">
        <is>
          <t>SANDVIKEN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45279-2023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45191</v>
      </c>
      <c r="E802" s="1" t="n">
        <v>46321</v>
      </c>
      <c r="F802" t="inlineStr">
        <is>
          <t>GÄVLEBORGS LÄN</t>
        </is>
      </c>
      <c r="G802" t="inlineStr">
        <is>
          <t>SANDVIKEN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19771-2025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45771</v>
      </c>
      <c r="E803" s="1" t="n">
        <v>46321</v>
      </c>
      <c r="F803" t="inlineStr">
        <is>
          <t>GÄVLEBORGS LÄN</t>
        </is>
      </c>
      <c r="G803" t="inlineStr">
        <is>
          <t>SANDVIKEN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49518-2023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45211</v>
      </c>
      <c r="E804" s="1" t="n">
        <v>46321</v>
      </c>
      <c r="F804" t="inlineStr">
        <is>
          <t>GÄVLEBORGS LÄN</t>
        </is>
      </c>
      <c r="G804" t="inlineStr">
        <is>
          <t>SANDVIKEN</t>
        </is>
      </c>
      <c r="I804" t="n">
        <v>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6765-2025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45700</v>
      </c>
      <c r="E805" s="1" t="n">
        <v>46321</v>
      </c>
      <c r="F805" t="inlineStr">
        <is>
          <t>GÄVLEBORGS LÄN</t>
        </is>
      </c>
      <c r="G805" t="inlineStr">
        <is>
          <t>SANDVIKEN</t>
        </is>
      </c>
      <c r="I805" t="n">
        <v>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59841-2023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45257</v>
      </c>
      <c r="E806" s="1" t="n">
        <v>46321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34013-2024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45523</v>
      </c>
      <c r="E807" s="1" t="n">
        <v>46321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16980-2025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45755</v>
      </c>
      <c r="E808" s="1" t="n">
        <v>46321</v>
      </c>
      <c r="F808" t="inlineStr">
        <is>
          <t>GÄVLEBORGS LÄN</t>
        </is>
      </c>
      <c r="G808" t="inlineStr">
        <is>
          <t>SANDVIKEN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49211-2023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45210</v>
      </c>
      <c r="E809" s="1" t="n">
        <v>46321</v>
      </c>
      <c r="F809" t="inlineStr">
        <is>
          <t>GÄVLEBORGS LÄN</t>
        </is>
      </c>
      <c r="G809" t="inlineStr">
        <is>
          <t>SANDVIKEN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59738-2022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44908</v>
      </c>
      <c r="E810" s="1" t="n">
        <v>46321</v>
      </c>
      <c r="F810" t="inlineStr">
        <is>
          <t>GÄVLEBORGS LÄN</t>
        </is>
      </c>
      <c r="G810" t="inlineStr">
        <is>
          <t>SANDVIKEN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58796-2024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45636</v>
      </c>
      <c r="E811" s="1" t="n">
        <v>46321</v>
      </c>
      <c r="F811" t="inlineStr">
        <is>
          <t>GÄVLEBORGS LÄN</t>
        </is>
      </c>
      <c r="G811" t="inlineStr">
        <is>
          <t>SANDVIKEN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10575-2025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45721</v>
      </c>
      <c r="E812" s="1" t="n">
        <v>46321</v>
      </c>
      <c r="F812" t="inlineStr">
        <is>
          <t>GÄVLEBORGS LÄN</t>
        </is>
      </c>
      <c r="G812" t="inlineStr">
        <is>
          <t>SANDVIKEN</t>
        </is>
      </c>
      <c r="H812" t="inlineStr">
        <is>
          <t>Sveaskog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10580-2025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45721</v>
      </c>
      <c r="E813" s="1" t="n">
        <v>46321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46177-2022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44847</v>
      </c>
      <c r="E814" s="1" t="n">
        <v>46321</v>
      </c>
      <c r="F814" t="inlineStr">
        <is>
          <t>GÄVLEBORGS LÄN</t>
        </is>
      </c>
      <c r="G814" t="inlineStr">
        <is>
          <t>SANDVIKEN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61774-2024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45649</v>
      </c>
      <c r="E815" s="1" t="n">
        <v>46321</v>
      </c>
      <c r="F815" t="inlineStr">
        <is>
          <t>GÄVLEBORGS LÄN</t>
        </is>
      </c>
      <c r="G815" t="inlineStr">
        <is>
          <t>SANDVIKEN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58363-2022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44901</v>
      </c>
      <c r="E816" s="1" t="n">
        <v>46321</v>
      </c>
      <c r="F816" t="inlineStr">
        <is>
          <t>GÄVLEBORGS LÄN</t>
        </is>
      </c>
      <c r="G816" t="inlineStr">
        <is>
          <t>SANDVIKEN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41790-2024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45561</v>
      </c>
      <c r="E817" s="1" t="n">
        <v>46321</v>
      </c>
      <c r="F817" t="inlineStr">
        <is>
          <t>GÄVLEBORGS LÄN</t>
        </is>
      </c>
      <c r="G817" t="inlineStr">
        <is>
          <t>SANDVIKEN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19346-2023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45049</v>
      </c>
      <c r="E818" s="1" t="n">
        <v>46321</v>
      </c>
      <c r="F818" t="inlineStr">
        <is>
          <t>GÄVLEBORGS LÄN</t>
        </is>
      </c>
      <c r="G818" t="inlineStr">
        <is>
          <t>SANDVIKEN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61694-2021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44501</v>
      </c>
      <c r="E819" s="1" t="n">
        <v>46321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10577-2025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45721</v>
      </c>
      <c r="E820" s="1" t="n">
        <v>46321</v>
      </c>
      <c r="F820" t="inlineStr">
        <is>
          <t>GÄVLEBORGS LÄN</t>
        </is>
      </c>
      <c r="G820" t="inlineStr">
        <is>
          <t>SANDVIKEN</t>
        </is>
      </c>
      <c r="H820" t="inlineStr">
        <is>
          <t>Sveaskog</t>
        </is>
      </c>
      <c r="I820" t="n">
        <v>10.9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32609-2023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45121</v>
      </c>
      <c r="E821" s="1" t="n">
        <v>46321</v>
      </c>
      <c r="F821" t="inlineStr">
        <is>
          <t>GÄVLEBORGS LÄN</t>
        </is>
      </c>
      <c r="G821" t="inlineStr">
        <is>
          <t>SANDVIKEN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62047-2022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44918</v>
      </c>
      <c r="E822" s="1" t="n">
        <v>46321</v>
      </c>
      <c r="F822" t="inlineStr">
        <is>
          <t>GÄVLEBORGS LÄN</t>
        </is>
      </c>
      <c r="G822" t="inlineStr">
        <is>
          <t>SANDVIKEN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7031-2025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45701</v>
      </c>
      <c r="E823" s="1" t="n">
        <v>46321</v>
      </c>
      <c r="F823" t="inlineStr">
        <is>
          <t>GÄVLEBORGS LÄN</t>
        </is>
      </c>
      <c r="G823" t="inlineStr">
        <is>
          <t>SANDVIKEN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73331-2021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44551</v>
      </c>
      <c r="E824" s="1" t="n">
        <v>46321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64225-2021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44510</v>
      </c>
      <c r="E825" s="1" t="n">
        <v>46321</v>
      </c>
      <c r="F825" t="inlineStr">
        <is>
          <t>GÄVLEBORGS LÄN</t>
        </is>
      </c>
      <c r="G825" t="inlineStr">
        <is>
          <t>SANDVIKEN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45545</v>
      </c>
      <c r="E826" s="1" t="n">
        <v>46321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29297-2024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45483</v>
      </c>
      <c r="E827" s="1" t="n">
        <v>46321</v>
      </c>
      <c r="F827" t="inlineStr">
        <is>
          <t>GÄVLEBORGS LÄN</t>
        </is>
      </c>
      <c r="G827" t="inlineStr">
        <is>
          <t>SANDVIKEN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6951-2024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45343</v>
      </c>
      <c r="E828" s="1" t="n">
        <v>46321</v>
      </c>
      <c r="F828" t="inlineStr">
        <is>
          <t>GÄVLEBORGS LÄN</t>
        </is>
      </c>
      <c r="G828" t="inlineStr">
        <is>
          <t>SANDVIKEN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11397-2023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44988</v>
      </c>
      <c r="E829" s="1" t="n">
        <v>46321</v>
      </c>
      <c r="F829" t="inlineStr">
        <is>
          <t>GÄVLEBORGS LÄN</t>
        </is>
      </c>
      <c r="G829" t="inlineStr">
        <is>
          <t>SANDVIKEN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30714-2023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45112</v>
      </c>
      <c r="E830" s="1" t="n">
        <v>46321</v>
      </c>
      <c r="F830" t="inlineStr">
        <is>
          <t>GÄVLEBORGS LÄN</t>
        </is>
      </c>
      <c r="G830" t="inlineStr">
        <is>
          <t>SANDVIKEN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38215-2023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45161</v>
      </c>
      <c r="E831" s="1" t="n">
        <v>46321</v>
      </c>
      <c r="F831" t="inlineStr">
        <is>
          <t>GÄVLEBORGS LÄN</t>
        </is>
      </c>
      <c r="G831" t="inlineStr">
        <is>
          <t>SANDVIKEN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53718-2024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45615</v>
      </c>
      <c r="E832" s="1" t="n">
        <v>46321</v>
      </c>
      <c r="F832" t="inlineStr">
        <is>
          <t>GÄVLEBORGS LÄN</t>
        </is>
      </c>
      <c r="G832" t="inlineStr">
        <is>
          <t>SANDVIKEN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1039-2025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45666</v>
      </c>
      <c r="E833" s="1" t="n">
        <v>46321</v>
      </c>
      <c r="F833" t="inlineStr">
        <is>
          <t>GÄVLEBORGS LÄN</t>
        </is>
      </c>
      <c r="G833" t="inlineStr">
        <is>
          <t>SANDVIKEN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15788-2025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45748</v>
      </c>
      <c r="E834" s="1" t="n">
        <v>46321</v>
      </c>
      <c r="F834" t="inlineStr">
        <is>
          <t>GÄVLEBORGS LÄN</t>
        </is>
      </c>
      <c r="G834" t="inlineStr">
        <is>
          <t>SANDVIKEN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47889-2022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44855</v>
      </c>
      <c r="E835" s="1" t="n">
        <v>46321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38570-2023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45162</v>
      </c>
      <c r="E836" s="1" t="n">
        <v>46321</v>
      </c>
      <c r="F836" t="inlineStr">
        <is>
          <t>GÄVLEBORGS LÄN</t>
        </is>
      </c>
      <c r="G836" t="inlineStr">
        <is>
          <t>SANDVIKEN</t>
        </is>
      </c>
      <c r="I836" t="n">
        <v>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30721-2023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45112</v>
      </c>
      <c r="E837" s="1" t="n">
        <v>46321</v>
      </c>
      <c r="F837" t="inlineStr">
        <is>
          <t>GÄVLEBORGS LÄN</t>
        </is>
      </c>
      <c r="G837" t="inlineStr">
        <is>
          <t>SANDVIKEN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3748-2022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44586</v>
      </c>
      <c r="E838" s="1" t="n">
        <v>46321</v>
      </c>
      <c r="F838" t="inlineStr">
        <is>
          <t>GÄVLEBORGS LÄN</t>
        </is>
      </c>
      <c r="G838" t="inlineStr">
        <is>
          <t>SANDVIKEN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32260-2023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45120</v>
      </c>
      <c r="E839" s="1" t="n">
        <v>46321</v>
      </c>
      <c r="F839" t="inlineStr">
        <is>
          <t>GÄVLEBORGS LÄN</t>
        </is>
      </c>
      <c r="G839" t="inlineStr">
        <is>
          <t>SANDVIKEN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45299-2023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45191</v>
      </c>
      <c r="E840" s="1" t="n">
        <v>46321</v>
      </c>
      <c r="F840" t="inlineStr">
        <is>
          <t>GÄVLEBORGS LÄN</t>
        </is>
      </c>
      <c r="G840" t="inlineStr">
        <is>
          <t>SANDVIKEN</t>
        </is>
      </c>
      <c r="H840" t="inlineStr">
        <is>
          <t>Bergvik skog öst AB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59661-2024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45639</v>
      </c>
      <c r="E841" s="1" t="n">
        <v>46321</v>
      </c>
      <c r="F841" t="inlineStr">
        <is>
          <t>GÄVLEBORGS LÄN</t>
        </is>
      </c>
      <c r="G841" t="inlineStr">
        <is>
          <t>SANDVIKEN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72997-2021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44549</v>
      </c>
      <c r="E842" s="1" t="n">
        <v>46321</v>
      </c>
      <c r="F842" t="inlineStr">
        <is>
          <t>GÄVLEBORGS LÄN</t>
        </is>
      </c>
      <c r="G842" t="inlineStr">
        <is>
          <t>SANDVIKEN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38609-2022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44813</v>
      </c>
      <c r="E843" s="1" t="n">
        <v>46321</v>
      </c>
      <c r="F843" t="inlineStr">
        <is>
          <t>GÄVLEBORGS LÄN</t>
        </is>
      </c>
      <c r="G843" t="inlineStr">
        <is>
          <t>SANDVIKEN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37641-2024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45541</v>
      </c>
      <c r="E844" s="1" t="n">
        <v>46321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7032-2025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45701</v>
      </c>
      <c r="E845" s="1" t="n">
        <v>46321</v>
      </c>
      <c r="F845" t="inlineStr">
        <is>
          <t>GÄVLEBORGS LÄN</t>
        </is>
      </c>
      <c r="G845" t="inlineStr">
        <is>
          <t>SANDVIKEN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44566</v>
      </c>
      <c r="E846" s="1" t="n">
        <v>46321</v>
      </c>
      <c r="F846" t="inlineStr">
        <is>
          <t>GÄVLEBORGS LÄN</t>
        </is>
      </c>
      <c r="G846" t="inlineStr">
        <is>
          <t>SANDVIKEN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23162-2023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45075</v>
      </c>
      <c r="E847" s="1" t="n">
        <v>46321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36656-2023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45153</v>
      </c>
      <c r="E848" s="1" t="n">
        <v>46321</v>
      </c>
      <c r="F848" t="inlineStr">
        <is>
          <t>GÄVLEBORGS LÄN</t>
        </is>
      </c>
      <c r="G848" t="inlineStr">
        <is>
          <t>SANDVIKEN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36660-2023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45153</v>
      </c>
      <c r="E849" s="1" t="n">
        <v>46321</v>
      </c>
      <c r="F849" t="inlineStr">
        <is>
          <t>GÄVLEBORGS LÄN</t>
        </is>
      </c>
      <c r="G849" t="inlineStr">
        <is>
          <t>SANDVIKEN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30718-2023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45112</v>
      </c>
      <c r="E850" s="1" t="n">
        <v>46321</v>
      </c>
      <c r="F850" t="inlineStr">
        <is>
          <t>GÄVLEBORGS LÄN</t>
        </is>
      </c>
      <c r="G850" t="inlineStr">
        <is>
          <t>SANDVIKEN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59614-2024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45638</v>
      </c>
      <c r="E851" s="1" t="n">
        <v>46321</v>
      </c>
      <c r="F851" t="inlineStr">
        <is>
          <t>GÄVLEBORGS LÄN</t>
        </is>
      </c>
      <c r="G851" t="inlineStr">
        <is>
          <t>SANDVIKEN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2290-2025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45673</v>
      </c>
      <c r="E852" s="1" t="n">
        <v>46321</v>
      </c>
      <c r="F852" t="inlineStr">
        <is>
          <t>GÄVLEBORGS LÄN</t>
        </is>
      </c>
      <c r="G852" t="inlineStr">
        <is>
          <t>SANDVIKEN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37697-2022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44810</v>
      </c>
      <c r="E853" s="1" t="n">
        <v>46321</v>
      </c>
      <c r="F853" t="inlineStr">
        <is>
          <t>GÄVLEBORGS LÄN</t>
        </is>
      </c>
      <c r="G853" t="inlineStr">
        <is>
          <t>SANDVIKEN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49706-2023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45212</v>
      </c>
      <c r="E854" s="1" t="n">
        <v>46321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0.2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48300-2023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45205</v>
      </c>
      <c r="E855" s="1" t="n">
        <v>46321</v>
      </c>
      <c r="F855" t="inlineStr">
        <is>
          <t>GÄVLEBORGS LÄN</t>
        </is>
      </c>
      <c r="G855" t="inlineStr">
        <is>
          <t>SANDVIKEN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48597-2023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45208</v>
      </c>
      <c r="E856" s="1" t="n">
        <v>46321</v>
      </c>
      <c r="F856" t="inlineStr">
        <is>
          <t>GÄVLEBORGS LÄN</t>
        </is>
      </c>
      <c r="G856" t="inlineStr">
        <is>
          <t>SANDVIKEN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49512-2023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45211</v>
      </c>
      <c r="E857" s="1" t="n">
        <v>46321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1037-2025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45666</v>
      </c>
      <c r="E858" s="1" t="n">
        <v>46321</v>
      </c>
      <c r="F858" t="inlineStr">
        <is>
          <t>GÄVLEBORGS LÄN</t>
        </is>
      </c>
      <c r="G858" t="inlineStr">
        <is>
          <t>SANDVIKEN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6167-2025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45698</v>
      </c>
      <c r="E859" s="1" t="n">
        <v>46321</v>
      </c>
      <c r="F859" t="inlineStr">
        <is>
          <t>GÄVLEBORGS LÄN</t>
        </is>
      </c>
      <c r="G859" t="inlineStr">
        <is>
          <t>SANDVIKEN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48799-2023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45209</v>
      </c>
      <c r="E860" s="1" t="n">
        <v>46321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56036-2023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45240</v>
      </c>
      <c r="E861" s="1" t="n">
        <v>46321</v>
      </c>
      <c r="F861" t="inlineStr">
        <is>
          <t>GÄVLEBORGS LÄN</t>
        </is>
      </c>
      <c r="G861" t="inlineStr">
        <is>
          <t>SANDVIKEN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61052-2024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45645</v>
      </c>
      <c r="E862" s="1" t="n">
        <v>46321</v>
      </c>
      <c r="F862" t="inlineStr">
        <is>
          <t>GÄVLEBORGS LÄN</t>
        </is>
      </c>
      <c r="G862" t="inlineStr">
        <is>
          <t>SANDVIKEN</t>
        </is>
      </c>
      <c r="H862" t="inlineStr">
        <is>
          <t>Naturvårdsverket</t>
        </is>
      </c>
      <c r="I862" t="n">
        <v>7.2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7038-2025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45701</v>
      </c>
      <c r="E863" s="1" t="n">
        <v>46321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7056-2025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45701</v>
      </c>
      <c r="E864" s="1" t="n">
        <v>46321</v>
      </c>
      <c r="F864" t="inlineStr">
        <is>
          <t>GÄVLEBORGS LÄN</t>
        </is>
      </c>
      <c r="G864" t="inlineStr">
        <is>
          <t>SANDVIKEN</t>
        </is>
      </c>
      <c r="I864" t="n">
        <v>6.4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53867-2024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45615</v>
      </c>
      <c r="E865" s="1" t="n">
        <v>46321</v>
      </c>
      <c r="F865" t="inlineStr">
        <is>
          <t>GÄVLEBORGS LÄN</t>
        </is>
      </c>
      <c r="G865" t="inlineStr">
        <is>
          <t>SANDVIKEN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4783-2025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45688</v>
      </c>
      <c r="E866" s="1" t="n">
        <v>46321</v>
      </c>
      <c r="F866" t="inlineStr">
        <is>
          <t>GÄVLEBORGS LÄN</t>
        </is>
      </c>
      <c r="G866" t="inlineStr">
        <is>
          <t>SANDVIKEN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19269-2025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45769</v>
      </c>
      <c r="E867" s="1" t="n">
        <v>46321</v>
      </c>
      <c r="F867" t="inlineStr">
        <is>
          <t>GÄVLEBORGS LÄN</t>
        </is>
      </c>
      <c r="G867" t="inlineStr">
        <is>
          <t>SANDVIKEN</t>
        </is>
      </c>
      <c r="I867" t="n">
        <v>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58911-2023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45250</v>
      </c>
      <c r="E868" s="1" t="n">
        <v>46321</v>
      </c>
      <c r="F868" t="inlineStr">
        <is>
          <t>GÄVLEBORGS LÄN</t>
        </is>
      </c>
      <c r="G868" t="inlineStr">
        <is>
          <t>SANDVIKEN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58562-2023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45251</v>
      </c>
      <c r="E869" s="1" t="n">
        <v>46321</v>
      </c>
      <c r="F869" t="inlineStr">
        <is>
          <t>GÄVLEBORGS LÄN</t>
        </is>
      </c>
      <c r="G869" t="inlineStr">
        <is>
          <t>SANDVIKEN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25544-2024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45463</v>
      </c>
      <c r="E870" s="1" t="n">
        <v>46321</v>
      </c>
      <c r="F870" t="inlineStr">
        <is>
          <t>GÄVLEBORGS LÄN</t>
        </is>
      </c>
      <c r="G870" t="inlineStr">
        <is>
          <t>SANDVIKEN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53007-2023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45226</v>
      </c>
      <c r="E871" s="1" t="n">
        <v>46321</v>
      </c>
      <c r="F871" t="inlineStr">
        <is>
          <t>GÄVLEBORGS LÄN</t>
        </is>
      </c>
      <c r="G871" t="inlineStr">
        <is>
          <t>SANDVIKEN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36646-2022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44804</v>
      </c>
      <c r="E872" s="1" t="n">
        <v>46321</v>
      </c>
      <c r="F872" t="inlineStr">
        <is>
          <t>GÄVLEBORGS LÄN</t>
        </is>
      </c>
      <c r="G872" t="inlineStr">
        <is>
          <t>SANDVIKEN</t>
        </is>
      </c>
      <c r="I872" t="n">
        <v>9.199999999999999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16683-2024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45408</v>
      </c>
      <c r="E873" s="1" t="n">
        <v>46321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väst AB</t>
        </is>
      </c>
      <c r="I873" t="n">
        <v>14.2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27967-2022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44744</v>
      </c>
      <c r="E874" s="1" t="n">
        <v>46321</v>
      </c>
      <c r="F874" t="inlineStr">
        <is>
          <t>GÄVLEBORGS LÄN</t>
        </is>
      </c>
      <c r="G874" t="inlineStr">
        <is>
          <t>SANDVIKEN</t>
        </is>
      </c>
      <c r="I874" t="n">
        <v>6.9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57609-2023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45246</v>
      </c>
      <c r="E875" s="1" t="n">
        <v>46321</v>
      </c>
      <c r="F875" t="inlineStr">
        <is>
          <t>GÄVLEBORGS LÄN</t>
        </is>
      </c>
      <c r="G875" t="inlineStr">
        <is>
          <t>SANDVIKEN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3833-2024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45321</v>
      </c>
      <c r="E876" s="1" t="n">
        <v>46321</v>
      </c>
      <c r="F876" t="inlineStr">
        <is>
          <t>GÄVLEBORGS LÄN</t>
        </is>
      </c>
      <c r="G876" t="inlineStr">
        <is>
          <t>SANDVIKEN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35252-2024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45530</v>
      </c>
      <c r="E877" s="1" t="n">
        <v>46321</v>
      </c>
      <c r="F877" t="inlineStr">
        <is>
          <t>GÄVLEBORGS LÄN</t>
        </is>
      </c>
      <c r="G877" t="inlineStr">
        <is>
          <t>SANDVIKEN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45989-2023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45196</v>
      </c>
      <c r="E878" s="1" t="n">
        <v>46321</v>
      </c>
      <c r="F878" t="inlineStr">
        <is>
          <t>GÄVLEBORGS LÄN</t>
        </is>
      </c>
      <c r="G878" t="inlineStr">
        <is>
          <t>SANDVIKEN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34946-2022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44796</v>
      </c>
      <c r="E879" s="1" t="n">
        <v>46321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45920-2022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44846</v>
      </c>
      <c r="E880" s="1" t="n">
        <v>46321</v>
      </c>
      <c r="F880" t="inlineStr">
        <is>
          <t>GÄVLEBORGS LÄN</t>
        </is>
      </c>
      <c r="G880" t="inlineStr">
        <is>
          <t>SANDVIKEN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36671-2023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45153</v>
      </c>
      <c r="E881" s="1" t="n">
        <v>46321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29928-2024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45488</v>
      </c>
      <c r="E882" s="1" t="n">
        <v>46321</v>
      </c>
      <c r="F882" t="inlineStr">
        <is>
          <t>GÄVLEBORGS LÄN</t>
        </is>
      </c>
      <c r="G882" t="inlineStr">
        <is>
          <t>SANDVIKEN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3679-2022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44586</v>
      </c>
      <c r="E883" s="1" t="n">
        <v>46321</v>
      </c>
      <c r="F883" t="inlineStr">
        <is>
          <t>GÄVLEBORGS LÄN</t>
        </is>
      </c>
      <c r="G883" t="inlineStr">
        <is>
          <t>SANDVIKEN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64801-2023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45282</v>
      </c>
      <c r="E884" s="1" t="n">
        <v>46321</v>
      </c>
      <c r="F884" t="inlineStr">
        <is>
          <t>GÄVLEBORGS LÄN</t>
        </is>
      </c>
      <c r="G884" t="inlineStr">
        <is>
          <t>SANDVIKEN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61363-2023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45264</v>
      </c>
      <c r="E885" s="1" t="n">
        <v>46321</v>
      </c>
      <c r="F885" t="inlineStr">
        <is>
          <t>GÄVLEBORGS LÄN</t>
        </is>
      </c>
      <c r="G885" t="inlineStr">
        <is>
          <t>SANDVIKEN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61537-2023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45265</v>
      </c>
      <c r="E886" s="1" t="n">
        <v>46321</v>
      </c>
      <c r="F886" t="inlineStr">
        <is>
          <t>GÄVLEBORGS LÄN</t>
        </is>
      </c>
      <c r="G886" t="inlineStr">
        <is>
          <t>SANDVIKEN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45293</v>
      </c>
      <c r="E887" s="1" t="n">
        <v>46321</v>
      </c>
      <c r="F887" t="inlineStr">
        <is>
          <t>GÄVLEBORGS LÄN</t>
        </is>
      </c>
      <c r="G887" t="inlineStr">
        <is>
          <t>SANDVIKEN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45293</v>
      </c>
      <c r="E888" s="1" t="n">
        <v>46321</v>
      </c>
      <c r="F888" t="inlineStr">
        <is>
          <t>GÄVLEBORGS LÄN</t>
        </is>
      </c>
      <c r="G888" t="inlineStr">
        <is>
          <t>SANDVIKEN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45660</v>
      </c>
      <c r="E889" s="1" t="n">
        <v>46321</v>
      </c>
      <c r="F889" t="inlineStr">
        <is>
          <t>GÄVLEBORGS LÄN</t>
        </is>
      </c>
      <c r="G889" t="inlineStr">
        <is>
          <t>SANDVIKEN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37458-2024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45540</v>
      </c>
      <c r="E890" s="1" t="n">
        <v>46321</v>
      </c>
      <c r="F890" t="inlineStr">
        <is>
          <t>GÄVLEBORGS LÄN</t>
        </is>
      </c>
      <c r="G890" t="inlineStr">
        <is>
          <t>SANDVIKEN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60798-2023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45260</v>
      </c>
      <c r="E891" s="1" t="n">
        <v>46321</v>
      </c>
      <c r="F891" t="inlineStr">
        <is>
          <t>GÄVLEBORGS LÄN</t>
        </is>
      </c>
      <c r="G891" t="inlineStr">
        <is>
          <t>SANDVIKEN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71995-2021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44544</v>
      </c>
      <c r="E892" s="1" t="n">
        <v>46321</v>
      </c>
      <c r="F892" t="inlineStr">
        <is>
          <t>GÄVLEBORGS LÄN</t>
        </is>
      </c>
      <c r="G892" t="inlineStr">
        <is>
          <t>SANDVIKEN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11438-2023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44988</v>
      </c>
      <c r="E893" s="1" t="n">
        <v>46321</v>
      </c>
      <c r="F893" t="inlineStr">
        <is>
          <t>GÄVLEBORGS LÄN</t>
        </is>
      </c>
      <c r="G893" t="inlineStr">
        <is>
          <t>SANDVIKEN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11447-2023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44988</v>
      </c>
      <c r="E894" s="1" t="n">
        <v>46321</v>
      </c>
      <c r="F894" t="inlineStr">
        <is>
          <t>GÄVLEBORGS LÄN</t>
        </is>
      </c>
      <c r="G894" t="inlineStr">
        <is>
          <t>SANDVIKEN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16258-2023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45022</v>
      </c>
      <c r="E895" s="1" t="n">
        <v>46321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väst AB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11778-2024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45374</v>
      </c>
      <c r="E896" s="1" t="n">
        <v>46321</v>
      </c>
      <c r="F896" t="inlineStr">
        <is>
          <t>GÄVLEBORGS LÄN</t>
        </is>
      </c>
      <c r="G896" t="inlineStr">
        <is>
          <t>SANDVIKEN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11897-2024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45376</v>
      </c>
      <c r="E897" s="1" t="n">
        <v>46321</v>
      </c>
      <c r="F897" t="inlineStr">
        <is>
          <t>GÄVLEBORGS LÄN</t>
        </is>
      </c>
      <c r="G897" t="inlineStr">
        <is>
          <t>SANDVIKEN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42069-2024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45562</v>
      </c>
      <c r="E898" s="1" t="n">
        <v>46321</v>
      </c>
      <c r="F898" t="inlineStr">
        <is>
          <t>GÄVLEBORGS LÄN</t>
        </is>
      </c>
      <c r="G898" t="inlineStr">
        <is>
          <t>SANDVIKEN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62642-2023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45271</v>
      </c>
      <c r="E899" s="1" t="n">
        <v>46321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22238-2023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45070</v>
      </c>
      <c r="E900" s="1" t="n">
        <v>46321</v>
      </c>
      <c r="F900" t="inlineStr">
        <is>
          <t>GÄVLEBORGS LÄN</t>
        </is>
      </c>
      <c r="G900" t="inlineStr">
        <is>
          <t>SANDVIKEN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2071-2020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44102</v>
      </c>
      <c r="E901" s="1" t="n">
        <v>46321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42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10363-2021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44550</v>
      </c>
      <c r="E902" s="1" t="n">
        <v>46321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73.3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219-2024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45316</v>
      </c>
      <c r="E903" s="1" t="n">
        <v>46321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198-2024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45315</v>
      </c>
      <c r="E904" s="1" t="n">
        <v>46321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64.59999999999999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513-2025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45706</v>
      </c>
      <c r="E905" s="1" t="n">
        <v>46321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29.5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2574-2023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45142</v>
      </c>
      <c r="E906" s="1" t="n">
        <v>46321</v>
      </c>
      <c r="F906" t="inlineStr">
        <is>
          <t>GÄVLEBORGS LÄN</t>
        </is>
      </c>
      <c r="G906" t="inlineStr">
        <is>
          <t>SANDVIKEN</t>
        </is>
      </c>
      <c r="H906" t="inlineStr">
        <is>
          <t>Bergvik skog öst AB</t>
        </is>
      </c>
      <c r="I906" t="n">
        <v>31.8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706-2025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45720</v>
      </c>
      <c r="E907" s="1" t="n">
        <v>46321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väst AB</t>
        </is>
      </c>
      <c r="I907" t="n">
        <v>24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531-2025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46321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530-2025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46321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46321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320-2026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46321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46321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677-2026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46321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2026-10-26T03:07:20Z</dcterms:created>
  <dcterms:modified xmlns:dcterms="http://purl.org/dc/terms/" xmlns:xsi="http://www.w3.org/2001/XMLSchema-instance" xsi:type="dcterms:W3CDTF">2026-10-26T03:07:21Z</dcterms:modified>
</cp:coreProperties>
</file>