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45841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45841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45841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45841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45841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45841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45841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45841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45841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45841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45841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45841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45841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45841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45841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45841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45841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45841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45841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45841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45841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45841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45841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45841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45841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45841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45841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45841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45841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45841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45841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45841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45841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45841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45841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45841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45841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45841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45841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45841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45841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45841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45841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45841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45841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45841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45841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45841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45841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45841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45841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45841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45841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45841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45841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45841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45841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45841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45841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45841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45841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45841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45841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45841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45841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45841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45841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45841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45841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45841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45841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45841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45841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45841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45841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45841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45841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45841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45841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45841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45841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45841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45841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45841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45841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45841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45841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45841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45841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45841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45841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45841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45841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45841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45841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45841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45841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45841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45841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45841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45841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45841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45841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45841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45841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45841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45841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45841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45841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45841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45841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45841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45841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45841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45841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45841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45841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45841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45841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45841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45841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45841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45841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45841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45841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45841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45841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45841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45841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45841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45841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45841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45841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45841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45841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45841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45841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45841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45841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45841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45841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45841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45841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45841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45841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45841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45841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45841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45841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45841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45841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45841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45841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45841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45841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45841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45841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45841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45841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45841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45841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45841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45841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45841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45841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45841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45841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45841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45841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45841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45841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45841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45841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45841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45841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45841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45841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45841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45841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45841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45841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45841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45841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45841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45841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45841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45841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45841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45841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45841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45841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45841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45841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45841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45841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45841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45841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45841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45841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45841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45841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45841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45841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45841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45841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45841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45841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45841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45841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45841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45841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45841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45841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45841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45841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45841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45841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45841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45841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45841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45841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45841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45841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45841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45841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45841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45841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45841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45841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45841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45841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45841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45841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45841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45841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45841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45841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45841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45841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45841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45841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45841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45841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45841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45841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45841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45841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45841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45841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45841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45841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45841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45841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45841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45841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45841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45841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45841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45841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45841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45841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45841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45841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45841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45841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45841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45841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45841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45841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45841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45841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45841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45841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45841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45841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45841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45841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45841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45841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45841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45841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45841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45841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45841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45841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45841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45841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45841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45841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45841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45841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45841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45841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45841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45841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45841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45841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45841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45841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45841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45841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45841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45841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45841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45841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45841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45841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45841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45841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45841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45841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45841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45841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45841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45841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45841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45841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45841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45841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45841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45841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45841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45841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45841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45841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45841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45841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45841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45841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45841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45841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45841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45841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45841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45841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45841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45841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45841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45841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45841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45841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45841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45841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45841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45841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45841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45841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45841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45841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45841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45841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45841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45841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45841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45841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45841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45841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45841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45841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45841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45841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45841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45841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45841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45841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45841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45841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45841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45841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45841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45841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45841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45841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45841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45841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45841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45841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45841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45841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45841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45841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45841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45841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45841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45841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45841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45841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45841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45841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45841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45841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45841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45841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45841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45841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45841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45841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45841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45841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45841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45841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45841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45841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45841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45841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45841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45841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45841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45841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45841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45841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45841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45841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45841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45841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45841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45841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45841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45841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45841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45841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45841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45841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45841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45841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45841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45841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45841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45841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45841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45841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45841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45841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45841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45841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45841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45841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45841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45841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45841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45841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45841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45841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45841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45841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45841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45841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45841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45841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45841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45841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45841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45841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45841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45841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45841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45841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45841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45841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45841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45841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45841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45841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45841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45841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45841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45841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45841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45841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45841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45841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45841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45841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45841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45841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45841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45841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45841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45841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45841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45841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45841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45841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45841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45841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45841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45841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45841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45841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45841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45841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45841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45841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45841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45841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45841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45841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45841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45841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45841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45841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45841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45841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45841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45841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45841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45841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45841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45841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45841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45841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45841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45841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45841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45841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45841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45841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45841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45841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45841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45841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45841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45841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45841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45841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45841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45841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45841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45841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45841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45841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45841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45841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45841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45841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45841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45841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45841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45841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45841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45841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45841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45841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45841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45841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45841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45841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45841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45841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45841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45841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45841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45841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45841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45841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45841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45841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45841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45841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45841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45841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45841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45841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45841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45841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45841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45841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45841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45841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45841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45841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45841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45841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45841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45841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45841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45841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45841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45841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45841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45841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45841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45841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45841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45841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45841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45841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45841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45841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45841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45841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45841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45841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45841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45841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45841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45841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45841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45841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45841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45841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45841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45841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45841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45841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45841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45841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45841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45841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45841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45841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45841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45841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45841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45841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45841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45841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45841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45841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45841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45841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45841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45841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45841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45841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45841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45841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45841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45841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45841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45841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45841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45841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45841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45841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45841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45841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45841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45841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45841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45841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45841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45841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45841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45841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45841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45841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45841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45841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45841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45841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45841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45841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45841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45841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45841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45841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45841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45841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45841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45841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45841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45841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45841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45841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45841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45841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45841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45841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45841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45841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45841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45841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45841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45841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45841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45841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45841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45841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45841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45841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45841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45841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45841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45841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45841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45841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45841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45841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45841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45841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45841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45841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45841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45841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45841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45841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45841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45841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45841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45841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45841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45841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45841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45841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45841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45841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45841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45841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45841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45841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45841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45841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45841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45841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45841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45841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45841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45841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45841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45841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45841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45841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45841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45841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45841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45841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45841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45841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45841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45841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45841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45841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45841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45841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45841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45841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45841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45841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45841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45841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45841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45841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45841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45841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45841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45841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45841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45841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45841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45841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45841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45841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45841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45841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45841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45841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45841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45841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45841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45841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45841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45841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45841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45841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45841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45841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45841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45841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45841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45841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45841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45841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45841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45841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45841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45841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45841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45841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45841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45841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45841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45841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45841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45841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45841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45841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45841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45841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45841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45841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45841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45841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45841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45841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45841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45841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45841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45841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45841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45841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45841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45841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45841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45841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45841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45841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45841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45841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45841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45841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45841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45841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45841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45841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45841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45841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45841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45841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45841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45841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45841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45841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45841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45841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45841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45841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45841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45841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45841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45841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45841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45841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45841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45841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45841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45841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45841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45841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45841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45841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45841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45841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45841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45841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45841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45841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45841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45841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45841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45841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45841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45841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45841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45841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45841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45841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45841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45841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45841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45841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45841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45841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45841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45841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45841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45841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45841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45841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45841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45841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45841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45841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45841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45841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45841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45841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45841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45841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45841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45841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45841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45841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45841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45841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45841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45841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45841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45841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45841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45841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45841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45841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45841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45841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45841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45841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45841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45841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45841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45841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45841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45841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45841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45841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45841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45841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45841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45841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45841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45841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45841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45841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45841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45841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45841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45841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45841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45841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45841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45841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45841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45841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45841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45841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45841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45841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45841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45841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45841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45841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45841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45841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45841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45841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45841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45841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45841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45841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45841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45841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45841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45841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45841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45841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45841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45841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45841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45841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45841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45841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45841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45841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45841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45841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45841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45841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45841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45841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45841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45841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45841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45841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45841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45841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45841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45841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45841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45841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45841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45841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45841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45841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45841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45841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45841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45841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45841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45841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45841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45841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45841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45841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45841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45841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45841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45841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45841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45841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45841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45841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45841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45841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45841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45841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45841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45841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45841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45841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45841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45841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45841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45841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45841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45841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45841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45841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45841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45841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45841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45841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45841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45841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45841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45841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45841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45841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45841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45841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45841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45841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45841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45841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45841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45841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45841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45841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45841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45841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45841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45841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45841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45841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45841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45841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45841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45841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45841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45841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45841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45841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45841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45841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45841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45841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45841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45841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45841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45841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45841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45841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45841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45841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45841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45841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45841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45841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45841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45841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45841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45841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45841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45841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45841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45841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45841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45841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45841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45841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45841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45841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45841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45841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45841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45841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45841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45841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45841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45841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45841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45841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45841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45841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45841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45841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45841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45841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45841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45841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45841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45841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45841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45841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45841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45841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45841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45841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45841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45841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45841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45841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45841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45841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45841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45841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45841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45841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45841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45841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45841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45841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45841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45841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45841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45841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45841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45841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45841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45841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45841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45841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45841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45841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45841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45841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45841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45841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45841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45841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45841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45841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45841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45841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45841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45841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45841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45841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45841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45841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45841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45841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45841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45841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45841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45841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45841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45841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45841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45841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45841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45841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45841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45841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45841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45841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45841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45841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45841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45841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45841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45841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45841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45841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45841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45841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45841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45841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45841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45841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45841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45841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45841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45841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45841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45841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45841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26203-2025</t>
        </is>
      </c>
      <c r="B1178" s="1" t="n">
        <v>45805</v>
      </c>
      <c r="C1178" s="1" t="n">
        <v>45841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45841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45841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45841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45841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28468-2025</t>
        </is>
      </c>
      <c r="B1183" s="1" t="n">
        <v>45819</v>
      </c>
      <c r="C1183" s="1" t="n">
        <v>45841</v>
      </c>
      <c r="D1183" t="inlineStr">
        <is>
          <t>GÄVLEBORGS LÄN</t>
        </is>
      </c>
      <c r="E1183" t="inlineStr">
        <is>
          <t>SANDVIKEN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28476-2025</t>
        </is>
      </c>
      <c r="B1184" s="1" t="n">
        <v>45819</v>
      </c>
      <c r="C1184" s="1" t="n">
        <v>45841</v>
      </c>
      <c r="D1184" t="inlineStr">
        <is>
          <t>GÄVLEBORGS LÄN</t>
        </is>
      </c>
      <c r="E1184" t="inlineStr">
        <is>
          <t>SANDVIKEN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28547-2025</t>
        </is>
      </c>
      <c r="B1185" s="1" t="n">
        <v>45819</v>
      </c>
      <c r="C1185" s="1" t="n">
        <v>45841</v>
      </c>
      <c r="D1185" t="inlineStr">
        <is>
          <t>GÄVLEBORGS LÄN</t>
        </is>
      </c>
      <c r="E1185" t="inlineStr">
        <is>
          <t>SANDVIKEN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28548-2025</t>
        </is>
      </c>
      <c r="B1186" s="1" t="n">
        <v>45819</v>
      </c>
      <c r="C1186" s="1" t="n">
        <v>45841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45841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29830-2025</t>
        </is>
      </c>
      <c r="B1188" s="1" t="n">
        <v>45826</v>
      </c>
      <c r="C1188" s="1" t="n">
        <v>45841</v>
      </c>
      <c r="D1188" t="inlineStr">
        <is>
          <t>GÄVLEBORGS LÄN</t>
        </is>
      </c>
      <c r="E1188" t="inlineStr">
        <is>
          <t>SANDVIKEN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HYPERLINK("https://klasma.github.io/Logging_212181/knärot/A 29830-2025 karta knärot.png", "A 29830-2025")</f>
        <v/>
      </c>
      <c r="V1188">
        <f>HYPERLINK("https://klasma.github.io/Logging_212181/klagomål/A 29830-2025 FSC-klagomål.docx", "A 29830-2025")</f>
        <v/>
      </c>
      <c r="W1188">
        <f>HYPERLINK("https://klasma.github.io/Logging_212181/klagomålsmail/A 29830-2025 FSC-klagomål mail.docx", "A 29830-2025")</f>
        <v/>
      </c>
      <c r="X1188">
        <f>HYPERLINK("https://klasma.github.io/Logging_212181/tillsyn/A 29830-2025 tillsynsbegäran.docx", "A 29830-2025")</f>
        <v/>
      </c>
      <c r="Y1188">
        <f>HYPERLINK("https://klasma.github.io/Logging_212181/tillsynsmail/A 29830-2025 tillsynsbegäran mail.docx", "A 29830-2025")</f>
        <v/>
      </c>
    </row>
    <row r="1189" ht="15" customHeight="1">
      <c r="A1189" t="inlineStr">
        <is>
          <t>A 29735-2025</t>
        </is>
      </c>
      <c r="B1189" s="1" t="n">
        <v>45825</v>
      </c>
      <c r="C1189" s="1" t="n">
        <v>45841</v>
      </c>
      <c r="D1189" t="inlineStr">
        <is>
          <t>GÄVLEBORGS LÄN</t>
        </is>
      </c>
      <c r="E1189" t="inlineStr">
        <is>
          <t>SANDVIKEN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29748-2025</t>
        </is>
      </c>
      <c r="B1190" s="1" t="n">
        <v>45825</v>
      </c>
      <c r="C1190" s="1" t="n">
        <v>45841</v>
      </c>
      <c r="D1190" t="inlineStr">
        <is>
          <t>GÄVLEBORGS LÄN</t>
        </is>
      </c>
      <c r="E1190" t="inlineStr">
        <is>
          <t>SANDVIKEN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29832-2025</t>
        </is>
      </c>
      <c r="B1191" s="1" t="n">
        <v>45826</v>
      </c>
      <c r="C1191" s="1" t="n">
        <v>45841</v>
      </c>
      <c r="D1191" t="inlineStr">
        <is>
          <t>GÄVLEBORGS LÄN</t>
        </is>
      </c>
      <c r="E1191" t="inlineStr">
        <is>
          <t>SANDVIKEN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29738-2025</t>
        </is>
      </c>
      <c r="B1192" s="1" t="n">
        <v>45825</v>
      </c>
      <c r="C1192" s="1" t="n">
        <v>45841</v>
      </c>
      <c r="D1192" t="inlineStr">
        <is>
          <t>GÄVLEBORGS LÄN</t>
        </is>
      </c>
      <c r="E1192" t="inlineStr">
        <is>
          <t>SANDVIKEN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29831-2025</t>
        </is>
      </c>
      <c r="B1193" s="1" t="n">
        <v>45826</v>
      </c>
      <c r="C1193" s="1" t="n">
        <v>45841</v>
      </c>
      <c r="D1193" t="inlineStr">
        <is>
          <t>GÄVLEBORGS LÄN</t>
        </is>
      </c>
      <c r="E1193" t="inlineStr">
        <is>
          <t>SANDVIKEN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29833-2025</t>
        </is>
      </c>
      <c r="B1194" s="1" t="n">
        <v>45826</v>
      </c>
      <c r="C1194" s="1" t="n">
        <v>45841</v>
      </c>
      <c r="D1194" t="inlineStr">
        <is>
          <t>GÄVLEBORGS LÄN</t>
        </is>
      </c>
      <c r="E1194" t="inlineStr">
        <is>
          <t>SANDVIKEN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45841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45841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45841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31145-2025</t>
        </is>
      </c>
      <c r="B1198" s="1" t="n">
        <v>45832</v>
      </c>
      <c r="C1198" s="1" t="n">
        <v>45841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31460-2025</t>
        </is>
      </c>
      <c r="B1199" s="1" t="n">
        <v>45833</v>
      </c>
      <c r="C1199" s="1" t="n">
        <v>45841</v>
      </c>
      <c r="D1199" t="inlineStr">
        <is>
          <t>GÄVLEBORGS LÄN</t>
        </is>
      </c>
      <c r="E1199" t="inlineStr">
        <is>
          <t>SANDVIKEN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31674-2025</t>
        </is>
      </c>
      <c r="B1200" s="1" t="n">
        <v>45834</v>
      </c>
      <c r="C1200" s="1" t="n">
        <v>45841</v>
      </c>
      <c r="D1200" t="inlineStr">
        <is>
          <t>GÄVLEBORGS LÄN</t>
        </is>
      </c>
      <c r="E1200" t="inlineStr">
        <is>
          <t>SANDVIKEN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32737-2025</t>
        </is>
      </c>
      <c r="B1201" s="1" t="n">
        <v>45839</v>
      </c>
      <c r="C1201" s="1" t="n">
        <v>45841</v>
      </c>
      <c r="D1201" t="inlineStr">
        <is>
          <t>GÄVLEBORGS LÄN</t>
        </is>
      </c>
      <c r="E1201" t="inlineStr">
        <is>
          <t>SANDVIKEN</t>
        </is>
      </c>
      <c r="F1201" t="inlineStr">
        <is>
          <t>Bergvik skog öst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32742-2025</t>
        </is>
      </c>
      <c r="B1202" s="1" t="n">
        <v>45839</v>
      </c>
      <c r="C1202" s="1" t="n">
        <v>45841</v>
      </c>
      <c r="D1202" t="inlineStr">
        <is>
          <t>GÄVLEBORGS LÄN</t>
        </is>
      </c>
      <c r="E1202" t="inlineStr">
        <is>
          <t>SANDVIKEN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32907-2025</t>
        </is>
      </c>
      <c r="B1203" s="1" t="n">
        <v>45839</v>
      </c>
      <c r="C1203" s="1" t="n">
        <v>45841</v>
      </c>
      <c r="D1203" t="inlineStr">
        <is>
          <t>GÄVLEBORGS LÄN</t>
        </is>
      </c>
      <c r="E1203" t="inlineStr">
        <is>
          <t>SANDVIKEN</t>
        </is>
      </c>
      <c r="F1203" t="inlineStr">
        <is>
          <t>Naturvårdsverket</t>
        </is>
      </c>
      <c r="G1203" t="n">
        <v>10.4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33015-2025</t>
        </is>
      </c>
      <c r="B1204" s="1" t="n">
        <v>45840</v>
      </c>
      <c r="C1204" s="1" t="n">
        <v>45841</v>
      </c>
      <c r="D1204" t="inlineStr">
        <is>
          <t>GÄVLEBORGS LÄN</t>
        </is>
      </c>
      <c r="E1204" t="inlineStr">
        <is>
          <t>SANDVIKEN</t>
        </is>
      </c>
      <c r="F1204" t="inlineStr">
        <is>
          <t>Bergvik skog öst AB</t>
        </is>
      </c>
      <c r="G1204" t="n">
        <v>27.3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33217-2025</t>
        </is>
      </c>
      <c r="B1205" s="1" t="n">
        <v>45840</v>
      </c>
      <c r="C1205" s="1" t="n">
        <v>45841</v>
      </c>
      <c r="D1205" t="inlineStr">
        <is>
          <t>GÄVLEBORGS LÄN</t>
        </is>
      </c>
      <c r="E1205" t="inlineStr">
        <is>
          <t>SANDVIKEN</t>
        </is>
      </c>
      <c r="G1205" t="n">
        <v>10.3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2025-07-03T19:38:04Z</dcterms:created>
  <dcterms:modified xmlns:dcterms="http://purl.org/dc/terms/" xmlns:xsi="http://www.w3.org/2001/XMLSchema-instance" xsi:type="dcterms:W3CDTF">2025-07-03T19:38:05Z</dcterms:modified>
</cp:coreProperties>
</file>