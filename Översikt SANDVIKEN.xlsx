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46222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Y9">
        <f>HYPERLINK("https://klasma.github.io/Logging_2181/klagomål/A 7459-2026 FSC-klagomål.docx", "A 7459-2026")</f>
        <v/>
      </c>
      <c r="Z9">
        <f>HYPERLINK("https://klasma.github.io/Logging_2181/klagomålsmail/A 7459-2026 FSC-klagomål mail.docx", "A 7459-2026")</f>
        <v/>
      </c>
      <c r="AA9">
        <f>HYPERLINK("https://klasma.github.io/Logging_2181/tillsyn/A 7459-2026 tillsynsbegäran.docx", "A 7459-2026")</f>
        <v/>
      </c>
      <c r="AB9">
        <f>HYPERLINK("https://klasma.github.io/Logging_2181/tillsynsmail/A 7459-2026 tillsynsbegäran mail.docx", "A 7459-2026")</f>
        <v/>
      </c>
      <c r="AC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Y10">
        <f>HYPERLINK("https://klasma.github.io/Logging_2181/klagomål/A 24802-2023 FSC-klagomål.docx", "A 24802-2023")</f>
        <v/>
      </c>
      <c r="Z10">
        <f>HYPERLINK("https://klasma.github.io/Logging_2181/klagomålsmail/A 24802-2023 FSC-klagomål mail.docx", "A 24802-2023")</f>
        <v/>
      </c>
      <c r="AA10">
        <f>HYPERLINK("https://klasma.github.io/Logging_2181/tillsyn/A 24802-2023 tillsynsbegäran.docx", "A 24802-2023")</f>
        <v/>
      </c>
      <c r="AB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46222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s="2" t="inlineStr">
        <is>
          <t>Knärot
Dropptaggsvamp
Fjällig taggsvamp s.str.
Grönpyrola</t>
        </is>
      </c>
      <c r="V11">
        <f>HYPERLINK("https://klasma.github.io/Logging_2181/artfynd/A 15650-2024 artfynd.xlsx", "A 15650-2024")</f>
        <v/>
      </c>
      <c r="W11">
        <f>HYPERLINK("https://klasma.github.io/Logging_2181/kartor/A 15650-2024 karta.png", "A 15650-2024")</f>
        <v/>
      </c>
      <c r="X11">
        <f>HYPERLINK("https://klasma.github.io/Logging_2181/knärot/A 15650-2024 karta knärot.png", "A 15650-2024")</f>
        <v/>
      </c>
      <c r="Y11">
        <f>HYPERLINK("https://klasma.github.io/Logging_2181/klagomål/A 15650-2024 FSC-klagomål.docx", "A 15650-2024")</f>
        <v/>
      </c>
      <c r="Z11">
        <f>HYPERLINK("https://klasma.github.io/Logging_2181/klagomålsmail/A 15650-2024 FSC-klagomål mail.docx", "A 15650-2024")</f>
        <v/>
      </c>
      <c r="AA11">
        <f>HYPERLINK("https://klasma.github.io/Logging_2181/tillsyn/A 15650-2024 tillsynsbegäran.docx", "A 15650-2024")</f>
        <v/>
      </c>
      <c r="AB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46222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s="2" t="inlineStr">
        <is>
          <t>Talltita
Tjäder
Kungsfågel
Revlummer</t>
        </is>
      </c>
      <c r="V12">
        <f>HYPERLINK("https://klasma.github.io/Logging_2181/artfynd/A 37635-2024 artfynd.xlsx", "A 37635-2024")</f>
        <v/>
      </c>
      <c r="W12">
        <f>HYPERLINK("https://klasma.github.io/Logging_2181/kartor/A 37635-2024 karta.png", "A 37635-2024")</f>
        <v/>
      </c>
      <c r="Y12">
        <f>HYPERLINK("https://klasma.github.io/Logging_2181/klagomål/A 37635-2024 FSC-klagomål.docx", "A 37635-2024")</f>
        <v/>
      </c>
      <c r="Z12">
        <f>HYPERLINK("https://klasma.github.io/Logging_2181/klagomålsmail/A 37635-2024 FSC-klagomål mail.docx", "A 37635-2024")</f>
        <v/>
      </c>
      <c r="AA12">
        <f>HYPERLINK("https://klasma.github.io/Logging_2181/tillsyn/A 37635-2024 tillsynsbegäran.docx", "A 37635-2024")</f>
        <v/>
      </c>
      <c r="AB12">
        <f>HYPERLINK("https://klasma.github.io/Logging_2181/tillsynsmail/A 37635-2024 tillsynsbegäran mail.docx", "A 37635-2024")</f>
        <v/>
      </c>
      <c r="AC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46222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s="2" t="inlineStr">
        <is>
          <t>Grönfink
Järpe
Tjäder
Fläcknycklar</t>
        </is>
      </c>
      <c r="V13">
        <f>HYPERLINK("https://klasma.github.io/Logging_2181/artfynd/A 49333-2025 artfynd.xlsx", "A 49333-2025")</f>
        <v/>
      </c>
      <c r="W13">
        <f>HYPERLINK("https://klasma.github.io/Logging_2181/kartor/A 49333-2025 karta.png", "A 49333-2025")</f>
        <v/>
      </c>
      <c r="Y13">
        <f>HYPERLINK("https://klasma.github.io/Logging_2181/klagomål/A 49333-2025 FSC-klagomål.docx", "A 49333-2025")</f>
        <v/>
      </c>
      <c r="Z13">
        <f>HYPERLINK("https://klasma.github.io/Logging_2181/klagomålsmail/A 49333-2025 FSC-klagomål mail.docx", "A 49333-2025")</f>
        <v/>
      </c>
      <c r="AA13">
        <f>HYPERLINK("https://klasma.github.io/Logging_2181/tillsyn/A 49333-2025 tillsynsbegäran.docx", "A 49333-2025")</f>
        <v/>
      </c>
      <c r="AB13">
        <f>HYPERLINK("https://klasma.github.io/Logging_2181/tillsynsmail/A 49333-2025 tillsynsbegäran mail.docx", "A 49333-2025")</f>
        <v/>
      </c>
      <c r="AC13">
        <f>HYPERLINK("https://klasma.github.io/Logging_2181/fåglar/A 49333-2025 prioriterade fågelarter.docx", "A 49333-2025")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46222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s="2" t="inlineStr">
        <is>
          <t>Knärot
Motaggsvamp
Tvåblad
Fläcknycklar</t>
        </is>
      </c>
      <c r="V14">
        <f>HYPERLINK("https://klasma.github.io/Logging_2181/artfynd/A 52782-2025 artfynd.xlsx", "A 52782-2025")</f>
        <v/>
      </c>
      <c r="W14">
        <f>HYPERLINK("https://klasma.github.io/Logging_2181/kartor/A 52782-2025 karta.png", "A 52782-2025")</f>
        <v/>
      </c>
      <c r="X14">
        <f>HYPERLINK("https://klasma.github.io/Logging_2181/knärot/A 52782-2025 karta knärot.png", "A 52782-2025")</f>
        <v/>
      </c>
      <c r="Y14">
        <f>HYPERLINK("https://klasma.github.io/Logging_2181/klagomål/A 52782-2025 FSC-klagomål.docx", "A 52782-2025")</f>
        <v/>
      </c>
      <c r="Z14">
        <f>HYPERLINK("https://klasma.github.io/Logging_2181/klagomålsmail/A 52782-2025 FSC-klagomål mail.docx", "A 52782-2025")</f>
        <v/>
      </c>
      <c r="AA14">
        <f>HYPERLINK("https://klasma.github.io/Logging_2181/tillsyn/A 52782-2025 tillsynsbegäran.docx", "A 52782-2025")</f>
        <v/>
      </c>
      <c r="AB14">
        <f>HYPERLINK("https://klasma.github.io/Logging_2181/tillsynsmail/A 52782-2025 tillsynsbegäran mail.docx", "A 52782-2025")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52784-2025 artfynd.xlsx", "A 52784-2025")</f>
        <v/>
      </c>
      <c r="W15">
        <f>HYPERLINK("https://klasma.github.io/Logging_2181/kartor/A 52784-2025 karta.png", "A 52784-2025")</f>
        <v/>
      </c>
      <c r="X15">
        <f>HYPERLINK("https://klasma.github.io/Logging_2181/knärot/A 52784-2025 karta knärot.png", "A 52784-2025")</f>
        <v/>
      </c>
      <c r="Y15">
        <f>HYPERLINK("https://klasma.github.io/Logging_2181/klagomål/A 52784-2025 FSC-klagomål.docx", "A 52784-2025")</f>
        <v/>
      </c>
      <c r="Z15">
        <f>HYPERLINK("https://klasma.github.io/Logging_2181/klagomålsmail/A 52784-2025 FSC-klagomål mail.docx", "A 52784-2025")</f>
        <v/>
      </c>
      <c r="AA15">
        <f>HYPERLINK("https://klasma.github.io/Logging_2181/tillsyn/A 52784-2025 tillsynsbegäran.docx", "A 52784-2025")</f>
        <v/>
      </c>
      <c r="AB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s="2" t="inlineStr">
        <is>
          <t>Garnlav
Knärot
Dropptaggsvamp
Bronshjon</t>
        </is>
      </c>
      <c r="V16">
        <f>HYPERLINK("https://klasma.github.io/Logging_2181/artfynd/A 52785-2025 artfynd.xlsx", "A 52785-2025")</f>
        <v/>
      </c>
      <c r="W16">
        <f>HYPERLINK("https://klasma.github.io/Logging_2181/kartor/A 52785-2025 karta.png", "A 52785-2025")</f>
        <v/>
      </c>
      <c r="X16">
        <f>HYPERLINK("https://klasma.github.io/Logging_2181/knärot/A 52785-2025 karta knärot.png", "A 52785-2025")</f>
        <v/>
      </c>
      <c r="Y16">
        <f>HYPERLINK("https://klasma.github.io/Logging_2181/klagomål/A 52785-2025 FSC-klagomål.docx", "A 52785-2025")</f>
        <v/>
      </c>
      <c r="Z16">
        <f>HYPERLINK("https://klasma.github.io/Logging_2181/klagomålsmail/A 52785-2025 FSC-klagomål mail.docx", "A 52785-2025")</f>
        <v/>
      </c>
      <c r="AA16">
        <f>HYPERLINK("https://klasma.github.io/Logging_2181/tillsyn/A 52785-2025 tillsynsbegäran.docx", "A 52785-2025")</f>
        <v/>
      </c>
      <c r="AB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46222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Större flatbagge
Tallticka
Bronshjon
Thomsons trägnagare</t>
        </is>
      </c>
      <c r="V17">
        <f>HYPERLINK("https://klasma.github.io/Logging_2181/artfynd/A 2857-2025 artfynd.xlsx", "A 2857-2025")</f>
        <v/>
      </c>
      <c r="W17">
        <f>HYPERLINK("https://klasma.github.io/Logging_2181/kartor/A 2857-2025 karta.png", "A 2857-2025")</f>
        <v/>
      </c>
      <c r="Y17">
        <f>HYPERLINK("https://klasma.github.io/Logging_2181/klagomål/A 2857-2025 FSC-klagomål.docx", "A 2857-2025")</f>
        <v/>
      </c>
      <c r="Z17">
        <f>HYPERLINK("https://klasma.github.io/Logging_2181/klagomålsmail/A 2857-2025 FSC-klagomål mail.docx", "A 2857-2025")</f>
        <v/>
      </c>
      <c r="AA17">
        <f>HYPERLINK("https://klasma.github.io/Logging_2181/tillsyn/A 2857-2025 tillsynsbegäran.docx", "A 2857-2025")</f>
        <v/>
      </c>
      <c r="AB17">
        <f>HYPERLINK("https://klasma.github.io/Logging_2181/tillsynsmail/A 2857-2025 tillsynsbegäran mail.docx", "A 2857-2025")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46222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s="2" t="inlineStr">
        <is>
          <t>Knärot
Rynkskinn
Tretåig hackspett
Spillkråka</t>
        </is>
      </c>
      <c r="V18">
        <f>HYPERLINK("https://klasma.github.io/Logging_2181/artfynd/A 12192-2026 artfynd.xlsx", "A 12192-2026")</f>
        <v/>
      </c>
      <c r="W18">
        <f>HYPERLINK("https://klasma.github.io/Logging_2181/kartor/A 12192-2026 karta.png", "A 12192-2026")</f>
        <v/>
      </c>
      <c r="X18">
        <f>HYPERLINK("https://klasma.github.io/Logging_2181/knärot/A 12192-2026 karta knärot.png", "A 12192-2026")</f>
        <v/>
      </c>
      <c r="Y18">
        <f>HYPERLINK("https://klasma.github.io/Logging_2181/klagomål/A 12192-2026 FSC-klagomål.docx", "A 12192-2026")</f>
        <v/>
      </c>
      <c r="Z18">
        <f>HYPERLINK("https://klasma.github.io/Logging_2181/klagomålsmail/A 12192-2026 FSC-klagomål mail.docx", "A 12192-2026")</f>
        <v/>
      </c>
      <c r="AA18">
        <f>HYPERLINK("https://klasma.github.io/Logging_2181/tillsyn/A 12192-2026 tillsynsbegäran.docx", "A 12192-2026")</f>
        <v/>
      </c>
      <c r="AB18">
        <f>HYPERLINK("https://klasma.github.io/Logging_2181/tillsynsmail/A 12192-2026 tillsynsbegäran mail.docx", "A 12192-2026")</f>
        <v/>
      </c>
      <c r="AC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s="2" t="inlineStr">
        <is>
          <t>Garnlav
Knärot
Dropptaggsvamp
Motaggsvamp</t>
        </is>
      </c>
      <c r="V19">
        <f>HYPERLINK("https://klasma.github.io/Logging_2181/artfynd/A 14696-2026 artfynd.xlsx", "A 14696-2026")</f>
        <v/>
      </c>
      <c r="W19">
        <f>HYPERLINK("https://klasma.github.io/Logging_2181/kartor/A 14696-2026 karta.png", "A 14696-2026")</f>
        <v/>
      </c>
      <c r="X19">
        <f>HYPERLINK("https://klasma.github.io/Logging_2181/knärot/A 14696-2026 karta knärot.png", "A 14696-2026")</f>
        <v/>
      </c>
      <c r="Y19">
        <f>HYPERLINK("https://klasma.github.io/Logging_2181/klagomål/A 14696-2026 FSC-klagomål.docx", "A 14696-2026")</f>
        <v/>
      </c>
      <c r="Z19">
        <f>HYPERLINK("https://klasma.github.io/Logging_2181/klagomålsmail/A 14696-2026 FSC-klagomål mail.docx", "A 14696-2026")</f>
        <v/>
      </c>
      <c r="AA19">
        <f>HYPERLINK("https://klasma.github.io/Logging_2181/tillsyn/A 14696-2026 tillsynsbegäran.docx", "A 14696-2026")</f>
        <v/>
      </c>
      <c r="AB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46222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s="2" t="inlineStr">
        <is>
          <t>Större vattensalamander
Åkergroda
Mindre vattensalamander
Vanlig groda</t>
        </is>
      </c>
      <c r="V20">
        <f>HYPERLINK("https://klasma.github.io/Logging_2181/artfynd/A 36672-2023 artfynd.xlsx", "A 36672-2023")</f>
        <v/>
      </c>
      <c r="W20">
        <f>HYPERLINK("https://klasma.github.io/Logging_2181/kartor/A 36672-2023 karta.png", "A 36672-2023")</f>
        <v/>
      </c>
      <c r="Y20">
        <f>HYPERLINK("https://klasma.github.io/Logging_2181/klagomål/A 36672-2023 FSC-klagomål.docx", "A 36672-2023")</f>
        <v/>
      </c>
      <c r="Z20">
        <f>HYPERLINK("https://klasma.github.io/Logging_2181/klagomålsmail/A 36672-2023 FSC-klagomål mail.docx", "A 36672-2023")</f>
        <v/>
      </c>
      <c r="AA20">
        <f>HYPERLINK("https://klasma.github.io/Logging_2181/tillsyn/A 36672-2023 tillsynsbegäran.docx", "A 36672-2023")</f>
        <v/>
      </c>
      <c r="AB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Garnlav
Jättesvampmal
Tjäder
Revlummer</t>
        </is>
      </c>
      <c r="V21">
        <f>HYPERLINK("https://klasma.github.io/Logging_2181/artfynd/S 2083-2020 artfynd.xlsx", "S 2083-2020")</f>
        <v/>
      </c>
      <c r="W21">
        <f>HYPERLINK("https://klasma.github.io/Logging_2181/kartor/S 2083-2020 karta.png", "S 2083-2020")</f>
        <v/>
      </c>
      <c r="Y21">
        <f>HYPERLINK("https://klasma.github.io/Logging_2181/klagomål/S 2083-2020 FSC-klagomål.docx", "S 2083-2020")</f>
        <v/>
      </c>
      <c r="Z21">
        <f>HYPERLINK("https://klasma.github.io/Logging_2181/klagomålsmail/S 2083-2020 FSC-klagomål mail.docx", "S 2083-2020")</f>
        <v/>
      </c>
      <c r="AA21">
        <f>HYPERLINK("https://klasma.github.io/Logging_2181/tillsyn/S 2083-2020 tillsynsbegäran.docx", "S 2083-2020")</f>
        <v/>
      </c>
      <c r="AB21">
        <f>HYPERLINK("https://klasma.github.io/Logging_2181/tillsynsmail/S 2083-2020 tillsynsbegäran mail.docx", "S 2083-2020")</f>
        <v/>
      </c>
      <c r="AC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Garnlav
Ullticka
Vedticka
Revlummer</t>
        </is>
      </c>
      <c r="V22">
        <f>HYPERLINK("https://klasma.github.io/Logging_2181/artfynd/S 1038-2026 artfynd.xlsx", "S 1038-2026")</f>
        <v/>
      </c>
      <c r="W22">
        <f>HYPERLINK("https://klasma.github.io/Logging_2181/kartor/S 1038-2026 karta.png", "S 1038-2026")</f>
        <v/>
      </c>
      <c r="Y22">
        <f>HYPERLINK("https://klasma.github.io/Logging_2181/klagomål/S 1038-2026 FSC-klagomål.docx", "S 1038-2026")</f>
        <v/>
      </c>
      <c r="Z22">
        <f>HYPERLINK("https://klasma.github.io/Logging_2181/klagomålsmail/S 1038-2026 FSC-klagomål mail.docx", "S 1038-2026")</f>
        <v/>
      </c>
      <c r="AA22">
        <f>HYPERLINK("https://klasma.github.io/Logging_2181/tillsyn/S 1038-2026 tillsynsbegäran.docx", "S 1038-2026")</f>
        <v/>
      </c>
      <c r="AB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46222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s="2" t="inlineStr">
        <is>
          <t>Järnsparv
Talltita
Kungsfågel</t>
        </is>
      </c>
      <c r="V23">
        <f>HYPERLINK("https://klasma.github.io/Logging_2181/artfynd/A 63033-2021 artfynd.xlsx", "A 63033-2021")</f>
        <v/>
      </c>
      <c r="W23">
        <f>HYPERLINK("https://klasma.github.io/Logging_2181/kartor/A 63033-2021 karta.png", "A 63033-2021")</f>
        <v/>
      </c>
      <c r="Y23">
        <f>HYPERLINK("https://klasma.github.io/Logging_2181/klagomål/A 63033-2021 FSC-klagomål.docx", "A 63033-2021")</f>
        <v/>
      </c>
      <c r="Z23">
        <f>HYPERLINK("https://klasma.github.io/Logging_2181/klagomålsmail/A 63033-2021 FSC-klagomål mail.docx", "A 63033-2021")</f>
        <v/>
      </c>
      <c r="AA23">
        <f>HYPERLINK("https://klasma.github.io/Logging_2181/tillsyn/A 63033-2021 tillsynsbegäran.docx", "A 63033-2021")</f>
        <v/>
      </c>
      <c r="AB23">
        <f>HYPERLINK("https://klasma.github.io/Logging_2181/tillsynsmail/A 63033-2021 tillsynsbegäran mail.docx", "A 63033-2021")</f>
        <v/>
      </c>
      <c r="AC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46222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Knärot
Granvivel
Linnea</t>
        </is>
      </c>
      <c r="V24">
        <f>HYPERLINK("https://klasma.github.io/Logging_2181/artfynd/A 6108-2026 artfynd.xlsx", "A 6108-2026")</f>
        <v/>
      </c>
      <c r="W24">
        <f>HYPERLINK("https://klasma.github.io/Logging_2181/kartor/A 6108-2026 karta.png", "A 6108-2026")</f>
        <v/>
      </c>
      <c r="X24">
        <f>HYPERLINK("https://klasma.github.io/Logging_2181/knärot/A 6108-2026 karta knärot.png", "A 6108-2026")</f>
        <v/>
      </c>
      <c r="Y24">
        <f>HYPERLINK("https://klasma.github.io/Logging_2181/klagomål/A 6108-2026 FSC-klagomål.docx", "A 6108-2026")</f>
        <v/>
      </c>
      <c r="Z24">
        <f>HYPERLINK("https://klasma.github.io/Logging_2181/klagomålsmail/A 6108-2026 FSC-klagomål mail.docx", "A 6108-2026")</f>
        <v/>
      </c>
      <c r="AA24">
        <f>HYPERLINK("https://klasma.github.io/Logging_2181/tillsyn/A 6108-2026 tillsynsbegäran.docx", "A 6108-2026")</f>
        <v/>
      </c>
      <c r="AB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46222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Blåsippa
Fläcknycklar
Äkta lopplummer</t>
        </is>
      </c>
      <c r="V25">
        <f>HYPERLINK("https://klasma.github.io/Logging_2181/artfynd/A 12696-2026 artfynd.xlsx", "A 12696-2026")</f>
        <v/>
      </c>
      <c r="W25">
        <f>HYPERLINK("https://klasma.github.io/Logging_2181/kartor/A 12696-2026 karta.png", "A 12696-2026")</f>
        <v/>
      </c>
      <c r="Y25">
        <f>HYPERLINK("https://klasma.github.io/Logging_2181/klagomål/A 12696-2026 FSC-klagomål.docx", "A 12696-2026")</f>
        <v/>
      </c>
      <c r="Z25">
        <f>HYPERLINK("https://klasma.github.io/Logging_2181/klagomålsmail/A 12696-2026 FSC-klagomål mail.docx", "A 12696-2026")</f>
        <v/>
      </c>
      <c r="AA25">
        <f>HYPERLINK("https://klasma.github.io/Logging_2181/tillsyn/A 12696-2026 tillsynsbegäran.docx", "A 12696-2026")</f>
        <v/>
      </c>
      <c r="AB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46222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Tjäder
Vanlig groda
Vanlig padda</t>
        </is>
      </c>
      <c r="V26">
        <f>HYPERLINK("https://klasma.github.io/Logging_2181/artfynd/A 6311-2026 artfynd.xlsx", "A 6311-2026")</f>
        <v/>
      </c>
      <c r="W26">
        <f>HYPERLINK("https://klasma.github.io/Logging_2181/kartor/A 6311-2026 karta.png", "A 6311-2026")</f>
        <v/>
      </c>
      <c r="Y26">
        <f>HYPERLINK("https://klasma.github.io/Logging_2181/klagomål/A 6311-2026 FSC-klagomål.docx", "A 6311-2026")</f>
        <v/>
      </c>
      <c r="Z26">
        <f>HYPERLINK("https://klasma.github.io/Logging_2181/klagomålsmail/A 6311-2026 FSC-klagomål mail.docx", "A 6311-2026")</f>
        <v/>
      </c>
      <c r="AA26">
        <f>HYPERLINK("https://klasma.github.io/Logging_2181/tillsyn/A 6311-2026 tillsynsbegäran.docx", "A 6311-2026")</f>
        <v/>
      </c>
      <c r="AB26">
        <f>HYPERLINK("https://klasma.github.io/Logging_2181/tillsynsmail/A 6311-2026 tillsynsbegäran mail.docx", "A 6311-2026")</f>
        <v/>
      </c>
      <c r="AC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46222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Blå taggsvamp
Talltita
Kungsfågel</t>
        </is>
      </c>
      <c r="V27">
        <f>HYPERLINK("https://klasma.github.io/Logging_2181/artfynd/A 26047-2026 artfynd.xlsx", "A 26047-2026")</f>
        <v/>
      </c>
      <c r="W27">
        <f>HYPERLINK("https://klasma.github.io/Logging_2181/kartor/A 26047-2026 karta.png", "A 26047-2026")</f>
        <v/>
      </c>
      <c r="Y27">
        <f>HYPERLINK("https://klasma.github.io/Logging_2181/klagomål/A 26047-2026 FSC-klagomål.docx", "A 26047-2026")</f>
        <v/>
      </c>
      <c r="Z27">
        <f>HYPERLINK("https://klasma.github.io/Logging_2181/klagomålsmail/A 26047-2026 FSC-klagomål mail.docx", "A 26047-2026")</f>
        <v/>
      </c>
      <c r="AA27">
        <f>HYPERLINK("https://klasma.github.io/Logging_2181/tillsyn/A 26047-2026 tillsynsbegäran.docx", "A 26047-2026")</f>
        <v/>
      </c>
      <c r="AB27">
        <f>HYPERLINK("https://klasma.github.io/Logging_2181/tillsynsmail/A 26047-2026 tillsynsbegäran mail.docx", "A 26047-2026")</f>
        <v/>
      </c>
      <c r="AC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46222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Rödvingetrast
Törnskata
Vanlig groda</t>
        </is>
      </c>
      <c r="V28">
        <f>HYPERLINK("https://klasma.github.io/Logging_2181/artfynd/A 6378-2023 artfynd.xlsx", "A 6378-2023")</f>
        <v/>
      </c>
      <c r="W28">
        <f>HYPERLINK("https://klasma.github.io/Logging_2181/kartor/A 6378-2023 karta.png", "A 6378-2023")</f>
        <v/>
      </c>
      <c r="Y28">
        <f>HYPERLINK("https://klasma.github.io/Logging_2181/klagomål/A 6378-2023 FSC-klagomål.docx", "A 6378-2023")</f>
        <v/>
      </c>
      <c r="Z28">
        <f>HYPERLINK("https://klasma.github.io/Logging_2181/klagomålsmail/A 6378-2023 FSC-klagomål mail.docx", "A 6378-2023")</f>
        <v/>
      </c>
      <c r="AA28">
        <f>HYPERLINK("https://klasma.github.io/Logging_2181/tillsyn/A 6378-2023 tillsynsbegäran.docx", "A 6378-2023")</f>
        <v/>
      </c>
      <c r="AB28">
        <f>HYPERLINK("https://klasma.github.io/Logging_2181/tillsynsmail/A 6378-2023 tillsynsbegäran mail.docx", "A 6378-2023")</f>
        <v/>
      </c>
      <c r="AC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46222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Tibast
Grönsiska
Kungsfågel</t>
        </is>
      </c>
      <c r="V29">
        <f>HYPERLINK("https://klasma.github.io/Logging_2181/artfynd/A 29114-2026 artfynd.xlsx", "A 29114-2026")</f>
        <v/>
      </c>
      <c r="W29">
        <f>HYPERLINK("https://klasma.github.io/Logging_2181/kartor/A 29114-2026 karta.png", "A 29114-2026")</f>
        <v/>
      </c>
      <c r="Y29">
        <f>HYPERLINK("https://klasma.github.io/Logging_2181/klagomål/A 29114-2026 FSC-klagomål.docx", "A 29114-2026")</f>
        <v/>
      </c>
      <c r="Z29">
        <f>HYPERLINK("https://klasma.github.io/Logging_2181/klagomålsmail/A 29114-2026 FSC-klagomål mail.docx", "A 29114-2026")</f>
        <v/>
      </c>
      <c r="AA29">
        <f>HYPERLINK("https://klasma.github.io/Logging_2181/tillsyn/A 29114-2026 tillsynsbegäran.docx", "A 29114-2026")</f>
        <v/>
      </c>
      <c r="AB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46222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Y30">
        <f>HYPERLINK("https://klasma.github.io/Logging_2181/klagomål/A 31123-2026 FSC-klagomål.docx", "A 31123-2026")</f>
        <v/>
      </c>
      <c r="Z30">
        <f>HYPERLINK("https://klasma.github.io/Logging_2181/klagomålsmail/A 31123-2026 FSC-klagomål mail.docx", "A 31123-2026")</f>
        <v/>
      </c>
      <c r="AA30">
        <f>HYPERLINK("https://klasma.github.io/Logging_2181/tillsyn/A 31123-2026 tillsynsbegäran.docx", "A 31123-2026")</f>
        <v/>
      </c>
      <c r="AB30">
        <f>HYPERLINK("https://klasma.github.io/Logging_2181/tillsynsmail/A 31123-2026 tillsynsbegäran mail.docx", "A 31123-2026")</f>
        <v/>
      </c>
      <c r="AC30">
        <f>HYPERLINK("https://klasma.github.io/Logging_2181/fåglar/A 31123-2026 prioriterade fågelarter.docx", "A 31123-2026")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46222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s="2" t="inlineStr">
        <is>
          <t>Vågbandad barkbock
Åkergroda
Vanlig padda</t>
        </is>
      </c>
      <c r="V31">
        <f>HYPERLINK("https://klasma.github.io/Logging_2181/artfynd/A 31310-2026 artfynd.xlsx", "A 31310-2026")</f>
        <v/>
      </c>
      <c r="W31">
        <f>HYPERLINK("https://klasma.github.io/Logging_2181/kartor/A 31310-2026 karta.png", "A 31310-2026")</f>
        <v/>
      </c>
      <c r="Y31">
        <f>HYPERLINK("https://klasma.github.io/Logging_2181/klagomål/A 31310-2026 FSC-klagomål.docx", "A 31310-2026")</f>
        <v/>
      </c>
      <c r="Z31">
        <f>HYPERLINK("https://klasma.github.io/Logging_2181/klagomålsmail/A 31310-2026 FSC-klagomål mail.docx", "A 31310-2026")</f>
        <v/>
      </c>
      <c r="AA31">
        <f>HYPERLINK("https://klasma.github.io/Logging_2181/tillsyn/A 31310-2026 tillsynsbegäran.docx", "A 31310-2026")</f>
        <v/>
      </c>
      <c r="AB31">
        <f>HYPERLINK("https://klasma.github.io/Logging_2181/tillsynsmail/A 31310-2026 tillsynsbegäran mail.docx", "A 31310-2026")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46222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s="2" t="inlineStr">
        <is>
          <t>Dropptaggsvamp
Tallticka
Nästlav</t>
        </is>
      </c>
      <c r="V32">
        <f>HYPERLINK("https://klasma.github.io/Logging_2181/artfynd/A 31312-2026 artfynd.xlsx", "A 31312-2026")</f>
        <v/>
      </c>
      <c r="W32">
        <f>HYPERLINK("https://klasma.github.io/Logging_2181/kartor/A 31312-2026 karta.png", "A 31312-2026")</f>
        <v/>
      </c>
      <c r="Y32">
        <f>HYPERLINK("https://klasma.github.io/Logging_2181/klagomål/A 31312-2026 FSC-klagomål.docx", "A 31312-2026")</f>
        <v/>
      </c>
      <c r="Z32">
        <f>HYPERLINK("https://klasma.github.io/Logging_2181/klagomålsmail/A 31312-2026 FSC-klagomål mail.docx", "A 31312-2026")</f>
        <v/>
      </c>
      <c r="AA32">
        <f>HYPERLINK("https://klasma.github.io/Logging_2181/tillsyn/A 31312-2026 tillsynsbegäran.docx", "A 31312-2026")</f>
        <v/>
      </c>
      <c r="AB32">
        <f>HYPERLINK("https://klasma.github.io/Logging_2181/tillsynsmail/A 31312-2026 tillsynsbegäran mail.docx", "A 31312-2026")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s="2" t="inlineStr">
        <is>
          <t>Garnlav
Vedticka
Revlummer</t>
        </is>
      </c>
      <c r="V33">
        <f>HYPERLINK("https://klasma.github.io/Logging_2181/artfynd/S 241-2024 artfynd.xlsx", "S 241-2024")</f>
        <v/>
      </c>
      <c r="W33">
        <f>HYPERLINK("https://klasma.github.io/Logging_2181/kartor/S 241-2024 karta.png", "S 241-2024")</f>
        <v/>
      </c>
      <c r="Y33">
        <f>HYPERLINK("https://klasma.github.io/Logging_2181/klagomål/S 241-2024 FSC-klagomål.docx", "S 241-2024")</f>
        <v/>
      </c>
      <c r="Z33">
        <f>HYPERLINK("https://klasma.github.io/Logging_2181/klagomålsmail/S 241-2024 FSC-klagomål mail.docx", "S 241-2024")</f>
        <v/>
      </c>
      <c r="AA33">
        <f>HYPERLINK("https://klasma.github.io/Logging_2181/tillsyn/S 241-2024 tillsynsbegäran.docx", "S 241-2024")</f>
        <v/>
      </c>
      <c r="AB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Skinnlav</t>
        </is>
      </c>
      <c r="V34">
        <f>HYPERLINK("https://klasma.github.io/Logging_2181/artfynd/A 21297-2022 artfynd.xlsx", "A 21297-2022")</f>
        <v/>
      </c>
      <c r="W34">
        <f>HYPERLINK("https://klasma.github.io/Logging_2181/kartor/A 21297-2022 karta.png", "A 21297-2022")</f>
        <v/>
      </c>
      <c r="Y34">
        <f>HYPERLINK("https://klasma.github.io/Logging_2181/klagomål/A 21297-2022 FSC-klagomål.docx", "A 21297-2022")</f>
        <v/>
      </c>
      <c r="Z34">
        <f>HYPERLINK("https://klasma.github.io/Logging_2181/klagomålsmail/A 21297-2022 FSC-klagomål mail.docx", "A 21297-2022")</f>
        <v/>
      </c>
      <c r="AA34">
        <f>HYPERLINK("https://klasma.github.io/Logging_2181/tillsyn/A 21297-2022 tillsynsbegäran.docx", "A 21297-2022")</f>
        <v/>
      </c>
      <c r="AB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46222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Rödgul trumpetsvamp
Vanlig padda</t>
        </is>
      </c>
      <c r="V35">
        <f>HYPERLINK("https://klasma.github.io/Logging_2181/artfynd/A 42869-2024 artfynd.xlsx", "A 42869-2024")</f>
        <v/>
      </c>
      <c r="W35">
        <f>HYPERLINK("https://klasma.github.io/Logging_2181/kartor/A 42869-2024 karta.png", "A 42869-2024")</f>
        <v/>
      </c>
      <c r="Y35">
        <f>HYPERLINK("https://klasma.github.io/Logging_2181/klagomål/A 42869-2024 FSC-klagomål.docx", "A 42869-2024")</f>
        <v/>
      </c>
      <c r="Z35">
        <f>HYPERLINK("https://klasma.github.io/Logging_2181/klagomålsmail/A 42869-2024 FSC-klagomål mail.docx", "A 42869-2024")</f>
        <v/>
      </c>
      <c r="AA35">
        <f>HYPERLINK("https://klasma.github.io/Logging_2181/tillsyn/A 42869-2024 tillsynsbegäran.docx", "A 42869-2024")</f>
        <v/>
      </c>
      <c r="AB35">
        <f>HYPERLINK("https://klasma.github.io/Logging_2181/tillsynsmail/A 42869-2024 tillsynsbegäran mail.docx", "A 42869-2024")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46222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s="2" t="inlineStr">
        <is>
          <t>Knärot
Revlummer</t>
        </is>
      </c>
      <c r="V36">
        <f>HYPERLINK("https://klasma.github.io/Logging_2181/artfynd/A 10623-2025 artfynd.xlsx", "A 10623-2025")</f>
        <v/>
      </c>
      <c r="W36">
        <f>HYPERLINK("https://klasma.github.io/Logging_2181/kartor/A 10623-2025 karta.png", "A 10623-2025")</f>
        <v/>
      </c>
      <c r="X36">
        <f>HYPERLINK("https://klasma.github.io/Logging_2181/knärot/A 10623-2025 karta knärot.png", "A 10623-2025")</f>
        <v/>
      </c>
      <c r="Y36">
        <f>HYPERLINK("https://klasma.github.io/Logging_2181/klagomål/A 10623-2025 FSC-klagomål.docx", "A 10623-2025")</f>
        <v/>
      </c>
      <c r="Z36">
        <f>HYPERLINK("https://klasma.github.io/Logging_2181/klagomålsmail/A 10623-2025 FSC-klagomål mail.docx", "A 10623-2025")</f>
        <v/>
      </c>
      <c r="AA36">
        <f>HYPERLINK("https://klasma.github.io/Logging_2181/tillsyn/A 10623-2025 tillsynsbegäran.docx", "A 10623-2025")</f>
        <v/>
      </c>
      <c r="AB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46222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Motaggsvamp
Ullticka</t>
        </is>
      </c>
      <c r="V37">
        <f>HYPERLINK("https://klasma.github.io/Logging_2181/artfynd/A 46729-2025 artfynd.xlsx", "A 46729-2025")</f>
        <v/>
      </c>
      <c r="W37">
        <f>HYPERLINK("https://klasma.github.io/Logging_2181/kartor/A 46729-2025 karta.png", "A 46729-2025")</f>
        <v/>
      </c>
      <c r="Y37">
        <f>HYPERLINK("https://klasma.github.io/Logging_2181/klagomål/A 46729-2025 FSC-klagomål.docx", "A 46729-2025")</f>
        <v/>
      </c>
      <c r="Z37">
        <f>HYPERLINK("https://klasma.github.io/Logging_2181/klagomålsmail/A 46729-2025 FSC-klagomål mail.docx", "A 46729-2025")</f>
        <v/>
      </c>
      <c r="AA37">
        <f>HYPERLINK("https://klasma.github.io/Logging_2181/tillsyn/A 46729-2025 tillsynsbegäran.docx", "A 46729-2025")</f>
        <v/>
      </c>
      <c r="AB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46222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Mattlummer
Revlummer</t>
        </is>
      </c>
      <c r="V38">
        <f>HYPERLINK("https://klasma.github.io/Logging_2181/artfynd/A 15895-2026 artfynd.xlsx", "A 15895-2026")</f>
        <v/>
      </c>
      <c r="W38">
        <f>HYPERLINK("https://klasma.github.io/Logging_2181/kartor/A 15895-2026 karta.png", "A 15895-2026")</f>
        <v/>
      </c>
      <c r="Y38">
        <f>HYPERLINK("https://klasma.github.io/Logging_2181/klagomål/A 15895-2026 FSC-klagomål.docx", "A 15895-2026")</f>
        <v/>
      </c>
      <c r="Z38">
        <f>HYPERLINK("https://klasma.github.io/Logging_2181/klagomålsmail/A 15895-2026 FSC-klagomål mail.docx", "A 15895-2026")</f>
        <v/>
      </c>
      <c r="AA38">
        <f>HYPERLINK("https://klasma.github.io/Logging_2181/tillsyn/A 15895-2026 tillsynsbegäran.docx", "A 15895-2026")</f>
        <v/>
      </c>
      <c r="AB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46222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Knärot
Vedticka</t>
        </is>
      </c>
      <c r="V39">
        <f>HYPERLINK("https://klasma.github.io/Logging_2181/artfynd/A 7733-2026 artfynd.xlsx", "A 7733-2026")</f>
        <v/>
      </c>
      <c r="W39">
        <f>HYPERLINK("https://klasma.github.io/Logging_2181/kartor/A 7733-2026 karta.png", "A 7733-2026")</f>
        <v/>
      </c>
      <c r="X39">
        <f>HYPERLINK("https://klasma.github.io/Logging_2181/knärot/A 7733-2026 karta knärot.png", "A 7733-2026")</f>
        <v/>
      </c>
      <c r="Y39">
        <f>HYPERLINK("https://klasma.github.io/Logging_2181/klagomål/A 7733-2026 FSC-klagomål.docx", "A 7733-2026")</f>
        <v/>
      </c>
      <c r="Z39">
        <f>HYPERLINK("https://klasma.github.io/Logging_2181/klagomålsmail/A 7733-2026 FSC-klagomål mail.docx", "A 7733-2026")</f>
        <v/>
      </c>
      <c r="AA39">
        <f>HYPERLINK("https://klasma.github.io/Logging_2181/tillsyn/A 7733-2026 tillsynsbegäran.docx", "A 7733-2026")</f>
        <v/>
      </c>
      <c r="AB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46222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Kambräken
Lopplummer (aggregat)</t>
        </is>
      </c>
      <c r="V40">
        <f>HYPERLINK("https://klasma.github.io/Logging_2181/artfynd/A 19526-2026 artfynd.xlsx", "A 19526-2026")</f>
        <v/>
      </c>
      <c r="W40">
        <f>HYPERLINK("https://klasma.github.io/Logging_2181/kartor/A 19526-2026 karta.png", "A 19526-2026")</f>
        <v/>
      </c>
      <c r="Y40">
        <f>HYPERLINK("https://klasma.github.io/Logging_2181/klagomål/A 19526-2026 FSC-klagomål.docx", "A 19526-2026")</f>
        <v/>
      </c>
      <c r="Z40">
        <f>HYPERLINK("https://klasma.github.io/Logging_2181/klagomålsmail/A 19526-2026 FSC-klagomål mail.docx", "A 19526-2026")</f>
        <v/>
      </c>
      <c r="AA40">
        <f>HYPERLINK("https://klasma.github.io/Logging_2181/tillsyn/A 19526-2026 tillsynsbegäran.docx", "A 19526-2026")</f>
        <v/>
      </c>
      <c r="AB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46222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Knärot
Dropptaggsvamp</t>
        </is>
      </c>
      <c r="V41">
        <f>HYPERLINK("https://klasma.github.io/Logging_2181/artfynd/A 43716-2023 artfynd.xlsx", "A 43716-2023")</f>
        <v/>
      </c>
      <c r="W41">
        <f>HYPERLINK("https://klasma.github.io/Logging_2181/kartor/A 43716-2023 karta.png", "A 43716-2023")</f>
        <v/>
      </c>
      <c r="X41">
        <f>HYPERLINK("https://klasma.github.io/Logging_2181/knärot/A 43716-2023 karta knärot.png", "A 43716-2023")</f>
        <v/>
      </c>
      <c r="Y41">
        <f>HYPERLINK("https://klasma.github.io/Logging_2181/klagomål/A 43716-2023 FSC-klagomål.docx", "A 43716-2023")</f>
        <v/>
      </c>
      <c r="Z41">
        <f>HYPERLINK("https://klasma.github.io/Logging_2181/klagomålsmail/A 43716-2023 FSC-klagomål mail.docx", "A 43716-2023")</f>
        <v/>
      </c>
      <c r="AA41">
        <f>HYPERLINK("https://klasma.github.io/Logging_2181/tillsyn/A 43716-2023 tillsynsbegäran.docx", "A 43716-2023")</f>
        <v/>
      </c>
      <c r="AB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46222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Nattviol</t>
        </is>
      </c>
      <c r="V42">
        <f>HYPERLINK("https://klasma.github.io/Logging_2181/artfynd/A 35523-2022 artfynd.xlsx", "A 35523-2022")</f>
        <v/>
      </c>
      <c r="W42">
        <f>HYPERLINK("https://klasma.github.io/Logging_2181/kartor/A 35523-2022 karta.png", "A 35523-2022")</f>
        <v/>
      </c>
      <c r="X42">
        <f>HYPERLINK("https://klasma.github.io/Logging_2181/knärot/A 35523-2022 karta knärot.png", "A 35523-2022")</f>
        <v/>
      </c>
      <c r="Y42">
        <f>HYPERLINK("https://klasma.github.io/Logging_2181/klagomål/A 35523-2022 FSC-klagomål.docx", "A 35523-2022")</f>
        <v/>
      </c>
      <c r="Z42">
        <f>HYPERLINK("https://klasma.github.io/Logging_2181/klagomålsmail/A 35523-2022 FSC-klagomål mail.docx", "A 35523-2022")</f>
        <v/>
      </c>
      <c r="AA42">
        <f>HYPERLINK("https://klasma.github.io/Logging_2181/tillsyn/A 35523-2022 tillsynsbegäran.docx", "A 35523-2022")</f>
        <v/>
      </c>
      <c r="AB42">
        <f>HYPERLINK("https://klasma.github.io/Logging_2181/tillsynsmail/A 35523-2022 tillsynsbegäran mail.docx", "A 35523-2022")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Nordfladdermus
Tjäder</t>
        </is>
      </c>
      <c r="V43">
        <f>HYPERLINK("https://klasma.github.io/Logging_2181/artfynd/A 27014-2026 artfynd.xlsx", "A 27014-2026")</f>
        <v/>
      </c>
      <c r="W43">
        <f>HYPERLINK("https://klasma.github.io/Logging_2181/kartor/A 27014-2026 karta.png", "A 27014-2026")</f>
        <v/>
      </c>
      <c r="Y43">
        <f>HYPERLINK("https://klasma.github.io/Logging_2181/klagomål/A 27014-2026 FSC-klagomål.docx", "A 27014-2026")</f>
        <v/>
      </c>
      <c r="Z43">
        <f>HYPERLINK("https://klasma.github.io/Logging_2181/klagomålsmail/A 27014-2026 FSC-klagomål mail.docx", "A 27014-2026")</f>
        <v/>
      </c>
      <c r="AA43">
        <f>HYPERLINK("https://klasma.github.io/Logging_2181/tillsyn/A 27014-2026 tillsynsbegäran.docx", "A 27014-2026")</f>
        <v/>
      </c>
      <c r="AB43">
        <f>HYPERLINK("https://klasma.github.io/Logging_2181/tillsynsmail/A 27014-2026 tillsynsbegäran mail.docx", "A 27014-2026")</f>
        <v/>
      </c>
      <c r="AC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46222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Dropptaggsvamp
Talltita</t>
        </is>
      </c>
      <c r="V44">
        <f>HYPERLINK("https://klasma.github.io/Logging_2181/artfynd/A 27184-2026 artfynd.xlsx", "A 27184-2026")</f>
        <v/>
      </c>
      <c r="W44">
        <f>HYPERLINK("https://klasma.github.io/Logging_2181/kartor/A 27184-2026 karta.png", "A 27184-2026")</f>
        <v/>
      </c>
      <c r="Y44">
        <f>HYPERLINK("https://klasma.github.io/Logging_2181/klagomål/A 27184-2026 FSC-klagomål.docx", "A 27184-2026")</f>
        <v/>
      </c>
      <c r="Z44">
        <f>HYPERLINK("https://klasma.github.io/Logging_2181/klagomålsmail/A 27184-2026 FSC-klagomål mail.docx", "A 27184-2026")</f>
        <v/>
      </c>
      <c r="AA44">
        <f>HYPERLINK("https://klasma.github.io/Logging_2181/tillsyn/A 27184-2026 tillsynsbegäran.docx", "A 27184-2026")</f>
        <v/>
      </c>
      <c r="AB44">
        <f>HYPERLINK("https://klasma.github.io/Logging_2181/tillsynsmail/A 27184-2026 tillsynsbegäran mail.docx", "A 27184-2026")</f>
        <v/>
      </c>
      <c r="AC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46222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Strutbräken
Revlummer</t>
        </is>
      </c>
      <c r="V45">
        <f>HYPERLINK("https://klasma.github.io/Logging_2181/artfynd/A 1179-2026 artfynd.xlsx", "A 1179-2026")</f>
        <v/>
      </c>
      <c r="W45">
        <f>HYPERLINK("https://klasma.github.io/Logging_2181/kartor/A 1179-2026 karta.png", "A 1179-2026")</f>
        <v/>
      </c>
      <c r="Y45">
        <f>HYPERLINK("https://klasma.github.io/Logging_2181/klagomål/A 1179-2026 FSC-klagomål.docx", "A 1179-2026")</f>
        <v/>
      </c>
      <c r="Z45">
        <f>HYPERLINK("https://klasma.github.io/Logging_2181/klagomålsmail/A 1179-2026 FSC-klagomål mail.docx", "A 1179-2026")</f>
        <v/>
      </c>
      <c r="AA45">
        <f>HYPERLINK("https://klasma.github.io/Logging_2181/tillsyn/A 1179-2026 tillsynsbegäran.docx", "A 1179-2026")</f>
        <v/>
      </c>
      <c r="AB45">
        <f>HYPERLINK("https://klasma.github.io/Logging_2181/tillsynsmail/A 1179-2026 tillsynsbegäran mail.docx", "A 1179-2026")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46222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Lappuggla
Ullticka</t>
        </is>
      </c>
      <c r="V46">
        <f>HYPERLINK("https://klasma.github.io/Logging_2181/artfynd/A 21196-2024 artfynd.xlsx", "A 21196-2024")</f>
        <v/>
      </c>
      <c r="W46">
        <f>HYPERLINK("https://klasma.github.io/Logging_2181/kartor/A 21196-2024 karta.png", "A 21196-2024")</f>
        <v/>
      </c>
      <c r="Y46">
        <f>HYPERLINK("https://klasma.github.io/Logging_2181/klagomål/A 21196-2024 FSC-klagomål.docx", "A 21196-2024")</f>
        <v/>
      </c>
      <c r="Z46">
        <f>HYPERLINK("https://klasma.github.io/Logging_2181/klagomålsmail/A 21196-2024 FSC-klagomål mail.docx", "A 21196-2024")</f>
        <v/>
      </c>
      <c r="AA46">
        <f>HYPERLINK("https://klasma.github.io/Logging_2181/tillsyn/A 21196-2024 tillsynsbegäran.docx", "A 21196-2024")</f>
        <v/>
      </c>
      <c r="AB46">
        <f>HYPERLINK("https://klasma.github.io/Logging_2181/tillsynsmail/A 21196-2024 tillsynsbegäran mail.docx", "A 21196-2024")</f>
        <v/>
      </c>
      <c r="AC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46222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s="2" t="inlineStr">
        <is>
          <t>Knärot
Tibast</t>
        </is>
      </c>
      <c r="V47">
        <f>HYPERLINK("https://klasma.github.io/Logging_2181/artfynd/S 519-2022 artfynd.xlsx", "S 519-2022")</f>
        <v/>
      </c>
      <c r="W47">
        <f>HYPERLINK("https://klasma.github.io/Logging_2181/kartor/S 519-2022 karta.png", "S 519-2022")</f>
        <v/>
      </c>
      <c r="X47">
        <f>HYPERLINK("https://klasma.github.io/Logging_2181/knärot/S 519-2022 karta knärot.png", "S 519-2022")</f>
        <v/>
      </c>
      <c r="Y47">
        <f>HYPERLINK("https://klasma.github.io/Logging_2181/klagomål/S 519-2022 FSC-klagomål.docx", "S 519-2022")</f>
        <v/>
      </c>
      <c r="Z47">
        <f>HYPERLINK("https://klasma.github.io/Logging_2181/klagomålsmail/S 519-2022 FSC-klagomål mail.docx", "S 519-2022")</f>
        <v/>
      </c>
      <c r="AA47">
        <f>HYPERLINK("https://klasma.github.io/Logging_2181/tillsyn/S 519-2022 tillsynsbegäran.docx", "S 519-2022")</f>
        <v/>
      </c>
      <c r="AB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46222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Grönsångare
Spillkråka</t>
        </is>
      </c>
      <c r="V48">
        <f>HYPERLINK("https://klasma.github.io/Logging_2181/artfynd/S 423-2025 artfynd.xlsx", "S 423-2025")</f>
        <v/>
      </c>
      <c r="W48">
        <f>HYPERLINK("https://klasma.github.io/Logging_2181/kartor/S 423-2025 karta.png", "S 423-2025")</f>
        <v/>
      </c>
      <c r="Y48">
        <f>HYPERLINK("https://klasma.github.io/Logging_2181/klagomål/S 423-2025 FSC-klagomål.docx", "S 423-2025")</f>
        <v/>
      </c>
      <c r="Z48">
        <f>HYPERLINK("https://klasma.github.io/Logging_2181/klagomålsmail/S 423-2025 FSC-klagomål mail.docx", "S 423-2025")</f>
        <v/>
      </c>
      <c r="AA48">
        <f>HYPERLINK("https://klasma.github.io/Logging_2181/tillsyn/S 423-2025 tillsynsbegäran.docx", "S 423-2025")</f>
        <v/>
      </c>
      <c r="AB48">
        <f>HYPERLINK("https://klasma.github.io/Logging_2181/tillsynsmail/S 423-2025 tillsynsbegäran mail.docx", "S 423-2025")</f>
        <v/>
      </c>
      <c r="AC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46222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Kungsfågel</t>
        </is>
      </c>
      <c r="V49">
        <f>HYPERLINK("https://klasma.github.io/Logging_2181/artfynd/A 63084-2021 artfynd.xlsx", "A 63084-2021")</f>
        <v/>
      </c>
      <c r="W49">
        <f>HYPERLINK("https://klasma.github.io/Logging_2181/kartor/A 63084-2021 karta.png", "A 63084-2021")</f>
        <v/>
      </c>
      <c r="Y49">
        <f>HYPERLINK("https://klasma.github.io/Logging_2181/klagomål/A 63084-2021 FSC-klagomål.docx", "A 63084-2021")</f>
        <v/>
      </c>
      <c r="Z49">
        <f>HYPERLINK("https://klasma.github.io/Logging_2181/klagomålsmail/A 63084-2021 FSC-klagomål mail.docx", "A 63084-2021")</f>
        <v/>
      </c>
      <c r="AA49">
        <f>HYPERLINK("https://klasma.github.io/Logging_2181/tillsyn/A 63084-2021 tillsynsbegäran.docx", "A 63084-2021")</f>
        <v/>
      </c>
      <c r="AB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46222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Kortskaftad ärgspik</t>
        </is>
      </c>
      <c r="V50">
        <f>HYPERLINK("https://klasma.github.io/Logging_2181/artfynd/A 27966-2022 artfynd.xlsx", "A 27966-2022")</f>
        <v/>
      </c>
      <c r="W50">
        <f>HYPERLINK("https://klasma.github.io/Logging_2181/kartor/A 27966-2022 karta.png", "A 27966-2022")</f>
        <v/>
      </c>
      <c r="Y50">
        <f>HYPERLINK("https://klasma.github.io/Logging_2181/klagomål/A 27966-2022 FSC-klagomål.docx", "A 27966-2022")</f>
        <v/>
      </c>
      <c r="Z50">
        <f>HYPERLINK("https://klasma.github.io/Logging_2181/klagomålsmail/A 27966-2022 FSC-klagomål mail.docx", "A 27966-2022")</f>
        <v/>
      </c>
      <c r="AA50">
        <f>HYPERLINK("https://klasma.github.io/Logging_2181/tillsyn/A 27966-2022 tillsynsbegäran.docx", "A 27966-2022")</f>
        <v/>
      </c>
      <c r="AB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46222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HYPERLINK("https://klasma.github.io/Logging_2181/artfynd/A 65270-2021 artfynd.xlsx", "A 65270-2021")</f>
        <v/>
      </c>
      <c r="W51">
        <f>HYPERLINK("https://klasma.github.io/Logging_2181/kartor/A 65270-2021 karta.png", "A 65270-2021")</f>
        <v/>
      </c>
      <c r="Y51">
        <f>HYPERLINK("https://klasma.github.io/Logging_2181/klagomål/A 65270-2021 FSC-klagomål.docx", "A 65270-2021")</f>
        <v/>
      </c>
      <c r="Z51">
        <f>HYPERLINK("https://klasma.github.io/Logging_2181/klagomålsmail/A 65270-2021 FSC-klagomål mail.docx", "A 65270-2021")</f>
        <v/>
      </c>
      <c r="AA51">
        <f>HYPERLINK("https://klasma.github.io/Logging_2181/tillsyn/A 65270-2021 tillsynsbegäran.docx", "A 65270-2021")</f>
        <v/>
      </c>
      <c r="AB51">
        <f>HYPERLINK("https://klasma.github.io/Logging_2181/tillsynsmail/A 65270-2021 tillsynsbegäran mail.docx", "A 65270-2021")</f>
        <v/>
      </c>
      <c r="AC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46222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HYPERLINK("https://klasma.github.io/Logging_2181/artfynd/A 35525-2022 artfynd.xlsx", "A 35525-2022")</f>
        <v/>
      </c>
      <c r="W52">
        <f>HYPERLINK("https://klasma.github.io/Logging_2181/kartor/A 35525-2022 karta.png", "A 35525-2022")</f>
        <v/>
      </c>
      <c r="Y52">
        <f>HYPERLINK("https://klasma.github.io/Logging_2181/klagomål/A 35525-2022 FSC-klagomål.docx", "A 35525-2022")</f>
        <v/>
      </c>
      <c r="Z52">
        <f>HYPERLINK("https://klasma.github.io/Logging_2181/klagomålsmail/A 35525-2022 FSC-klagomål mail.docx", "A 35525-2022")</f>
        <v/>
      </c>
      <c r="AA52">
        <f>HYPERLINK("https://klasma.github.io/Logging_2181/tillsyn/A 35525-2022 tillsynsbegäran.docx", "A 35525-2022")</f>
        <v/>
      </c>
      <c r="AB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46222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Tvåblad</t>
        </is>
      </c>
      <c r="V53">
        <f>HYPERLINK("https://klasma.github.io/Logging_2181/artfynd/A 41862-2022 artfynd.xlsx", "A 41862-2022")</f>
        <v/>
      </c>
      <c r="W53">
        <f>HYPERLINK("https://klasma.github.io/Logging_2181/kartor/A 41862-2022 karta.png", "A 41862-2022")</f>
        <v/>
      </c>
      <c r="Y53">
        <f>HYPERLINK("https://klasma.github.io/Logging_2181/klagomål/A 41862-2022 FSC-klagomål.docx", "A 41862-2022")</f>
        <v/>
      </c>
      <c r="Z53">
        <f>HYPERLINK("https://klasma.github.io/Logging_2181/klagomålsmail/A 41862-2022 FSC-klagomål mail.docx", "A 41862-2022")</f>
        <v/>
      </c>
      <c r="AA53">
        <f>HYPERLINK("https://klasma.github.io/Logging_2181/tillsyn/A 41862-2022 tillsynsbegäran.docx", "A 41862-2022")</f>
        <v/>
      </c>
      <c r="AB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46222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Sångsvan</t>
        </is>
      </c>
      <c r="V54">
        <f>HYPERLINK("https://klasma.github.io/Logging_2181/artfynd/A 4384-2023 artfynd.xlsx", "A 4384-2023")</f>
        <v/>
      </c>
      <c r="W54">
        <f>HYPERLINK("https://klasma.github.io/Logging_2181/kartor/A 4384-2023 karta.png", "A 4384-2023")</f>
        <v/>
      </c>
      <c r="Y54">
        <f>HYPERLINK("https://klasma.github.io/Logging_2181/klagomål/A 4384-2023 FSC-klagomål.docx", "A 4384-2023")</f>
        <v/>
      </c>
      <c r="Z54">
        <f>HYPERLINK("https://klasma.github.io/Logging_2181/klagomålsmail/A 4384-2023 FSC-klagomål mail.docx", "A 4384-2023")</f>
        <v/>
      </c>
      <c r="AA54">
        <f>HYPERLINK("https://klasma.github.io/Logging_2181/tillsyn/A 4384-2023 tillsynsbegäran.docx", "A 4384-2023")</f>
        <v/>
      </c>
      <c r="AB54">
        <f>HYPERLINK("https://klasma.github.io/Logging_2181/tillsynsmail/A 4384-2023 tillsynsbegäran mail.docx", "A 4384-2023")</f>
        <v/>
      </c>
      <c r="AC54">
        <f>HYPERLINK("https://klasma.github.io/Logging_2181/fåglar/A 4384-2023 prioriterade fågelarter.docx", "A 4384-2023")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46222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s="2" t="inlineStr">
        <is>
          <t>Plattlummer</t>
        </is>
      </c>
      <c r="V55">
        <f>HYPERLINK("https://klasma.github.io/Logging_2181/artfynd/A 39872-2025 artfynd.xlsx", "A 39872-2025")</f>
        <v/>
      </c>
      <c r="W55">
        <f>HYPERLINK("https://klasma.github.io/Logging_2181/kartor/A 39872-2025 karta.png", "A 39872-2025")</f>
        <v/>
      </c>
      <c r="Y55">
        <f>HYPERLINK("https://klasma.github.io/Logging_2181/klagomål/A 39872-2025 FSC-klagomål.docx", "A 39872-2025")</f>
        <v/>
      </c>
      <c r="Z55">
        <f>HYPERLINK("https://klasma.github.io/Logging_2181/klagomålsmail/A 39872-2025 FSC-klagomål mail.docx", "A 39872-2025")</f>
        <v/>
      </c>
      <c r="AA55">
        <f>HYPERLINK("https://klasma.github.io/Logging_2181/tillsyn/A 39872-2025 tillsynsbegäran.docx", "A 39872-2025")</f>
        <v/>
      </c>
      <c r="AB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46222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Dropptaggsvamp</t>
        </is>
      </c>
      <c r="V56">
        <f>HYPERLINK("https://klasma.github.io/Logging_2181/artfynd/A 39873-2025 artfynd.xlsx", "A 39873-2025")</f>
        <v/>
      </c>
      <c r="W56">
        <f>HYPERLINK("https://klasma.github.io/Logging_2181/kartor/A 39873-2025 karta.png", "A 39873-2025")</f>
        <v/>
      </c>
      <c r="Y56">
        <f>HYPERLINK("https://klasma.github.io/Logging_2181/klagomål/A 39873-2025 FSC-klagomål.docx", "A 39873-2025")</f>
        <v/>
      </c>
      <c r="Z56">
        <f>HYPERLINK("https://klasma.github.io/Logging_2181/klagomålsmail/A 39873-2025 FSC-klagomål mail.docx", "A 39873-2025")</f>
        <v/>
      </c>
      <c r="AA56">
        <f>HYPERLINK("https://klasma.github.io/Logging_2181/tillsyn/A 39873-2025 tillsynsbegäran.docx", "A 39873-2025")</f>
        <v/>
      </c>
      <c r="AB56">
        <f>HYPERLINK("https://klasma.github.io/Logging_2181/tillsynsmail/A 39873-2025 tillsynsbegäran mail.docx", "A 39873-2025")</f>
        <v/>
      </c>
    </row>
    <row r="57" ht="15" customHeight="1">
      <c r="A57" t="inlineStr">
        <is>
          <t>A 23289-2024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45453</v>
      </c>
      <c r="E57" s="1" t="n">
        <v>46222</v>
      </c>
      <c r="F57" t="inlineStr">
        <is>
          <t>GÄVLEBORGS LÄN</t>
        </is>
      </c>
      <c r="G57" t="inlineStr">
        <is>
          <t>SANDVIKEN</t>
        </is>
      </c>
      <c r="H57" t="inlineStr">
        <is>
          <t>Kyrkan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Skogsödla</t>
        </is>
      </c>
      <c r="V57">
        <f>HYPERLINK("https://klasma.github.io/Logging_2181/artfynd/A 23289-2024 artfynd.xlsx", "A 23289-2024")</f>
        <v/>
      </c>
      <c r="W57">
        <f>HYPERLINK("https://klasma.github.io/Logging_2181/kartor/A 23289-2024 karta.png", "A 23289-2024")</f>
        <v/>
      </c>
      <c r="Y57">
        <f>HYPERLINK("https://klasma.github.io/Logging_2181/klagomål/A 23289-2024 FSC-klagomål.docx", "A 23289-2024")</f>
        <v/>
      </c>
      <c r="Z57">
        <f>HYPERLINK("https://klasma.github.io/Logging_2181/klagomålsmail/A 23289-2024 FSC-klagomål mail.docx", "A 23289-2024")</f>
        <v/>
      </c>
      <c r="AA57">
        <f>HYPERLINK("https://klasma.github.io/Logging_2181/tillsyn/A 23289-2024 tillsynsbegäran.docx", "A 23289-2024")</f>
        <v/>
      </c>
      <c r="AB57">
        <f>HYPERLINK("https://klasma.github.io/Logging_2181/tillsynsmail/A 23289-2024 tillsynsbegäran mail.docx", "A 23289-2024")</f>
        <v/>
      </c>
    </row>
    <row r="58" ht="15" customHeight="1">
      <c r="A58" t="inlineStr">
        <is>
          <t>A 46610-2025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46222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16.3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HYPERLINK("https://klasma.github.io/Logging_2181/artfynd/A 46610-2025 artfynd.xlsx", "A 46610-2025")</f>
        <v/>
      </c>
      <c r="W58">
        <f>HYPERLINK("https://klasma.github.io/Logging_2181/kartor/A 46610-2025 karta.png", "A 46610-2025")</f>
        <v/>
      </c>
      <c r="Y58">
        <f>HYPERLINK("https://klasma.github.io/Logging_2181/klagomål/A 46610-2025 FSC-klagomål.docx", "A 46610-2025")</f>
        <v/>
      </c>
      <c r="Z58">
        <f>HYPERLINK("https://klasma.github.io/Logging_2181/klagomålsmail/A 46610-2025 FSC-klagomål mail.docx", "A 46610-2025")</f>
        <v/>
      </c>
      <c r="AA58">
        <f>HYPERLINK("https://klasma.github.io/Logging_2181/tillsyn/A 46610-2025 tillsynsbegäran.docx", "A 46610-2025")</f>
        <v/>
      </c>
      <c r="AB58">
        <f>HYPERLINK("https://klasma.github.io/Logging_2181/tillsynsmail/A 46610-2025 tillsynsbegäran mail.docx", "A 46610-2025")</f>
        <v/>
      </c>
    </row>
    <row r="59" ht="15" customHeight="1">
      <c r="A59" t="inlineStr">
        <is>
          <t>A 47174-2025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46222</v>
      </c>
      <c r="F59" t="inlineStr">
        <is>
          <t>GÄVLEBORGS LÄN</t>
        </is>
      </c>
      <c r="G59" t="inlineStr">
        <is>
          <t>SANDVIKEN</t>
        </is>
      </c>
      <c r="I59" t="n">
        <v>0.8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Garnlav</t>
        </is>
      </c>
      <c r="V59">
        <f>HYPERLINK("https://klasma.github.io/Logging_2181/artfynd/A 47174-2025 artfynd.xlsx", "A 47174-2025")</f>
        <v/>
      </c>
      <c r="W59">
        <f>HYPERLINK("https://klasma.github.io/Logging_2181/kartor/A 47174-2025 karta.png", "A 47174-2025")</f>
        <v/>
      </c>
      <c r="Y59">
        <f>HYPERLINK("https://klasma.github.io/Logging_2181/klagomål/A 47174-2025 FSC-klagomål.docx", "A 47174-2025")</f>
        <v/>
      </c>
      <c r="Z59">
        <f>HYPERLINK("https://klasma.github.io/Logging_2181/klagomålsmail/A 47174-2025 FSC-klagomål mail.docx", "A 47174-2025")</f>
        <v/>
      </c>
      <c r="AA59">
        <f>HYPERLINK("https://klasma.github.io/Logging_2181/tillsyn/A 47174-2025 tillsynsbegäran.docx", "A 47174-2025")</f>
        <v/>
      </c>
      <c r="AB59">
        <f>HYPERLINK("https://klasma.github.io/Logging_2181/tillsynsmail/A 47174-2025 tillsynsbegäran mail.docx", "A 47174-2025")</f>
        <v/>
      </c>
    </row>
    <row r="60" ht="15" customHeight="1">
      <c r="A60" t="inlineStr">
        <is>
          <t>A 36417-2025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45868</v>
      </c>
      <c r="E60" s="1" t="n">
        <v>46222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HYPERLINK("https://klasma.github.io/Logging_2181/artfynd/A 36417-2025 artfynd.xlsx", "A 36417-2025")</f>
        <v/>
      </c>
      <c r="W60">
        <f>HYPERLINK("https://klasma.github.io/Logging_2181/kartor/A 36417-2025 karta.png", "A 36417-2025")</f>
        <v/>
      </c>
      <c r="X60">
        <f>HYPERLINK("https://klasma.github.io/Logging_2181/knärot/A 36417-2025 karta knärot.png", "A 36417-2025")</f>
        <v/>
      </c>
      <c r="Y60">
        <f>HYPERLINK("https://klasma.github.io/Logging_2181/klagomål/A 36417-2025 FSC-klagomål.docx", "A 36417-2025")</f>
        <v/>
      </c>
      <c r="Z60">
        <f>HYPERLINK("https://klasma.github.io/Logging_2181/klagomålsmail/A 36417-2025 FSC-klagomål mail.docx", "A 36417-2025")</f>
        <v/>
      </c>
      <c r="AA60">
        <f>HYPERLINK("https://klasma.github.io/Logging_2181/tillsyn/A 36417-2025 tillsynsbegäran.docx", "A 36417-2025")</f>
        <v/>
      </c>
      <c r="AB60">
        <f>HYPERLINK("https://klasma.github.io/Logging_2181/tillsynsmail/A 36417-2025 tillsynsbegäran mail.docx", "A 36417-2025")</f>
        <v/>
      </c>
    </row>
    <row r="61" ht="15" customHeight="1">
      <c r="A61" t="inlineStr">
        <is>
          <t>A 48188-2025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46222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4.6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Talltita</t>
        </is>
      </c>
      <c r="V61">
        <f>HYPERLINK("https://klasma.github.io/Logging_2181/artfynd/A 48188-2025 artfynd.xlsx", "A 48188-2025")</f>
        <v/>
      </c>
      <c r="W61">
        <f>HYPERLINK("https://klasma.github.io/Logging_2181/kartor/A 48188-2025 karta.png", "A 48188-2025")</f>
        <v/>
      </c>
      <c r="Y61">
        <f>HYPERLINK("https://klasma.github.io/Logging_2181/klagomål/A 48188-2025 FSC-klagomål.docx", "A 48188-2025")</f>
        <v/>
      </c>
      <c r="Z61">
        <f>HYPERLINK("https://klasma.github.io/Logging_2181/klagomålsmail/A 48188-2025 FSC-klagomål mail.docx", "A 48188-2025")</f>
        <v/>
      </c>
      <c r="AA61">
        <f>HYPERLINK("https://klasma.github.io/Logging_2181/tillsyn/A 48188-2025 tillsynsbegäran.docx", "A 48188-2025")</f>
        <v/>
      </c>
      <c r="AB61">
        <f>HYPERLINK("https://klasma.github.io/Logging_2181/tillsynsmail/A 48188-2025 tillsynsbegäran mail.docx", "A 48188-2025")</f>
        <v/>
      </c>
      <c r="AC61">
        <f>HYPERLINK("https://klasma.github.io/Logging_2181/fåglar/A 48188-2025 prioriterade fågelarter.docx", "A 48188-2025")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46222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Brunklöver</t>
        </is>
      </c>
      <c r="V62">
        <f>HYPERLINK("https://klasma.github.io/Logging_2181/artfynd/A 7393-2026 artfynd.xlsx", "A 7393-2026")</f>
        <v/>
      </c>
      <c r="W62">
        <f>HYPERLINK("https://klasma.github.io/Logging_2181/kartor/A 7393-2026 karta.png", "A 7393-2026")</f>
        <v/>
      </c>
      <c r="Y62">
        <f>HYPERLINK("https://klasma.github.io/Logging_2181/klagomål/A 7393-2026 FSC-klagomål.docx", "A 7393-2026")</f>
        <v/>
      </c>
      <c r="Z62">
        <f>HYPERLINK("https://klasma.github.io/Logging_2181/klagomålsmail/A 7393-2026 FSC-klagomål mail.docx", "A 7393-2026")</f>
        <v/>
      </c>
      <c r="AA62">
        <f>HYPERLINK("https://klasma.github.io/Logging_2181/tillsyn/A 7393-2026 tillsynsbegäran.docx", "A 7393-2026")</f>
        <v/>
      </c>
      <c r="AB62">
        <f>HYPERLINK("https://klasma.github.io/Logging_2181/tillsynsmail/A 7393-2026 tillsynsbegäran mail.docx", "A 7393-2026")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46222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Brandticka</t>
        </is>
      </c>
      <c r="V63">
        <f>HYPERLINK("https://klasma.github.io/Logging_2181/artfynd/A 38350-2025 artfynd.xlsx", "A 38350-2025")</f>
        <v/>
      </c>
      <c r="W63">
        <f>HYPERLINK("https://klasma.github.io/Logging_2181/kartor/A 38350-2025 karta.png", "A 38350-2025")</f>
        <v/>
      </c>
      <c r="Y63">
        <f>HYPERLINK("https://klasma.github.io/Logging_2181/klagomål/A 38350-2025 FSC-klagomål.docx", "A 38350-2025")</f>
        <v/>
      </c>
      <c r="Z63">
        <f>HYPERLINK("https://klasma.github.io/Logging_2181/klagomålsmail/A 38350-2025 FSC-klagomål mail.docx", "A 38350-2025")</f>
        <v/>
      </c>
      <c r="AA63">
        <f>HYPERLINK("https://klasma.github.io/Logging_2181/tillsyn/A 38350-2025 tillsynsbegäran.docx", "A 38350-2025")</f>
        <v/>
      </c>
      <c r="AB63">
        <f>HYPERLINK("https://klasma.github.io/Logging_2181/tillsynsmail/A 38350-2025 tillsynsbegäran mail.docx", "A 38350-2025")</f>
        <v/>
      </c>
    </row>
    <row r="64" ht="15" customHeight="1">
      <c r="A64" t="inlineStr">
        <is>
          <t>A 9267-2026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46222</v>
      </c>
      <c r="F64" t="inlineStr">
        <is>
          <t>GÄVLEBORGS LÄN</t>
        </is>
      </c>
      <c r="G64" t="inlineStr">
        <is>
          <t>SANDVIKEN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Gullpudra</t>
        </is>
      </c>
      <c r="V64">
        <f>HYPERLINK("https://klasma.github.io/Logging_2181/artfynd/A 9267-2026 artfynd.xlsx", "A 9267-2026")</f>
        <v/>
      </c>
      <c r="W64">
        <f>HYPERLINK("https://klasma.github.io/Logging_2181/kartor/A 9267-2026 karta.png", "A 9267-2026")</f>
        <v/>
      </c>
      <c r="Y64">
        <f>HYPERLINK("https://klasma.github.io/Logging_2181/klagomål/A 9267-2026 FSC-klagomål.docx", "A 9267-2026")</f>
        <v/>
      </c>
      <c r="Z64">
        <f>HYPERLINK("https://klasma.github.io/Logging_2181/klagomålsmail/A 9267-2026 FSC-klagomål mail.docx", "A 9267-2026")</f>
        <v/>
      </c>
      <c r="AA64">
        <f>HYPERLINK("https://klasma.github.io/Logging_2181/tillsyn/A 9267-2026 tillsynsbegäran.docx", "A 9267-2026")</f>
        <v/>
      </c>
      <c r="AB64">
        <f>HYPERLINK("https://klasma.github.io/Logging_2181/tillsynsmail/A 9267-2026 tillsynsbegäran mail.docx", "A 9267-2026")</f>
        <v/>
      </c>
    </row>
    <row r="65" ht="15" customHeight="1">
      <c r="A65" t="inlineStr">
        <is>
          <t>A 12419-2025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45730</v>
      </c>
      <c r="E65" s="1" t="n">
        <v>46222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Månlåsbräken</t>
        </is>
      </c>
      <c r="V65">
        <f>HYPERLINK("https://klasma.github.io/Logging_2181/artfynd/A 12419-2025 artfynd.xlsx", "A 12419-2025")</f>
        <v/>
      </c>
      <c r="W65">
        <f>HYPERLINK("https://klasma.github.io/Logging_2181/kartor/A 12419-2025 karta.png", "A 12419-2025")</f>
        <v/>
      </c>
      <c r="Y65">
        <f>HYPERLINK("https://klasma.github.io/Logging_2181/klagomål/A 12419-2025 FSC-klagomål.docx", "A 12419-2025")</f>
        <v/>
      </c>
      <c r="Z65">
        <f>HYPERLINK("https://klasma.github.io/Logging_2181/klagomålsmail/A 12419-2025 FSC-klagomål mail.docx", "A 12419-2025")</f>
        <v/>
      </c>
      <c r="AA65">
        <f>HYPERLINK("https://klasma.github.io/Logging_2181/tillsyn/A 12419-2025 tillsynsbegäran.docx", "A 12419-2025")</f>
        <v/>
      </c>
      <c r="AB65">
        <f>HYPERLINK("https://klasma.github.io/Logging_2181/tillsynsmail/A 12419-2025 tillsynsbegäran mail.docx", "A 12419-2025")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46222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HYPERLINK("https://klasma.github.io/Logging_2181/artfynd/A 11784-2026 artfynd.xlsx", "A 11784-2026")</f>
        <v/>
      </c>
      <c r="W66">
        <f>HYPERLINK("https://klasma.github.io/Logging_2181/kartor/A 11784-2026 karta.png", "A 11784-2026")</f>
        <v/>
      </c>
      <c r="Y66">
        <f>HYPERLINK("https://klasma.github.io/Logging_2181/klagomål/A 11784-2026 FSC-klagomål.docx", "A 11784-2026")</f>
        <v/>
      </c>
      <c r="Z66">
        <f>HYPERLINK("https://klasma.github.io/Logging_2181/klagomålsmail/A 11784-2026 FSC-klagomål mail.docx", "A 11784-2026")</f>
        <v/>
      </c>
      <c r="AA66">
        <f>HYPERLINK("https://klasma.github.io/Logging_2181/tillsyn/A 11784-2026 tillsynsbegäran.docx", "A 11784-2026")</f>
        <v/>
      </c>
      <c r="AB66">
        <f>HYPERLINK("https://klasma.github.io/Logging_2181/tillsynsmail/A 11784-2026 tillsynsbegäran mail.docx", "A 11784-2026")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46222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Grönsiska</t>
        </is>
      </c>
      <c r="V67">
        <f>HYPERLINK("https://klasma.github.io/Logging_2181/artfynd/A 57934-2025 artfynd.xlsx", "A 57934-2025")</f>
        <v/>
      </c>
      <c r="W67">
        <f>HYPERLINK("https://klasma.github.io/Logging_2181/kartor/A 57934-2025 karta.png", "A 57934-2025")</f>
        <v/>
      </c>
      <c r="Y67">
        <f>HYPERLINK("https://klasma.github.io/Logging_2181/klagomål/A 57934-2025 FSC-klagomål.docx", "A 57934-2025")</f>
        <v/>
      </c>
      <c r="Z67">
        <f>HYPERLINK("https://klasma.github.io/Logging_2181/klagomålsmail/A 57934-2025 FSC-klagomål mail.docx", "A 57934-2025")</f>
        <v/>
      </c>
      <c r="AA67">
        <f>HYPERLINK("https://klasma.github.io/Logging_2181/tillsyn/A 57934-2025 tillsynsbegäran.docx", "A 57934-2025")</f>
        <v/>
      </c>
      <c r="AB67">
        <f>HYPERLINK("https://klasma.github.io/Logging_2181/tillsynsmail/A 57934-2025 tillsynsbegäran mail.docx", "A 57934-2025")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46222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Blåsippa</t>
        </is>
      </c>
      <c r="V68">
        <f>HYPERLINK("https://klasma.github.io/Logging_2181/artfynd/A 13135-2026 artfynd.xlsx", "A 13135-2026")</f>
        <v/>
      </c>
      <c r="W68">
        <f>HYPERLINK("https://klasma.github.io/Logging_2181/kartor/A 13135-2026 karta.png", "A 13135-2026")</f>
        <v/>
      </c>
      <c r="Y68">
        <f>HYPERLINK("https://klasma.github.io/Logging_2181/klagomål/A 13135-2026 FSC-klagomål.docx", "A 13135-2026")</f>
        <v/>
      </c>
      <c r="Z68">
        <f>HYPERLINK("https://klasma.github.io/Logging_2181/klagomålsmail/A 13135-2026 FSC-klagomål mail.docx", "A 13135-2026")</f>
        <v/>
      </c>
      <c r="AA68">
        <f>HYPERLINK("https://klasma.github.io/Logging_2181/tillsyn/A 13135-2026 tillsynsbegäran.docx", "A 13135-2026")</f>
        <v/>
      </c>
      <c r="AB68">
        <f>HYPERLINK("https://klasma.github.io/Logging_2181/tillsynsmail/A 13135-2026 tillsynsbegäran mail.docx", "A 13135-2026")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46222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Tjäder</t>
        </is>
      </c>
      <c r="V69">
        <f>HYPERLINK("https://klasma.github.io/Logging_2181/artfynd/A 13645-2026 artfynd.xlsx", "A 13645-2026")</f>
        <v/>
      </c>
      <c r="W69">
        <f>HYPERLINK("https://klasma.github.io/Logging_2181/kartor/A 13645-2026 karta.png", "A 13645-2026")</f>
        <v/>
      </c>
      <c r="Y69">
        <f>HYPERLINK("https://klasma.github.io/Logging_2181/klagomål/A 13645-2026 FSC-klagomål.docx", "A 13645-2026")</f>
        <v/>
      </c>
      <c r="Z69">
        <f>HYPERLINK("https://klasma.github.io/Logging_2181/klagomålsmail/A 13645-2026 FSC-klagomål mail.docx", "A 13645-2026")</f>
        <v/>
      </c>
      <c r="AA69">
        <f>HYPERLINK("https://klasma.github.io/Logging_2181/tillsyn/A 13645-2026 tillsynsbegäran.docx", "A 13645-2026")</f>
        <v/>
      </c>
      <c r="AB69">
        <f>HYPERLINK("https://klasma.github.io/Logging_2181/tillsynsmail/A 13645-2026 tillsynsbegäran mail.docx", "A 13645-2026")</f>
        <v/>
      </c>
      <c r="AC69">
        <f>HYPERLINK("https://klasma.github.io/Logging_2181/fåglar/A 13645-2026 prioriterade fågelarter.docx", "A 13645-2026")</f>
        <v/>
      </c>
    </row>
    <row r="70" ht="15" customHeight="1">
      <c r="A70" t="inlineStr">
        <is>
          <t>A 448-2026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46021</v>
      </c>
      <c r="E70" s="1" t="n">
        <v>46222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Dvärghäxört</t>
        </is>
      </c>
      <c r="V70">
        <f>HYPERLINK("https://klasma.github.io/Logging_2181/artfynd/A 448-2026 artfynd.xlsx", "A 448-2026")</f>
        <v/>
      </c>
      <c r="W70">
        <f>HYPERLINK("https://klasma.github.io/Logging_2181/kartor/A 448-2026 karta.png", "A 448-2026")</f>
        <v/>
      </c>
      <c r="Y70">
        <f>HYPERLINK("https://klasma.github.io/Logging_2181/klagomål/A 448-2026 FSC-klagomål.docx", "A 448-2026")</f>
        <v/>
      </c>
      <c r="Z70">
        <f>HYPERLINK("https://klasma.github.io/Logging_2181/klagomålsmail/A 448-2026 FSC-klagomål mail.docx", "A 448-2026")</f>
        <v/>
      </c>
      <c r="AA70">
        <f>HYPERLINK("https://klasma.github.io/Logging_2181/tillsyn/A 448-2026 tillsynsbegäran.docx", "A 448-2026")</f>
        <v/>
      </c>
      <c r="AB70">
        <f>HYPERLINK("https://klasma.github.io/Logging_2181/tillsynsmail/A 448-2026 tillsynsbegäran mail.docx", "A 448-2026")</f>
        <v/>
      </c>
    </row>
    <row r="71" ht="15" customHeight="1">
      <c r="A71" t="inlineStr">
        <is>
          <t>A 15121-2026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46222</v>
      </c>
      <c r="F71" t="inlineStr">
        <is>
          <t>GÄVLEBORGS LÄN</t>
        </is>
      </c>
      <c r="G71" t="inlineStr">
        <is>
          <t>SANDVIKEN</t>
        </is>
      </c>
      <c r="I71" t="n">
        <v>2.7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Brandticka</t>
        </is>
      </c>
      <c r="V71">
        <f>HYPERLINK("https://klasma.github.io/Logging_2181/artfynd/A 15121-2026 artfynd.xlsx", "A 15121-2026")</f>
        <v/>
      </c>
      <c r="W71">
        <f>HYPERLINK("https://klasma.github.io/Logging_2181/kartor/A 15121-2026 karta.png", "A 15121-2026")</f>
        <v/>
      </c>
      <c r="Y71">
        <f>HYPERLINK("https://klasma.github.io/Logging_2181/klagomål/A 15121-2026 FSC-klagomål.docx", "A 15121-2026")</f>
        <v/>
      </c>
      <c r="Z71">
        <f>HYPERLINK("https://klasma.github.io/Logging_2181/klagomålsmail/A 15121-2026 FSC-klagomål mail.docx", "A 15121-2026")</f>
        <v/>
      </c>
      <c r="AA71">
        <f>HYPERLINK("https://klasma.github.io/Logging_2181/tillsyn/A 15121-2026 tillsynsbegäran.docx", "A 15121-2026")</f>
        <v/>
      </c>
      <c r="AB71">
        <f>HYPERLINK("https://klasma.github.io/Logging_2181/tillsynsmail/A 15121-2026 tillsynsbegäran mail.docx", "A 15121-2026")</f>
        <v/>
      </c>
    </row>
    <row r="72" ht="15" customHeight="1">
      <c r="A72" t="inlineStr">
        <is>
          <t>A 14835-2026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46222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Höstlåsbräken</t>
        </is>
      </c>
      <c r="V72">
        <f>HYPERLINK("https://klasma.github.io/Logging_2181/artfynd/A 14835-2026 artfynd.xlsx", "A 14835-2026")</f>
        <v/>
      </c>
      <c r="W72">
        <f>HYPERLINK("https://klasma.github.io/Logging_2181/kartor/A 14835-2026 karta.png", "A 14835-2026")</f>
        <v/>
      </c>
      <c r="Y72">
        <f>HYPERLINK("https://klasma.github.io/Logging_2181/klagomål/A 14835-2026 FSC-klagomål.docx", "A 14835-2026")</f>
        <v/>
      </c>
      <c r="Z72">
        <f>HYPERLINK("https://klasma.github.io/Logging_2181/klagomålsmail/A 14835-2026 FSC-klagomål mail.docx", "A 14835-2026")</f>
        <v/>
      </c>
      <c r="AA72">
        <f>HYPERLINK("https://klasma.github.io/Logging_2181/tillsyn/A 14835-2026 tillsynsbegäran.docx", "A 14835-2026")</f>
        <v/>
      </c>
      <c r="AB72">
        <f>HYPERLINK("https://klasma.github.io/Logging_2181/tillsynsmail/A 14835-2026 tillsynsbegäran mail.docx", "A 14835-2026")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46222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Vanlig padda</t>
        </is>
      </c>
      <c r="V73">
        <f>HYPERLINK("https://klasma.github.io/Logging_2181/artfynd/A 1083-2026 artfynd.xlsx", "A 1083-2026")</f>
        <v/>
      </c>
      <c r="W73">
        <f>HYPERLINK("https://klasma.github.io/Logging_2181/kartor/A 1083-2026 karta.png", "A 1083-2026")</f>
        <v/>
      </c>
      <c r="Y73">
        <f>HYPERLINK("https://klasma.github.io/Logging_2181/klagomål/A 1083-2026 FSC-klagomål.docx", "A 1083-2026")</f>
        <v/>
      </c>
      <c r="Z73">
        <f>HYPERLINK("https://klasma.github.io/Logging_2181/klagomålsmail/A 1083-2026 FSC-klagomål mail.docx", "A 1083-2026")</f>
        <v/>
      </c>
      <c r="AA73">
        <f>HYPERLINK("https://klasma.github.io/Logging_2181/tillsyn/A 1083-2026 tillsynsbegäran.docx", "A 1083-2026")</f>
        <v/>
      </c>
      <c r="AB73">
        <f>HYPERLINK("https://klasma.github.io/Logging_2181/tillsynsmail/A 1083-2026 tillsynsbegäran mail.docx", "A 1083-2026")</f>
        <v/>
      </c>
    </row>
    <row r="74" ht="15" customHeight="1">
      <c r="A74" t="inlineStr">
        <is>
          <t>A 3316-2023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44949</v>
      </c>
      <c r="E74" s="1" t="n">
        <v>46222</v>
      </c>
      <c r="F74" t="inlineStr">
        <is>
          <t>GÄVLEBORGS LÄN</t>
        </is>
      </c>
      <c r="G74" t="inlineStr">
        <is>
          <t>SANDVIKEN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Orre</t>
        </is>
      </c>
      <c r="V74">
        <f>HYPERLINK("https://klasma.github.io/Logging_2181/artfynd/A 3316-2023 artfynd.xlsx", "A 3316-2023")</f>
        <v/>
      </c>
      <c r="W74">
        <f>HYPERLINK("https://klasma.github.io/Logging_2181/kartor/A 3316-2023 karta.png", "A 3316-2023")</f>
        <v/>
      </c>
      <c r="Y74">
        <f>HYPERLINK("https://klasma.github.io/Logging_2181/klagomål/A 3316-2023 FSC-klagomål.docx", "A 3316-2023")</f>
        <v/>
      </c>
      <c r="Z74">
        <f>HYPERLINK("https://klasma.github.io/Logging_2181/klagomålsmail/A 3316-2023 FSC-klagomål mail.docx", "A 3316-2023")</f>
        <v/>
      </c>
      <c r="AA74">
        <f>HYPERLINK("https://klasma.github.io/Logging_2181/tillsyn/A 3316-2023 tillsynsbegäran.docx", "A 3316-2023")</f>
        <v/>
      </c>
      <c r="AB74">
        <f>HYPERLINK("https://klasma.github.io/Logging_2181/tillsynsmail/A 3316-2023 tillsynsbegäran mail.docx", "A 3316-2023")</f>
        <v/>
      </c>
      <c r="AC74">
        <f>HYPERLINK("https://klasma.github.io/Logging_2181/fåglar/A 3316-2023 prioriterade fågelarter.docx", "A 3316-2023")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46222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Ekorrbär</t>
        </is>
      </c>
      <c r="V75">
        <f>HYPERLINK("https://klasma.github.io/Logging_2181/artfynd/A 22275-2024 artfynd.xlsx", "A 22275-2024")</f>
        <v/>
      </c>
      <c r="W75">
        <f>HYPERLINK("https://klasma.github.io/Logging_2181/kartor/A 22275-2024 karta.png", "A 22275-2024")</f>
        <v/>
      </c>
      <c r="Y75">
        <f>HYPERLINK("https://klasma.github.io/Logging_2181/klagomål/A 22275-2024 FSC-klagomål.docx", "A 22275-2024")</f>
        <v/>
      </c>
      <c r="Z75">
        <f>HYPERLINK("https://klasma.github.io/Logging_2181/klagomålsmail/A 22275-2024 FSC-klagomål mail.docx", "A 22275-2024")</f>
        <v/>
      </c>
      <c r="AA75">
        <f>HYPERLINK("https://klasma.github.io/Logging_2181/tillsyn/A 22275-2024 tillsynsbegäran.docx", "A 22275-2024")</f>
        <v/>
      </c>
      <c r="AB75">
        <f>HYPERLINK("https://klasma.github.io/Logging_2181/tillsynsmail/A 22275-2024 tillsynsbegäran mail.docx", "A 22275-2024")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46222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Vårärt</t>
        </is>
      </c>
      <c r="V76">
        <f>HYPERLINK("https://klasma.github.io/Logging_2181/artfynd/A 17062-2026 artfynd.xlsx", "A 17062-2026")</f>
        <v/>
      </c>
      <c r="W76">
        <f>HYPERLINK("https://klasma.github.io/Logging_2181/kartor/A 17062-2026 karta.png", "A 17062-2026")</f>
        <v/>
      </c>
      <c r="Y76">
        <f>HYPERLINK("https://klasma.github.io/Logging_2181/klagomål/A 17062-2026 FSC-klagomål.docx", "A 17062-2026")</f>
        <v/>
      </c>
      <c r="Z76">
        <f>HYPERLINK("https://klasma.github.io/Logging_2181/klagomålsmail/A 17062-2026 FSC-klagomål mail.docx", "A 17062-2026")</f>
        <v/>
      </c>
      <c r="AA76">
        <f>HYPERLINK("https://klasma.github.io/Logging_2181/tillsyn/A 17062-2026 tillsynsbegäran.docx", "A 17062-2026")</f>
        <v/>
      </c>
      <c r="AB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46222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Höstlåsbräken</t>
        </is>
      </c>
      <c r="V77">
        <f>HYPERLINK("https://klasma.github.io/Logging_2181/artfynd/A 17364-2026 artfynd.xlsx", "A 17364-2026")</f>
        <v/>
      </c>
      <c r="W77">
        <f>HYPERLINK("https://klasma.github.io/Logging_2181/kartor/A 17364-2026 karta.png", "A 17364-2026")</f>
        <v/>
      </c>
      <c r="Y77">
        <f>HYPERLINK("https://klasma.github.io/Logging_2181/klagomål/A 17364-2026 FSC-klagomål.docx", "A 17364-2026")</f>
        <v/>
      </c>
      <c r="Z77">
        <f>HYPERLINK("https://klasma.github.io/Logging_2181/klagomålsmail/A 17364-2026 FSC-klagomål mail.docx", "A 17364-2026")</f>
        <v/>
      </c>
      <c r="AA77">
        <f>HYPERLINK("https://klasma.github.io/Logging_2181/tillsyn/A 17364-2026 tillsynsbegäran.docx", "A 17364-2026")</f>
        <v/>
      </c>
      <c r="AB77">
        <f>HYPERLINK("https://klasma.github.io/Logging_2181/tillsynsmail/A 17364-2026 tillsynsbegäran mail.docx", "A 17364-2026")</f>
        <v/>
      </c>
    </row>
    <row r="78" ht="15" customHeight="1">
      <c r="A78" t="inlineStr">
        <is>
          <t>A 58845-2023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46222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Vanlig padda</t>
        </is>
      </c>
      <c r="V78">
        <f>HYPERLINK("https://klasma.github.io/Logging_2181/artfynd/A 58845-2023 artfynd.xlsx", "A 58845-2023")</f>
        <v/>
      </c>
      <c r="W78">
        <f>HYPERLINK("https://klasma.github.io/Logging_2181/kartor/A 58845-2023 karta.png", "A 58845-2023")</f>
        <v/>
      </c>
      <c r="Y78">
        <f>HYPERLINK("https://klasma.github.io/Logging_2181/klagomål/A 58845-2023 FSC-klagomål.docx", "A 58845-2023")</f>
        <v/>
      </c>
      <c r="Z78">
        <f>HYPERLINK("https://klasma.github.io/Logging_2181/klagomålsmail/A 58845-2023 FSC-klagomål mail.docx", "A 58845-2023")</f>
        <v/>
      </c>
      <c r="AA78">
        <f>HYPERLINK("https://klasma.github.io/Logging_2181/tillsyn/A 58845-2023 tillsynsbegäran.docx", "A 58845-2023")</f>
        <v/>
      </c>
      <c r="AB78">
        <f>HYPERLINK("https://klasma.github.io/Logging_2181/tillsynsmail/A 58845-2023 tillsynsbegäran mail.docx", "A 58845-2023")</f>
        <v/>
      </c>
    </row>
    <row r="79" ht="15" customHeight="1">
      <c r="A79" t="inlineStr">
        <is>
          <t>A 19272-2026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46133</v>
      </c>
      <c r="E79" s="1" t="n">
        <v>46222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9.4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HYPERLINK("https://klasma.github.io/Logging_2181/artfynd/A 19272-2026 artfynd.xlsx", "A 19272-2026")</f>
        <v/>
      </c>
      <c r="W79">
        <f>HYPERLINK("https://klasma.github.io/Logging_2181/kartor/A 19272-2026 karta.png", "A 19272-2026")</f>
        <v/>
      </c>
      <c r="Y79">
        <f>HYPERLINK("https://klasma.github.io/Logging_2181/klagomål/A 19272-2026 FSC-klagomål.docx", "A 19272-2026")</f>
        <v/>
      </c>
      <c r="Z79">
        <f>HYPERLINK("https://klasma.github.io/Logging_2181/klagomålsmail/A 19272-2026 FSC-klagomål mail.docx", "A 19272-2026")</f>
        <v/>
      </c>
      <c r="AA79">
        <f>HYPERLINK("https://klasma.github.io/Logging_2181/tillsyn/A 19272-2026 tillsynsbegäran.docx", "A 19272-2026")</f>
        <v/>
      </c>
      <c r="AB79">
        <f>HYPERLINK("https://klasma.github.io/Logging_2181/tillsynsmail/A 19272-2026 tillsynsbegäran mail.docx", "A 19272-2026")</f>
        <v/>
      </c>
    </row>
    <row r="80" ht="15" customHeight="1">
      <c r="A80" t="inlineStr">
        <is>
          <t>A 42115-2023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46222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2.4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Talltita</t>
        </is>
      </c>
      <c r="V80">
        <f>HYPERLINK("https://klasma.github.io/Logging_2181/artfynd/A 42115-2023 artfynd.xlsx", "A 42115-2023")</f>
        <v/>
      </c>
      <c r="W80">
        <f>HYPERLINK("https://klasma.github.io/Logging_2181/kartor/A 42115-2023 karta.png", "A 42115-2023")</f>
        <v/>
      </c>
      <c r="Y80">
        <f>HYPERLINK("https://klasma.github.io/Logging_2181/klagomål/A 42115-2023 FSC-klagomål.docx", "A 42115-2023")</f>
        <v/>
      </c>
      <c r="Z80">
        <f>HYPERLINK("https://klasma.github.io/Logging_2181/klagomålsmail/A 42115-2023 FSC-klagomål mail.docx", "A 42115-2023")</f>
        <v/>
      </c>
      <c r="AA80">
        <f>HYPERLINK("https://klasma.github.io/Logging_2181/tillsyn/A 42115-2023 tillsynsbegäran.docx", "A 42115-2023")</f>
        <v/>
      </c>
      <c r="AB80">
        <f>HYPERLINK("https://klasma.github.io/Logging_2181/tillsynsmail/A 42115-2023 tillsynsbegäran mail.docx", "A 42115-2023")</f>
        <v/>
      </c>
      <c r="AC80">
        <f>HYPERLINK("https://klasma.github.io/Logging_2181/fåglar/A 42115-2023 prioriterade fågelarter.docx", "A 42115-2023")</f>
        <v/>
      </c>
    </row>
    <row r="81" ht="15" customHeight="1">
      <c r="A81" t="inlineStr">
        <is>
          <t>A 26212-2026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46222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Knärot</t>
        </is>
      </c>
      <c r="V81">
        <f>HYPERLINK("https://klasma.github.io/Logging_2181/artfynd/A 26212-2026 artfynd.xlsx", "A 26212-2026")</f>
        <v/>
      </c>
      <c r="W81">
        <f>HYPERLINK("https://klasma.github.io/Logging_2181/kartor/A 26212-2026 karta.png", "A 26212-2026")</f>
        <v/>
      </c>
      <c r="X81">
        <f>HYPERLINK("https://klasma.github.io/Logging_2181/knärot/A 26212-2026 karta knärot.png", "A 26212-2026")</f>
        <v/>
      </c>
      <c r="Y81">
        <f>HYPERLINK("https://klasma.github.io/Logging_2181/klagomål/A 26212-2026 FSC-klagomål.docx", "A 26212-2026")</f>
        <v/>
      </c>
      <c r="Z81">
        <f>HYPERLINK("https://klasma.github.io/Logging_2181/klagomålsmail/A 26212-2026 FSC-klagomål mail.docx", "A 26212-2026")</f>
        <v/>
      </c>
      <c r="AA81">
        <f>HYPERLINK("https://klasma.github.io/Logging_2181/tillsyn/A 26212-2026 tillsynsbegäran.docx", "A 26212-2026")</f>
        <v/>
      </c>
      <c r="AB81">
        <f>HYPERLINK("https://klasma.github.io/Logging_2181/tillsynsmail/A 26212-2026 tillsynsbegäran mail.docx", "A 26212-2026")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46222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Mattlummer</t>
        </is>
      </c>
      <c r="V82">
        <f>HYPERLINK("https://klasma.github.io/Logging_2181/artfynd/A 45427-2023 artfynd.xlsx", "A 45427-2023")</f>
        <v/>
      </c>
      <c r="W82">
        <f>HYPERLINK("https://klasma.github.io/Logging_2181/kartor/A 45427-2023 karta.png", "A 45427-2023")</f>
        <v/>
      </c>
      <c r="Y82">
        <f>HYPERLINK("https://klasma.github.io/Logging_2181/klagomål/A 45427-2023 FSC-klagomål.docx", "A 45427-2023")</f>
        <v/>
      </c>
      <c r="Z82">
        <f>HYPERLINK("https://klasma.github.io/Logging_2181/klagomålsmail/A 45427-2023 FSC-klagomål mail.docx", "A 45427-2023")</f>
        <v/>
      </c>
      <c r="AA82">
        <f>HYPERLINK("https://klasma.github.io/Logging_2181/tillsyn/A 45427-2023 tillsynsbegäran.docx", "A 45427-2023")</f>
        <v/>
      </c>
      <c r="AB82">
        <f>HYPERLINK("https://klasma.github.io/Logging_2181/tillsynsmail/A 45427-2023 tillsynsbegäran mail.docx", "A 45427-2023")</f>
        <v/>
      </c>
    </row>
    <row r="83" ht="15" customHeight="1">
      <c r="A83" t="inlineStr">
        <is>
          <t>A 4324-2026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46222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11.2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Järpe</t>
        </is>
      </c>
      <c r="V83">
        <f>HYPERLINK("https://klasma.github.io/Logging_2181/artfynd/A 4324-2026 artfynd.xlsx", "A 4324-2026")</f>
        <v/>
      </c>
      <c r="W83">
        <f>HYPERLINK("https://klasma.github.io/Logging_2181/kartor/A 4324-2026 karta.png", "A 4324-2026")</f>
        <v/>
      </c>
      <c r="Y83">
        <f>HYPERLINK("https://klasma.github.io/Logging_2181/klagomål/A 4324-2026 FSC-klagomål.docx", "A 4324-2026")</f>
        <v/>
      </c>
      <c r="Z83">
        <f>HYPERLINK("https://klasma.github.io/Logging_2181/klagomålsmail/A 4324-2026 FSC-klagomål mail.docx", "A 4324-2026")</f>
        <v/>
      </c>
      <c r="AA83">
        <f>HYPERLINK("https://klasma.github.io/Logging_2181/tillsyn/A 4324-2026 tillsynsbegäran.docx", "A 4324-2026")</f>
        <v/>
      </c>
      <c r="AB83">
        <f>HYPERLINK("https://klasma.github.io/Logging_2181/tillsynsmail/A 4324-2026 tillsynsbegäran mail.docx", "A 4324-2026")</f>
        <v/>
      </c>
      <c r="AC83">
        <f>HYPERLINK("https://klasma.github.io/Logging_2181/fåglar/A 4324-2026 prioriterade fågelarter.docx", "A 4324-2026")</f>
        <v/>
      </c>
    </row>
    <row r="84" ht="15" customHeight="1">
      <c r="A84" t="inlineStr">
        <is>
          <t>A 15729-2022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44663</v>
      </c>
      <c r="E84" s="1" t="n">
        <v>46222</v>
      </c>
      <c r="F84" t="inlineStr">
        <is>
          <t>GÄVLEBORGS LÄN</t>
        </is>
      </c>
      <c r="G84" t="inlineStr">
        <is>
          <t>SANDVIKEN</t>
        </is>
      </c>
      <c r="I84" t="n">
        <v>2.1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Knärot</t>
        </is>
      </c>
      <c r="V84">
        <f>HYPERLINK("https://klasma.github.io/Logging_2181/artfynd/A 15729-2022 artfynd.xlsx", "A 15729-2022")</f>
        <v/>
      </c>
      <c r="W84">
        <f>HYPERLINK("https://klasma.github.io/Logging_2181/kartor/A 15729-2022 karta.png", "A 15729-2022")</f>
        <v/>
      </c>
      <c r="X84">
        <f>HYPERLINK("https://klasma.github.io/Logging_2181/knärot/A 15729-2022 karta knärot.png", "A 15729-2022")</f>
        <v/>
      </c>
      <c r="Y84">
        <f>HYPERLINK("https://klasma.github.io/Logging_2181/klagomål/A 15729-2022 FSC-klagomål.docx", "A 15729-2022")</f>
        <v/>
      </c>
      <c r="Z84">
        <f>HYPERLINK("https://klasma.github.io/Logging_2181/klagomålsmail/A 15729-2022 FSC-klagomål mail.docx", "A 15729-2022")</f>
        <v/>
      </c>
      <c r="AA84">
        <f>HYPERLINK("https://klasma.github.io/Logging_2181/tillsyn/A 15729-2022 tillsynsbegäran.docx", "A 15729-2022")</f>
        <v/>
      </c>
      <c r="AB84">
        <f>HYPERLINK("https://klasma.github.io/Logging_2181/tillsynsmail/A 15729-2022 tillsynsbegäran mail.docx", "A 15729-2022")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46222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Svartvit flugsnappare</t>
        </is>
      </c>
      <c r="V85">
        <f>HYPERLINK("https://klasma.github.io/Logging_2181/artfynd/A 6972-2026 artfynd.xlsx", "A 6972-2026")</f>
        <v/>
      </c>
      <c r="W85">
        <f>HYPERLINK("https://klasma.github.io/Logging_2181/kartor/A 6972-2026 karta.png", "A 6972-2026")</f>
        <v/>
      </c>
      <c r="Y85">
        <f>HYPERLINK("https://klasma.github.io/Logging_2181/klagomål/A 6972-2026 FSC-klagomål.docx", "A 6972-2026")</f>
        <v/>
      </c>
      <c r="Z85">
        <f>HYPERLINK("https://klasma.github.io/Logging_2181/klagomålsmail/A 6972-2026 FSC-klagomål mail.docx", "A 6972-2026")</f>
        <v/>
      </c>
      <c r="AA85">
        <f>HYPERLINK("https://klasma.github.io/Logging_2181/tillsyn/A 6972-2026 tillsynsbegäran.docx", "A 6972-2026")</f>
        <v/>
      </c>
      <c r="AB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46222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Skogsklocka</t>
        </is>
      </c>
      <c r="V86">
        <f>HYPERLINK("https://klasma.github.io/Logging_2181/artfynd/A 41349-2025 artfynd.xlsx", "A 41349-2025")</f>
        <v/>
      </c>
      <c r="W86">
        <f>HYPERLINK("https://klasma.github.io/Logging_2181/kartor/A 41349-2025 karta.png", "A 41349-2025")</f>
        <v/>
      </c>
      <c r="Y86">
        <f>HYPERLINK("https://klasma.github.io/Logging_2181/klagomål/A 41349-2025 FSC-klagomål.docx", "A 41349-2025")</f>
        <v/>
      </c>
      <c r="Z86">
        <f>HYPERLINK("https://klasma.github.io/Logging_2181/klagomålsmail/A 41349-2025 FSC-klagomål mail.docx", "A 41349-2025")</f>
        <v/>
      </c>
      <c r="AA86">
        <f>HYPERLINK("https://klasma.github.io/Logging_2181/tillsyn/A 41349-2025 tillsynsbegäran.docx", "A 41349-2025")</f>
        <v/>
      </c>
      <c r="AB86">
        <f>HYPERLINK("https://klasma.github.io/Logging_2181/tillsynsmail/A 41349-2025 tillsynsbegäran mail.docx", "A 41349-2025")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46222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Kungsfågel</t>
        </is>
      </c>
      <c r="V87">
        <f>HYPERLINK("https://klasma.github.io/Logging_2181/artfynd/A 27207-2026 artfynd.xlsx", "A 27207-2026")</f>
        <v/>
      </c>
      <c r="W87">
        <f>HYPERLINK("https://klasma.github.io/Logging_2181/kartor/A 27207-2026 karta.png", "A 27207-2026")</f>
        <v/>
      </c>
      <c r="Y87">
        <f>HYPERLINK("https://klasma.github.io/Logging_2181/klagomål/A 27207-2026 FSC-klagomål.docx", "A 27207-2026")</f>
        <v/>
      </c>
      <c r="Z87">
        <f>HYPERLINK("https://klasma.github.io/Logging_2181/klagomålsmail/A 27207-2026 FSC-klagomål mail.docx", "A 27207-2026")</f>
        <v/>
      </c>
      <c r="AA87">
        <f>HYPERLINK("https://klasma.github.io/Logging_2181/tillsyn/A 27207-2026 tillsynsbegäran.docx", "A 27207-2026")</f>
        <v/>
      </c>
      <c r="AB87">
        <f>HYPERLINK("https://klasma.github.io/Logging_2181/tillsynsmail/A 27207-2026 tillsynsbegäran mail.docx", "A 27207-2026")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46222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Svartvit flugsnappare</t>
        </is>
      </c>
      <c r="V88">
        <f>HYPERLINK("https://klasma.github.io/Logging_2181/artfynd/A 21532-2026 artfynd.xlsx", "A 21532-2026")</f>
        <v/>
      </c>
      <c r="W88">
        <f>HYPERLINK("https://klasma.github.io/Logging_2181/kartor/A 21532-2026 karta.png", "A 21532-2026")</f>
        <v/>
      </c>
      <c r="Y88">
        <f>HYPERLINK("https://klasma.github.io/Logging_2181/klagomål/A 21532-2026 FSC-klagomål.docx", "A 21532-2026")</f>
        <v/>
      </c>
      <c r="Z88">
        <f>HYPERLINK("https://klasma.github.io/Logging_2181/klagomålsmail/A 21532-2026 FSC-klagomål mail.docx", "A 21532-2026")</f>
        <v/>
      </c>
      <c r="AA88">
        <f>HYPERLINK("https://klasma.github.io/Logging_2181/tillsyn/A 21532-2026 tillsynsbegäran.docx", "A 21532-2026")</f>
        <v/>
      </c>
      <c r="AB88">
        <f>HYPERLINK("https://klasma.github.io/Logging_2181/tillsynsmail/A 21532-2026 tillsynsbegäran mail.docx", "A 21532-2026")</f>
        <v/>
      </c>
    </row>
    <row r="89" ht="15" customHeight="1">
      <c r="A89" t="inlineStr">
        <is>
          <t>A 29111-2026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46201</v>
      </c>
      <c r="E89" s="1" t="n">
        <v>46222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4.1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Tallticka</t>
        </is>
      </c>
      <c r="V89">
        <f>HYPERLINK("https://klasma.github.io/Logging_2181/artfynd/A 29111-2026 artfynd.xlsx", "A 29111-2026")</f>
        <v/>
      </c>
      <c r="W89">
        <f>HYPERLINK("https://klasma.github.io/Logging_2181/kartor/A 29111-2026 karta.png", "A 29111-2026")</f>
        <v/>
      </c>
      <c r="Y89">
        <f>HYPERLINK("https://klasma.github.io/Logging_2181/klagomål/A 29111-2026 FSC-klagomål.docx", "A 29111-2026")</f>
        <v/>
      </c>
      <c r="Z89">
        <f>HYPERLINK("https://klasma.github.io/Logging_2181/klagomålsmail/A 29111-2026 FSC-klagomål mail.docx", "A 29111-2026")</f>
        <v/>
      </c>
      <c r="AA89">
        <f>HYPERLINK("https://klasma.github.io/Logging_2181/tillsyn/A 29111-2026 tillsynsbegäran.docx", "A 29111-2026")</f>
        <v/>
      </c>
      <c r="AB89">
        <f>HYPERLINK("https://klasma.github.io/Logging_2181/tillsynsmail/A 29111-2026 tillsynsbegäran mail.docx", "A 29111-2026")</f>
        <v/>
      </c>
    </row>
    <row r="90" ht="15" customHeight="1">
      <c r="A90" t="inlineStr">
        <is>
          <t>A 23225-2026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46222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Rödvingetrast</t>
        </is>
      </c>
      <c r="V90">
        <f>HYPERLINK("https://klasma.github.io/Logging_2181/artfynd/A 23225-2026 artfynd.xlsx", "A 23225-2026")</f>
        <v/>
      </c>
      <c r="W90">
        <f>HYPERLINK("https://klasma.github.io/Logging_2181/kartor/A 23225-2026 karta.png", "A 23225-2026")</f>
        <v/>
      </c>
      <c r="Y90">
        <f>HYPERLINK("https://klasma.github.io/Logging_2181/klagomål/A 23225-2026 FSC-klagomål.docx", "A 23225-2026")</f>
        <v/>
      </c>
      <c r="Z90">
        <f>HYPERLINK("https://klasma.github.io/Logging_2181/klagomålsmail/A 23225-2026 FSC-klagomål mail.docx", "A 23225-2026")</f>
        <v/>
      </c>
      <c r="AA90">
        <f>HYPERLINK("https://klasma.github.io/Logging_2181/tillsyn/A 23225-2026 tillsynsbegäran.docx", "A 23225-2026")</f>
        <v/>
      </c>
      <c r="AB90">
        <f>HYPERLINK("https://klasma.github.io/Logging_2181/tillsynsmail/A 23225-2026 tillsynsbegäran mail.docx", "A 23225-2026")</f>
        <v/>
      </c>
      <c r="AC90">
        <f>HYPERLINK("https://klasma.github.io/Logging_2181/fåglar/A 23225-2026 prioriterade fågelarter.docx", "A 23225-2026")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46222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Svedjenäva</t>
        </is>
      </c>
      <c r="V91">
        <f>HYPERLINK("https://klasma.github.io/Logging_2181/artfynd/A 24171-2026 artfynd.xlsx", "A 24171-2026")</f>
        <v/>
      </c>
      <c r="W91">
        <f>HYPERLINK("https://klasma.github.io/Logging_2181/kartor/A 24171-2026 karta.png", "A 24171-2026")</f>
        <v/>
      </c>
      <c r="Y91">
        <f>HYPERLINK("https://klasma.github.io/Logging_2181/klagomål/A 24171-2026 FSC-klagomål.docx", "A 24171-2026")</f>
        <v/>
      </c>
      <c r="Z91">
        <f>HYPERLINK("https://klasma.github.io/Logging_2181/klagomålsmail/A 24171-2026 FSC-klagomål mail.docx", "A 24171-2026")</f>
        <v/>
      </c>
      <c r="AA91">
        <f>HYPERLINK("https://klasma.github.io/Logging_2181/tillsyn/A 24171-2026 tillsynsbegäran.docx", "A 24171-2026")</f>
        <v/>
      </c>
      <c r="AB91">
        <f>HYPERLINK("https://klasma.github.io/Logging_2181/tillsynsmail/A 24171-2026 tillsynsbegäran mail.docx", "A 24171-2026")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46222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Slåtterfibbla</t>
        </is>
      </c>
      <c r="V92">
        <f>HYPERLINK("https://klasma.github.io/Logging_2181/artfynd/A 5015-2023 artfynd.xlsx", "A 5015-2023")</f>
        <v/>
      </c>
      <c r="W92">
        <f>HYPERLINK("https://klasma.github.io/Logging_2181/kartor/A 5015-2023 karta.png", "A 5015-2023")</f>
        <v/>
      </c>
      <c r="Y92">
        <f>HYPERLINK("https://klasma.github.io/Logging_2181/klagomål/A 5015-2023 FSC-klagomål.docx", "A 5015-2023")</f>
        <v/>
      </c>
      <c r="Z92">
        <f>HYPERLINK("https://klasma.github.io/Logging_2181/klagomålsmail/A 5015-2023 FSC-klagomål mail.docx", "A 5015-2023")</f>
        <v/>
      </c>
      <c r="AA92">
        <f>HYPERLINK("https://klasma.github.io/Logging_2181/tillsyn/A 5015-2023 tillsynsbegäran.docx", "A 5015-2023")</f>
        <v/>
      </c>
      <c r="AB92">
        <f>HYPERLINK("https://klasma.github.io/Logging_2181/tillsynsmail/A 5015-2023 tillsynsbegäran mail.docx", "A 5015-2023")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46222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Plattlummer</t>
        </is>
      </c>
      <c r="V93">
        <f>HYPERLINK("https://klasma.github.io/Logging_2181/artfynd/A 24357-2026 artfynd.xlsx", "A 24357-2026")</f>
        <v/>
      </c>
      <c r="W93">
        <f>HYPERLINK("https://klasma.github.io/Logging_2181/kartor/A 24357-2026 karta.png", "A 24357-2026")</f>
        <v/>
      </c>
      <c r="Y93">
        <f>HYPERLINK("https://klasma.github.io/Logging_2181/klagomål/A 24357-2026 FSC-klagomål.docx", "A 24357-2026")</f>
        <v/>
      </c>
      <c r="Z93">
        <f>HYPERLINK("https://klasma.github.io/Logging_2181/klagomålsmail/A 24357-2026 FSC-klagomål mail.docx", "A 24357-2026")</f>
        <v/>
      </c>
      <c r="AA93">
        <f>HYPERLINK("https://klasma.github.io/Logging_2181/tillsyn/A 24357-2026 tillsynsbegäran.docx", "A 24357-2026")</f>
        <v/>
      </c>
      <c r="AB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46222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Skinnlav</t>
        </is>
      </c>
      <c r="V94">
        <f>HYPERLINK("https://klasma.github.io/Logging_2181/artfynd/A 25247-2026 artfynd.xlsx", "A 25247-2026")</f>
        <v/>
      </c>
      <c r="W94">
        <f>HYPERLINK("https://klasma.github.io/Logging_2181/kartor/A 25247-2026 karta.png", "A 25247-2026")</f>
        <v/>
      </c>
      <c r="Y94">
        <f>HYPERLINK("https://klasma.github.io/Logging_2181/klagomål/A 25247-2026 FSC-klagomål.docx", "A 25247-2026")</f>
        <v/>
      </c>
      <c r="Z94">
        <f>HYPERLINK("https://klasma.github.io/Logging_2181/klagomålsmail/A 25247-2026 FSC-klagomål mail.docx", "A 25247-2026")</f>
        <v/>
      </c>
      <c r="AA94">
        <f>HYPERLINK("https://klasma.github.io/Logging_2181/tillsyn/A 25247-2026 tillsynsbegäran.docx", "A 25247-2026")</f>
        <v/>
      </c>
      <c r="AB94">
        <f>HYPERLINK("https://klasma.github.io/Logging_2181/tillsynsmail/A 25247-2026 tillsynsbegäran mail.docx", "A 25247-2026")</f>
        <v/>
      </c>
    </row>
    <row r="95" ht="15" customHeight="1">
      <c r="A95" t="inlineStr">
        <is>
          <t>A 25479-2023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46222</v>
      </c>
      <c r="F95" t="inlineStr">
        <is>
          <t>GÄVLEBORGS LÄN</t>
        </is>
      </c>
      <c r="G95" t="inlineStr">
        <is>
          <t>SANDVIKEN</t>
        </is>
      </c>
      <c r="I95" t="n">
        <v>4.1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Grönpyrola</t>
        </is>
      </c>
      <c r="V95">
        <f>HYPERLINK("https://klasma.github.io/Logging_2181/artfynd/A 25479-2023 artfynd.xlsx", "A 25479-2023")</f>
        <v/>
      </c>
      <c r="W95">
        <f>HYPERLINK("https://klasma.github.io/Logging_2181/kartor/A 25479-2023 karta.png", "A 25479-2023")</f>
        <v/>
      </c>
      <c r="Y95">
        <f>HYPERLINK("https://klasma.github.io/Logging_2181/klagomål/A 25479-2023 FSC-klagomål.docx", "A 25479-2023")</f>
        <v/>
      </c>
      <c r="Z95">
        <f>HYPERLINK("https://klasma.github.io/Logging_2181/klagomålsmail/A 25479-2023 FSC-klagomål mail.docx", "A 25479-2023")</f>
        <v/>
      </c>
      <c r="AA95">
        <f>HYPERLINK("https://klasma.github.io/Logging_2181/tillsyn/A 25479-2023 tillsynsbegäran.docx", "A 25479-2023")</f>
        <v/>
      </c>
      <c r="AB95">
        <f>HYPERLINK("https://klasma.github.io/Logging_2181/tillsynsmail/A 25479-2023 tillsynsbegäran mail.docx", "A 25479-2023")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46222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Vanlig padda</t>
        </is>
      </c>
      <c r="V96">
        <f>HYPERLINK("https://klasma.github.io/Logging_2181/artfynd/A 31311-2026 artfynd.xlsx", "A 31311-2026")</f>
        <v/>
      </c>
      <c r="W96">
        <f>HYPERLINK("https://klasma.github.io/Logging_2181/kartor/A 31311-2026 karta.png", "A 31311-2026")</f>
        <v/>
      </c>
      <c r="Y96">
        <f>HYPERLINK("https://klasma.github.io/Logging_2181/klagomål/A 31311-2026 FSC-klagomål.docx", "A 31311-2026")</f>
        <v/>
      </c>
      <c r="Z96">
        <f>HYPERLINK("https://klasma.github.io/Logging_2181/klagomålsmail/A 31311-2026 FSC-klagomål mail.docx", "A 31311-2026")</f>
        <v/>
      </c>
      <c r="AA96">
        <f>HYPERLINK("https://klasma.github.io/Logging_2181/tillsyn/A 31311-2026 tillsynsbegäran.docx", "A 31311-2026")</f>
        <v/>
      </c>
      <c r="AB96">
        <f>HYPERLINK("https://klasma.github.io/Logging_2181/tillsynsmail/A 31311-2026 tillsynsbegäran mail.docx", "A 31311-2026")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46222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s="2" t="inlineStr">
        <is>
          <t>Plattlummer</t>
        </is>
      </c>
      <c r="V97">
        <f>HYPERLINK("https://klasma.github.io/Logging_2181/artfynd/A 25323-2025 artfynd.xlsx", "A 25323-2025")</f>
        <v/>
      </c>
      <c r="W97">
        <f>HYPERLINK("https://klasma.github.io/Logging_2181/kartor/A 25323-2025 karta.png", "A 25323-2025")</f>
        <v/>
      </c>
      <c r="Y97">
        <f>HYPERLINK("https://klasma.github.io/Logging_2181/klagomål/A 25323-2025 FSC-klagomål.docx", "A 25323-2025")</f>
        <v/>
      </c>
      <c r="Z97">
        <f>HYPERLINK("https://klasma.github.io/Logging_2181/klagomålsmail/A 25323-2025 FSC-klagomål mail.docx", "A 25323-2025")</f>
        <v/>
      </c>
      <c r="AA97">
        <f>HYPERLINK("https://klasma.github.io/Logging_2181/tillsyn/A 25323-2025 tillsynsbegäran.docx", "A 25323-2025")</f>
        <v/>
      </c>
      <c r="AB97">
        <f>HYPERLINK("https://klasma.github.io/Logging_2181/tillsynsmail/A 25323-2025 tillsynsbegäran mail.docx", "A 25323-2025")</f>
        <v/>
      </c>
    </row>
    <row r="98" ht="15" customHeight="1">
      <c r="A98" t="inlineStr">
        <is>
          <t>A 25314-2025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46222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Garnlav</t>
        </is>
      </c>
      <c r="V98">
        <f>HYPERLINK("https://klasma.github.io/Logging_2181/artfynd/A 25314-2025 artfynd.xlsx", "A 25314-2025")</f>
        <v/>
      </c>
      <c r="W98">
        <f>HYPERLINK("https://klasma.github.io/Logging_2181/kartor/A 25314-2025 karta.png", "A 25314-2025")</f>
        <v/>
      </c>
      <c r="Y98">
        <f>HYPERLINK("https://klasma.github.io/Logging_2181/klagomål/A 25314-2025 FSC-klagomål.docx", "A 25314-2025")</f>
        <v/>
      </c>
      <c r="Z98">
        <f>HYPERLINK("https://klasma.github.io/Logging_2181/klagomålsmail/A 25314-2025 FSC-klagomål mail.docx", "A 25314-2025")</f>
        <v/>
      </c>
      <c r="AA98">
        <f>HYPERLINK("https://klasma.github.io/Logging_2181/tillsyn/A 25314-2025 tillsynsbegäran.docx", "A 25314-2025")</f>
        <v/>
      </c>
      <c r="AB98">
        <f>HYPERLINK("https://klasma.github.io/Logging_2181/tillsynsmail/A 25314-2025 tillsynsbegäran mail.docx", "A 25314-2025")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46222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s="2" t="inlineStr">
        <is>
          <t>Fläcknycklar</t>
        </is>
      </c>
      <c r="V99">
        <f>HYPERLINK("https://klasma.github.io/Logging_2181/artfynd/S 504-2025 artfynd.xlsx", "S 504-2025")</f>
        <v/>
      </c>
      <c r="W99">
        <f>HYPERLINK("https://klasma.github.io/Logging_2181/kartor/S 504-2025 karta.png", "S 504-2025")</f>
        <v/>
      </c>
      <c r="Y99">
        <f>HYPERLINK("https://klasma.github.io/Logging_2181/klagomål/S 504-2025 FSC-klagomål.docx", "S 504-2025")</f>
        <v/>
      </c>
      <c r="Z99">
        <f>HYPERLINK("https://klasma.github.io/Logging_2181/klagomålsmail/S 504-2025 FSC-klagomål mail.docx", "S 504-2025")</f>
        <v/>
      </c>
      <c r="AA99">
        <f>HYPERLINK("https://klasma.github.io/Logging_2181/tillsyn/S 504-2025 tillsynsbegäran.docx", "S 504-2025")</f>
        <v/>
      </c>
      <c r="AB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46222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Bivråk</t>
        </is>
      </c>
      <c r="V100">
        <f>HYPERLINK("https://klasma.github.io/Logging_2181/artfynd/S 242-2024 artfynd.xlsx", "S 242-2024")</f>
        <v/>
      </c>
      <c r="W100">
        <f>HYPERLINK("https://klasma.github.io/Logging_2181/kartor/S 242-2024 karta.png", "S 242-2024")</f>
        <v/>
      </c>
      <c r="Y100">
        <f>HYPERLINK("https://klasma.github.io/Logging_2181/klagomål/S 242-2024 FSC-klagomål.docx", "S 242-2024")</f>
        <v/>
      </c>
      <c r="Z100">
        <f>HYPERLINK("https://klasma.github.io/Logging_2181/klagomålsmail/S 242-2024 FSC-klagomål mail.docx", "S 242-2024")</f>
        <v/>
      </c>
      <c r="AA100">
        <f>HYPERLINK("https://klasma.github.io/Logging_2181/tillsyn/S 242-2024 tillsynsbegäran.docx", "S 242-2024")</f>
        <v/>
      </c>
      <c r="AB100">
        <f>HYPERLINK("https://klasma.github.io/Logging_2181/tillsynsmail/S 242-2024 tillsynsbegäran mail.docx", "S 242-2024")</f>
        <v/>
      </c>
      <c r="AC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46222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Fläcknycklar</t>
        </is>
      </c>
      <c r="V101">
        <f>HYPERLINK("https://klasma.github.io/Logging_2181/artfynd/S 1687-2023 artfynd.xlsx", "S 1687-2023")</f>
        <v/>
      </c>
      <c r="W101">
        <f>HYPERLINK("https://klasma.github.io/Logging_2181/kartor/S 1687-2023 karta.png", "S 1687-2023")</f>
        <v/>
      </c>
      <c r="Y101">
        <f>HYPERLINK("https://klasma.github.io/Logging_2181/klagomål/S 1687-2023 FSC-klagomål.docx", "S 1687-2023")</f>
        <v/>
      </c>
      <c r="Z101">
        <f>HYPERLINK("https://klasma.github.io/Logging_2181/klagomålsmail/S 1687-2023 FSC-klagomål mail.docx", "S 1687-2023")</f>
        <v/>
      </c>
      <c r="AA101">
        <f>HYPERLINK("https://klasma.github.io/Logging_2181/tillsyn/S 1687-2023 tillsynsbegäran.docx", "S 1687-2023")</f>
        <v/>
      </c>
      <c r="AB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46222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Aspbarkgnagare</t>
        </is>
      </c>
      <c r="V102">
        <f>HYPERLINK("https://klasma.github.io/Logging_2181/artfynd/S 412-2025 artfynd.xlsx", "S 412-2025")</f>
        <v/>
      </c>
      <c r="W102">
        <f>HYPERLINK("https://klasma.github.io/Logging_2181/kartor/S 412-2025 karta.png", "S 412-2025")</f>
        <v/>
      </c>
      <c r="Y102">
        <f>HYPERLINK("https://klasma.github.io/Logging_2181/klagomål/S 412-2025 FSC-klagomål.docx", "S 412-2025")</f>
        <v/>
      </c>
      <c r="Z102">
        <f>HYPERLINK("https://klasma.github.io/Logging_2181/klagomålsmail/S 412-2025 FSC-klagomål mail.docx", "S 412-2025")</f>
        <v/>
      </c>
      <c r="AA102">
        <f>HYPERLINK("https://klasma.github.io/Logging_2181/tillsyn/S 412-2025 tillsynsbegäran.docx", "S 412-2025")</f>
        <v/>
      </c>
      <c r="AB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Talltita</t>
        </is>
      </c>
      <c r="V103">
        <f>HYPERLINK("https://klasma.github.io/Logging_2181/artfynd/S 501-2025 artfynd.xlsx", "S 501-2025")</f>
        <v/>
      </c>
      <c r="W103">
        <f>HYPERLINK("https://klasma.github.io/Logging_2181/kartor/S 501-2025 karta.png", "S 501-2025")</f>
        <v/>
      </c>
      <c r="Y103">
        <f>HYPERLINK("https://klasma.github.io/Logging_2181/klagomål/S 501-2025 FSC-klagomål.docx", "S 501-2025")</f>
        <v/>
      </c>
      <c r="Z103">
        <f>HYPERLINK("https://klasma.github.io/Logging_2181/klagomålsmail/S 501-2025 FSC-klagomål mail.docx", "S 501-2025")</f>
        <v/>
      </c>
      <c r="AA103">
        <f>HYPERLINK("https://klasma.github.io/Logging_2181/tillsyn/S 501-2025 tillsynsbegäran.docx", "S 501-2025")</f>
        <v/>
      </c>
      <c r="AB103">
        <f>HYPERLINK("https://klasma.github.io/Logging_2181/tillsynsmail/S 501-2025 tillsynsbegäran mail.docx", "S 501-2025")</f>
        <v/>
      </c>
      <c r="AC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46222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Bivråk</t>
        </is>
      </c>
      <c r="V104">
        <f>HYPERLINK("https://klasma.github.io/Logging_2181/artfynd/S 1025-2026 artfynd.xlsx", "S 1025-2026")</f>
        <v/>
      </c>
      <c r="W104">
        <f>HYPERLINK("https://klasma.github.io/Logging_2181/kartor/S 1025-2026 karta.png", "S 1025-2026")</f>
        <v/>
      </c>
      <c r="Y104">
        <f>HYPERLINK("https://klasma.github.io/Logging_2181/klagomål/S 1025-2026 FSC-klagomål.docx", "S 1025-2026")</f>
        <v/>
      </c>
      <c r="Z104">
        <f>HYPERLINK("https://klasma.github.io/Logging_2181/klagomålsmail/S 1025-2026 FSC-klagomål mail.docx", "S 1025-2026")</f>
        <v/>
      </c>
      <c r="AA104">
        <f>HYPERLINK("https://klasma.github.io/Logging_2181/tillsyn/S 1025-2026 tillsynsbegäran.docx", "S 1025-2026")</f>
        <v/>
      </c>
      <c r="AB104">
        <f>HYPERLINK("https://klasma.github.io/Logging_2181/tillsynsmail/S 1025-2026 tillsynsbegäran mail.docx", "S 1025-2026")</f>
        <v/>
      </c>
      <c r="AC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46222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46222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46222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46222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46222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46222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46222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46222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46222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46222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46222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11923-2022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46222</v>
      </c>
      <c r="F119" t="inlineStr">
        <is>
          <t>GÄVLEBORGS LÄN</t>
        </is>
      </c>
      <c r="G119" t="inlineStr">
        <is>
          <t>SANDVIKEN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46222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46222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46222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46222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46222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46222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46222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46222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46222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46222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46222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46222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46222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46222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46222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46222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46222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46222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46222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46222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46222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46222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46222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46222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46222</v>
      </c>
      <c r="F144" t="inlineStr">
        <is>
          <t>GÄVLEBORGS LÄN</t>
        </is>
      </c>
      <c r="G144" t="inlineStr">
        <is>
          <t>SANDVIKEN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46222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61848-2023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46222</v>
      </c>
      <c r="F146" t="inlineStr">
        <is>
          <t>GÄVLEBORGS LÄN</t>
        </is>
      </c>
      <c r="G146" t="inlineStr">
        <is>
          <t>SANDVIKEN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46222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25828-2024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45467</v>
      </c>
      <c r="E148" s="1" t="n">
        <v>46222</v>
      </c>
      <c r="F148" t="inlineStr">
        <is>
          <t>GÄVLEBORGS LÄN</t>
        </is>
      </c>
      <c r="G148" t="inlineStr">
        <is>
          <t>SANDVIKEN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60908-2022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44914</v>
      </c>
      <c r="E149" s="1" t="n">
        <v>46222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46222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47710-2022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44854</v>
      </c>
      <c r="E151" s="1" t="n">
        <v>46222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46222</v>
      </c>
      <c r="F152" t="inlineStr">
        <is>
          <t>GÄVLEBORGS LÄN</t>
        </is>
      </c>
      <c r="G152" t="inlineStr">
        <is>
          <t>SANDVIKEN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46222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46222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37232-2024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46222</v>
      </c>
      <c r="F155" t="inlineStr">
        <is>
          <t>GÄVLEBORGS LÄN</t>
        </is>
      </c>
      <c r="G155" t="inlineStr">
        <is>
          <t>SANDVIKEN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46222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46222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46222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46222</v>
      </c>
      <c r="F159" t="inlineStr">
        <is>
          <t>GÄVLEBORGS LÄN</t>
        </is>
      </c>
      <c r="G159" t="inlineStr">
        <is>
          <t>SANDVIKEN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46222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46222</v>
      </c>
      <c r="F161" t="inlineStr">
        <is>
          <t>GÄVLEBORGS LÄN</t>
        </is>
      </c>
      <c r="G161" t="inlineStr">
        <is>
          <t>SANDVIKEN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46222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46222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46222</v>
      </c>
      <c r="F164" t="inlineStr">
        <is>
          <t>GÄVLEBORGS LÄN</t>
        </is>
      </c>
      <c r="G164" t="inlineStr">
        <is>
          <t>SANDVIKEN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46222</v>
      </c>
      <c r="F165" t="inlineStr">
        <is>
          <t>GÄVLEBORGS LÄN</t>
        </is>
      </c>
      <c r="G165" t="inlineStr">
        <is>
          <t>SANDVIKEN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26294-2025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46222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46222</v>
      </c>
      <c r="F167" t="inlineStr">
        <is>
          <t>GÄVLEBORGS LÄN</t>
        </is>
      </c>
      <c r="G167" t="inlineStr">
        <is>
          <t>SANDVIKEN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38423-2025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46222</v>
      </c>
      <c r="F168" t="inlineStr">
        <is>
          <t>GÄVLEBORGS LÄN</t>
        </is>
      </c>
      <c r="G168" t="inlineStr">
        <is>
          <t>SANDVIKEN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46222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46222</v>
      </c>
      <c r="F170" t="inlineStr">
        <is>
          <t>GÄVLEBORGS LÄN</t>
        </is>
      </c>
      <c r="G170" t="inlineStr">
        <is>
          <t>SANDVIKEN</t>
        </is>
      </c>
      <c r="H170" t="inlineStr">
        <is>
          <t>Sveaskog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46222</v>
      </c>
      <c r="F171" t="inlineStr">
        <is>
          <t>GÄVLEBORGS LÄN</t>
        </is>
      </c>
      <c r="G171" t="inlineStr">
        <is>
          <t>SANDVIKEN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46222</v>
      </c>
      <c r="F172" t="inlineStr">
        <is>
          <t>GÄVLEBORGS LÄN</t>
        </is>
      </c>
      <c r="G172" t="inlineStr">
        <is>
          <t>SANDVIKEN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46043</v>
      </c>
      <c r="E173" s="1" t="n">
        <v>46222</v>
      </c>
      <c r="F173" t="inlineStr">
        <is>
          <t>GÄVLEBORGS LÄN</t>
        </is>
      </c>
      <c r="G173" t="inlineStr">
        <is>
          <t>SANDVIKEN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46222</v>
      </c>
      <c r="F174" t="inlineStr">
        <is>
          <t>GÄVLEBORGS LÄN</t>
        </is>
      </c>
      <c r="G174" t="inlineStr">
        <is>
          <t>SANDVIKEN</t>
        </is>
      </c>
      <c r="H174" t="inlineStr">
        <is>
          <t>Kyrkan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46222</v>
      </c>
      <c r="F175" t="inlineStr">
        <is>
          <t>GÄVLEBORGS LÄN</t>
        </is>
      </c>
      <c r="G175" t="inlineStr">
        <is>
          <t>SANDVIKEN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46222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46222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46222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46043</v>
      </c>
      <c r="E179" s="1" t="n">
        <v>46222</v>
      </c>
      <c r="F179" t="inlineStr">
        <is>
          <t>GÄVLEBORGS LÄN</t>
        </is>
      </c>
      <c r="G179" t="inlineStr">
        <is>
          <t>SANDVIKEN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46222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28063-2023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46222</v>
      </c>
      <c r="F181" t="inlineStr">
        <is>
          <t>GÄVLEBORGS LÄN</t>
        </is>
      </c>
      <c r="G181" t="inlineStr">
        <is>
          <t>SANDVIKEN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46222</v>
      </c>
      <c r="F182" t="inlineStr">
        <is>
          <t>GÄVLEBORGS LÄN</t>
        </is>
      </c>
      <c r="G182" t="inlineStr">
        <is>
          <t>SANDVIKEN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46222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46222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39591-2024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46222</v>
      </c>
      <c r="F185" t="inlineStr">
        <is>
          <t>GÄVLEBORGS LÄN</t>
        </is>
      </c>
      <c r="G185" t="inlineStr">
        <is>
          <t>SANDVIKEN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46222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28476-2025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46222</v>
      </c>
      <c r="F187" t="inlineStr">
        <is>
          <t>GÄVLEBORGS LÄN</t>
        </is>
      </c>
      <c r="G187" t="inlineStr">
        <is>
          <t>SANDVIKEN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46222</v>
      </c>
      <c r="F188" t="inlineStr">
        <is>
          <t>GÄVLEBORGS LÄN</t>
        </is>
      </c>
      <c r="G188" t="inlineStr">
        <is>
          <t>SANDVIKEN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28424-2025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46222</v>
      </c>
      <c r="F189" t="inlineStr">
        <is>
          <t>GÄVLEBORGS LÄN</t>
        </is>
      </c>
      <c r="G189" t="inlineStr">
        <is>
          <t>SANDVIKEN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46222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46222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46222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46222</v>
      </c>
      <c r="F193" t="inlineStr">
        <is>
          <t>GÄVLEBORGS LÄN</t>
        </is>
      </c>
      <c r="G193" t="inlineStr">
        <is>
          <t>SANDVIKEN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46222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46222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46222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15671-2024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45404</v>
      </c>
      <c r="E197" s="1" t="n">
        <v>46222</v>
      </c>
      <c r="F197" t="inlineStr">
        <is>
          <t>GÄVLEBORGS LÄN</t>
        </is>
      </c>
      <c r="G197" t="inlineStr">
        <is>
          <t>SANDVIKEN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41111-2025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46222</v>
      </c>
      <c r="F198" t="inlineStr">
        <is>
          <t>GÄVLEBORGS LÄN</t>
        </is>
      </c>
      <c r="G198" t="inlineStr">
        <is>
          <t>SANDVIKEN</t>
        </is>
      </c>
      <c r="H198" t="inlineStr">
        <is>
          <t>Bergvik skog väst AB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11810-2023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46222</v>
      </c>
      <c r="F199" t="inlineStr">
        <is>
          <t>GÄVLEBORGS LÄN</t>
        </is>
      </c>
      <c r="G199" t="inlineStr">
        <is>
          <t>SANDVIKEN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46222</v>
      </c>
      <c r="F200" t="inlineStr">
        <is>
          <t>GÄVLEBORGS LÄN</t>
        </is>
      </c>
      <c r="G200" t="inlineStr">
        <is>
          <t>SANDVIKEN</t>
        </is>
      </c>
      <c r="H200" t="inlineStr">
        <is>
          <t>Kommuner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30203-2025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46222</v>
      </c>
      <c r="F201" t="inlineStr">
        <is>
          <t>GÄVLEBORGS LÄN</t>
        </is>
      </c>
      <c r="G201" t="inlineStr">
        <is>
          <t>SANDVIKEN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45899</v>
      </c>
      <c r="E202" s="1" t="n">
        <v>46222</v>
      </c>
      <c r="F202" t="inlineStr">
        <is>
          <t>GÄVLEBORGS LÄN</t>
        </is>
      </c>
      <c r="G202" t="inlineStr">
        <is>
          <t>SANDVIKEN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31145-2025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46222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46222</v>
      </c>
      <c r="F204" t="inlineStr">
        <is>
          <t>GÄVLEBORGS LÄN</t>
        </is>
      </c>
      <c r="G204" t="inlineStr">
        <is>
          <t>SANDVIKEN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30843-2025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45831</v>
      </c>
      <c r="E205" s="1" t="n">
        <v>46222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46222</v>
      </c>
      <c r="F206" t="inlineStr">
        <is>
          <t>GÄVLEBORGS LÄN</t>
        </is>
      </c>
      <c r="G206" t="inlineStr">
        <is>
          <t>SANDVIKEN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46222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46222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46222</v>
      </c>
      <c r="F209" t="inlineStr">
        <is>
          <t>GÄVLEBORGS LÄN</t>
        </is>
      </c>
      <c r="G209" t="inlineStr">
        <is>
          <t>SANDVIKEN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56310-2021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44477</v>
      </c>
      <c r="E210" s="1" t="n">
        <v>46222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väst AB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46222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46222</v>
      </c>
      <c r="F212" t="inlineStr">
        <is>
          <t>GÄVLEBORGS LÄN</t>
        </is>
      </c>
      <c r="G212" t="inlineStr">
        <is>
          <t>SANDVIKEN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46222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4461-2023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46222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45217</v>
      </c>
      <c r="E215" s="1" t="n">
        <v>46222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46222</v>
      </c>
      <c r="F216" t="inlineStr">
        <is>
          <t>GÄVLEBORGS LÄN</t>
        </is>
      </c>
      <c r="G216" t="inlineStr">
        <is>
          <t>SANDVIKEN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46222</v>
      </c>
      <c r="F217" t="inlineStr">
        <is>
          <t>GÄVLEBORGS LÄN</t>
        </is>
      </c>
      <c r="G217" t="inlineStr">
        <is>
          <t>SANDVIKEN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46222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45094</v>
      </c>
      <c r="E219" s="1" t="n">
        <v>46222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43090-2023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46222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46222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33757-2025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46222</v>
      </c>
      <c r="F222" t="inlineStr">
        <is>
          <t>GÄVLEBORGS LÄN</t>
        </is>
      </c>
      <c r="G222" t="inlineStr">
        <is>
          <t>SANDVIKEN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46222</v>
      </c>
      <c r="F223" t="inlineStr">
        <is>
          <t>GÄVLEBORGS LÄN</t>
        </is>
      </c>
      <c r="G223" t="inlineStr">
        <is>
          <t>SANDVIKEN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46222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46222</v>
      </c>
      <c r="F225" t="inlineStr">
        <is>
          <t>GÄVLEBORGS LÄN</t>
        </is>
      </c>
      <c r="G225" t="inlineStr">
        <is>
          <t>SANDVIKEN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6793-2026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46222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45103-2025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46222</v>
      </c>
      <c r="F227" t="inlineStr">
        <is>
          <t>GÄVLEBORGS LÄN</t>
        </is>
      </c>
      <c r="G227" t="inlineStr">
        <is>
          <t>SANDVIKEN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46222</v>
      </c>
      <c r="F228" t="inlineStr">
        <is>
          <t>GÄVLEBORGS LÄN</t>
        </is>
      </c>
      <c r="G228" t="inlineStr">
        <is>
          <t>SANDVIKEN</t>
        </is>
      </c>
      <c r="H228" t="inlineStr">
        <is>
          <t>Kommuner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34219-2025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46222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46222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46222</v>
      </c>
      <c r="F231" t="inlineStr">
        <is>
          <t>GÄVLEBORGS LÄN</t>
        </is>
      </c>
      <c r="G231" t="inlineStr">
        <is>
          <t>SANDVIKEN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11393-2023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44988</v>
      </c>
      <c r="E232" s="1" t="n">
        <v>46222</v>
      </c>
      <c r="F232" t="inlineStr">
        <is>
          <t>GÄVLEBORGS LÄN</t>
        </is>
      </c>
      <c r="G232" t="inlineStr">
        <is>
          <t>SANDVIKEN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46222</v>
      </c>
      <c r="F233" t="inlineStr">
        <is>
          <t>GÄVLEBORGS LÄN</t>
        </is>
      </c>
      <c r="G233" t="inlineStr">
        <is>
          <t>SANDVIKEN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46222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46222</v>
      </c>
      <c r="F235" t="inlineStr">
        <is>
          <t>GÄVLEBORGS LÄN</t>
        </is>
      </c>
      <c r="G235" t="inlineStr">
        <is>
          <t>SANDVIKEN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46607-2025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46222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46222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46222</v>
      </c>
      <c r="F238" t="inlineStr">
        <is>
          <t>GÄVLEBORGS LÄN</t>
        </is>
      </c>
      <c r="G238" t="inlineStr">
        <is>
          <t>SANDVIKEN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46222</v>
      </c>
      <c r="F239" t="inlineStr">
        <is>
          <t>GÄVLEBORGS LÄN</t>
        </is>
      </c>
      <c r="G239" t="inlineStr">
        <is>
          <t>SANDVIKEN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46222</v>
      </c>
      <c r="F240" t="inlineStr">
        <is>
          <t>GÄVLEBORGS LÄN</t>
        </is>
      </c>
      <c r="G240" t="inlineStr">
        <is>
          <t>SANDVIKEN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46730-2025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46222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58182-2023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46222</v>
      </c>
      <c r="F242" t="inlineStr">
        <is>
          <t>GÄVLEBORGS LÄN</t>
        </is>
      </c>
      <c r="G242" t="inlineStr">
        <is>
          <t>SANDVIKEN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28523-2024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46222</v>
      </c>
      <c r="F243" t="inlineStr">
        <is>
          <t>GÄVLEBORGS LÄN</t>
        </is>
      </c>
      <c r="G243" t="inlineStr">
        <is>
          <t>SANDVIKEN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47396-2025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46222</v>
      </c>
      <c r="F244" t="inlineStr">
        <is>
          <t>GÄVLEBORGS LÄN</t>
        </is>
      </c>
      <c r="G244" t="inlineStr">
        <is>
          <t>SANDVIKEN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46222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46222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35184-2022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46222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6480-2026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46222</v>
      </c>
      <c r="F248" t="inlineStr">
        <is>
          <t>GÄVLEBORGS LÄN</t>
        </is>
      </c>
      <c r="G248" t="inlineStr">
        <is>
          <t>SANDVIKEN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46222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46222</v>
      </c>
      <c r="F250" t="inlineStr">
        <is>
          <t>GÄVLEBORGS LÄN</t>
        </is>
      </c>
      <c r="G250" t="inlineStr">
        <is>
          <t>SANDVIKEN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48263-2025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46222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7352-2026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46222</v>
      </c>
      <c r="F252" t="inlineStr">
        <is>
          <t>GÄVLEBORGS LÄN</t>
        </is>
      </c>
      <c r="G252" t="inlineStr">
        <is>
          <t>SANDVIKEN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46222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15907-2023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46222</v>
      </c>
      <c r="F254" t="inlineStr">
        <is>
          <t>GÄVLEBORGS LÄN</t>
        </is>
      </c>
      <c r="G254" t="inlineStr">
        <is>
          <t>SANDVIKEN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48261-2025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46222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46222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35995-2025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45863</v>
      </c>
      <c r="E257" s="1" t="n">
        <v>46222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46222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45671</v>
      </c>
      <c r="E259" s="1" t="n">
        <v>46222</v>
      </c>
      <c r="F259" t="inlineStr">
        <is>
          <t>GÄVLEBORGS LÄN</t>
        </is>
      </c>
      <c r="G259" t="inlineStr">
        <is>
          <t>SANDVIKEN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46222</v>
      </c>
      <c r="F260" t="inlineStr">
        <is>
          <t>GÄVLEBORGS LÄN</t>
        </is>
      </c>
      <c r="G260" t="inlineStr">
        <is>
          <t>SANDVIKEN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46222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36584-2025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45870</v>
      </c>
      <c r="E262" s="1" t="n">
        <v>46222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7051-2026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46222</v>
      </c>
      <c r="F263" t="inlineStr">
        <is>
          <t>GÄVLEBORGS LÄN</t>
        </is>
      </c>
      <c r="G263" t="inlineStr">
        <is>
          <t>SANDVIKEN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46222</v>
      </c>
      <c r="F264" t="inlineStr">
        <is>
          <t>GÄVLEBORGS LÄN</t>
        </is>
      </c>
      <c r="G264" t="inlineStr">
        <is>
          <t>SANDVIKEN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48761-2025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46222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32849-2022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44784</v>
      </c>
      <c r="E266" s="1" t="n">
        <v>46222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49042-2025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46222</v>
      </c>
      <c r="F267" t="inlineStr">
        <is>
          <t>GÄVLEBORGS LÄN</t>
        </is>
      </c>
      <c r="G267" t="inlineStr">
        <is>
          <t>SANDVIKEN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36732-2025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45873</v>
      </c>
      <c r="E268" s="1" t="n">
        <v>46222</v>
      </c>
      <c r="F268" t="inlineStr">
        <is>
          <t>GÄVLEBORGS LÄN</t>
        </is>
      </c>
      <c r="G268" t="inlineStr">
        <is>
          <t>SANDVIKEN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49217-2025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45938</v>
      </c>
      <c r="E269" s="1" t="n">
        <v>46222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46222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36693-2025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46222</v>
      </c>
      <c r="F271" t="inlineStr">
        <is>
          <t>GÄVLEBORGS LÄN</t>
        </is>
      </c>
      <c r="G271" t="inlineStr">
        <is>
          <t>SANDVIKEN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46222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46222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49454-2025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46222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36793-2025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46222</v>
      </c>
      <c r="F275" t="inlineStr">
        <is>
          <t>GÄVLEBORGS LÄN</t>
        </is>
      </c>
      <c r="G275" t="inlineStr">
        <is>
          <t>SANDVIKEN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46222</v>
      </c>
      <c r="F276" t="inlineStr">
        <is>
          <t>GÄVLEBORGS LÄN</t>
        </is>
      </c>
      <c r="G276" t="inlineStr">
        <is>
          <t>SANDVIKEN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7350-2026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46222</v>
      </c>
      <c r="F277" t="inlineStr">
        <is>
          <t>GÄVLEBORGS LÄN</t>
        </is>
      </c>
      <c r="G277" t="inlineStr">
        <is>
          <t>SANDVIKEN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46222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46222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47395-2025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46222</v>
      </c>
      <c r="F280" t="inlineStr">
        <is>
          <t>GÄVLEBORGS LÄN</t>
        </is>
      </c>
      <c r="G280" t="inlineStr">
        <is>
          <t>SANDVIKEN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46222</v>
      </c>
      <c r="F281" t="inlineStr">
        <is>
          <t>GÄVLEBORGS LÄN</t>
        </is>
      </c>
      <c r="G281" t="inlineStr">
        <is>
          <t>SANDVIKEN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7725-2026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46222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7360-2026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46222</v>
      </c>
      <c r="F283" t="inlineStr">
        <is>
          <t>GÄVLEBORGS LÄN</t>
        </is>
      </c>
      <c r="G283" t="inlineStr">
        <is>
          <t>SANDVIKEN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46222</v>
      </c>
      <c r="F284" t="inlineStr">
        <is>
          <t>GÄVLEBORGS LÄN</t>
        </is>
      </c>
      <c r="G284" t="inlineStr">
        <is>
          <t>SANDVIKEN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46222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48187-2025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46222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46222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50851-2025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46222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46222</v>
      </c>
      <c r="F289" t="inlineStr">
        <is>
          <t>GÄVLEBORGS LÄN</t>
        </is>
      </c>
      <c r="G289" t="inlineStr">
        <is>
          <t>SANDVIKEN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46222</v>
      </c>
      <c r="F290" t="inlineStr">
        <is>
          <t>GÄVLEBORGS LÄN</t>
        </is>
      </c>
      <c r="G290" t="inlineStr">
        <is>
          <t>SANDVIKEN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7348-2026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46222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46222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46222</v>
      </c>
      <c r="F293" t="inlineStr">
        <is>
          <t>GÄVLEBORGS LÄN</t>
        </is>
      </c>
      <c r="G293" t="inlineStr">
        <is>
          <t>SANDVIKEN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44582</v>
      </c>
      <c r="E294" s="1" t="n">
        <v>46222</v>
      </c>
      <c r="F294" t="inlineStr">
        <is>
          <t>GÄVLEBORGS LÄN</t>
        </is>
      </c>
      <c r="G294" t="inlineStr">
        <is>
          <t>SANDVIKEN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8295-2026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46222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7890-2026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46222</v>
      </c>
      <c r="F296" t="inlineStr">
        <is>
          <t>GÄVLEBORGS LÄN</t>
        </is>
      </c>
      <c r="G296" t="inlineStr">
        <is>
          <t>SANDVIKEN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46222</v>
      </c>
      <c r="F297" t="inlineStr">
        <is>
          <t>GÄVLEBORGS LÄN</t>
        </is>
      </c>
      <c r="G297" t="inlineStr">
        <is>
          <t>SANDVIKEN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7892-2026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46222</v>
      </c>
      <c r="F298" t="inlineStr">
        <is>
          <t>GÄVLEBORGS LÄN</t>
        </is>
      </c>
      <c r="G298" t="inlineStr">
        <is>
          <t>SANDVIKEN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7914-2026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46222</v>
      </c>
      <c r="F299" t="inlineStr">
        <is>
          <t>GÄVLEBORGS LÄN</t>
        </is>
      </c>
      <c r="G299" t="inlineStr">
        <is>
          <t>SANDVIKEN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7877-2026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46222</v>
      </c>
      <c r="F300" t="inlineStr">
        <is>
          <t>GÄVLEBORGS LÄN</t>
        </is>
      </c>
      <c r="G300" t="inlineStr">
        <is>
          <t>SANDVIKEN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8363-2026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46222</v>
      </c>
      <c r="F301" t="inlineStr">
        <is>
          <t>GÄVLEBORGS LÄN</t>
        </is>
      </c>
      <c r="G301" t="inlineStr">
        <is>
          <t>SANDVIKEN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45693</v>
      </c>
      <c r="E302" s="1" t="n">
        <v>46222</v>
      </c>
      <c r="F302" t="inlineStr">
        <is>
          <t>GÄVLEBORGS LÄN</t>
        </is>
      </c>
      <c r="G302" t="inlineStr">
        <is>
          <t>SANDVIKEN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46222</v>
      </c>
      <c r="F303" t="inlineStr">
        <is>
          <t>GÄVLEBORGS LÄN</t>
        </is>
      </c>
      <c r="G303" t="inlineStr">
        <is>
          <t>SANDVIKEN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7886-2026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46222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8612-2026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46222</v>
      </c>
      <c r="F305" t="inlineStr">
        <is>
          <t>GÄVLEBORGS LÄN</t>
        </is>
      </c>
      <c r="G305" t="inlineStr">
        <is>
          <t>SANDVIKEN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12421-2025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46222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46222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46222</v>
      </c>
      <c r="F308" t="inlineStr">
        <is>
          <t>GÄVLEBORGS LÄN</t>
        </is>
      </c>
      <c r="G308" t="inlineStr">
        <is>
          <t>SANDVIKEN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8719-2026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46222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8611-2026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46065</v>
      </c>
      <c r="E310" s="1" t="n">
        <v>46222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46222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  <c r="X311">
        <f>HYPERLINK("https://klasma.github.io/Logging_2181/knärot/A 52786-2025 karta knärot.png", "A 52786-2025")</f>
        <v/>
      </c>
      <c r="Y311">
        <f>HYPERLINK("https://klasma.github.io/Logging_2181/klagomål/A 52786-2025 FSC-klagomål.docx", "A 52786-2025")</f>
        <v/>
      </c>
      <c r="Z311">
        <f>HYPERLINK("https://klasma.github.io/Logging_2181/klagomålsmail/A 52786-2025 FSC-klagomål mail.docx", "A 52786-2025")</f>
        <v/>
      </c>
      <c r="AA311">
        <f>HYPERLINK("https://klasma.github.io/Logging_2181/tillsyn/A 52786-2025 tillsynsbegäran.docx", "A 52786-2025")</f>
        <v/>
      </c>
      <c r="AB311">
        <f>HYPERLINK("https://klasma.github.io/Logging_2181/tillsynsmail/A 52786-2025 tillsynsbegäran mail.docx", "A 52786-2025")</f>
        <v/>
      </c>
    </row>
    <row r="312" ht="15" customHeight="1">
      <c r="A312" t="inlineStr">
        <is>
          <t>A 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46222</v>
      </c>
      <c r="F312" t="inlineStr">
        <is>
          <t>GÄVLEBORGS LÄN</t>
        </is>
      </c>
      <c r="G312" t="inlineStr">
        <is>
          <t>SANDVIKEN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46222</v>
      </c>
      <c r="F313" t="inlineStr">
        <is>
          <t>GÄVLEBORGS LÄN</t>
        </is>
      </c>
      <c r="G313" t="inlineStr">
        <is>
          <t>SANDVIKEN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9093-2026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46222</v>
      </c>
      <c r="F314" t="inlineStr">
        <is>
          <t>GÄVLEBORGS LÄN</t>
        </is>
      </c>
      <c r="G314" t="inlineStr">
        <is>
          <t>SANDVIKEN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46222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61859-2024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45649</v>
      </c>
      <c r="E316" s="1" t="n">
        <v>46222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46069</v>
      </c>
      <c r="E317" s="1" t="n">
        <v>46222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46222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46222</v>
      </c>
      <c r="F319" t="inlineStr">
        <is>
          <t>GÄVLEBORGS LÄN</t>
        </is>
      </c>
      <c r="G319" t="inlineStr">
        <is>
          <t>SANDVIKEN</t>
        </is>
      </c>
      <c r="H319" t="inlineStr">
        <is>
          <t>Naturvårdsverket</t>
        </is>
      </c>
      <c r="I319" t="n">
        <v>19.5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9480-2026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46222</v>
      </c>
      <c r="F320" t="inlineStr">
        <is>
          <t>GÄVLEBORGS LÄN</t>
        </is>
      </c>
      <c r="G320" t="inlineStr">
        <is>
          <t>SANDVIKEN</t>
        </is>
      </c>
      <c r="H320" t="inlineStr">
        <is>
          <t>Naturvårdsverket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44101-2023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46222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9651-2026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46222</v>
      </c>
      <c r="F322" t="inlineStr">
        <is>
          <t>GÄVLEBORGS LÄN</t>
        </is>
      </c>
      <c r="G322" t="inlineStr">
        <is>
          <t>SANDVIKEN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9653-2026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46222</v>
      </c>
      <c r="F323" t="inlineStr">
        <is>
          <t>GÄVLEBORGS LÄN</t>
        </is>
      </c>
      <c r="G323" t="inlineStr">
        <is>
          <t>SANDVIKEN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10346-2026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46222</v>
      </c>
      <c r="F324" t="inlineStr">
        <is>
          <t>GÄVLEBORGS LÄN</t>
        </is>
      </c>
      <c r="G324" t="inlineStr">
        <is>
          <t>SANDVIKEN</t>
        </is>
      </c>
      <c r="H324" t="inlineStr">
        <is>
          <t>Kommuner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46222</v>
      </c>
      <c r="F325" t="inlineStr">
        <is>
          <t>GÄVLEBORGS LÄN</t>
        </is>
      </c>
      <c r="G325" t="inlineStr">
        <is>
          <t>SANDVIKEN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46074</v>
      </c>
      <c r="E326" s="1" t="n">
        <v>46222</v>
      </c>
      <c r="F326" t="inlineStr">
        <is>
          <t>GÄVLEBORGS LÄN</t>
        </is>
      </c>
      <c r="G326" t="inlineStr">
        <is>
          <t>SANDVIKEN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46222</v>
      </c>
      <c r="F327" t="inlineStr">
        <is>
          <t>GÄVLEBORGS LÄN</t>
        </is>
      </c>
      <c r="G327" t="inlineStr">
        <is>
          <t>SANDVIKEN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46222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10176-2026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46222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45102-2022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44843</v>
      </c>
      <c r="E330" s="1" t="n">
        <v>46222</v>
      </c>
      <c r="F330" t="inlineStr">
        <is>
          <t>GÄVLEBORGS LÄN</t>
        </is>
      </c>
      <c r="G330" t="inlineStr">
        <is>
          <t>SANDVIKEN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46222</v>
      </c>
      <c r="F331" t="inlineStr">
        <is>
          <t>GÄVLEBORGS LÄN</t>
        </is>
      </c>
      <c r="G331" t="inlineStr">
        <is>
          <t>SANDVIKEN</t>
        </is>
      </c>
      <c r="H331" t="inlineStr">
        <is>
          <t>Kommuner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46222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46222</v>
      </c>
      <c r="F333" t="inlineStr">
        <is>
          <t>GÄVLEBORGS LÄN</t>
        </is>
      </c>
      <c r="G333" t="inlineStr">
        <is>
          <t>SANDVIKEN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45706</v>
      </c>
      <c r="E334" s="1" t="n">
        <v>46222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45279-2023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46222</v>
      </c>
      <c r="F335" t="inlineStr">
        <is>
          <t>GÄVLEBORGS LÄN</t>
        </is>
      </c>
      <c r="G335" t="inlineStr">
        <is>
          <t>SANDVIKEN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55607-2025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46222</v>
      </c>
      <c r="F336" t="inlineStr">
        <is>
          <t>GÄVLEBORGS LÄN</t>
        </is>
      </c>
      <c r="G336" t="inlineStr">
        <is>
          <t>SANDVIKEN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46222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46222</v>
      </c>
      <c r="F338" t="inlineStr">
        <is>
          <t>GÄVLEBORGS LÄN</t>
        </is>
      </c>
      <c r="G338" t="inlineStr">
        <is>
          <t>SANDVIKEN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19771-2025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45771</v>
      </c>
      <c r="E339" s="1" t="n">
        <v>46222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46222</v>
      </c>
      <c r="F340" t="inlineStr">
        <is>
          <t>GÄVLEBORGS LÄN</t>
        </is>
      </c>
      <c r="G340" t="inlineStr">
        <is>
          <t>SANDVIKEN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10808-2026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46078</v>
      </c>
      <c r="E341" s="1" t="n">
        <v>46222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46222</v>
      </c>
      <c r="F342" t="inlineStr">
        <is>
          <t>GÄVLEBORGS LÄN</t>
        </is>
      </c>
      <c r="G342" t="inlineStr">
        <is>
          <t>SANDVIKEN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46222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46222</v>
      </c>
      <c r="F344" t="inlineStr">
        <is>
          <t>GÄVLEBORGS LÄN</t>
        </is>
      </c>
      <c r="G344" t="inlineStr">
        <is>
          <t>SANDVIKEN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46222</v>
      </c>
      <c r="F345" t="inlineStr">
        <is>
          <t>GÄVLEBORGS LÄN</t>
        </is>
      </c>
      <c r="G345" t="inlineStr">
        <is>
          <t>SANDVIKEN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46222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56703-2025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45977</v>
      </c>
      <c r="E347" s="1" t="n">
        <v>46222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46222</v>
      </c>
      <c r="F348" t="inlineStr">
        <is>
          <t>GÄVLEBORGS LÄN</t>
        </is>
      </c>
      <c r="G348" t="inlineStr">
        <is>
          <t>SANDVIKEN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57261-2025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46222</v>
      </c>
      <c r="F349" t="inlineStr">
        <is>
          <t>GÄVLEBORGS LÄN</t>
        </is>
      </c>
      <c r="G349" t="inlineStr">
        <is>
          <t>SANDVIKEN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11191-2026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46222</v>
      </c>
      <c r="F350" t="inlineStr">
        <is>
          <t>GÄVLEBORGS LÄN</t>
        </is>
      </c>
      <c r="G350" t="inlineStr">
        <is>
          <t>SANDVIKEN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11940-2026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46222</v>
      </c>
      <c r="F351" t="inlineStr">
        <is>
          <t>GÄVLEBORGS LÄN</t>
        </is>
      </c>
      <c r="G351" t="inlineStr">
        <is>
          <t>SANDVIKEN</t>
        </is>
      </c>
      <c r="H351" t="inlineStr">
        <is>
          <t>Naturvårdsverket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11898-2026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46085</v>
      </c>
      <c r="E352" s="1" t="n">
        <v>46222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46222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46222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11913-2026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46222</v>
      </c>
      <c r="F355" t="inlineStr">
        <is>
          <t>GÄVLEBORGS LÄN</t>
        </is>
      </c>
      <c r="G355" t="inlineStr">
        <is>
          <t>SANDVIKEN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46222</v>
      </c>
      <c r="F356" t="inlineStr">
        <is>
          <t>GÄVLEBORGS LÄN</t>
        </is>
      </c>
      <c r="G356" t="inlineStr">
        <is>
          <t>SANDVIKEN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46222</v>
      </c>
      <c r="F357" t="inlineStr">
        <is>
          <t>GÄVLEBORGS LÄN</t>
        </is>
      </c>
      <c r="G357" t="inlineStr">
        <is>
          <t>SANDVIKEN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59841-2023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45257</v>
      </c>
      <c r="E358" s="1" t="n">
        <v>46222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46222</v>
      </c>
      <c r="F359" t="inlineStr">
        <is>
          <t>GÄVLEBORGS LÄN</t>
        </is>
      </c>
      <c r="G359" t="inlineStr">
        <is>
          <t>SANDVIKEN</t>
        </is>
      </c>
      <c r="H359" t="inlineStr">
        <is>
          <t>Naturvårdsverket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46222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46222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11707-2026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46222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46222</v>
      </c>
      <c r="F363" t="inlineStr">
        <is>
          <t>GÄVLEBORGS LÄN</t>
        </is>
      </c>
      <c r="G363" t="inlineStr">
        <is>
          <t>SANDVIKEN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12146-2026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46222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46222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12079-2026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46222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58592-2025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46222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58207-2025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46222</v>
      </c>
      <c r="F368" t="inlineStr">
        <is>
          <t>GÄVLEBORGS LÄN</t>
        </is>
      </c>
      <c r="G368" t="inlineStr">
        <is>
          <t>SANDVIKEN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12081-2026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46222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12062-2026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46222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12064-2026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46086</v>
      </c>
      <c r="E371" s="1" t="n">
        <v>46222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12293-2026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46222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12098-2026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46086</v>
      </c>
      <c r="E373" s="1" t="n">
        <v>46222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12166-2026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46222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58184-2025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45983</v>
      </c>
      <c r="E375" s="1" t="n">
        <v>46222</v>
      </c>
      <c r="F375" t="inlineStr">
        <is>
          <t>GÄVLEBORGS LÄN</t>
        </is>
      </c>
      <c r="G375" t="inlineStr">
        <is>
          <t>SANDVIKEN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46222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12208-2026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46222</v>
      </c>
      <c r="F377" t="inlineStr">
        <is>
          <t>GÄVLEBORGS LÄN</t>
        </is>
      </c>
      <c r="G377" t="inlineStr">
        <is>
          <t>SANDVIKEN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46222</v>
      </c>
      <c r="F378" t="inlineStr">
        <is>
          <t>GÄVLEBORGS LÄN</t>
        </is>
      </c>
      <c r="G378" t="inlineStr">
        <is>
          <t>SANDVIKEN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12091-2026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46222</v>
      </c>
      <c r="F379" t="inlineStr">
        <is>
          <t>GÄVLEBORGS LÄN</t>
        </is>
      </c>
      <c r="G379" t="inlineStr">
        <is>
          <t>SANDVIKEN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12099-2026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46222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12132-2026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46222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58197-2025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45984</v>
      </c>
      <c r="E382" s="1" t="n">
        <v>46222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58199-2025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45984</v>
      </c>
      <c r="E383" s="1" t="n">
        <v>46222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58201-2025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46222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12672-2026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46222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46222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46222</v>
      </c>
      <c r="F387" t="inlineStr">
        <is>
          <t>GÄVLEBORGS LÄN</t>
        </is>
      </c>
      <c r="G387" t="inlineStr">
        <is>
          <t>SANDVIKEN</t>
        </is>
      </c>
      <c r="H387" t="inlineStr">
        <is>
          <t>Naturvårdsverket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12433-2026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46222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46222</v>
      </c>
      <c r="F389" t="inlineStr">
        <is>
          <t>GÄVLEBORGS LÄN</t>
        </is>
      </c>
      <c r="G389" t="inlineStr">
        <is>
          <t>SANDVIKEN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3788-2026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46222</v>
      </c>
      <c r="F390" t="inlineStr">
        <is>
          <t>GÄVLEBORGS LÄN</t>
        </is>
      </c>
      <c r="G390" t="inlineStr">
        <is>
          <t>SANDVIKEN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46222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12426-2026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46222</v>
      </c>
      <c r="F392" t="inlineStr">
        <is>
          <t>GÄVLEBORGS LÄN</t>
        </is>
      </c>
      <c r="G392" t="inlineStr">
        <is>
          <t>SANDVIKEN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59755-2025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46222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59738-2022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46222</v>
      </c>
      <c r="F394" t="inlineStr">
        <is>
          <t>GÄVLEBORGS LÄN</t>
        </is>
      </c>
      <c r="G394" t="inlineStr">
        <is>
          <t>SANDVIKEN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12641-2026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46222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12586-2026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46090</v>
      </c>
      <c r="E396" s="1" t="n">
        <v>46222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12704-2026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46222</v>
      </c>
      <c r="F397" t="inlineStr">
        <is>
          <t>GÄVLEBORGS LÄN</t>
        </is>
      </c>
      <c r="G397" t="inlineStr">
        <is>
          <t>SANDVIKEN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59750-2025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46222</v>
      </c>
      <c r="F398" t="inlineStr">
        <is>
          <t>GÄVLEBORGS LÄN</t>
        </is>
      </c>
      <c r="G398" t="inlineStr">
        <is>
          <t>SANDVIKEN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58796-2024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45636</v>
      </c>
      <c r="E399" s="1" t="n">
        <v>46222</v>
      </c>
      <c r="F399" t="inlineStr">
        <is>
          <t>GÄVLEBORGS LÄN</t>
        </is>
      </c>
      <c r="G399" t="inlineStr">
        <is>
          <t>SANDVIKEN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59718-2025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46222</v>
      </c>
      <c r="F400" t="inlineStr">
        <is>
          <t>GÄVLEBORGS LÄN</t>
        </is>
      </c>
      <c r="G400" t="inlineStr">
        <is>
          <t>SANDVIKEN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12847-2026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46222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13108-2026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46222</v>
      </c>
      <c r="F402" t="inlineStr">
        <is>
          <t>GÄVLEBORGS LÄN</t>
        </is>
      </c>
      <c r="G402" t="inlineStr">
        <is>
          <t>SANDVIKEN</t>
        </is>
      </c>
      <c r="I402" t="n">
        <v>22.5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12826-2026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46222</v>
      </c>
      <c r="F403" t="inlineStr">
        <is>
          <t>GÄVLEBORGS LÄN</t>
        </is>
      </c>
      <c r="G403" t="inlineStr">
        <is>
          <t>SANDVIKEN</t>
        </is>
      </c>
      <c r="H403" t="inlineStr">
        <is>
          <t>Naturvårdsverket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10575-2025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45721</v>
      </c>
      <c r="E404" s="1" t="n">
        <v>46222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10580-2025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45721</v>
      </c>
      <c r="E405" s="1" t="n">
        <v>46222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12891-2026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46222</v>
      </c>
      <c r="F406" t="inlineStr">
        <is>
          <t>GÄVLEBORGS LÄN</t>
        </is>
      </c>
      <c r="G406" t="inlineStr">
        <is>
          <t>SANDVIKEN</t>
        </is>
      </c>
      <c r="H406" t="inlineStr">
        <is>
          <t>Naturvårdsverket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46222</v>
      </c>
      <c r="F407" t="inlineStr">
        <is>
          <t>GÄVLEBORGS LÄN</t>
        </is>
      </c>
      <c r="G407" t="inlineStr">
        <is>
          <t>SANDVIKEN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12857-2026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46222</v>
      </c>
      <c r="F408" t="inlineStr">
        <is>
          <t>GÄVLEBORGS LÄN</t>
        </is>
      </c>
      <c r="G408" t="inlineStr">
        <is>
          <t>SANDVIKEN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46222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46222</v>
      </c>
      <c r="F410" t="inlineStr">
        <is>
          <t>GÄVLEBORGS LÄN</t>
        </is>
      </c>
      <c r="G410" t="inlineStr">
        <is>
          <t>SANDVIKEN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13409-2026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46222</v>
      </c>
      <c r="F411" t="inlineStr">
        <is>
          <t>GÄVLEBORGS LÄN</t>
        </is>
      </c>
      <c r="G411" t="inlineStr">
        <is>
          <t>SANDVIKEN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13577-2026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46095</v>
      </c>
      <c r="E412" s="1" t="n">
        <v>46222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13581-2026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46095</v>
      </c>
      <c r="E413" s="1" t="n">
        <v>46222</v>
      </c>
      <c r="F413" t="inlineStr">
        <is>
          <t>GÄVLEBORGS LÄN</t>
        </is>
      </c>
      <c r="G413" t="inlineStr">
        <is>
          <t>SANDVIKEN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13585-2026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46095</v>
      </c>
      <c r="E414" s="1" t="n">
        <v>46222</v>
      </c>
      <c r="F414" t="inlineStr">
        <is>
          <t>GÄVLEBORGS LÄN</t>
        </is>
      </c>
      <c r="G414" t="inlineStr">
        <is>
          <t>SANDVIKEN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13586-2026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46222</v>
      </c>
      <c r="F415" t="inlineStr">
        <is>
          <t>GÄVLEBORGS LÄN</t>
        </is>
      </c>
      <c r="G415" t="inlineStr">
        <is>
          <t>SANDVIKEN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13605-2026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46222</v>
      </c>
      <c r="F416" t="inlineStr">
        <is>
          <t>GÄVLEBORGS LÄN</t>
        </is>
      </c>
      <c r="G416" t="inlineStr">
        <is>
          <t>SANDVIKEN</t>
        </is>
      </c>
      <c r="H416" t="inlineStr">
        <is>
          <t>Kommuner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13642-2026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46222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13552-2026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46222</v>
      </c>
      <c r="F418" t="inlineStr">
        <is>
          <t>GÄVLEBORGS LÄN</t>
        </is>
      </c>
      <c r="G418" t="inlineStr">
        <is>
          <t>SANDVIKEN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46095</v>
      </c>
      <c r="E419" s="1" t="n">
        <v>46222</v>
      </c>
      <c r="F419" t="inlineStr">
        <is>
          <t>GÄVLEBORGS LÄN</t>
        </is>
      </c>
      <c r="G419" t="inlineStr">
        <is>
          <t>SANDVIKEN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13727-2026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46222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13416-2026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46222</v>
      </c>
      <c r="F421" t="inlineStr">
        <is>
          <t>GÄVLEBORGS LÄN</t>
        </is>
      </c>
      <c r="G421" t="inlineStr">
        <is>
          <t>SANDVIKEN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13580-2026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46095</v>
      </c>
      <c r="E422" s="1" t="n">
        <v>46222</v>
      </c>
      <c r="F422" t="inlineStr">
        <is>
          <t>GÄVLEBORGS LÄN</t>
        </is>
      </c>
      <c r="G422" t="inlineStr">
        <is>
          <t>SANDVIKEN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46095</v>
      </c>
      <c r="E423" s="1" t="n">
        <v>46222</v>
      </c>
      <c r="F423" t="inlineStr">
        <is>
          <t>GÄVLEBORGS LÄN</t>
        </is>
      </c>
      <c r="G423" t="inlineStr">
        <is>
          <t>SANDVIKEN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46177-2022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44847</v>
      </c>
      <c r="E424" s="1" t="n">
        <v>46222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60952-2025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46222</v>
      </c>
      <c r="F425" t="inlineStr">
        <is>
          <t>GÄVLEBORGS LÄN</t>
        </is>
      </c>
      <c r="G425" t="inlineStr">
        <is>
          <t>SANDVIKEN</t>
        </is>
      </c>
      <c r="I425" t="n">
        <v>9.6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13966-2026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46222</v>
      </c>
      <c r="F426" t="inlineStr">
        <is>
          <t>GÄVLEBORGS LÄN</t>
        </is>
      </c>
      <c r="G426" t="inlineStr">
        <is>
          <t>SANDVIKEN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58198-2025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45984</v>
      </c>
      <c r="E427" s="1" t="n">
        <v>46222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46222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14094-2026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46222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46222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46222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61020-2025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46222</v>
      </c>
      <c r="F432" t="inlineStr">
        <is>
          <t>GÄVLEBORGS LÄN</t>
        </is>
      </c>
      <c r="G432" t="inlineStr">
        <is>
          <t>SANDVIKEN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61022-2025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46222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14257-2026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46222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46222</v>
      </c>
      <c r="F435" t="inlineStr">
        <is>
          <t>GÄVLEBORGS LÄN</t>
        </is>
      </c>
      <c r="G435" t="inlineStr">
        <is>
          <t>SANDVIKEN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14192-2026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46222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61774-2024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46222</v>
      </c>
      <c r="F437" t="inlineStr">
        <is>
          <t>GÄVLEBORGS LÄN</t>
        </is>
      </c>
      <c r="G437" t="inlineStr">
        <is>
          <t>SANDVIKEN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61301-2025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46222</v>
      </c>
      <c r="F438" t="inlineStr">
        <is>
          <t>GÄVLEBORGS LÄN</t>
        </is>
      </c>
      <c r="G438" t="inlineStr">
        <is>
          <t>SANDVIKEN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14044-2026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46222</v>
      </c>
      <c r="F439" t="inlineStr">
        <is>
          <t>GÄVLEBORGS LÄN</t>
        </is>
      </c>
      <c r="G439" t="inlineStr">
        <is>
          <t>SANDVIKEN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14093-2026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46222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14119-2026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46222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14330-2026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46222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14663-2026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46222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14423-2026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46222</v>
      </c>
      <c r="F444" t="inlineStr">
        <is>
          <t>GÄVLEBORGS LÄN</t>
        </is>
      </c>
      <c r="G444" t="inlineStr">
        <is>
          <t>SANDVIKEN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45984</v>
      </c>
      <c r="E445" s="1" t="n">
        <v>46222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58363-2022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46222</v>
      </c>
      <c r="F446" t="inlineStr">
        <is>
          <t>GÄVLEBORGS LÄN</t>
        </is>
      </c>
      <c r="G446" t="inlineStr">
        <is>
          <t>SANDVIKEN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46222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14720-2026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46222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14649-2026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46222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41790-2024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46222</v>
      </c>
      <c r="F450" t="inlineStr">
        <is>
          <t>GÄVLEBORGS LÄN</t>
        </is>
      </c>
      <c r="G450" t="inlineStr">
        <is>
          <t>SANDVIKEN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19346-2023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45049</v>
      </c>
      <c r="E451" s="1" t="n">
        <v>46222</v>
      </c>
      <c r="F451" t="inlineStr">
        <is>
          <t>GÄVLEBORGS LÄN</t>
        </is>
      </c>
      <c r="G451" t="inlineStr">
        <is>
          <t>SANDVIKEN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46222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46222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46222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46222</v>
      </c>
      <c r="F455" t="inlineStr">
        <is>
          <t>GÄVLEBORGS LÄN</t>
        </is>
      </c>
      <c r="G455" t="inlineStr">
        <is>
          <t>SANDVIKEN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62047-2022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44918</v>
      </c>
      <c r="E456" s="1" t="n">
        <v>46222</v>
      </c>
      <c r="F456" t="inlineStr">
        <is>
          <t>GÄVLEBORGS LÄN</t>
        </is>
      </c>
      <c r="G456" t="inlineStr">
        <is>
          <t>SANDVIKEN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46222</v>
      </c>
      <c r="F457" t="inlineStr">
        <is>
          <t>GÄVLEBORGS LÄN</t>
        </is>
      </c>
      <c r="G457" t="inlineStr">
        <is>
          <t>SANDVIKEN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15113-2026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46222</v>
      </c>
      <c r="F458" t="inlineStr">
        <is>
          <t>GÄVLEBORGS LÄN</t>
        </is>
      </c>
      <c r="G458" t="inlineStr">
        <is>
          <t>SANDVIKEN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15131-2026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46222</v>
      </c>
      <c r="F459" t="inlineStr">
        <is>
          <t>GÄVLEBORGS LÄN</t>
        </is>
      </c>
      <c r="G459" t="inlineStr">
        <is>
          <t>SANDVIKEN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56217-2023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46222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7031-2025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46222</v>
      </c>
      <c r="F461" t="inlineStr">
        <is>
          <t>GÄVLEBORGS LÄN</t>
        </is>
      </c>
      <c r="G461" t="inlineStr">
        <is>
          <t>SANDVIKEN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73331-2021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44551</v>
      </c>
      <c r="E462" s="1" t="n">
        <v>46222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46222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64225-2021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44510</v>
      </c>
      <c r="E464" s="1" t="n">
        <v>46222</v>
      </c>
      <c r="F464" t="inlineStr">
        <is>
          <t>GÄVLEBORGS LÄN</t>
        </is>
      </c>
      <c r="G464" t="inlineStr">
        <is>
          <t>SANDVIKEN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15861-2026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46222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46031</v>
      </c>
      <c r="E466" s="1" t="n">
        <v>46222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46222</v>
      </c>
      <c r="F467" t="inlineStr">
        <is>
          <t>GÄVLEBORGS LÄN</t>
        </is>
      </c>
      <c r="G467" t="inlineStr">
        <is>
          <t>SANDVIKEN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46222</v>
      </c>
      <c r="F468" t="inlineStr">
        <is>
          <t>GÄVLEBORGS LÄN</t>
        </is>
      </c>
      <c r="G468" t="inlineStr">
        <is>
          <t>SANDVIKEN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15529-2026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46222</v>
      </c>
      <c r="F469" t="inlineStr">
        <is>
          <t>GÄVLEBORGS LÄN</t>
        </is>
      </c>
      <c r="G469" t="inlineStr">
        <is>
          <t>SANDVIKEN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46222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46222</v>
      </c>
      <c r="F471" t="inlineStr">
        <is>
          <t>GÄVLEBORGS LÄN</t>
        </is>
      </c>
      <c r="G471" t="inlineStr">
        <is>
          <t>SANDVIKEN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46222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46222</v>
      </c>
      <c r="F473" t="inlineStr">
        <is>
          <t>GÄVLEBORGS LÄN</t>
        </is>
      </c>
      <c r="G473" t="inlineStr">
        <is>
          <t>SANDVIKEN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46222</v>
      </c>
      <c r="F474" t="inlineStr">
        <is>
          <t>GÄVLEBORGS LÄN</t>
        </is>
      </c>
      <c r="G474" t="inlineStr">
        <is>
          <t>SANDVIKEN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46222</v>
      </c>
      <c r="F475" t="inlineStr">
        <is>
          <t>GÄVLEBORGS LÄN</t>
        </is>
      </c>
      <c r="G475" t="inlineStr">
        <is>
          <t>SANDVIKEN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46222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15770-2026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46222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46222</v>
      </c>
      <c r="F478" t="inlineStr">
        <is>
          <t>GÄVLEBORGS LÄN</t>
        </is>
      </c>
      <c r="G478" t="inlineStr">
        <is>
          <t>SANDVIKEN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46222</v>
      </c>
      <c r="F479" t="inlineStr">
        <is>
          <t>GÄVLEBORGS LÄN</t>
        </is>
      </c>
      <c r="G479" t="inlineStr">
        <is>
          <t>SANDVIKEN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46222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16328-2026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46222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38200-2024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46222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46222</v>
      </c>
      <c r="F483" t="inlineStr">
        <is>
          <t>GÄVLEBORGS LÄN</t>
        </is>
      </c>
      <c r="G483" t="inlineStr">
        <is>
          <t>SANDVIKEN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46222</v>
      </c>
      <c r="F484" t="inlineStr">
        <is>
          <t>GÄVLEBORGS LÄN</t>
        </is>
      </c>
      <c r="G484" t="inlineStr">
        <is>
          <t>SANDVIKEN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46222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16242-2026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46222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16270-2026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46111</v>
      </c>
      <c r="E487" s="1" t="n">
        <v>46222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46222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16569-2026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46222</v>
      </c>
      <c r="F489" t="inlineStr">
        <is>
          <t>GÄVLEBORGS LÄN</t>
        </is>
      </c>
      <c r="G489" t="inlineStr">
        <is>
          <t>SANDVIKEN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46222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29297-2024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45483</v>
      </c>
      <c r="E491" s="1" t="n">
        <v>46222</v>
      </c>
      <c r="F491" t="inlineStr">
        <is>
          <t>GÄVLEBORGS LÄN</t>
        </is>
      </c>
      <c r="G491" t="inlineStr">
        <is>
          <t>SANDVIKEN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17166-2026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46115</v>
      </c>
      <c r="E492" s="1" t="n">
        <v>46222</v>
      </c>
      <c r="F492" t="inlineStr">
        <is>
          <t>GÄVLEBORGS LÄN</t>
        </is>
      </c>
      <c r="G492" t="inlineStr">
        <is>
          <t>SANDVIKEN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17173-2026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46115</v>
      </c>
      <c r="E493" s="1" t="n">
        <v>46222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46115</v>
      </c>
      <c r="E494" s="1" t="n">
        <v>46222</v>
      </c>
      <c r="F494" t="inlineStr">
        <is>
          <t>GÄVLEBORGS LÄN</t>
        </is>
      </c>
      <c r="G494" t="inlineStr">
        <is>
          <t>SANDVIKEN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6951-2024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45343</v>
      </c>
      <c r="E495" s="1" t="n">
        <v>46222</v>
      </c>
      <c r="F495" t="inlineStr">
        <is>
          <t>GÄVLEBORGS LÄN</t>
        </is>
      </c>
      <c r="G495" t="inlineStr">
        <is>
          <t>SANDVIKEN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17165-2026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46115</v>
      </c>
      <c r="E496" s="1" t="n">
        <v>46222</v>
      </c>
      <c r="F496" t="inlineStr">
        <is>
          <t>GÄVLEBORGS LÄN</t>
        </is>
      </c>
      <c r="G496" t="inlineStr">
        <is>
          <t>SANDVIKEN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16958-2026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46222</v>
      </c>
      <c r="F497" t="inlineStr">
        <is>
          <t>GÄVLEBORGS LÄN</t>
        </is>
      </c>
      <c r="G497" t="inlineStr">
        <is>
          <t>SANDVIKEN</t>
        </is>
      </c>
      <c r="I497" t="n">
        <v>10.3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17175-2026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46115</v>
      </c>
      <c r="E498" s="1" t="n">
        <v>46222</v>
      </c>
      <c r="F498" t="inlineStr">
        <is>
          <t>GÄVLEBORGS LÄN</t>
        </is>
      </c>
      <c r="G498" t="inlineStr">
        <is>
          <t>SANDVIKEN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17366-2026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46222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17361-2026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46222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17182-2026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46116</v>
      </c>
      <c r="E501" s="1" t="n">
        <v>46222</v>
      </c>
      <c r="F501" t="inlineStr">
        <is>
          <t>GÄVLEBORGS LÄN</t>
        </is>
      </c>
      <c r="G501" t="inlineStr">
        <is>
          <t>SANDVIKEN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11397-2023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44988</v>
      </c>
      <c r="E502" s="1" t="n">
        <v>46222</v>
      </c>
      <c r="F502" t="inlineStr">
        <is>
          <t>GÄVLEBORGS LÄN</t>
        </is>
      </c>
      <c r="G502" t="inlineStr">
        <is>
          <t>SANDVIKEN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46116</v>
      </c>
      <c r="E503" s="1" t="n">
        <v>46222</v>
      </c>
      <c r="F503" t="inlineStr">
        <is>
          <t>GÄVLEBORGS LÄN</t>
        </is>
      </c>
      <c r="G503" t="inlineStr">
        <is>
          <t>SANDVIKEN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17360-2026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46222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17171-2026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46115</v>
      </c>
      <c r="E505" s="1" t="n">
        <v>46222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30714-2023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46222</v>
      </c>
      <c r="F506" t="inlineStr">
        <is>
          <t>GÄVLEBORGS LÄN</t>
        </is>
      </c>
      <c r="G506" t="inlineStr">
        <is>
          <t>SANDVIKEN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17183-2026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46222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17359-2026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46222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17363-2026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46222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46222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38215-2023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45161</v>
      </c>
      <c r="E511" s="1" t="n">
        <v>46222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53718-2024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46222</v>
      </c>
      <c r="F512" t="inlineStr">
        <is>
          <t>GÄVLEBORGS LÄN</t>
        </is>
      </c>
      <c r="G512" t="inlineStr">
        <is>
          <t>SANDVIKEN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46163</v>
      </c>
      <c r="E513" s="1" t="n">
        <v>46222</v>
      </c>
      <c r="F513" t="inlineStr">
        <is>
          <t>GÄVLEBORGS LÄN</t>
        </is>
      </c>
      <c r="G513" t="inlineStr">
        <is>
          <t>SANDVIKEN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46222</v>
      </c>
      <c r="F514" t="inlineStr">
        <is>
          <t>GÄVLEBORGS LÄN</t>
        </is>
      </c>
      <c r="G514" t="inlineStr">
        <is>
          <t>SANDVIKEN</t>
        </is>
      </c>
      <c r="H514" t="inlineStr">
        <is>
          <t>Sveaskog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17626-2026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46222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17596-2026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46222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45666</v>
      </c>
      <c r="E517" s="1" t="n">
        <v>46222</v>
      </c>
      <c r="F517" t="inlineStr">
        <is>
          <t>GÄVLEBORGS LÄN</t>
        </is>
      </c>
      <c r="G517" t="inlineStr">
        <is>
          <t>SANDVIKEN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17859-2026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46122</v>
      </c>
      <c r="E518" s="1" t="n">
        <v>46222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18395-2026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46222</v>
      </c>
      <c r="F519" t="inlineStr">
        <is>
          <t>GÄVLEBORGS LÄN</t>
        </is>
      </c>
      <c r="G519" t="inlineStr">
        <is>
          <t>SANDVIKEN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18219-2026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46222</v>
      </c>
      <c r="F520" t="inlineStr">
        <is>
          <t>GÄVLEBORGS LÄN</t>
        </is>
      </c>
      <c r="G520" t="inlineStr">
        <is>
          <t>SANDVIKEN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18218-2026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46222</v>
      </c>
      <c r="F521" t="inlineStr">
        <is>
          <t>GÄVLEBORGS LÄN</t>
        </is>
      </c>
      <c r="G521" t="inlineStr">
        <is>
          <t>SANDVIKEN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18224-2026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46222</v>
      </c>
      <c r="F522" t="inlineStr">
        <is>
          <t>GÄVLEBORGS LÄN</t>
        </is>
      </c>
      <c r="G522" t="inlineStr">
        <is>
          <t>SANDVIKEN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14092-2026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46222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19018-2026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46130</v>
      </c>
      <c r="E524" s="1" t="n">
        <v>46222</v>
      </c>
      <c r="F524" t="inlineStr">
        <is>
          <t>GÄVLEBORGS LÄN</t>
        </is>
      </c>
      <c r="G524" t="inlineStr">
        <is>
          <t>SANDVIKEN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19083-2026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46222</v>
      </c>
      <c r="F525" t="inlineStr">
        <is>
          <t>GÄVLEBORGS LÄN</t>
        </is>
      </c>
      <c r="G525" t="inlineStr">
        <is>
          <t>SANDVIKEN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15855-2026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46222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19189-2026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46222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15788-2025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45748</v>
      </c>
      <c r="E528" s="1" t="n">
        <v>46222</v>
      </c>
      <c r="F528" t="inlineStr">
        <is>
          <t>GÄVLEBORGS LÄN</t>
        </is>
      </c>
      <c r="G528" t="inlineStr">
        <is>
          <t>SANDVIKEN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18991-2026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46222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18656-2026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46222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19467-2026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46222</v>
      </c>
      <c r="F531" t="inlineStr">
        <is>
          <t>GÄVLEBORGS LÄN</t>
        </is>
      </c>
      <c r="G531" t="inlineStr">
        <is>
          <t>SANDVIKEN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18749-2026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46222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18811-2026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46128</v>
      </c>
      <c r="E533" s="1" t="n">
        <v>46222</v>
      </c>
      <c r="F533" t="inlineStr">
        <is>
          <t>GÄVLEBORGS LÄN</t>
        </is>
      </c>
      <c r="G533" t="inlineStr">
        <is>
          <t>SANDVIKEN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47889-2022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44855</v>
      </c>
      <c r="E534" s="1" t="n">
        <v>46222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7825-2026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46222</v>
      </c>
      <c r="F535" t="inlineStr">
        <is>
          <t>GÄVLEBORGS LÄN</t>
        </is>
      </c>
      <c r="G535" t="inlineStr">
        <is>
          <t>SANDVIKEN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12675-2026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46091</v>
      </c>
      <c r="E536" s="1" t="n">
        <v>46222</v>
      </c>
      <c r="F536" t="inlineStr">
        <is>
          <t>GÄVLEBORGS LÄN</t>
        </is>
      </c>
      <c r="G536" t="inlineStr">
        <is>
          <t>SANDVIKEN</t>
        </is>
      </c>
      <c r="H536" t="inlineStr">
        <is>
          <t>Naturvårdsverket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18750-2026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46222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19080-2026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46222</v>
      </c>
      <c r="F538" t="inlineStr">
        <is>
          <t>GÄVLEBORGS LÄN</t>
        </is>
      </c>
      <c r="G538" t="inlineStr">
        <is>
          <t>SANDVIKEN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12732-2026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46091</v>
      </c>
      <c r="E539" s="1" t="n">
        <v>46222</v>
      </c>
      <c r="F539" t="inlineStr">
        <is>
          <t>GÄVLEBORGS LÄN</t>
        </is>
      </c>
      <c r="G539" t="inlineStr">
        <is>
          <t>SANDVIKEN</t>
        </is>
      </c>
      <c r="H539" t="inlineStr">
        <is>
          <t>Naturvårdsverket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46129</v>
      </c>
      <c r="E540" s="1" t="n">
        <v>46222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46222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18988-2026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46222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18992-2026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46222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18997-2026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46129</v>
      </c>
      <c r="E544" s="1" t="n">
        <v>46222</v>
      </c>
      <c r="F544" t="inlineStr">
        <is>
          <t>GÄVLEBORGS LÄN</t>
        </is>
      </c>
      <c r="G544" t="inlineStr">
        <is>
          <t>SANDVIKEN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18987-2026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46129</v>
      </c>
      <c r="E545" s="1" t="n">
        <v>46222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30721-2023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45112</v>
      </c>
      <c r="E546" s="1" t="n">
        <v>46222</v>
      </c>
      <c r="F546" t="inlineStr">
        <is>
          <t>GÄVLEBORGS LÄN</t>
        </is>
      </c>
      <c r="G546" t="inlineStr">
        <is>
          <t>SANDVIKEN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44586</v>
      </c>
      <c r="E547" s="1" t="n">
        <v>46222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19273-2026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46222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32260-2023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46222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17818-2025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45758</v>
      </c>
      <c r="E550" s="1" t="n">
        <v>46222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19904-2026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46136</v>
      </c>
      <c r="E551" s="1" t="n">
        <v>46222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12776-2026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46222</v>
      </c>
      <c r="F552" t="inlineStr">
        <is>
          <t>GÄVLEBORGS LÄN</t>
        </is>
      </c>
      <c r="G552" t="inlineStr">
        <is>
          <t>SANDVIKEN</t>
        </is>
      </c>
      <c r="H552" t="inlineStr">
        <is>
          <t>Naturvårdsverket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19827-2026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46222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45299-2023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46222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46042</v>
      </c>
      <c r="E555" s="1" t="n">
        <v>46222</v>
      </c>
      <c r="F555" t="inlineStr">
        <is>
          <t>GÄVLEBORGS LÄN</t>
        </is>
      </c>
      <c r="G555" t="inlineStr">
        <is>
          <t>SANDVIKEN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59661-2024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46222</v>
      </c>
      <c r="F556" t="inlineStr">
        <is>
          <t>GÄVLEBORGS LÄN</t>
        </is>
      </c>
      <c r="G556" t="inlineStr">
        <is>
          <t>SANDVIKEN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19910-2026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46136</v>
      </c>
      <c r="E557" s="1" t="n">
        <v>46222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19865-2026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46222</v>
      </c>
      <c r="F558" t="inlineStr">
        <is>
          <t>GÄVLEBORGS LÄN</t>
        </is>
      </c>
      <c r="G558" t="inlineStr">
        <is>
          <t>SANDVIKEN</t>
        </is>
      </c>
      <c r="H558" t="inlineStr">
        <is>
          <t>Sveaskog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46222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13258-2026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46222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72997-2021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44549</v>
      </c>
      <c r="E561" s="1" t="n">
        <v>46222</v>
      </c>
      <c r="F561" t="inlineStr">
        <is>
          <t>GÄVLEBORGS LÄN</t>
        </is>
      </c>
      <c r="G561" t="inlineStr">
        <is>
          <t>SANDVIKEN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46222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12382-2026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46222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40745-2024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45558</v>
      </c>
      <c r="E564" s="1" t="n">
        <v>46222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38609-2022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44813</v>
      </c>
      <c r="E565" s="1" t="n">
        <v>46222</v>
      </c>
      <c r="F565" t="inlineStr">
        <is>
          <t>GÄVLEBORGS LÄN</t>
        </is>
      </c>
      <c r="G565" t="inlineStr">
        <is>
          <t>SANDVIKEN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8379-2025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45709</v>
      </c>
      <c r="E566" s="1" t="n">
        <v>46222</v>
      </c>
      <c r="F566" t="inlineStr">
        <is>
          <t>GÄVLEBORGS LÄN</t>
        </is>
      </c>
      <c r="G566" t="inlineStr">
        <is>
          <t>SANDVIKEN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36203-2025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46222</v>
      </c>
      <c r="F567" t="inlineStr">
        <is>
          <t>GÄVLEBORGS LÄN</t>
        </is>
      </c>
      <c r="G567" t="inlineStr">
        <is>
          <t>SANDVIKEN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37641-2024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46222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7032-2025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46222</v>
      </c>
      <c r="F569" t="inlineStr">
        <is>
          <t>GÄVLEBORGS LÄN</t>
        </is>
      </c>
      <c r="G569" t="inlineStr">
        <is>
          <t>SANDVIKEN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46222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549-2022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44566</v>
      </c>
      <c r="E571" s="1" t="n">
        <v>46222</v>
      </c>
      <c r="F571" t="inlineStr">
        <is>
          <t>GÄVLEBORGS LÄN</t>
        </is>
      </c>
      <c r="G571" t="inlineStr">
        <is>
          <t>SANDVIKEN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23162-2023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45075</v>
      </c>
      <c r="E572" s="1" t="n">
        <v>46222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8698-2024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45356</v>
      </c>
      <c r="E573" s="1" t="n">
        <v>46222</v>
      </c>
      <c r="F573" t="inlineStr">
        <is>
          <t>GÄVLEBORGS LÄN</t>
        </is>
      </c>
      <c r="G573" t="inlineStr">
        <is>
          <t>SANDVIKEN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56734-2021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44481</v>
      </c>
      <c r="E574" s="1" t="n">
        <v>46222</v>
      </c>
      <c r="F574" t="inlineStr">
        <is>
          <t>GÄVLEBORGS LÄN</t>
        </is>
      </c>
      <c r="G574" t="inlineStr">
        <is>
          <t>SANDVIKEN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36656-2023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46222</v>
      </c>
      <c r="F575" t="inlineStr">
        <is>
          <t>GÄVLEBORGS LÄN</t>
        </is>
      </c>
      <c r="G575" t="inlineStr">
        <is>
          <t>SANDVIKEN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36660-2023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45153</v>
      </c>
      <c r="E576" s="1" t="n">
        <v>46222</v>
      </c>
      <c r="F576" t="inlineStr">
        <is>
          <t>GÄVLEBORGS LÄN</t>
        </is>
      </c>
      <c r="G576" t="inlineStr">
        <is>
          <t>SANDVIKEN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46222</v>
      </c>
      <c r="F577" t="inlineStr">
        <is>
          <t>GÄVLEBORGS LÄN</t>
        </is>
      </c>
      <c r="G577" t="inlineStr">
        <is>
          <t>SANDVIKEN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46222</v>
      </c>
      <c r="F578" t="inlineStr">
        <is>
          <t>GÄVLEBORGS LÄN</t>
        </is>
      </c>
      <c r="G578" t="inlineStr">
        <is>
          <t>SANDVIKEN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1064-2026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46222</v>
      </c>
      <c r="F579" t="inlineStr">
        <is>
          <t>GÄVLEBORGS LÄN</t>
        </is>
      </c>
      <c r="G579" t="inlineStr">
        <is>
          <t>SANDVIKEN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30718-2023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45112</v>
      </c>
      <c r="E580" s="1" t="n">
        <v>46222</v>
      </c>
      <c r="F580" t="inlineStr">
        <is>
          <t>GÄVLEBORGS LÄN</t>
        </is>
      </c>
      <c r="G580" t="inlineStr">
        <is>
          <t>SANDVIKEN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59614-2024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46222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8604-2026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46065</v>
      </c>
      <c r="E582" s="1" t="n">
        <v>46222</v>
      </c>
      <c r="F582" t="inlineStr">
        <is>
          <t>GÄVLEBORGS LÄN</t>
        </is>
      </c>
      <c r="G582" t="inlineStr">
        <is>
          <t>SANDVIKEN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6956-2026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46222</v>
      </c>
      <c r="F583" t="inlineStr">
        <is>
          <t>GÄVLEBORGS LÄN</t>
        </is>
      </c>
      <c r="G583" t="inlineStr">
        <is>
          <t>SANDVIKEN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27969-2024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45476</v>
      </c>
      <c r="E584" s="1" t="n">
        <v>46222</v>
      </c>
      <c r="F584" t="inlineStr">
        <is>
          <t>GÄVLEBORGS LÄN</t>
        </is>
      </c>
      <c r="G584" t="inlineStr">
        <is>
          <t>SANDVIKEN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7911-2026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46222</v>
      </c>
      <c r="F585" t="inlineStr">
        <is>
          <t>GÄVLEBORGS LÄN</t>
        </is>
      </c>
      <c r="G585" t="inlineStr">
        <is>
          <t>SANDVIKEN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42495-2025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45905</v>
      </c>
      <c r="E586" s="1" t="n">
        <v>46222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46222</v>
      </c>
      <c r="F587" t="inlineStr">
        <is>
          <t>GÄVLEBORGS LÄN</t>
        </is>
      </c>
      <c r="G587" t="inlineStr">
        <is>
          <t>SANDVIKEN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6428-2026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46222</v>
      </c>
      <c r="F588" t="inlineStr">
        <is>
          <t>GÄVLEBORGS LÄN</t>
        </is>
      </c>
      <c r="G588" t="inlineStr">
        <is>
          <t>SANDVIKEN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13194-2025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46222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37697-2022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44810</v>
      </c>
      <c r="E590" s="1" t="n">
        <v>46222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49706-2023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45212</v>
      </c>
      <c r="E591" s="1" t="n">
        <v>46222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21178-2025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46222</v>
      </c>
      <c r="F592" t="inlineStr">
        <is>
          <t>GÄVLEBORGS LÄN</t>
        </is>
      </c>
      <c r="G592" t="inlineStr">
        <is>
          <t>SANDVIKEN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54443-2024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45617</v>
      </c>
      <c r="E593" s="1" t="n">
        <v>46222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46222</v>
      </c>
      <c r="F594" t="inlineStr">
        <is>
          <t>GÄVLEBORGS LÄN</t>
        </is>
      </c>
      <c r="G594" t="inlineStr">
        <is>
          <t>SANDVIKEN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46222</v>
      </c>
      <c r="F595" t="inlineStr">
        <is>
          <t>GÄVLEBORGS LÄN</t>
        </is>
      </c>
      <c r="G595" t="inlineStr">
        <is>
          <t>SANDVIKEN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48300-2023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45205</v>
      </c>
      <c r="E596" s="1" t="n">
        <v>46222</v>
      </c>
      <c r="F596" t="inlineStr">
        <is>
          <t>GÄVLEBORGS LÄN</t>
        </is>
      </c>
      <c r="G596" t="inlineStr">
        <is>
          <t>SANDVIKEN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48597-2023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45208</v>
      </c>
      <c r="E597" s="1" t="n">
        <v>46222</v>
      </c>
      <c r="F597" t="inlineStr">
        <is>
          <t>GÄVLEBORGS LÄN</t>
        </is>
      </c>
      <c r="G597" t="inlineStr">
        <is>
          <t>SANDVIKEN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8570-2026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46222</v>
      </c>
      <c r="F598" t="inlineStr">
        <is>
          <t>GÄVLEBORGS LÄN</t>
        </is>
      </c>
      <c r="G598" t="inlineStr">
        <is>
          <t>SANDVIKEN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49512-2023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46222</v>
      </c>
      <c r="F599" t="inlineStr">
        <is>
          <t>GÄVLEBORGS LÄN</t>
        </is>
      </c>
      <c r="G599" t="inlineStr">
        <is>
          <t>SANDVIKEN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45666</v>
      </c>
      <c r="E600" s="1" t="n">
        <v>46222</v>
      </c>
      <c r="F600" t="inlineStr">
        <is>
          <t>GÄVLEBORGS LÄN</t>
        </is>
      </c>
      <c r="G600" t="inlineStr">
        <is>
          <t>SANDVIKEN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7924-2026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46222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9601-2026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46222</v>
      </c>
      <c r="F602" t="inlineStr">
        <is>
          <t>GÄVLEBORGS LÄN</t>
        </is>
      </c>
      <c r="G602" t="inlineStr">
        <is>
          <t>SANDVIKEN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45698</v>
      </c>
      <c r="E603" s="1" t="n">
        <v>46222</v>
      </c>
      <c r="F603" t="inlineStr">
        <is>
          <t>GÄVLEBORGS LÄN</t>
        </is>
      </c>
      <c r="G603" t="inlineStr">
        <is>
          <t>SANDVIKEN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48799-2023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46222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46222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55539-2023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45238</v>
      </c>
      <c r="E606" s="1" t="n">
        <v>46222</v>
      </c>
      <c r="F606" t="inlineStr">
        <is>
          <t>GÄVLEBORGS LÄN</t>
        </is>
      </c>
      <c r="G606" t="inlineStr">
        <is>
          <t>SANDVIKEN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56036-2023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45240</v>
      </c>
      <c r="E607" s="1" t="n">
        <v>46222</v>
      </c>
      <c r="F607" t="inlineStr">
        <is>
          <t>GÄVLEBORGS LÄN</t>
        </is>
      </c>
      <c r="G607" t="inlineStr">
        <is>
          <t>SANDVIKEN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46222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46222</v>
      </c>
      <c r="F609" t="inlineStr">
        <is>
          <t>GÄVLEBORGS LÄN</t>
        </is>
      </c>
      <c r="G609" t="inlineStr">
        <is>
          <t>SANDVIKEN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36656-2024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45537</v>
      </c>
      <c r="E610" s="1" t="n">
        <v>46222</v>
      </c>
      <c r="F610" t="inlineStr">
        <is>
          <t>GÄVLEBORGS LÄN</t>
        </is>
      </c>
      <c r="G610" t="inlineStr">
        <is>
          <t>SANDVIKEN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14910-2026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46222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46222</v>
      </c>
      <c r="F612" t="inlineStr">
        <is>
          <t>GÄVLEBORGS LÄN</t>
        </is>
      </c>
      <c r="G612" t="inlineStr">
        <is>
          <t>SANDVIKEN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49209-2024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46222</v>
      </c>
      <c r="F613" t="inlineStr">
        <is>
          <t>GÄVLEBORGS LÄN</t>
        </is>
      </c>
      <c r="G613" t="inlineStr">
        <is>
          <t>SANDVIKEN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46222</v>
      </c>
      <c r="F614" t="inlineStr">
        <is>
          <t>GÄVLEBORGS LÄN</t>
        </is>
      </c>
      <c r="G614" t="inlineStr">
        <is>
          <t>SANDVIKEN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7599-2026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46061</v>
      </c>
      <c r="E615" s="1" t="n">
        <v>46222</v>
      </c>
      <c r="F615" t="inlineStr">
        <is>
          <t>GÄVLEBORGS LÄN</t>
        </is>
      </c>
      <c r="G615" t="inlineStr">
        <is>
          <t>SANDVIKEN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44717-2025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45917</v>
      </c>
      <c r="E616" s="1" t="n">
        <v>46222</v>
      </c>
      <c r="F616" t="inlineStr">
        <is>
          <t>GÄVLEBORGS LÄN</t>
        </is>
      </c>
      <c r="G616" t="inlineStr">
        <is>
          <t>SANDVIKEN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4539-2026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46046</v>
      </c>
      <c r="E617" s="1" t="n">
        <v>46222</v>
      </c>
      <c r="F617" t="inlineStr">
        <is>
          <t>GÄVLEBORGS LÄN</t>
        </is>
      </c>
      <c r="G617" t="inlineStr">
        <is>
          <t>SANDVIKEN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11967-2025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45728</v>
      </c>
      <c r="E618" s="1" t="n">
        <v>46222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61052-2024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45645</v>
      </c>
      <c r="E619" s="1" t="n">
        <v>46222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20618-2026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46222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7073-2026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46058</v>
      </c>
      <c r="E621" s="1" t="n">
        <v>46222</v>
      </c>
      <c r="F621" t="inlineStr">
        <is>
          <t>GÄVLEBORGS LÄN</t>
        </is>
      </c>
      <c r="G621" t="inlineStr">
        <is>
          <t>SANDVIKEN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11894-2026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46222</v>
      </c>
      <c r="F622" t="inlineStr">
        <is>
          <t>GÄVLEBORGS LÄN</t>
        </is>
      </c>
      <c r="G622" t="inlineStr">
        <is>
          <t>SANDVIKEN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11205-2026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46080</v>
      </c>
      <c r="E623" s="1" t="n">
        <v>46222</v>
      </c>
      <c r="F623" t="inlineStr">
        <is>
          <t>GÄVLEBORGS LÄN</t>
        </is>
      </c>
      <c r="G623" t="inlineStr">
        <is>
          <t>SANDVIKEN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45701</v>
      </c>
      <c r="E624" s="1" t="n">
        <v>46222</v>
      </c>
      <c r="F624" t="inlineStr">
        <is>
          <t>GÄVLEBORGS LÄN</t>
        </is>
      </c>
      <c r="G624" t="inlineStr">
        <is>
          <t>SANDVIKEN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7056-2025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46222</v>
      </c>
      <c r="F625" t="inlineStr">
        <is>
          <t>GÄVLEBORGS LÄN</t>
        </is>
      </c>
      <c r="G625" t="inlineStr">
        <is>
          <t>SANDVIKEN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46222</v>
      </c>
      <c r="F626" t="inlineStr">
        <is>
          <t>GÄVLEBORGS LÄN</t>
        </is>
      </c>
      <c r="G626" t="inlineStr">
        <is>
          <t>SANDVIKEN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50900-2024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46222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9139-2026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46222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53867-2024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46222</v>
      </c>
      <c r="F629" t="inlineStr">
        <is>
          <t>GÄVLEBORGS LÄN</t>
        </is>
      </c>
      <c r="G629" t="inlineStr">
        <is>
          <t>SANDVIKEN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38319-2025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46222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4882-2026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46222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46222</v>
      </c>
      <c r="F632" t="inlineStr">
        <is>
          <t>GÄVLEBORGS LÄN</t>
        </is>
      </c>
      <c r="G632" t="inlineStr">
        <is>
          <t>SANDVIKEN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26271-2026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46222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46222</v>
      </c>
      <c r="F634" t="inlineStr">
        <is>
          <t>GÄVLEBORGS LÄN</t>
        </is>
      </c>
      <c r="G634" t="inlineStr">
        <is>
          <t>SANDVIKEN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46222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19499-2026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46222</v>
      </c>
      <c r="F636" t="inlineStr">
        <is>
          <t>GÄVLEBORGS LÄN</t>
        </is>
      </c>
      <c r="G636" t="inlineStr">
        <is>
          <t>SANDVIKEN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15237-2026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46222</v>
      </c>
      <c r="F637" t="inlineStr">
        <is>
          <t>GÄVLEBORGS LÄN</t>
        </is>
      </c>
      <c r="G637" t="inlineStr">
        <is>
          <t>SANDVIKEN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46222</v>
      </c>
      <c r="F638" t="inlineStr">
        <is>
          <t>GÄVLEBORGS LÄN</t>
        </is>
      </c>
      <c r="G638" t="inlineStr">
        <is>
          <t>SANDVIKEN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19269-2025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46222</v>
      </c>
      <c r="F639" t="inlineStr">
        <is>
          <t>GÄVLEBORGS LÄN</t>
        </is>
      </c>
      <c r="G639" t="inlineStr">
        <is>
          <t>SANDVIKEN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46222</v>
      </c>
      <c r="F640" t="inlineStr">
        <is>
          <t>GÄVLEBORGS LÄN</t>
        </is>
      </c>
      <c r="G640" t="inlineStr">
        <is>
          <t>SANDVIKEN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26763-2026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46222</v>
      </c>
      <c r="F641" t="inlineStr">
        <is>
          <t>GÄVLEBORGS LÄN</t>
        </is>
      </c>
      <c r="G641" t="inlineStr">
        <is>
          <t>SANDVIKEN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26780-2026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46222</v>
      </c>
      <c r="F642" t="inlineStr">
        <is>
          <t>GÄVLEBORGS LÄN</t>
        </is>
      </c>
      <c r="G642" t="inlineStr">
        <is>
          <t>SANDVIKEN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58911-2023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46222</v>
      </c>
      <c r="F643" t="inlineStr">
        <is>
          <t>GÄVLEBORGS LÄN</t>
        </is>
      </c>
      <c r="G643" t="inlineStr">
        <is>
          <t>SANDVIKEN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3656-2026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46222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58562-2023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46222</v>
      </c>
      <c r="F645" t="inlineStr">
        <is>
          <t>GÄVLEBORGS LÄN</t>
        </is>
      </c>
      <c r="G645" t="inlineStr">
        <is>
          <t>SANDVIKEN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46222</v>
      </c>
      <c r="F646" t="inlineStr">
        <is>
          <t>GÄVLEBORGS LÄN</t>
        </is>
      </c>
      <c r="G646" t="inlineStr">
        <is>
          <t>SANDVIKEN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7349-2026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46222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53007-2023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46222</v>
      </c>
      <c r="F648" t="inlineStr">
        <is>
          <t>GÄVLEBORGS LÄN</t>
        </is>
      </c>
      <c r="G648" t="inlineStr">
        <is>
          <t>SANDVIKEN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46222</v>
      </c>
      <c r="F649" t="inlineStr">
        <is>
          <t>GÄVLEBORGS LÄN</t>
        </is>
      </c>
      <c r="G649" t="inlineStr">
        <is>
          <t>SANDVIKEN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12477-2026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46222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26601-2026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46222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20636-2026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46222</v>
      </c>
      <c r="F652" t="inlineStr">
        <is>
          <t>GÄVLEBORGS LÄN</t>
        </is>
      </c>
      <c r="G652" t="inlineStr">
        <is>
          <t>SANDVIKEN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9694-2026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46222</v>
      </c>
      <c r="F653" t="inlineStr">
        <is>
          <t>GÄVLEBORGS LÄN</t>
        </is>
      </c>
      <c r="G653" t="inlineStr">
        <is>
          <t>SANDVIKEN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46031</v>
      </c>
      <c r="E654" s="1" t="n">
        <v>46222</v>
      </c>
      <c r="F654" t="inlineStr">
        <is>
          <t>GÄVLEBORGS LÄN</t>
        </is>
      </c>
      <c r="G654" t="inlineStr">
        <is>
          <t>SANDVIKEN</t>
        </is>
      </c>
      <c r="I654" t="n">
        <v>11.2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36646-2022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46222</v>
      </c>
      <c r="F655" t="inlineStr">
        <is>
          <t>GÄVLEBORGS LÄN</t>
        </is>
      </c>
      <c r="G655" t="inlineStr">
        <is>
          <t>SANDVIKEN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16683-2024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46222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väst AB</t>
        </is>
      </c>
      <c r="I656" t="n">
        <v>14.2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26964-2026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46222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46222</v>
      </c>
      <c r="F658" t="inlineStr">
        <is>
          <t>GÄVLEBORGS LÄN</t>
        </is>
      </c>
      <c r="G658" t="inlineStr">
        <is>
          <t>SANDVIKEN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26882-2026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46222</v>
      </c>
      <c r="F659" t="inlineStr">
        <is>
          <t>GÄVLEBORGS LÄN</t>
        </is>
      </c>
      <c r="G659" t="inlineStr">
        <is>
          <t>SANDVIKEN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44744</v>
      </c>
      <c r="E660" s="1" t="n">
        <v>46222</v>
      </c>
      <c r="F660" t="inlineStr">
        <is>
          <t>GÄVLEBORGS LÄN</t>
        </is>
      </c>
      <c r="G660" t="inlineStr">
        <is>
          <t>SANDVIKEN</t>
        </is>
      </c>
      <c r="I660" t="n">
        <v>6.9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8600-2026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46065</v>
      </c>
      <c r="E661" s="1" t="n">
        <v>46222</v>
      </c>
      <c r="F661" t="inlineStr">
        <is>
          <t>GÄVLEBORGS LÄN</t>
        </is>
      </c>
      <c r="G661" t="inlineStr">
        <is>
          <t>SANDVIKEN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57609-2023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46222</v>
      </c>
      <c r="F662" t="inlineStr">
        <is>
          <t>GÄVLEBORGS LÄN</t>
        </is>
      </c>
      <c r="G662" t="inlineStr">
        <is>
          <t>SANDVIKEN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26818-2026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46222</v>
      </c>
      <c r="F663" t="inlineStr">
        <is>
          <t>GÄVLEBORGS LÄN</t>
        </is>
      </c>
      <c r="G663" t="inlineStr">
        <is>
          <t>SANDVIKEN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26872-2026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46222</v>
      </c>
      <c r="F664" t="inlineStr">
        <is>
          <t>GÄVLEBORGS LÄN</t>
        </is>
      </c>
      <c r="G664" t="inlineStr">
        <is>
          <t>SANDVIKEN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20917-2026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46142</v>
      </c>
      <c r="E665" s="1" t="n">
        <v>46222</v>
      </c>
      <c r="F665" t="inlineStr">
        <is>
          <t>GÄVLEBORGS LÄN</t>
        </is>
      </c>
      <c r="G665" t="inlineStr">
        <is>
          <t>SANDVIKEN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17177-2026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46115</v>
      </c>
      <c r="E666" s="1" t="n">
        <v>46222</v>
      </c>
      <c r="F666" t="inlineStr">
        <is>
          <t>GÄVLEBORGS LÄN</t>
        </is>
      </c>
      <c r="G666" t="inlineStr">
        <is>
          <t>SANDVIKEN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3833-2024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45321</v>
      </c>
      <c r="E667" s="1" t="n">
        <v>46222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45530</v>
      </c>
      <c r="E668" s="1" t="n">
        <v>46222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27588-2026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46222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21576-2026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46222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21334-2026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46222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45989-2023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45196</v>
      </c>
      <c r="E672" s="1" t="n">
        <v>46222</v>
      </c>
      <c r="F672" t="inlineStr">
        <is>
          <t>GÄVLEBORGS LÄN</t>
        </is>
      </c>
      <c r="G672" t="inlineStr">
        <is>
          <t>SANDVIKEN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46147</v>
      </c>
      <c r="E673" s="1" t="n">
        <v>46222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21377-2026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46147</v>
      </c>
      <c r="E674" s="1" t="n">
        <v>46222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34946-2022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44796</v>
      </c>
      <c r="E675" s="1" t="n">
        <v>46222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21343-2026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46222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45240</v>
      </c>
      <c r="E677" s="1" t="n">
        <v>46222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21288-2026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46222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46222</v>
      </c>
      <c r="F679" t="inlineStr">
        <is>
          <t>GÄVLEBORGS LÄN</t>
        </is>
      </c>
      <c r="G679" t="inlineStr">
        <is>
          <t>SANDVIKEN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45920-2022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44846</v>
      </c>
      <c r="E680" s="1" t="n">
        <v>46222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36671-2023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46222</v>
      </c>
      <c r="F681" t="inlineStr">
        <is>
          <t>GÄVLEBORGS LÄN</t>
        </is>
      </c>
      <c r="G681" t="inlineStr">
        <is>
          <t>SANDVIKEN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29928-2024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45488</v>
      </c>
      <c r="E682" s="1" t="n">
        <v>46222</v>
      </c>
      <c r="F682" t="inlineStr">
        <is>
          <t>GÄVLEBORGS LÄN</t>
        </is>
      </c>
      <c r="G682" t="inlineStr">
        <is>
          <t>SANDVIKEN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27743-2026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46191</v>
      </c>
      <c r="E683" s="1" t="n">
        <v>46222</v>
      </c>
      <c r="F683" t="inlineStr">
        <is>
          <t>GÄVLEBORGS LÄN</t>
        </is>
      </c>
      <c r="G683" t="inlineStr">
        <is>
          <t>SANDVIKEN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3679-2022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44586</v>
      </c>
      <c r="E684" s="1" t="n">
        <v>46222</v>
      </c>
      <c r="F684" t="inlineStr">
        <is>
          <t>GÄVLEBORGS LÄN</t>
        </is>
      </c>
      <c r="G684" t="inlineStr">
        <is>
          <t>SANDVIKEN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64801-2023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45282</v>
      </c>
      <c r="E685" s="1" t="n">
        <v>46222</v>
      </c>
      <c r="F685" t="inlineStr">
        <is>
          <t>GÄVLEBORGS LÄN</t>
        </is>
      </c>
      <c r="G685" t="inlineStr">
        <is>
          <t>SANDVIKEN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61363-2023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45264</v>
      </c>
      <c r="E686" s="1" t="n">
        <v>46222</v>
      </c>
      <c r="F686" t="inlineStr">
        <is>
          <t>GÄVLEBORGS LÄN</t>
        </is>
      </c>
      <c r="G686" t="inlineStr">
        <is>
          <t>SANDVIKEN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28344-2026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46196</v>
      </c>
      <c r="E687" s="1" t="n">
        <v>46222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28349-2026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46222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22008-2026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46222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61537-2023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45265</v>
      </c>
      <c r="E690" s="1" t="n">
        <v>46222</v>
      </c>
      <c r="F690" t="inlineStr">
        <is>
          <t>GÄVLEBORGS LÄN</t>
        </is>
      </c>
      <c r="G690" t="inlineStr">
        <is>
          <t>SANDVIKEN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46222</v>
      </c>
      <c r="F691" t="inlineStr">
        <is>
          <t>GÄVLEBORGS LÄN</t>
        </is>
      </c>
      <c r="G691" t="inlineStr">
        <is>
          <t>SANDVIKEN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12120-2026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46086</v>
      </c>
      <c r="E692" s="1" t="n">
        <v>46222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4848-2026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46048</v>
      </c>
      <c r="E693" s="1" t="n">
        <v>46222</v>
      </c>
      <c r="F693" t="inlineStr">
        <is>
          <t>GÄVLEBORGS LÄN</t>
        </is>
      </c>
      <c r="G693" t="inlineStr">
        <is>
          <t>SANDVIKEN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22205-2026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46222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28346-2026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46222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21951-2026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46151</v>
      </c>
      <c r="E696" s="1" t="n">
        <v>46222</v>
      </c>
      <c r="F696" t="inlineStr">
        <is>
          <t>GÄVLEBORGS LÄN</t>
        </is>
      </c>
      <c r="G696" t="inlineStr">
        <is>
          <t>SANDVIKEN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45293</v>
      </c>
      <c r="E697" s="1" t="n">
        <v>46222</v>
      </c>
      <c r="F697" t="inlineStr">
        <is>
          <t>GÄVLEBORGS LÄN</t>
        </is>
      </c>
      <c r="G697" t="inlineStr">
        <is>
          <t>SANDVIKEN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45293</v>
      </c>
      <c r="E698" s="1" t="n">
        <v>46222</v>
      </c>
      <c r="F698" t="inlineStr">
        <is>
          <t>GÄVLEBORGS LÄN</t>
        </is>
      </c>
      <c r="G698" t="inlineStr">
        <is>
          <t>SANDVIKEN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12149-2026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46222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45660</v>
      </c>
      <c r="E700" s="1" t="n">
        <v>46222</v>
      </c>
      <c r="F700" t="inlineStr">
        <is>
          <t>GÄVLEBORGS LÄN</t>
        </is>
      </c>
      <c r="G700" t="inlineStr">
        <is>
          <t>SANDVIKEN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5257-2026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46222</v>
      </c>
      <c r="F701" t="inlineStr">
        <is>
          <t>GÄVLEBORGS LÄN</t>
        </is>
      </c>
      <c r="G701" t="inlineStr">
        <is>
          <t>SANDVIKEN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11089-2026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46079</v>
      </c>
      <c r="E702" s="1" t="n">
        <v>46222</v>
      </c>
      <c r="F702" t="inlineStr">
        <is>
          <t>GÄVLEBORGS LÄN</t>
        </is>
      </c>
      <c r="G702" t="inlineStr">
        <is>
          <t>SANDVIKEN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22068-2026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46153</v>
      </c>
      <c r="E703" s="1" t="n">
        <v>46222</v>
      </c>
      <c r="F703" t="inlineStr">
        <is>
          <t>GÄVLEBORGS LÄN</t>
        </is>
      </c>
      <c r="G703" t="inlineStr">
        <is>
          <t>SANDVIKEN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46222</v>
      </c>
      <c r="F704" t="inlineStr">
        <is>
          <t>GÄVLEBORGS LÄN</t>
        </is>
      </c>
      <c r="G704" t="inlineStr">
        <is>
          <t>SANDVIKEN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37458-2024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46222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46222</v>
      </c>
      <c r="F706" t="inlineStr">
        <is>
          <t>GÄVLEBORGS LÄN</t>
        </is>
      </c>
      <c r="G706" t="inlineStr">
        <is>
          <t>SANDVIKEN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48765-2021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44452</v>
      </c>
      <c r="E707" s="1" t="n">
        <v>46222</v>
      </c>
      <c r="F707" t="inlineStr">
        <is>
          <t>GÄVLEBORGS LÄN</t>
        </is>
      </c>
      <c r="G707" t="inlineStr">
        <is>
          <t>SANDVIKEN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45221-2021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44439</v>
      </c>
      <c r="E708" s="1" t="n">
        <v>46222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7.6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60798-2023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45260</v>
      </c>
      <c r="E709" s="1" t="n">
        <v>46222</v>
      </c>
      <c r="F709" t="inlineStr">
        <is>
          <t>GÄVLEBORGS LÄN</t>
        </is>
      </c>
      <c r="G709" t="inlineStr">
        <is>
          <t>SANDVIKEN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71995-2021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44544</v>
      </c>
      <c r="E710" s="1" t="n">
        <v>46222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28728-2026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46222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16012-2026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46222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11438-2023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44988</v>
      </c>
      <c r="E713" s="1" t="n">
        <v>46222</v>
      </c>
      <c r="F713" t="inlineStr">
        <is>
          <t>GÄVLEBORGS LÄN</t>
        </is>
      </c>
      <c r="G713" t="inlineStr">
        <is>
          <t>SANDVIKEN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11447-2023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44988</v>
      </c>
      <c r="E714" s="1" t="n">
        <v>46222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13551-2026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46222</v>
      </c>
      <c r="F715" t="inlineStr">
        <is>
          <t>GÄVLEBORGS LÄN</t>
        </is>
      </c>
      <c r="G715" t="inlineStr">
        <is>
          <t>SANDVIKEN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16258-2023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46222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väst AB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11778-2024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45374</v>
      </c>
      <c r="E717" s="1" t="n">
        <v>46222</v>
      </c>
      <c r="F717" t="inlineStr">
        <is>
          <t>GÄVLEBORGS LÄN</t>
        </is>
      </c>
      <c r="G717" t="inlineStr">
        <is>
          <t>SANDVIKEN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11897-2024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45376</v>
      </c>
      <c r="E718" s="1" t="n">
        <v>46222</v>
      </c>
      <c r="F718" t="inlineStr">
        <is>
          <t>GÄVLEBORGS LÄN</t>
        </is>
      </c>
      <c r="G718" t="inlineStr">
        <is>
          <t>SANDVIKEN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42069-2024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46222</v>
      </c>
      <c r="F719" t="inlineStr">
        <is>
          <t>GÄVLEBORGS LÄN</t>
        </is>
      </c>
      <c r="G719" t="inlineStr">
        <is>
          <t>SANDVIKEN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62642-2023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45271</v>
      </c>
      <c r="E720" s="1" t="n">
        <v>46222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29321-2026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46202</v>
      </c>
      <c r="E721" s="1" t="n">
        <v>46222</v>
      </c>
      <c r="F721" t="inlineStr">
        <is>
          <t>GÄVLEBORGS LÄN</t>
        </is>
      </c>
      <c r="G721" t="inlineStr">
        <is>
          <t>SANDVIKEN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28340-2026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46222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26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22238-2023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45070</v>
      </c>
      <c r="E723" s="1" t="n">
        <v>46222</v>
      </c>
      <c r="F723" t="inlineStr">
        <is>
          <t>GÄVLEBORGS LÄN</t>
        </is>
      </c>
      <c r="G723" t="inlineStr">
        <is>
          <t>SANDVIKEN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23085-2023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46222</v>
      </c>
      <c r="F724" t="inlineStr">
        <is>
          <t>GÄVLEBORGS LÄN</t>
        </is>
      </c>
      <c r="G724" t="inlineStr">
        <is>
          <t>SANDVIKEN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46222</v>
      </c>
      <c r="F725" t="inlineStr">
        <is>
          <t>GÄVLEBORGS LÄN</t>
        </is>
      </c>
      <c r="G725" t="inlineStr">
        <is>
          <t>SANDVIKEN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29115-2026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46201</v>
      </c>
      <c r="E726" s="1" t="n">
        <v>46222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14867-2026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46222</v>
      </c>
      <c r="F727" t="inlineStr">
        <is>
          <t>GÄVLEBORGS LÄN</t>
        </is>
      </c>
      <c r="G727" t="inlineStr">
        <is>
          <t>SANDVIKEN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27533-2026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46222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44805</v>
      </c>
      <c r="E729" s="1" t="n">
        <v>46222</v>
      </c>
      <c r="F729" t="inlineStr">
        <is>
          <t>GÄVLEBORGS LÄN</t>
        </is>
      </c>
      <c r="G729" t="inlineStr">
        <is>
          <t>SANDVIKEN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22851-2026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46222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17164-2026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46222</v>
      </c>
      <c r="F731" t="inlineStr">
        <is>
          <t>GÄVLEBORGS LÄN</t>
        </is>
      </c>
      <c r="G731" t="inlineStr">
        <is>
          <t>SANDVIKEN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14840-2022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44656</v>
      </c>
      <c r="E732" s="1" t="n">
        <v>46222</v>
      </c>
      <c r="F732" t="inlineStr">
        <is>
          <t>GÄVLEBORGS LÄN</t>
        </is>
      </c>
      <c r="G732" t="inlineStr">
        <is>
          <t>SANDVIKEN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46222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29661-2026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46222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29681-2026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46222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45404</v>
      </c>
      <c r="E736" s="1" t="n">
        <v>46222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23217-2023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45075</v>
      </c>
      <c r="E737" s="1" t="n">
        <v>46222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56150-2023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45240</v>
      </c>
      <c r="E738" s="1" t="n">
        <v>46222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23228-2026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46222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23144-2026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46161</v>
      </c>
      <c r="E740" s="1" t="n">
        <v>46222</v>
      </c>
      <c r="F740" t="inlineStr">
        <is>
          <t>GÄVLEBORGS LÄN</t>
        </is>
      </c>
      <c r="G740" t="inlineStr">
        <is>
          <t>SANDVIKEN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29717-2026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46222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29726-2026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46222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39566-2022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44818</v>
      </c>
      <c r="E743" s="1" t="n">
        <v>46222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28845-2026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46222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29608-2026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46222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29616-2026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46222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46204</v>
      </c>
      <c r="E747" s="1" t="n">
        <v>46222</v>
      </c>
      <c r="F747" t="inlineStr">
        <is>
          <t>GÄVLEBORGS LÄN</t>
        </is>
      </c>
      <c r="G747" t="inlineStr">
        <is>
          <t>SANDVIKEN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29613-2026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46222</v>
      </c>
      <c r="F748" t="inlineStr">
        <is>
          <t>GÄVLEBORGS LÄN</t>
        </is>
      </c>
      <c r="G748" t="inlineStr">
        <is>
          <t>SANDVIKEN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29572-2026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46222</v>
      </c>
      <c r="F749" t="inlineStr">
        <is>
          <t>GÄVLEBORGS LÄN</t>
        </is>
      </c>
      <c r="G749" t="inlineStr">
        <is>
          <t>SANDVIKEN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46222</v>
      </c>
      <c r="F750" t="inlineStr">
        <is>
          <t>GÄVLEBORGS LÄN</t>
        </is>
      </c>
      <c r="G750" t="inlineStr">
        <is>
          <t>SANDVIKEN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29471-2026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46203</v>
      </c>
      <c r="E751" s="1" t="n">
        <v>46222</v>
      </c>
      <c r="F751" t="inlineStr">
        <is>
          <t>GÄVLEBORGS LÄN</t>
        </is>
      </c>
      <c r="G751" t="inlineStr">
        <is>
          <t>SANDVIKEN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46222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29842-2026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46222</v>
      </c>
      <c r="F753" t="inlineStr">
        <is>
          <t>GÄVLEBORGS LÄN</t>
        </is>
      </c>
      <c r="G753" t="inlineStr">
        <is>
          <t>SANDVIKEN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23465-2026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46222</v>
      </c>
      <c r="F754" t="inlineStr">
        <is>
          <t>GÄVLEBORGS LÄN</t>
        </is>
      </c>
      <c r="G754" t="inlineStr">
        <is>
          <t>SANDVIKEN</t>
        </is>
      </c>
      <c r="H754" t="inlineStr">
        <is>
          <t>Övriga statliga verk och myndigheter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23493-2026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46222</v>
      </c>
      <c r="F755" t="inlineStr">
        <is>
          <t>GÄVLEBORGS LÄN</t>
        </is>
      </c>
      <c r="G755" t="inlineStr">
        <is>
          <t>SANDVIKEN</t>
        </is>
      </c>
      <c r="H755" t="inlineStr">
        <is>
          <t>Övriga statliga verk och myndigheter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46222</v>
      </c>
      <c r="F756" t="inlineStr">
        <is>
          <t>GÄVLEBORGS LÄN</t>
        </is>
      </c>
      <c r="G756" t="inlineStr">
        <is>
          <t>SANDVIKEN</t>
        </is>
      </c>
      <c r="I756" t="n">
        <v>14.2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31317-2023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45103</v>
      </c>
      <c r="E757" s="1" t="n">
        <v>46222</v>
      </c>
      <c r="F757" t="inlineStr">
        <is>
          <t>GÄVLEBORGS LÄN</t>
        </is>
      </c>
      <c r="G757" t="inlineStr">
        <is>
          <t>SANDVIKEN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23429-2026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46222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12417-2025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45730</v>
      </c>
      <c r="E759" s="1" t="n">
        <v>46222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12418-2025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46222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45320</v>
      </c>
      <c r="E761" s="1" t="n">
        <v>46222</v>
      </c>
      <c r="F761" t="inlineStr">
        <is>
          <t>GÄVLEBORGS LÄN</t>
        </is>
      </c>
      <c r="G761" t="inlineStr">
        <is>
          <t>SANDVIKEN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1418-2025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45668</v>
      </c>
      <c r="E762" s="1" t="n">
        <v>46222</v>
      </c>
      <c r="F762" t="inlineStr">
        <is>
          <t>GÄVLEBORGS LÄN</t>
        </is>
      </c>
      <c r="G762" t="inlineStr">
        <is>
          <t>SANDVIKEN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62459-2023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45268</v>
      </c>
      <c r="E763" s="1" t="n">
        <v>46222</v>
      </c>
      <c r="F763" t="inlineStr">
        <is>
          <t>GÄVLEBORGS LÄN</t>
        </is>
      </c>
      <c r="G763" t="inlineStr">
        <is>
          <t>SANDVIKEN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29833-2026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46205</v>
      </c>
      <c r="E764" s="1" t="n">
        <v>46222</v>
      </c>
      <c r="F764" t="inlineStr">
        <is>
          <t>GÄVLEBORGS LÄN</t>
        </is>
      </c>
      <c r="G764" t="inlineStr">
        <is>
          <t>SANDVIKEN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21456-2023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45063</v>
      </c>
      <c r="E765" s="1" t="n">
        <v>46222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23459-2026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46222</v>
      </c>
      <c r="F766" t="inlineStr">
        <is>
          <t>GÄVLEBORGS LÄN</t>
        </is>
      </c>
      <c r="G766" t="inlineStr">
        <is>
          <t>SANDVIKEN</t>
        </is>
      </c>
      <c r="H766" t="inlineStr">
        <is>
          <t>Övriga statliga verk och myndigheter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23471-2026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46222</v>
      </c>
      <c r="F767" t="inlineStr">
        <is>
          <t>GÄVLEBORGS LÄN</t>
        </is>
      </c>
      <c r="G767" t="inlineStr">
        <is>
          <t>SANDVIKEN</t>
        </is>
      </c>
      <c r="H767" t="inlineStr">
        <is>
          <t>Övriga statliga verk och myndigheter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23474-2026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46163</v>
      </c>
      <c r="E768" s="1" t="n">
        <v>46222</v>
      </c>
      <c r="F768" t="inlineStr">
        <is>
          <t>GÄVLEBORGS LÄN</t>
        </is>
      </c>
      <c r="G768" t="inlineStr">
        <is>
          <t>SANDVIKEN</t>
        </is>
      </c>
      <c r="H768" t="inlineStr">
        <is>
          <t>Övriga statliga verk och myndigheter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4498-2024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45327</v>
      </c>
      <c r="E769" s="1" t="n">
        <v>46222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23824-2026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46165</v>
      </c>
      <c r="E770" s="1" t="n">
        <v>46222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23820-2026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46165</v>
      </c>
      <c r="E771" s="1" t="n">
        <v>46222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23822-2026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46165</v>
      </c>
      <c r="E772" s="1" t="n">
        <v>46222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23848-2026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46222</v>
      </c>
      <c r="F773" t="inlineStr">
        <is>
          <t>GÄVLEBORGS LÄN</t>
        </is>
      </c>
      <c r="G773" t="inlineStr">
        <is>
          <t>SANDVIKEN</t>
        </is>
      </c>
      <c r="I773" t="n">
        <v>5.4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46222</v>
      </c>
      <c r="F774" t="inlineStr">
        <is>
          <t>GÄVLEBORGS LÄN</t>
        </is>
      </c>
      <c r="G774" t="inlineStr">
        <is>
          <t>SANDVIKEN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3442-2023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44949</v>
      </c>
      <c r="E775" s="1" t="n">
        <v>46222</v>
      </c>
      <c r="F775" t="inlineStr">
        <is>
          <t>GÄVLEBORGS LÄN</t>
        </is>
      </c>
      <c r="G775" t="inlineStr">
        <is>
          <t>SANDVIKEN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23823-2026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46165</v>
      </c>
      <c r="E776" s="1" t="n">
        <v>46222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23821-2026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46165</v>
      </c>
      <c r="E777" s="1" t="n">
        <v>46222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24149-2026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46222</v>
      </c>
      <c r="F778" t="inlineStr">
        <is>
          <t>GÄVLEBORGS LÄN</t>
        </is>
      </c>
      <c r="G778" t="inlineStr">
        <is>
          <t>SANDVIKEN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18752-2026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46128</v>
      </c>
      <c r="E779" s="1" t="n">
        <v>46222</v>
      </c>
      <c r="F779" t="inlineStr">
        <is>
          <t>GÄVLEBORGS LÄN</t>
        </is>
      </c>
      <c r="G779" t="inlineStr">
        <is>
          <t>SANDVIKEN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28897-2024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45480</v>
      </c>
      <c r="E780" s="1" t="n">
        <v>46222</v>
      </c>
      <c r="F780" t="inlineStr">
        <is>
          <t>GÄVLEBORGS LÄN</t>
        </is>
      </c>
      <c r="G780" t="inlineStr">
        <is>
          <t>SANDVIKEN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24297-2026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46222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24303-2026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46222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17498-2024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45415</v>
      </c>
      <c r="E783" s="1" t="n">
        <v>46222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38428-2023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45162</v>
      </c>
      <c r="E784" s="1" t="n">
        <v>46222</v>
      </c>
      <c r="F784" t="inlineStr">
        <is>
          <t>GÄVLEBORGS LÄN</t>
        </is>
      </c>
      <c r="G784" t="inlineStr">
        <is>
          <t>SANDVIKEN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38431-2023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45162</v>
      </c>
      <c r="E785" s="1" t="n">
        <v>46222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38449-2023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45162</v>
      </c>
      <c r="E786" s="1" t="n">
        <v>46222</v>
      </c>
      <c r="F786" t="inlineStr">
        <is>
          <t>GÄVLEBORGS LÄN</t>
        </is>
      </c>
      <c r="G786" t="inlineStr">
        <is>
          <t>SANDVIKEN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45331-2024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46222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24313-2026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46222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25357-2023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45087</v>
      </c>
      <c r="E789" s="1" t="n">
        <v>46222</v>
      </c>
      <c r="F789" t="inlineStr">
        <is>
          <t>GÄVLEBORGS LÄN</t>
        </is>
      </c>
      <c r="G789" t="inlineStr">
        <is>
          <t>SANDVIKEN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15340-2026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46105</v>
      </c>
      <c r="E790" s="1" t="n">
        <v>46222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24261-2026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46222</v>
      </c>
      <c r="F791" t="inlineStr">
        <is>
          <t>GÄVLEBORGS LÄN</t>
        </is>
      </c>
      <c r="G791" t="inlineStr">
        <is>
          <t>SANDVIKEN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24355-2026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46222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8.9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24356-2026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46222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5960-2026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46052</v>
      </c>
      <c r="E794" s="1" t="n">
        <v>46222</v>
      </c>
      <c r="F794" t="inlineStr">
        <is>
          <t>GÄVLEBORGS LÄN</t>
        </is>
      </c>
      <c r="G794" t="inlineStr">
        <is>
          <t>SANDVIKEN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29620-2026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46222</v>
      </c>
      <c r="F795" t="inlineStr">
        <is>
          <t>GÄVLEBORGS LÄN</t>
        </is>
      </c>
      <c r="G795" t="inlineStr">
        <is>
          <t>SANDVIKEN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40363-2023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46222</v>
      </c>
      <c r="F796" t="inlineStr">
        <is>
          <t>GÄVLEBORGS LÄN</t>
        </is>
      </c>
      <c r="G796" t="inlineStr">
        <is>
          <t>SANDVIKEN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49704-2023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45212</v>
      </c>
      <c r="E797" s="1" t="n">
        <v>46222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46222</v>
      </c>
      <c r="F798" t="inlineStr">
        <is>
          <t>GÄVLEBORGS LÄN</t>
        </is>
      </c>
      <c r="G798" t="inlineStr">
        <is>
          <t>SANDVIKEN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46171</v>
      </c>
      <c r="E799" s="1" t="n">
        <v>46222</v>
      </c>
      <c r="F799" t="inlineStr">
        <is>
          <t>GÄVLEBORGS LÄN</t>
        </is>
      </c>
      <c r="G799" t="inlineStr">
        <is>
          <t>SANDVIKEN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46222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37643-2024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46222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25249-2026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46175</v>
      </c>
      <c r="E802" s="1" t="n">
        <v>46222</v>
      </c>
      <c r="F802" t="inlineStr">
        <is>
          <t>GÄVLEBORGS LÄN</t>
        </is>
      </c>
      <c r="G802" t="inlineStr">
        <is>
          <t>SANDVIKEN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4483-2026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46045</v>
      </c>
      <c r="E803" s="1" t="n">
        <v>46222</v>
      </c>
      <c r="F803" t="inlineStr">
        <is>
          <t>GÄVLEBORGS LÄN</t>
        </is>
      </c>
      <c r="G803" t="inlineStr">
        <is>
          <t>SANDVIKEN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35185-2022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44797</v>
      </c>
      <c r="E804" s="1" t="n">
        <v>46222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46222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2131-2025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45672</v>
      </c>
      <c r="E806" s="1" t="n">
        <v>46222</v>
      </c>
      <c r="F806" t="inlineStr">
        <is>
          <t>GÄVLEBORGS LÄN</t>
        </is>
      </c>
      <c r="G806" t="inlineStr">
        <is>
          <t>SANDVIKEN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25175-2026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46175</v>
      </c>
      <c r="E807" s="1" t="n">
        <v>46222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4488-2026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46222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46222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58916-2023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45252</v>
      </c>
      <c r="E810" s="1" t="n">
        <v>46222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8940-2026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46222</v>
      </c>
      <c r="F811" t="inlineStr">
        <is>
          <t>GÄVLEBORGS LÄN</t>
        </is>
      </c>
      <c r="G811" t="inlineStr">
        <is>
          <t>SANDVIKEN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64112-2023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45279</v>
      </c>
      <c r="E812" s="1" t="n">
        <v>46222</v>
      </c>
      <c r="F812" t="inlineStr">
        <is>
          <t>GÄVLEBORGS LÄN</t>
        </is>
      </c>
      <c r="G812" t="inlineStr">
        <is>
          <t>SANDVIKEN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58797-2024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45636</v>
      </c>
      <c r="E813" s="1" t="n">
        <v>46222</v>
      </c>
      <c r="F813" t="inlineStr">
        <is>
          <t>GÄVLEBORGS LÄN</t>
        </is>
      </c>
      <c r="G813" t="inlineStr">
        <is>
          <t>SANDVIKEN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25691-2026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46222</v>
      </c>
      <c r="F814" t="inlineStr">
        <is>
          <t>GÄVLEBORGS LÄN</t>
        </is>
      </c>
      <c r="G814" t="inlineStr">
        <is>
          <t>SANDVIKEN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25826-2026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46222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25834-2026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46222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37741-2023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45159</v>
      </c>
      <c r="E817" s="1" t="n">
        <v>46222</v>
      </c>
      <c r="F817" t="inlineStr">
        <is>
          <t>GÄVLEBORGS LÄN</t>
        </is>
      </c>
      <c r="G817" t="inlineStr">
        <is>
          <t>SANDVIKEN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25842-2026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46222</v>
      </c>
      <c r="F818" t="inlineStr">
        <is>
          <t>GÄVLEBORGS LÄN</t>
        </is>
      </c>
      <c r="G818" t="inlineStr">
        <is>
          <t>SANDVIKEN</t>
        </is>
      </c>
      <c r="H818" t="inlineStr">
        <is>
          <t>Bergvik skog öst AB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19186-2026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46222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25836-2026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46222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25835-2026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46222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25837-2026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46222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25841-2026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46222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46222</v>
      </c>
      <c r="F824" t="inlineStr">
        <is>
          <t>GÄVLEBORGS LÄN</t>
        </is>
      </c>
      <c r="G824" t="inlineStr">
        <is>
          <t>SANDVIKEN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31314-2026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46219</v>
      </c>
      <c r="E825" s="1" t="n">
        <v>46222</v>
      </c>
      <c r="F825" t="inlineStr">
        <is>
          <t>GÄVLEBORGS LÄN</t>
        </is>
      </c>
      <c r="G825" t="inlineStr">
        <is>
          <t>SANDVIKEN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43121-2024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45567</v>
      </c>
      <c r="E826" s="1" t="n">
        <v>46222</v>
      </c>
      <c r="F826" t="inlineStr">
        <is>
          <t>GÄVLEBORGS LÄN</t>
        </is>
      </c>
      <c r="G826" t="inlineStr">
        <is>
          <t>SANDVIKEN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46222</v>
      </c>
      <c r="F827" t="inlineStr">
        <is>
          <t>GÄVLEBORGS LÄN</t>
        </is>
      </c>
      <c r="G827" t="inlineStr">
        <is>
          <t>SANDVIKEN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22042-2023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45069</v>
      </c>
      <c r="E828" s="1" t="n">
        <v>46222</v>
      </c>
      <c r="F828" t="inlineStr">
        <is>
          <t>GÄVLEBORGS LÄN</t>
        </is>
      </c>
      <c r="G828" t="inlineStr">
        <is>
          <t>SANDVIKEN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46178</v>
      </c>
      <c r="E829" s="1" t="n">
        <v>46222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46482-2023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45197</v>
      </c>
      <c r="E830" s="1" t="n">
        <v>46222</v>
      </c>
      <c r="F830" t="inlineStr">
        <is>
          <t>GÄVLEBORGS LÄN</t>
        </is>
      </c>
      <c r="G830" t="inlineStr">
        <is>
          <t>SANDVIKEN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25412-2026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46176</v>
      </c>
      <c r="E831" s="1" t="n">
        <v>46222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25413-2026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46222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37367-2024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46222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29972-2022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44756</v>
      </c>
      <c r="E834" s="1" t="n">
        <v>46222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45284-2023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46222</v>
      </c>
      <c r="F835" t="inlineStr">
        <is>
          <t>GÄVLEBORGS LÄN</t>
        </is>
      </c>
      <c r="G835" t="inlineStr">
        <is>
          <t>SANDVIKEN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62056-2022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44918</v>
      </c>
      <c r="E836" s="1" t="n">
        <v>46222</v>
      </c>
      <c r="F836" t="inlineStr">
        <is>
          <t>GÄVLEBORGS LÄN</t>
        </is>
      </c>
      <c r="G836" t="inlineStr">
        <is>
          <t>SANDVIKEN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1213-2025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45667</v>
      </c>
      <c r="E837" s="1" t="n">
        <v>46222</v>
      </c>
      <c r="F837" t="inlineStr">
        <is>
          <t>GÄVLEBORGS LÄN</t>
        </is>
      </c>
      <c r="G837" t="inlineStr">
        <is>
          <t>SANDVIKEN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10895-2025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46222</v>
      </c>
      <c r="F838" t="inlineStr">
        <is>
          <t>GÄVLEBORGS LÄN</t>
        </is>
      </c>
      <c r="G838" t="inlineStr">
        <is>
          <t>SANDVIKEN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27987-2024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45476</v>
      </c>
      <c r="E839" s="1" t="n">
        <v>46222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16385-2023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45022</v>
      </c>
      <c r="E840" s="1" t="n">
        <v>46222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37996-2024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45544</v>
      </c>
      <c r="E841" s="1" t="n">
        <v>46222</v>
      </c>
      <c r="F841" t="inlineStr">
        <is>
          <t>GÄVLEBORGS LÄN</t>
        </is>
      </c>
      <c r="G841" t="inlineStr">
        <is>
          <t>SANDVIKEN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61820-2024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45649</v>
      </c>
      <c r="E842" s="1" t="n">
        <v>46222</v>
      </c>
      <c r="F842" t="inlineStr">
        <is>
          <t>GÄVLEBORGS LÄN</t>
        </is>
      </c>
      <c r="G842" t="inlineStr">
        <is>
          <t>SANDVIKEN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24992-2023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46222</v>
      </c>
      <c r="F843" t="inlineStr">
        <is>
          <t>GÄVLEBORGS LÄN</t>
        </is>
      </c>
      <c r="G843" t="inlineStr">
        <is>
          <t>SANDVIKEN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21182-2025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45779</v>
      </c>
      <c r="E844" s="1" t="n">
        <v>46222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37459-2024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46222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41284-2023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45174</v>
      </c>
      <c r="E846" s="1" t="n">
        <v>46222</v>
      </c>
      <c r="F846" t="inlineStr">
        <is>
          <t>GÄVLEBORGS LÄN</t>
        </is>
      </c>
      <c r="G846" t="inlineStr">
        <is>
          <t>SANDVIKEN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56019-2023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45240</v>
      </c>
      <c r="E847" s="1" t="n">
        <v>46222</v>
      </c>
      <c r="F847" t="inlineStr">
        <is>
          <t>GÄVLEBORGS LÄN</t>
        </is>
      </c>
      <c r="G847" t="inlineStr">
        <is>
          <t>SANDVIKEN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40460-2024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45555</v>
      </c>
      <c r="E848" s="1" t="n">
        <v>46222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55446-2024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45622</v>
      </c>
      <c r="E849" s="1" t="n">
        <v>46222</v>
      </c>
      <c r="F849" t="inlineStr">
        <is>
          <t>GÄVLEBORGS LÄN</t>
        </is>
      </c>
      <c r="G849" t="inlineStr">
        <is>
          <t>SANDVIKEN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48319-2023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45205</v>
      </c>
      <c r="E850" s="1" t="n">
        <v>46222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42950-2023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45178</v>
      </c>
      <c r="E851" s="1" t="n">
        <v>46222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väst AB</t>
        </is>
      </c>
      <c r="I851" t="n">
        <v>16.5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69521-2021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44531</v>
      </c>
      <c r="E852" s="1" t="n">
        <v>46222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3256-2025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46222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33623-2024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46222</v>
      </c>
      <c r="F854" t="inlineStr">
        <is>
          <t>GÄVLEBORGS LÄN</t>
        </is>
      </c>
      <c r="G854" t="inlineStr">
        <is>
          <t>SANDVIKEN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34429-2024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45525</v>
      </c>
      <c r="E855" s="1" t="n">
        <v>46222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27872-2024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46222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44289-2023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45188</v>
      </c>
      <c r="E857" s="1" t="n">
        <v>46222</v>
      </c>
      <c r="F857" t="inlineStr">
        <is>
          <t>GÄVLEBORGS LÄN</t>
        </is>
      </c>
      <c r="G857" t="inlineStr">
        <is>
          <t>SANDVIKEN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15682-2024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45404</v>
      </c>
      <c r="E858" s="1" t="n">
        <v>46222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17735-2024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45418</v>
      </c>
      <c r="E859" s="1" t="n">
        <v>46222</v>
      </c>
      <c r="F859" t="inlineStr">
        <is>
          <t>GÄVLEBORGS LÄN</t>
        </is>
      </c>
      <c r="G859" t="inlineStr">
        <is>
          <t>SANDVIKEN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64000-2023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45278</v>
      </c>
      <c r="E860" s="1" t="n">
        <v>46222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53322-2024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46222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2358-2025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45673</v>
      </c>
      <c r="E862" s="1" t="n">
        <v>46222</v>
      </c>
      <c r="F862" t="inlineStr">
        <is>
          <t>GÄVLEBORGS LÄN</t>
        </is>
      </c>
      <c r="G862" t="inlineStr">
        <is>
          <t>SANDVIKEN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18725-2025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45763</v>
      </c>
      <c r="E863" s="1" t="n">
        <v>46222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25300-2025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46222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25327-2025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45800</v>
      </c>
      <c r="E865" s="1" t="n">
        <v>46222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25317-2025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45800</v>
      </c>
      <c r="E866" s="1" t="n">
        <v>46222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24953-2025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45799</v>
      </c>
      <c r="E867" s="1" t="n">
        <v>46222</v>
      </c>
      <c r="F867" t="inlineStr">
        <is>
          <t>GÄVLEBORGS LÄN</t>
        </is>
      </c>
      <c r="G867" t="inlineStr">
        <is>
          <t>SANDVIKEN</t>
        </is>
      </c>
      <c r="I867" t="n">
        <v>10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25111-2025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46222</v>
      </c>
      <c r="F868" t="inlineStr">
        <is>
          <t>GÄVLEBORGS LÄN</t>
        </is>
      </c>
      <c r="G868" t="inlineStr">
        <is>
          <t>SANDVIKEN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24940-2025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45799</v>
      </c>
      <c r="E869" s="1" t="n">
        <v>46222</v>
      </c>
      <c r="F869" t="inlineStr">
        <is>
          <t>GÄVLEBORGS LÄN</t>
        </is>
      </c>
      <c r="G869" t="inlineStr">
        <is>
          <t>SANDVIKEN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24948-2025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45799</v>
      </c>
      <c r="E870" s="1" t="n">
        <v>46222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33136-2023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45126</v>
      </c>
      <c r="E871" s="1" t="n">
        <v>46222</v>
      </c>
      <c r="F871" t="inlineStr">
        <is>
          <t>GÄVLEBORGS LÄN</t>
        </is>
      </c>
      <c r="G871" t="inlineStr">
        <is>
          <t>SANDVIKEN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46222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46222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46222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46222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46222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46222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46222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46222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46222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46222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46222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46222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46222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46222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2026-07-19T01:35:44Z</dcterms:created>
  <dcterms:modified xmlns:dcterms="http://purl.org/dc/terms/" xmlns:xsi="http://www.w3.org/2001/XMLSchema-instance" xsi:type="dcterms:W3CDTF">2026-07-19T01:35:45Z</dcterms:modified>
</cp:coreProperties>
</file>