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46311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46311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14696-2026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46101</v>
      </c>
      <c r="E11" s="1" t="n">
        <v>46311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3.1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4</v>
      </c>
      <c r="T11" t="n">
        <v>12</v>
      </c>
      <c r="U11" t="n">
        <v>0</v>
      </c>
      <c r="V11" s="2" t="inlineStr">
        <is>
          <t>Garnlav
Knärot
Dropptaggsvamp
Motaggsvamp</t>
        </is>
      </c>
      <c r="W11">
        <f>HYPERLINK("https://klasma.github.io/Logging_2181/artfynd/A 14696-2026 artfynd.xlsx", "A 14696-2026")</f>
        <v/>
      </c>
      <c r="X11">
        <f>HYPERLINK("https://klasma.github.io/Logging_2181/kartor/A 14696-2026 karta.png", "A 14696-2026")</f>
        <v/>
      </c>
      <c r="Y11">
        <f>HYPERLINK("https://klasma.github.io/Logging_2181/kartor_geotiff/A 14696-2026 georefererad karta.tif", "A 14696-2026")</f>
        <v/>
      </c>
      <c r="Z11">
        <f>HYPERLINK("https://klasma.github.io/Logging_2181/knärot/A 14696-2026 karta knärot.png", "A 14696-2026")</f>
        <v/>
      </c>
      <c r="AA11">
        <f>HYPERLINK("https://klasma.github.io/Logging_2181/klagomål/A 14696-2026 FSC-klagomål.docx", "A 14696-2026")</f>
        <v/>
      </c>
      <c r="AB11">
        <f>HYPERLINK("https://klasma.github.io/Logging_2181/klagomålsmail/A 14696-2026 FSC-klagomål mail.docx", "A 14696-2026")</f>
        <v/>
      </c>
      <c r="AC11">
        <f>HYPERLINK("https://klasma.github.io/Logging_2181/tillsyn/A 14696-2026 tillsynsbegäran.docx", "A 14696-2026")</f>
        <v/>
      </c>
      <c r="AD11">
        <f>HYPERLINK("https://klasma.github.io/Logging_2181/tillsynsmail/A 14696-2026 tillsynsbegäran mail.docx", "A 14696-2026")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46311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46311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46311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26047-2026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46181</v>
      </c>
      <c r="E15" s="1" t="n">
        <v>46311</v>
      </c>
      <c r="F15" t="inlineStr">
        <is>
          <t>GÄVLEBORGS LÄN</t>
        </is>
      </c>
      <c r="G15" t="inlineStr">
        <is>
          <t>SANDVIKEN</t>
        </is>
      </c>
      <c r="H15" t="inlineStr">
        <is>
          <t>Kommuner</t>
        </is>
      </c>
      <c r="I15" t="n">
        <v>8.199999999999999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Blå taggsvamp
Nordfladdermus
Talltita
Kungsfågel</t>
        </is>
      </c>
      <c r="W15">
        <f>HYPERLINK("https://klasma.github.io/Logging_2181/artfynd/A 26047-2026 artfynd.xlsx", "A 26047-2026")</f>
        <v/>
      </c>
      <c r="X15">
        <f>HYPERLINK("https://klasma.github.io/Logging_2181/kartor/A 26047-2026 karta.png", "A 26047-2026")</f>
        <v/>
      </c>
      <c r="Y15">
        <f>HYPERLINK("https://klasma.github.io/Logging_2181/kartor_geotiff/A 26047-2026 georefererad karta.tif", "A 26047-2026")</f>
        <v/>
      </c>
      <c r="AA15">
        <f>HYPERLINK("https://klasma.github.io/Logging_2181/klagomål/A 26047-2026 FSC-klagomål.docx", "A 26047-2026")</f>
        <v/>
      </c>
      <c r="AB15">
        <f>HYPERLINK("https://klasma.github.io/Logging_2181/klagomålsmail/A 26047-2026 FSC-klagomål mail.docx", "A 26047-2026")</f>
        <v/>
      </c>
      <c r="AC15">
        <f>HYPERLINK("https://klasma.github.io/Logging_2181/tillsyn/A 26047-2026 tillsynsbegäran.docx", "A 26047-2026")</f>
        <v/>
      </c>
      <c r="AD15">
        <f>HYPERLINK("https://klasma.github.io/Logging_2181/tillsynsmail/A 26047-2026 tillsynsbegäran mail.docx", "A 26047-2026")</f>
        <v/>
      </c>
      <c r="AE15">
        <f>HYPERLINK("https://klasma.github.io/Logging_2181/fåglar/A 26047-2026 prioriterade fågelarter.docx", "A 26047-2026")</f>
        <v/>
      </c>
    </row>
    <row r="16" ht="15" customHeight="1">
      <c r="A16" t="inlineStr">
        <is>
          <t>A 26271-2026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46311</v>
      </c>
      <c r="F16" t="inlineStr">
        <is>
          <t>GÄVLEBORGS LÄN</t>
        </is>
      </c>
      <c r="G16" t="inlineStr">
        <is>
          <t>SANDVIKEN</t>
        </is>
      </c>
      <c r="H16" t="inlineStr">
        <is>
          <t>Kommuner</t>
        </is>
      </c>
      <c r="I16" t="n">
        <v>3.8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Brunlångöra
Nordfladdermus
Vattenfladdermus
Fläcknycklar</t>
        </is>
      </c>
      <c r="W16">
        <f>HYPERLINK("https://klasma.github.io/Logging_2181/artfynd/A 26271-2026 artfynd.xlsx", "A 26271-2026")</f>
        <v/>
      </c>
      <c r="X16">
        <f>HYPERLINK("https://klasma.github.io/Logging_2181/kartor/A 26271-2026 karta.png", "A 26271-2026")</f>
        <v/>
      </c>
      <c r="Y16">
        <f>HYPERLINK("https://klasma.github.io/Logging_2181/kartor_geotiff/A 26271-2026 georefererad karta.tif", "A 26271-2026")</f>
        <v/>
      </c>
      <c r="AA16">
        <f>HYPERLINK("https://klasma.github.io/Logging_2181/klagomål/A 26271-2026 FSC-klagomål.docx", "A 26271-2026")</f>
        <v/>
      </c>
      <c r="AB16">
        <f>HYPERLINK("https://klasma.github.io/Logging_2181/klagomålsmail/A 26271-2026 FSC-klagomål mail.docx", "A 26271-2026")</f>
        <v/>
      </c>
      <c r="AC16">
        <f>HYPERLINK("https://klasma.github.io/Logging_2181/tillsyn/A 26271-2026 tillsynsbegäran.docx", "A 26271-2026")</f>
        <v/>
      </c>
      <c r="AD16">
        <f>HYPERLINK("https://klasma.github.io/Logging_2181/tillsynsmail/A 26271-2026 tillsynsbegäran mail.docx", "A 26271-2026")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46311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52784-2025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46311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1.6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t="n">
        <v>6</v>
      </c>
      <c r="V18" s="2" t="inlineStr">
        <is>
          <t>Garnlav
Knärot
Dropptaggsvamp
Bronshjon</t>
        </is>
      </c>
      <c r="W18">
        <f>HYPERLINK("https://klasma.github.io/Logging_2181/artfynd/A 52784-2025 artfynd.xlsx", "A 52784-2025")</f>
        <v/>
      </c>
      <c r="X18">
        <f>HYPERLINK("https://klasma.github.io/Logging_2181/kartor/A 52784-2025 karta.png", "A 52784-2025")</f>
        <v/>
      </c>
      <c r="Y18">
        <f>HYPERLINK("https://klasma.github.io/Logging_2181/kartor_geotiff/A 52784-2025 georefererad karta.tif", "A 52784-2025")</f>
        <v/>
      </c>
      <c r="Z18">
        <f>HYPERLINK("https://klasma.github.io/Logging_2181/knärot/A 52784-2025 karta knärot.png", "A 52784-2025")</f>
        <v/>
      </c>
      <c r="AA18">
        <f>HYPERLINK("https://klasma.github.io/Logging_2181/klagomål/A 52784-2025 FSC-klagomål.docx", "A 52784-2025")</f>
        <v/>
      </c>
      <c r="AB18">
        <f>HYPERLINK("https://klasma.github.io/Logging_2181/klagomålsmail/A 52784-2025 FSC-klagomål mail.docx", "A 52784-2025")</f>
        <v/>
      </c>
      <c r="AC18">
        <f>HYPERLINK("https://klasma.github.io/Logging_2181/tillsyn/A 52784-2025 tillsynsbegäran.docx", "A 52784-2025")</f>
        <v/>
      </c>
      <c r="AD18">
        <f>HYPERLINK("https://klasma.github.io/Logging_2181/tillsynsmail/A 52784-2025 tillsynsbegäran mail.docx", "A 52784-2025")</f>
        <v/>
      </c>
    </row>
    <row r="19" ht="15" customHeight="1">
      <c r="A19" t="inlineStr">
        <is>
          <t>A 52785-2025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1.6</v>
      </c>
      <c r="J19" t="n">
        <v>1</v>
      </c>
      <c r="K19" t="n">
        <v>1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6</v>
      </c>
      <c r="V19" s="2" t="inlineStr">
        <is>
          <t>Garnlav
Knärot
Dropptaggsvamp
Bronshjon</t>
        </is>
      </c>
      <c r="W19">
        <f>HYPERLINK("https://klasma.github.io/Logging_2181/artfynd/A 52785-2025 artfynd.xlsx", "A 52785-2025")</f>
        <v/>
      </c>
      <c r="X19">
        <f>HYPERLINK("https://klasma.github.io/Logging_2181/kartor/A 52785-2025 karta.png", "A 52785-2025")</f>
        <v/>
      </c>
      <c r="Y19">
        <f>HYPERLINK("https://klasma.github.io/Logging_2181/kartor_geotiff/A 52785-2025 georefererad karta.tif", "A 52785-2025")</f>
        <v/>
      </c>
      <c r="Z19">
        <f>HYPERLINK("https://klasma.github.io/Logging_2181/knärot/A 52785-2025 karta knärot.png", "A 52785-2025")</f>
        <v/>
      </c>
      <c r="AA19">
        <f>HYPERLINK("https://klasma.github.io/Logging_2181/klagomål/A 52785-2025 FSC-klagomål.docx", "A 52785-2025")</f>
        <v/>
      </c>
      <c r="AB19">
        <f>HYPERLINK("https://klasma.github.io/Logging_2181/klagomålsmail/A 52785-2025 FSC-klagomål mail.docx", "A 52785-2025")</f>
        <v/>
      </c>
      <c r="AC19">
        <f>HYPERLINK("https://klasma.github.io/Logging_2181/tillsyn/A 52785-2025 tillsynsbegäran.docx", "A 52785-2025")</f>
        <v/>
      </c>
      <c r="AD19">
        <f>HYPERLINK("https://klasma.github.io/Logging_2181/tillsynsmail/A 52785-2025 tillsynsbegäran mail.docx", "A 52785-2025")</f>
        <v/>
      </c>
    </row>
    <row r="20" ht="15" customHeight="1">
      <c r="A20" t="inlineStr">
        <is>
          <t>A 52782-2025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46311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3.6</v>
      </c>
      <c r="J20" t="n">
        <v>3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14</v>
      </c>
      <c r="U20" t="n">
        <v>0</v>
      </c>
      <c r="V20" s="2" t="inlineStr">
        <is>
          <t>Knärot
Motaggsvamp
Tvåblad
Fläcknycklar</t>
        </is>
      </c>
      <c r="W20">
        <f>HYPERLINK("https://klasma.github.io/Logging_2181/artfynd/A 52782-2025 artfynd.xlsx", "A 52782-2025")</f>
        <v/>
      </c>
      <c r="X20">
        <f>HYPERLINK("https://klasma.github.io/Logging_2181/kartor/A 52782-2025 karta.png", "A 52782-2025")</f>
        <v/>
      </c>
      <c r="Y20">
        <f>HYPERLINK("https://klasma.github.io/Logging_2181/kartor_geotiff/A 52782-2025 georefererad karta.tif", "A 52782-2025")</f>
        <v/>
      </c>
      <c r="Z20">
        <f>HYPERLINK("https://klasma.github.io/Logging_2181/knärot/A 52782-2025 karta knärot.png", "A 52782-2025")</f>
        <v/>
      </c>
      <c r="AA20">
        <f>HYPERLINK("https://klasma.github.io/Logging_2181/klagomål/A 52782-2025 FSC-klagomål.docx", "A 52782-2025")</f>
        <v/>
      </c>
      <c r="AB20">
        <f>HYPERLINK("https://klasma.github.io/Logging_2181/klagomålsmail/A 52782-2025 FSC-klagomål mail.docx", "A 52782-2025")</f>
        <v/>
      </c>
      <c r="AC20">
        <f>HYPERLINK("https://klasma.github.io/Logging_2181/tillsyn/A 52782-2025 tillsynsbegäran.docx", "A 52782-2025")</f>
        <v/>
      </c>
      <c r="AD20">
        <f>HYPERLINK("https://klasma.github.io/Logging_2181/tillsynsmail/A 52782-2025 tillsynsbegäran mail.docx", "A 52782-2025")</f>
        <v/>
      </c>
    </row>
    <row r="21" ht="15" customHeight="1">
      <c r="A21" t="inlineStr">
        <is>
          <t>A 12192-2026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46086</v>
      </c>
      <c r="E21" s="1" t="n">
        <v>46311</v>
      </c>
      <c r="F21" t="inlineStr">
        <is>
          <t>GÄVLEBORGS LÄN</t>
        </is>
      </c>
      <c r="G21" t="inlineStr">
        <is>
          <t>SANDVIKEN</t>
        </is>
      </c>
      <c r="I21" t="n">
        <v>0.6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9</v>
      </c>
      <c r="U21" t="n">
        <v>9</v>
      </c>
      <c r="V21" s="2" t="inlineStr">
        <is>
          <t>Knärot
Kattfotslav
Tretåig hackspett
Spillkråka</t>
        </is>
      </c>
      <c r="W21">
        <f>HYPERLINK("https://klasma.github.io/Logging_2181/artfynd/A 12192-2026 artfynd.xlsx", "A 12192-2026")</f>
        <v/>
      </c>
      <c r="X21">
        <f>HYPERLINK("https://klasma.github.io/Logging_2181/kartor/A 12192-2026 karta.png", "A 12192-2026")</f>
        <v/>
      </c>
      <c r="Y21">
        <f>HYPERLINK("https://klasma.github.io/Logging_2181/kartor_geotiff/A 12192-2026 georefererad karta.tif", "A 12192-2026")</f>
        <v/>
      </c>
      <c r="Z21">
        <f>HYPERLINK("https://klasma.github.io/Logging_2181/knärot/A 12192-2026 karta knärot.png", "A 12192-2026")</f>
        <v/>
      </c>
      <c r="AA21">
        <f>HYPERLINK("https://klasma.github.io/Logging_2181/klagomål/A 12192-2026 FSC-klagomål.docx", "A 12192-2026")</f>
        <v/>
      </c>
      <c r="AB21">
        <f>HYPERLINK("https://klasma.github.io/Logging_2181/klagomålsmail/A 12192-2026 FSC-klagomål mail.docx", "A 12192-2026")</f>
        <v/>
      </c>
      <c r="AC21">
        <f>HYPERLINK("https://klasma.github.io/Logging_2181/tillsyn/A 12192-2026 tillsynsbegäran.docx", "A 12192-2026")</f>
        <v/>
      </c>
      <c r="AD21">
        <f>HYPERLINK("https://klasma.github.io/Logging_2181/tillsynsmail/A 12192-2026 tillsynsbegäran mail.docx", "A 12192-2026")</f>
        <v/>
      </c>
      <c r="AE21">
        <f>HYPERLINK("https://klasma.github.io/Logging_2181/fåglar/A 12192-2026 prioriterade fågelarter.docx", "A 12192-2026")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46311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46311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46311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46311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46311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46311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46311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46311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46311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A 12696-2026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46091</v>
      </c>
      <c r="E32" s="1" t="n">
        <v>46311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1.3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Blåsippa
Fläcknycklar
Äkta lopplummer</t>
        </is>
      </c>
      <c r="W32">
        <f>HYPERLINK("https://klasma.github.io/Logging_2181/artfynd/A 12696-2026 artfynd.xlsx", "A 12696-2026")</f>
        <v/>
      </c>
      <c r="X32">
        <f>HYPERLINK("https://klasma.github.io/Logging_2181/kartor/A 12696-2026 karta.png", "A 12696-2026")</f>
        <v/>
      </c>
      <c r="Y32">
        <f>HYPERLINK("https://klasma.github.io/Logging_2181/kartor_geotiff/A 12696-2026 georefererad karta.tif", "A 12696-2026")</f>
        <v/>
      </c>
      <c r="AA32">
        <f>HYPERLINK("https://klasma.github.io/Logging_2181/klagomål/A 12696-2026 FSC-klagomål.docx", "A 12696-2026")</f>
        <v/>
      </c>
      <c r="AB32">
        <f>HYPERLINK("https://klasma.github.io/Logging_2181/klagomålsmail/A 12696-2026 FSC-klagomål mail.docx", "A 12696-2026")</f>
        <v/>
      </c>
      <c r="AC32">
        <f>HYPERLINK("https://klasma.github.io/Logging_2181/tillsyn/A 12696-2026 tillsynsbegäran.docx", "A 12696-2026")</f>
        <v/>
      </c>
      <c r="AD32">
        <f>HYPERLINK("https://klasma.github.io/Logging_2181/tillsynsmail/A 12696-2026 tillsynsbegäran mail.docx", "A 12696-2026")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46311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46311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46311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46311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46311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46311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46311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46311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21196-2024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45440</v>
      </c>
      <c r="E43" s="1" t="n">
        <v>46311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45.5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Lappuggla
Ullticka</t>
        </is>
      </c>
      <c r="W43">
        <f>HYPERLINK("https://klasma.github.io/Logging_2181/artfynd/A 21196-2024 artfynd.xlsx", "A 21196-2024")</f>
        <v/>
      </c>
      <c r="X43">
        <f>HYPERLINK("https://klasma.github.io/Logging_2181/kartor/A 21196-2024 karta.png", "A 21196-2024")</f>
        <v/>
      </c>
      <c r="Y43">
        <f>HYPERLINK("https://klasma.github.io/Logging_2181/kartor_geotiff/A 21196-2024 georefererad karta.tif", "A 21196-2024")</f>
        <v/>
      </c>
      <c r="AA43">
        <f>HYPERLINK("https://klasma.github.io/Logging_2181/klagomål/A 21196-2024 FSC-klagomål.docx", "A 21196-2024")</f>
        <v/>
      </c>
      <c r="AB43">
        <f>HYPERLINK("https://klasma.github.io/Logging_2181/klagomålsmail/A 21196-2024 FSC-klagomål mail.docx", "A 21196-2024")</f>
        <v/>
      </c>
      <c r="AC43">
        <f>HYPERLINK("https://klasma.github.io/Logging_2181/tillsyn/A 21196-2024 tillsynsbegäran.docx", "A 21196-2024")</f>
        <v/>
      </c>
      <c r="AD43">
        <f>HYPERLINK("https://klasma.github.io/Logging_2181/tillsynsmail/A 21196-2024 tillsynsbegäran mail.docx", "A 21196-2024")</f>
        <v/>
      </c>
      <c r="AE43">
        <f>HYPERLINK("https://klasma.github.io/Logging_2181/fåglar/A 21196-2024 prioriterade fågelarter.docx", "A 21196-2024")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46311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46311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46311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46311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46311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46311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46311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46311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46311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46311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46311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46311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25323-2025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46311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Plattlummer</t>
        </is>
      </c>
      <c r="W56">
        <f>HYPERLINK("https://klasma.github.io/Logging_2181/artfynd/A 25323-2025 artfynd.xlsx", "A 25323-2025")</f>
        <v/>
      </c>
      <c r="X56">
        <f>HYPERLINK("https://klasma.github.io/Logging_2181/kartor/A 25323-2025 karta.png", "A 25323-2025")</f>
        <v/>
      </c>
      <c r="Y56">
        <f>HYPERLINK("https://klasma.github.io/Logging_2181/kartor_geotiff/A 25323-2025 georefererad karta.tif", "A 25323-2025")</f>
        <v/>
      </c>
      <c r="AA56">
        <f>HYPERLINK("https://klasma.github.io/Logging_2181/klagomål/A 25323-2025 FSC-klagomål.docx", "A 25323-2025")</f>
        <v/>
      </c>
      <c r="AB56">
        <f>HYPERLINK("https://klasma.github.io/Logging_2181/klagomålsmail/A 25323-2025 FSC-klagomål mail.docx", "A 25323-2025")</f>
        <v/>
      </c>
      <c r="AC56">
        <f>HYPERLINK("https://klasma.github.io/Logging_2181/tillsyn/A 25323-2025 tillsynsbegäran.docx", "A 25323-2025")</f>
        <v/>
      </c>
      <c r="AD56">
        <f>HYPERLINK("https://klasma.github.io/Logging_2181/tillsynsmail/A 25323-2025 tillsynsbegäran mail.docx", "A 25323-2025")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46311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Garnlav</t>
        </is>
      </c>
      <c r="W57">
        <f>HYPERLINK("https://klasma.github.io/Logging_2181/artfynd/A 25314-2025 artfynd.xlsx", "A 25314-2025")</f>
        <v/>
      </c>
      <c r="X57">
        <f>HYPERLINK("https://klasma.github.io/Logging_2181/kartor/A 25314-2025 karta.png", "A 25314-2025")</f>
        <v/>
      </c>
      <c r="Y57">
        <f>HYPERLINK("https://klasma.github.io/Logging_2181/kartor_geotiff/A 25314-2025 georefererad karta.tif", "A 25314-2025")</f>
        <v/>
      </c>
      <c r="AA57">
        <f>HYPERLINK("https://klasma.github.io/Logging_2181/klagomål/A 25314-2025 FSC-klagomål.docx", "A 25314-2025")</f>
        <v/>
      </c>
      <c r="AB57">
        <f>HYPERLINK("https://klasma.github.io/Logging_2181/klagomålsmail/A 25314-2025 FSC-klagomål mail.docx", "A 25314-2025")</f>
        <v/>
      </c>
      <c r="AC57">
        <f>HYPERLINK("https://klasma.github.io/Logging_2181/tillsyn/A 25314-2025 tillsynsbegäran.docx", "A 25314-2025")</f>
        <v/>
      </c>
      <c r="AD57">
        <f>HYPERLINK("https://klasma.github.io/Logging_2181/tillsynsmail/A 25314-2025 tillsynsbegäran mail.docx", "A 25314-2025")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46311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46311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46311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36417-2025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45868</v>
      </c>
      <c r="E61" s="1" t="n">
        <v>46311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HYPERLINK("https://klasma.github.io/Logging_2181/artfynd/A 36417-2025 artfynd.xlsx", "A 36417-2025")</f>
        <v/>
      </c>
      <c r="X61">
        <f>HYPERLINK("https://klasma.github.io/Logging_2181/kartor/A 36417-2025 karta.png", "A 36417-2025")</f>
        <v/>
      </c>
      <c r="Y61">
        <f>HYPERLINK("https://klasma.github.io/Logging_2181/kartor_geotiff/A 36417-2025 georefererad karta.tif", "A 36417-2025")</f>
        <v/>
      </c>
      <c r="Z61">
        <f>HYPERLINK("https://klasma.github.io/Logging_2181/knärot/A 36417-2025 karta knärot.png", "A 36417-2025")</f>
        <v/>
      </c>
      <c r="AA61">
        <f>HYPERLINK("https://klasma.github.io/Logging_2181/klagomål/A 36417-2025 FSC-klagomål.docx", "A 36417-2025")</f>
        <v/>
      </c>
      <c r="AB61">
        <f>HYPERLINK("https://klasma.github.io/Logging_2181/klagomålsmail/A 36417-2025 FSC-klagomål mail.docx", "A 36417-2025")</f>
        <v/>
      </c>
      <c r="AC61">
        <f>HYPERLINK("https://klasma.github.io/Logging_2181/tillsyn/A 36417-2025 tillsynsbegäran.docx", "A 36417-2025")</f>
        <v/>
      </c>
      <c r="AD61">
        <f>HYPERLINK("https://klasma.github.io/Logging_2181/tillsynsmail/A 36417-2025 tillsynsbegäran mail.docx", "A 36417-2025")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46311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HYPERLINK("https://klasma.github.io/Logging_2181/artfynd/A 3316-2023 artfynd.xlsx", "A 3316-2023")</f>
        <v/>
      </c>
      <c r="X62">
        <f>HYPERLINK("https://klasma.github.io/Logging_2181/kartor/A 3316-2023 karta.png", "A 3316-2023")</f>
        <v/>
      </c>
      <c r="Y62">
        <f>HYPERLINK("https://klasma.github.io/Logging_2181/kartor_geotiff/A 3316-2023 georefererad karta.tif", "A 3316-2023")</f>
        <v/>
      </c>
      <c r="AA62">
        <f>HYPERLINK("https://klasma.github.io/Logging_2181/klagomål/A 3316-2023 FSC-klagomål.docx", "A 3316-2023")</f>
        <v/>
      </c>
      <c r="AB62">
        <f>HYPERLINK("https://klasma.github.io/Logging_2181/klagomålsmail/A 3316-2023 FSC-klagomål mail.docx", "A 3316-2023")</f>
        <v/>
      </c>
      <c r="AC62">
        <f>HYPERLINK("https://klasma.github.io/Logging_2181/tillsyn/A 3316-2023 tillsynsbegäran.docx", "A 3316-2023")</f>
        <v/>
      </c>
      <c r="AD62">
        <f>HYPERLINK("https://klasma.github.io/Logging_2181/tillsynsmail/A 3316-2023 tillsynsbegäran mail.docx", "A 3316-2023")</f>
        <v/>
      </c>
      <c r="AE62">
        <f>HYPERLINK("https://klasma.github.io/Logging_2181/fåglar/A 3316-2023 prioriterade fågelarter.docx", "A 3316-2023")</f>
        <v/>
      </c>
    </row>
    <row r="63" ht="15" customHeight="1">
      <c r="A63" t="inlineStr">
        <is>
          <t>A 22275-2024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46311</v>
      </c>
      <c r="F63" t="inlineStr">
        <is>
          <t>GÄVLEBORGS LÄN</t>
        </is>
      </c>
      <c r="G63" t="inlineStr">
        <is>
          <t>SANDVIKEN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Ekorrbär</t>
        </is>
      </c>
      <c r="W63">
        <f>HYPERLINK("https://klasma.github.io/Logging_2181/artfynd/A 22275-2024 artfynd.xlsx", "A 22275-2024")</f>
        <v/>
      </c>
      <c r="X63">
        <f>HYPERLINK("https://klasma.github.io/Logging_2181/kartor/A 22275-2024 karta.png", "A 22275-2024")</f>
        <v/>
      </c>
      <c r="Y63">
        <f>HYPERLINK("https://klasma.github.io/Logging_2181/kartor_geotiff/A 22275-2024 georefererad karta.tif", "A 22275-2024")</f>
        <v/>
      </c>
      <c r="AA63">
        <f>HYPERLINK("https://klasma.github.io/Logging_2181/klagomål/A 22275-2024 FSC-klagomål.docx", "A 22275-2024")</f>
        <v/>
      </c>
      <c r="AB63">
        <f>HYPERLINK("https://klasma.github.io/Logging_2181/klagomålsmail/A 22275-2024 FSC-klagomål mail.docx", "A 22275-2024")</f>
        <v/>
      </c>
      <c r="AC63">
        <f>HYPERLINK("https://klasma.github.io/Logging_2181/tillsyn/A 22275-2024 tillsynsbegäran.docx", "A 22275-2024")</f>
        <v/>
      </c>
      <c r="AD63">
        <f>HYPERLINK("https://klasma.github.io/Logging_2181/tillsynsmail/A 22275-2024 tillsynsbegäran mail.docx", "A 22275-2024")</f>
        <v/>
      </c>
    </row>
    <row r="64" ht="15" customHeight="1">
      <c r="A64" t="inlineStr">
        <is>
          <t>A 39872-2025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46311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Plattlummer</t>
        </is>
      </c>
      <c r="W64">
        <f>HYPERLINK("https://klasma.github.io/Logging_2181/artfynd/A 39872-2025 artfynd.xlsx", "A 39872-2025")</f>
        <v/>
      </c>
      <c r="X64">
        <f>HYPERLINK("https://klasma.github.io/Logging_2181/kartor/A 39872-2025 karta.png", "A 39872-2025")</f>
        <v/>
      </c>
      <c r="Y64">
        <f>HYPERLINK("https://klasma.github.io/Logging_2181/kartor_geotiff/A 39872-2025 georefererad karta.tif", "A 39872-2025")</f>
        <v/>
      </c>
      <c r="AA64">
        <f>HYPERLINK("https://klasma.github.io/Logging_2181/klagomål/A 39872-2025 FSC-klagomål.docx", "A 39872-2025")</f>
        <v/>
      </c>
      <c r="AB64">
        <f>HYPERLINK("https://klasma.github.io/Logging_2181/klagomålsmail/A 39872-2025 FSC-klagomål mail.docx", "A 39872-2025")</f>
        <v/>
      </c>
      <c r="AC64">
        <f>HYPERLINK("https://klasma.github.io/Logging_2181/tillsyn/A 39872-2025 tillsynsbegäran.docx", "A 39872-2025")</f>
        <v/>
      </c>
      <c r="AD64">
        <f>HYPERLINK("https://klasma.github.io/Logging_2181/tillsynsmail/A 39872-2025 tillsynsbegäran mail.docx", "A 39872-2025")</f>
        <v/>
      </c>
    </row>
    <row r="65" ht="15" customHeight="1">
      <c r="A65" t="inlineStr">
        <is>
          <t>A 39873-2025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46311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Dropptaggsvamp</t>
        </is>
      </c>
      <c r="W65">
        <f>HYPERLINK("https://klasma.github.io/Logging_2181/artfynd/A 39873-2025 artfynd.xlsx", "A 39873-2025")</f>
        <v/>
      </c>
      <c r="X65">
        <f>HYPERLINK("https://klasma.github.io/Logging_2181/kartor/A 39873-2025 karta.png", "A 39873-2025")</f>
        <v/>
      </c>
      <c r="Y65">
        <f>HYPERLINK("https://klasma.github.io/Logging_2181/kartor_geotiff/A 39873-2025 georefererad karta.tif", "A 39873-2025")</f>
        <v/>
      </c>
      <c r="AA65">
        <f>HYPERLINK("https://klasma.github.io/Logging_2181/klagomål/A 39873-2025 FSC-klagomål.docx", "A 39873-2025")</f>
        <v/>
      </c>
      <c r="AB65">
        <f>HYPERLINK("https://klasma.github.io/Logging_2181/klagomålsmail/A 39873-2025 FSC-klagomål mail.docx", "A 39873-2025")</f>
        <v/>
      </c>
      <c r="AC65">
        <f>HYPERLINK("https://klasma.github.io/Logging_2181/tillsyn/A 39873-2025 tillsynsbegäran.docx", "A 39873-2025")</f>
        <v/>
      </c>
      <c r="AD65">
        <f>HYPERLINK("https://klasma.github.io/Logging_2181/tillsynsmail/A 39873-2025 tillsynsbegäran mail.docx", "A 39873-2025")</f>
        <v/>
      </c>
    </row>
    <row r="66" ht="15" customHeight="1">
      <c r="A66" t="inlineStr">
        <is>
          <t>A 38350-2025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46311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väst AB</t>
        </is>
      </c>
      <c r="I66" t="n">
        <v>25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Brandticka</t>
        </is>
      </c>
      <c r="W66">
        <f>HYPERLINK("https://klasma.github.io/Logging_2181/artfynd/A 38350-2025 artfynd.xlsx", "A 38350-2025")</f>
        <v/>
      </c>
      <c r="X66">
        <f>HYPERLINK("https://klasma.github.io/Logging_2181/kartor/A 38350-2025 karta.png", "A 38350-2025")</f>
        <v/>
      </c>
      <c r="Y66">
        <f>HYPERLINK("https://klasma.github.io/Logging_2181/kartor_geotiff/A 38350-2025 georefererad karta.tif", "A 38350-2025")</f>
        <v/>
      </c>
      <c r="AA66">
        <f>HYPERLINK("https://klasma.github.io/Logging_2181/klagomål/A 38350-2025 FSC-klagomål.docx", "A 38350-2025")</f>
        <v/>
      </c>
      <c r="AB66">
        <f>HYPERLINK("https://klasma.github.io/Logging_2181/klagomålsmail/A 38350-2025 FSC-klagomål mail.docx", "A 38350-2025")</f>
        <v/>
      </c>
      <c r="AC66">
        <f>HYPERLINK("https://klasma.github.io/Logging_2181/tillsyn/A 38350-2025 tillsynsbegäran.docx", "A 38350-2025")</f>
        <v/>
      </c>
      <c r="AD66">
        <f>HYPERLINK("https://klasma.github.io/Logging_2181/tillsynsmail/A 38350-2025 tillsynsbegäran mail.docx", "A 38350-2025")</f>
        <v/>
      </c>
    </row>
    <row r="67" ht="15" customHeight="1">
      <c r="A67" t="inlineStr">
        <is>
          <t>A 58845-2023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46311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Vanlig padda</t>
        </is>
      </c>
      <c r="W67">
        <f>HYPERLINK("https://klasma.github.io/Logging_2181/artfynd/A 58845-2023 artfynd.xlsx", "A 58845-2023")</f>
        <v/>
      </c>
      <c r="X67">
        <f>HYPERLINK("https://klasma.github.io/Logging_2181/kartor/A 58845-2023 karta.png", "A 58845-2023")</f>
        <v/>
      </c>
      <c r="Y67">
        <f>HYPERLINK("https://klasma.github.io/Logging_2181/kartor_geotiff/A 58845-2023 georefererad karta.tif", "A 58845-2023")</f>
        <v/>
      </c>
      <c r="AA67">
        <f>HYPERLINK("https://klasma.github.io/Logging_2181/klagomål/A 58845-2023 FSC-klagomål.docx", "A 58845-2023")</f>
        <v/>
      </c>
      <c r="AB67">
        <f>HYPERLINK("https://klasma.github.io/Logging_2181/klagomålsmail/A 58845-2023 FSC-klagomål mail.docx", "A 58845-2023")</f>
        <v/>
      </c>
      <c r="AC67">
        <f>HYPERLINK("https://klasma.github.io/Logging_2181/tillsyn/A 58845-2023 tillsynsbegäran.docx", "A 58845-2023")</f>
        <v/>
      </c>
      <c r="AD67">
        <f>HYPERLINK("https://klasma.github.io/Logging_2181/tillsynsmail/A 58845-2023 tillsynsbegäran mail.docx", "A 58845-2023")</f>
        <v/>
      </c>
    </row>
    <row r="68" ht="15" customHeight="1">
      <c r="A68" t="inlineStr">
        <is>
          <t>A 15121-2026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46105</v>
      </c>
      <c r="E68" s="1" t="n">
        <v>46311</v>
      </c>
      <c r="F68" t="inlineStr">
        <is>
          <t>GÄVLEBORGS LÄN</t>
        </is>
      </c>
      <c r="G68" t="inlineStr">
        <is>
          <t>SANDVIKEN</t>
        </is>
      </c>
      <c r="I68" t="n">
        <v>2.7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HYPERLINK("https://klasma.github.io/Logging_2181/artfynd/A 15121-2026 artfynd.xlsx", "A 15121-2026")</f>
        <v/>
      </c>
      <c r="X68">
        <f>HYPERLINK("https://klasma.github.io/Logging_2181/kartor/A 15121-2026 karta.png", "A 15121-2026")</f>
        <v/>
      </c>
      <c r="Y68">
        <f>HYPERLINK("https://klasma.github.io/Logging_2181/kartor_geotiff/A 15121-2026 georefererad karta.tif", "A 15121-2026")</f>
        <v/>
      </c>
      <c r="AA68">
        <f>HYPERLINK("https://klasma.github.io/Logging_2181/klagomål/A 15121-2026 FSC-klagomål.docx", "A 15121-2026")</f>
        <v/>
      </c>
      <c r="AB68">
        <f>HYPERLINK("https://klasma.github.io/Logging_2181/klagomålsmail/A 15121-2026 FSC-klagomål mail.docx", "A 15121-2026")</f>
        <v/>
      </c>
      <c r="AC68">
        <f>HYPERLINK("https://klasma.github.io/Logging_2181/tillsyn/A 15121-2026 tillsynsbegäran.docx", "A 15121-2026")</f>
        <v/>
      </c>
      <c r="AD68">
        <f>HYPERLINK("https://klasma.github.io/Logging_2181/tillsynsmail/A 15121-2026 tillsynsbegäran mail.docx", "A 15121-2026")</f>
        <v/>
      </c>
    </row>
    <row r="69" ht="15" customHeight="1">
      <c r="A69" t="inlineStr">
        <is>
          <t>A 14835-2026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46311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14835-2026 artfynd.xlsx", "A 14835-2026")</f>
        <v/>
      </c>
      <c r="X69">
        <f>HYPERLINK("https://klasma.github.io/Logging_2181/kartor/A 14835-2026 karta.png", "A 14835-2026")</f>
        <v/>
      </c>
      <c r="Y69">
        <f>HYPERLINK("https://klasma.github.io/Logging_2181/kartor_geotiff/A 14835-2026 georefererad karta.tif", "A 14835-2026")</f>
        <v/>
      </c>
      <c r="AA69">
        <f>HYPERLINK("https://klasma.github.io/Logging_2181/klagomål/A 14835-2026 FSC-klagomål.docx", "A 14835-2026")</f>
        <v/>
      </c>
      <c r="AB69">
        <f>HYPERLINK("https://klasma.github.io/Logging_2181/klagomålsmail/A 14835-2026 FSC-klagomål mail.docx", "A 14835-2026")</f>
        <v/>
      </c>
      <c r="AC69">
        <f>HYPERLINK("https://klasma.github.io/Logging_2181/tillsyn/A 14835-2026 tillsynsbegäran.docx", "A 14835-2026")</f>
        <v/>
      </c>
      <c r="AD69">
        <f>HYPERLINK("https://klasma.github.io/Logging_2181/tillsynsmail/A 14835-2026 tillsynsbegäran mail.docx", "A 14835-2026")</f>
        <v/>
      </c>
    </row>
    <row r="70" ht="15" customHeight="1">
      <c r="A70" t="inlineStr">
        <is>
          <t>A 17062-2026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46311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Vårärt</t>
        </is>
      </c>
      <c r="W70">
        <f>HYPERLINK("https://klasma.github.io/Logging_2181/artfynd/A 17062-2026 artfynd.xlsx", "A 17062-2026")</f>
        <v/>
      </c>
      <c r="X70">
        <f>HYPERLINK("https://klasma.github.io/Logging_2181/kartor/A 17062-2026 karta.png", "A 17062-2026")</f>
        <v/>
      </c>
      <c r="Y70">
        <f>HYPERLINK("https://klasma.github.io/Logging_2181/kartor_geotiff/A 17062-2026 georefererad karta.tif", "A 17062-2026")</f>
        <v/>
      </c>
      <c r="AA70">
        <f>HYPERLINK("https://klasma.github.io/Logging_2181/klagomål/A 17062-2026 FSC-klagomål.docx", "A 17062-2026")</f>
        <v/>
      </c>
      <c r="AB70">
        <f>HYPERLINK("https://klasma.github.io/Logging_2181/klagomålsmail/A 17062-2026 FSC-klagomål mail.docx", "A 17062-2026")</f>
        <v/>
      </c>
      <c r="AC70">
        <f>HYPERLINK("https://klasma.github.io/Logging_2181/tillsyn/A 17062-2026 tillsynsbegäran.docx", "A 17062-2026")</f>
        <v/>
      </c>
      <c r="AD70">
        <f>HYPERLINK("https://klasma.github.io/Logging_2181/tillsynsmail/A 17062-2026 tillsynsbegäran mail.docx", "A 17062-2026")</f>
        <v/>
      </c>
    </row>
    <row r="71" ht="15" customHeight="1">
      <c r="A71" t="inlineStr">
        <is>
          <t>A 17364-2026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46311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17364-2026 artfynd.xlsx", "A 17364-2026")</f>
        <v/>
      </c>
      <c r="X71">
        <f>HYPERLINK("https://klasma.github.io/Logging_2181/kartor/A 17364-2026 karta.png", "A 17364-2026")</f>
        <v/>
      </c>
      <c r="Y71">
        <f>HYPERLINK("https://klasma.github.io/Logging_2181/kartor_geotiff/A 17364-2026 georefererad karta.tif", "A 17364-2026")</f>
        <v/>
      </c>
      <c r="AA71">
        <f>HYPERLINK("https://klasma.github.io/Logging_2181/klagomål/A 17364-2026 FSC-klagomål.docx", "A 17364-2026")</f>
        <v/>
      </c>
      <c r="AB71">
        <f>HYPERLINK("https://klasma.github.io/Logging_2181/klagomålsmail/A 17364-2026 FSC-klagomål mail.docx", "A 17364-2026")</f>
        <v/>
      </c>
      <c r="AC71">
        <f>HYPERLINK("https://klasma.github.io/Logging_2181/tillsyn/A 17364-2026 tillsynsbegäran.docx", "A 17364-2026")</f>
        <v/>
      </c>
      <c r="AD71">
        <f>HYPERLINK("https://klasma.github.io/Logging_2181/tillsynsmail/A 17364-2026 tillsynsbegäran mail.docx", "A 17364-2026")</f>
        <v/>
      </c>
    </row>
    <row r="72" ht="15" customHeight="1">
      <c r="A72" t="inlineStr">
        <is>
          <t>A 19272-2026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46133</v>
      </c>
      <c r="E72" s="1" t="n">
        <v>46311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9.4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HYPERLINK("https://klasma.github.io/Logging_2181/artfynd/A 19272-2026 artfynd.xlsx", "A 19272-2026")</f>
        <v/>
      </c>
      <c r="X72">
        <f>HYPERLINK("https://klasma.github.io/Logging_2181/kartor/A 19272-2026 karta.png", "A 19272-2026")</f>
        <v/>
      </c>
      <c r="Y72">
        <f>HYPERLINK("https://klasma.github.io/Logging_2181/kartor_geotiff/A 19272-2026 georefererad karta.tif", "A 19272-2026")</f>
        <v/>
      </c>
      <c r="AA72">
        <f>HYPERLINK("https://klasma.github.io/Logging_2181/klagomål/A 19272-2026 FSC-klagomål.docx", "A 19272-2026")</f>
        <v/>
      </c>
      <c r="AB72">
        <f>HYPERLINK("https://klasma.github.io/Logging_2181/klagomålsmail/A 19272-2026 FSC-klagomål mail.docx", "A 19272-2026")</f>
        <v/>
      </c>
      <c r="AC72">
        <f>HYPERLINK("https://klasma.github.io/Logging_2181/tillsyn/A 19272-2026 tillsynsbegäran.docx", "A 19272-2026")</f>
        <v/>
      </c>
      <c r="AD72">
        <f>HYPERLINK("https://klasma.github.io/Logging_2181/tillsynsmail/A 19272-2026 tillsynsbegäran mail.docx", "A 19272-2026")</f>
        <v/>
      </c>
    </row>
    <row r="73" ht="15" customHeight="1">
      <c r="A73" t="inlineStr">
        <is>
          <t>A 45427-2023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45194</v>
      </c>
      <c r="E73" s="1" t="n">
        <v>46311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HYPERLINK("https://klasma.github.io/Logging_2181/artfynd/A 45427-2023 artfynd.xlsx", "A 45427-2023")</f>
        <v/>
      </c>
      <c r="X73">
        <f>HYPERLINK("https://klasma.github.io/Logging_2181/kartor/A 45427-2023 karta.png", "A 45427-2023")</f>
        <v/>
      </c>
      <c r="Y73">
        <f>HYPERLINK("https://klasma.github.io/Logging_2181/kartor_geotiff/A 45427-2023 georefererad karta.tif", "A 45427-2023")</f>
        <v/>
      </c>
      <c r="AA73">
        <f>HYPERLINK("https://klasma.github.io/Logging_2181/klagomål/A 45427-2023 FSC-klagomål.docx", "A 45427-2023")</f>
        <v/>
      </c>
      <c r="AB73">
        <f>HYPERLINK("https://klasma.github.io/Logging_2181/klagomålsmail/A 45427-2023 FSC-klagomål mail.docx", "A 45427-2023")</f>
        <v/>
      </c>
      <c r="AC73">
        <f>HYPERLINK("https://klasma.github.io/Logging_2181/tillsyn/A 45427-2023 tillsynsbegäran.docx", "A 45427-2023")</f>
        <v/>
      </c>
      <c r="AD73">
        <f>HYPERLINK("https://klasma.github.io/Logging_2181/tillsynsmail/A 45427-2023 tillsynsbegäran mail.docx", "A 45427-2023")</f>
        <v/>
      </c>
    </row>
    <row r="74" ht="15" customHeight="1">
      <c r="A74" t="inlineStr">
        <is>
          <t>A 4324-2026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46311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11.2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HYPERLINK("https://klasma.github.io/Logging_2181/artfynd/A 4324-2026 artfynd.xlsx", "A 4324-2026")</f>
        <v/>
      </c>
      <c r="X74">
        <f>HYPERLINK("https://klasma.github.io/Logging_2181/kartor/A 4324-2026 karta.png", "A 4324-2026")</f>
        <v/>
      </c>
      <c r="Y74">
        <f>HYPERLINK("https://klasma.github.io/Logging_2181/kartor_geotiff/A 4324-2026 georefererad karta.tif", "A 4324-2026")</f>
        <v/>
      </c>
      <c r="AA74">
        <f>HYPERLINK("https://klasma.github.io/Logging_2181/klagomål/A 4324-2026 FSC-klagomål.docx", "A 4324-2026")</f>
        <v/>
      </c>
      <c r="AB74">
        <f>HYPERLINK("https://klasma.github.io/Logging_2181/klagomålsmail/A 4324-2026 FSC-klagomål mail.docx", "A 4324-2026")</f>
        <v/>
      </c>
      <c r="AC74">
        <f>HYPERLINK("https://klasma.github.io/Logging_2181/tillsyn/A 4324-2026 tillsynsbegäran.docx", "A 4324-2026")</f>
        <v/>
      </c>
      <c r="AD74">
        <f>HYPERLINK("https://klasma.github.io/Logging_2181/tillsynsmail/A 4324-2026 tillsynsbegäran mail.docx", "A 4324-2026")</f>
        <v/>
      </c>
      <c r="AE74">
        <f>HYPERLINK("https://klasma.github.io/Logging_2181/fåglar/A 4324-2026 prioriterade fågelarter.docx", "A 4324-2026")</f>
        <v/>
      </c>
    </row>
    <row r="75" ht="15" customHeight="1">
      <c r="A75" t="inlineStr">
        <is>
          <t>A 15729-2022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44663</v>
      </c>
      <c r="E75" s="1" t="n">
        <v>46311</v>
      </c>
      <c r="F75" t="inlineStr">
        <is>
          <t>GÄVLEBORGS LÄN</t>
        </is>
      </c>
      <c r="G75" t="inlineStr">
        <is>
          <t>SANDVIKEN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HYPERLINK("https://klasma.github.io/Logging_2181/artfynd/A 15729-2022 artfynd.xlsx", "A 15729-2022")</f>
        <v/>
      </c>
      <c r="X75">
        <f>HYPERLINK("https://klasma.github.io/Logging_2181/kartor/A 15729-2022 karta.png", "A 15729-2022")</f>
        <v/>
      </c>
      <c r="Y75">
        <f>HYPERLINK("https://klasma.github.io/Logging_2181/kartor_geotiff/A 15729-2022 georefererad karta.tif", "A 15729-2022")</f>
        <v/>
      </c>
      <c r="Z75">
        <f>HYPERLINK("https://klasma.github.io/Logging_2181/knärot/A 15729-2022 karta knärot.png", "A 15729-2022")</f>
        <v/>
      </c>
      <c r="AA75">
        <f>HYPERLINK("https://klasma.github.io/Logging_2181/klagomål/A 15729-2022 FSC-klagomål.docx", "A 15729-2022")</f>
        <v/>
      </c>
      <c r="AB75">
        <f>HYPERLINK("https://klasma.github.io/Logging_2181/klagomålsmail/A 15729-2022 FSC-klagomål mail.docx", "A 15729-2022")</f>
        <v/>
      </c>
      <c r="AC75">
        <f>HYPERLINK("https://klasma.github.io/Logging_2181/tillsyn/A 15729-2022 tillsynsbegäran.docx", "A 15729-2022")</f>
        <v/>
      </c>
      <c r="AD75">
        <f>HYPERLINK("https://klasma.github.io/Logging_2181/tillsynsmail/A 15729-2022 tillsynsbegäran mail.docx", "A 15729-2022")</f>
        <v/>
      </c>
    </row>
    <row r="76" ht="15" customHeight="1">
      <c r="A76" t="inlineStr">
        <is>
          <t>A 6972-2026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46311</v>
      </c>
      <c r="F76" t="inlineStr">
        <is>
          <t>GÄVLEBORGS LÄN</t>
        </is>
      </c>
      <c r="G76" t="inlineStr">
        <is>
          <t>SANDVIKEN</t>
        </is>
      </c>
      <c r="H76" t="inlineStr">
        <is>
          <t>Naturvårdsverket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Svartvit flugsnappare</t>
        </is>
      </c>
      <c r="W76">
        <f>HYPERLINK("https://klasma.github.io/Logging_2181/artfynd/A 6972-2026 artfynd.xlsx", "A 6972-2026")</f>
        <v/>
      </c>
      <c r="X76">
        <f>HYPERLINK("https://klasma.github.io/Logging_2181/kartor/A 6972-2026 karta.png", "A 6972-2026")</f>
        <v/>
      </c>
      <c r="Y76">
        <f>HYPERLINK("https://klasma.github.io/Logging_2181/kartor_geotiff/A 6972-2026 georefererad karta.tif", "A 6972-2026")</f>
        <v/>
      </c>
      <c r="AA76">
        <f>HYPERLINK("https://klasma.github.io/Logging_2181/klagomål/A 6972-2026 FSC-klagomål.docx", "A 6972-2026")</f>
        <v/>
      </c>
      <c r="AB76">
        <f>HYPERLINK("https://klasma.github.io/Logging_2181/klagomålsmail/A 6972-2026 FSC-klagomål mail.docx", "A 6972-2026")</f>
        <v/>
      </c>
      <c r="AC76">
        <f>HYPERLINK("https://klasma.github.io/Logging_2181/tillsyn/A 6972-2026 tillsynsbegäran.docx", "A 6972-2026")</f>
        <v/>
      </c>
      <c r="AD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46311</v>
      </c>
      <c r="F77" t="inlineStr">
        <is>
          <t>GÄVLEBORGS LÄN</t>
        </is>
      </c>
      <c r="G77" t="inlineStr">
        <is>
          <t>SANDVIKEN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HYPERLINK("https://klasma.github.io/Logging_2181/artfynd/A 41349-2025 artfynd.xlsx", "A 41349-2025")</f>
        <v/>
      </c>
      <c r="X77">
        <f>HYPERLINK("https://klasma.github.io/Logging_2181/kartor/A 41349-2025 karta.png", "A 41349-2025")</f>
        <v/>
      </c>
      <c r="Y77">
        <f>HYPERLINK("https://klasma.github.io/Logging_2181/kartor_geotiff/A 41349-2025 georefererad karta.tif", "A 41349-2025")</f>
        <v/>
      </c>
      <c r="AA77">
        <f>HYPERLINK("https://klasma.github.io/Logging_2181/klagomål/A 41349-2025 FSC-klagomål.docx", "A 41349-2025")</f>
        <v/>
      </c>
      <c r="AB77">
        <f>HYPERLINK("https://klasma.github.io/Logging_2181/klagomålsmail/A 41349-2025 FSC-klagomål mail.docx", "A 41349-2025")</f>
        <v/>
      </c>
      <c r="AC77">
        <f>HYPERLINK("https://klasma.github.io/Logging_2181/tillsyn/A 41349-2025 tillsynsbegäran.docx", "A 41349-2025")</f>
        <v/>
      </c>
      <c r="AD77">
        <f>HYPERLINK("https://klasma.github.io/Logging_2181/tillsynsmail/A 41349-2025 tillsynsbegäran mail.docx", "A 41349-2025")</f>
        <v/>
      </c>
    </row>
    <row r="78" ht="15" customHeight="1">
      <c r="A78" t="inlineStr">
        <is>
          <t>A 21532-2026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46148</v>
      </c>
      <c r="E78" s="1" t="n">
        <v>46311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Svartvit flugsnappare</t>
        </is>
      </c>
      <c r="W78">
        <f>HYPERLINK("https://klasma.github.io/Logging_2181/artfynd/A 21532-2026 artfynd.xlsx", "A 21532-2026")</f>
        <v/>
      </c>
      <c r="X78">
        <f>HYPERLINK("https://klasma.github.io/Logging_2181/kartor/A 21532-2026 karta.png", "A 21532-2026")</f>
        <v/>
      </c>
      <c r="Y78">
        <f>HYPERLINK("https://klasma.github.io/Logging_2181/kartor_geotiff/A 21532-2026 georefererad karta.tif", "A 21532-2026")</f>
        <v/>
      </c>
      <c r="AA78">
        <f>HYPERLINK("https://klasma.github.io/Logging_2181/klagomål/A 21532-2026 FSC-klagomål.docx", "A 21532-2026")</f>
        <v/>
      </c>
      <c r="AB78">
        <f>HYPERLINK("https://klasma.github.io/Logging_2181/klagomålsmail/A 21532-2026 FSC-klagomål mail.docx", "A 21532-2026")</f>
        <v/>
      </c>
      <c r="AC78">
        <f>HYPERLINK("https://klasma.github.io/Logging_2181/tillsyn/A 21532-2026 tillsynsbegäran.docx", "A 21532-2026")</f>
        <v/>
      </c>
      <c r="AD78">
        <f>HYPERLINK("https://klasma.github.io/Logging_2181/tillsynsmail/A 21532-2026 tillsynsbegäran mail.docx", "A 21532-2026")</f>
        <v/>
      </c>
    </row>
    <row r="79" ht="15" customHeight="1">
      <c r="A79" t="inlineStr">
        <is>
          <t>A 24171-2026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46168</v>
      </c>
      <c r="E79" s="1" t="n">
        <v>46311</v>
      </c>
      <c r="F79" t="inlineStr">
        <is>
          <t>GÄVLEBORGS LÄN</t>
        </is>
      </c>
      <c r="G79" t="inlineStr">
        <is>
          <t>SANDVIKEN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Svedjenäva</t>
        </is>
      </c>
      <c r="W79">
        <f>HYPERLINK("https://klasma.github.io/Logging_2181/artfynd/A 24171-2026 artfynd.xlsx", "A 24171-2026")</f>
        <v/>
      </c>
      <c r="X79">
        <f>HYPERLINK("https://klasma.github.io/Logging_2181/kartor/A 24171-2026 karta.png", "A 24171-2026")</f>
        <v/>
      </c>
      <c r="Y79">
        <f>HYPERLINK("https://klasma.github.io/Logging_2181/kartor_geotiff/A 24171-2026 georefererad karta.tif", "A 24171-2026")</f>
        <v/>
      </c>
      <c r="AA79">
        <f>HYPERLINK("https://klasma.github.io/Logging_2181/klagomål/A 24171-2026 FSC-klagomål.docx", "A 24171-2026")</f>
        <v/>
      </c>
      <c r="AB79">
        <f>HYPERLINK("https://klasma.github.io/Logging_2181/klagomålsmail/A 24171-2026 FSC-klagomål mail.docx", "A 24171-2026")</f>
        <v/>
      </c>
      <c r="AC79">
        <f>HYPERLINK("https://klasma.github.io/Logging_2181/tillsyn/A 24171-2026 tillsynsbegäran.docx", "A 24171-2026")</f>
        <v/>
      </c>
      <c r="AD79">
        <f>HYPERLINK("https://klasma.github.io/Logging_2181/tillsynsmail/A 24171-2026 tillsynsbegäran mail.docx", "A 24171-2026")</f>
        <v/>
      </c>
    </row>
    <row r="80" ht="15" customHeight="1">
      <c r="A80" t="inlineStr">
        <is>
          <t>A 47174-2025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46311</v>
      </c>
      <c r="F80" t="inlineStr">
        <is>
          <t>GÄVLEBORGS LÄN</t>
        </is>
      </c>
      <c r="G80" t="inlineStr">
        <is>
          <t>SANDVIKEN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HYPERLINK("https://klasma.github.io/Logging_2181/artfynd/A 47174-2025 artfynd.xlsx", "A 47174-2025")</f>
        <v/>
      </c>
      <c r="X80">
        <f>HYPERLINK("https://klasma.github.io/Logging_2181/kartor/A 47174-2025 karta.png", "A 47174-2025")</f>
        <v/>
      </c>
      <c r="Y80">
        <f>HYPERLINK("https://klasma.github.io/Logging_2181/kartor_geotiff/A 47174-2025 georefererad karta.tif", "A 47174-2025")</f>
        <v/>
      </c>
      <c r="AA80">
        <f>HYPERLINK("https://klasma.github.io/Logging_2181/klagomål/A 47174-2025 FSC-klagomål.docx", "A 47174-2025")</f>
        <v/>
      </c>
      <c r="AB80">
        <f>HYPERLINK("https://klasma.github.io/Logging_2181/klagomålsmail/A 47174-2025 FSC-klagomål mail.docx", "A 47174-2025")</f>
        <v/>
      </c>
      <c r="AC80">
        <f>HYPERLINK("https://klasma.github.io/Logging_2181/tillsyn/A 47174-2025 tillsynsbegäran.docx", "A 47174-2025")</f>
        <v/>
      </c>
      <c r="AD80">
        <f>HYPERLINK("https://klasma.github.io/Logging_2181/tillsynsmail/A 47174-2025 tillsynsbegäran mail.docx", "A 47174-2025")</f>
        <v/>
      </c>
    </row>
    <row r="81" ht="15" customHeight="1">
      <c r="A81" t="inlineStr">
        <is>
          <t>A 24357-2026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46169</v>
      </c>
      <c r="E81" s="1" t="n">
        <v>46311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HYPERLINK("https://klasma.github.io/Logging_2181/artfynd/A 24357-2026 artfynd.xlsx", "A 24357-2026")</f>
        <v/>
      </c>
      <c r="X81">
        <f>HYPERLINK("https://klasma.github.io/Logging_2181/kartor/A 24357-2026 karta.png", "A 24357-2026")</f>
        <v/>
      </c>
      <c r="Y81">
        <f>HYPERLINK("https://klasma.github.io/Logging_2181/kartor_geotiff/A 24357-2026 georefererad karta.tif", "A 24357-2026")</f>
        <v/>
      </c>
      <c r="AA81">
        <f>HYPERLINK("https://klasma.github.io/Logging_2181/klagomål/A 24357-2026 FSC-klagomål.docx", "A 24357-2026")</f>
        <v/>
      </c>
      <c r="AB81">
        <f>HYPERLINK("https://klasma.github.io/Logging_2181/klagomålsmail/A 24357-2026 FSC-klagomål mail.docx", "A 24357-2026")</f>
        <v/>
      </c>
      <c r="AC81">
        <f>HYPERLINK("https://klasma.github.io/Logging_2181/tillsyn/A 24357-2026 tillsynsbegäran.docx", "A 24357-2026")</f>
        <v/>
      </c>
      <c r="AD81">
        <f>HYPERLINK("https://klasma.github.io/Logging_2181/tillsynsmail/A 24357-2026 tillsynsbegäran mail.docx", "A 24357-2026")</f>
        <v/>
      </c>
    </row>
    <row r="82" ht="15" customHeight="1">
      <c r="A82" t="inlineStr">
        <is>
          <t>A 25247-2026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46175</v>
      </c>
      <c r="E82" s="1" t="n">
        <v>46311</v>
      </c>
      <c r="F82" t="inlineStr">
        <is>
          <t>GÄVLEBORGS LÄN</t>
        </is>
      </c>
      <c r="G82" t="inlineStr">
        <is>
          <t>SANDVIKEN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Skinnlav</t>
        </is>
      </c>
      <c r="W82">
        <f>HYPERLINK("https://klasma.github.io/Logging_2181/artfynd/A 25247-2026 artfynd.xlsx", "A 25247-2026")</f>
        <v/>
      </c>
      <c r="X82">
        <f>HYPERLINK("https://klasma.github.io/Logging_2181/kartor/A 25247-2026 karta.png", "A 25247-2026")</f>
        <v/>
      </c>
      <c r="Y82">
        <f>HYPERLINK("https://klasma.github.io/Logging_2181/kartor_geotiff/A 25247-2026 georefererad karta.tif", "A 25247-2026")</f>
        <v/>
      </c>
      <c r="AA82">
        <f>HYPERLINK("https://klasma.github.io/Logging_2181/klagomål/A 25247-2026 FSC-klagomål.docx", "A 25247-2026")</f>
        <v/>
      </c>
      <c r="AB82">
        <f>HYPERLINK("https://klasma.github.io/Logging_2181/klagomålsmail/A 25247-2026 FSC-klagomål mail.docx", "A 25247-2026")</f>
        <v/>
      </c>
      <c r="AC82">
        <f>HYPERLINK("https://klasma.github.io/Logging_2181/tillsyn/A 25247-2026 tillsynsbegäran.docx", "A 25247-2026")</f>
        <v/>
      </c>
      <c r="AD82">
        <f>HYPERLINK("https://klasma.github.io/Logging_2181/tillsynsmail/A 25247-2026 tillsynsbegäran mail.docx", "A 25247-2026")</f>
        <v/>
      </c>
    </row>
    <row r="83" ht="15" customHeight="1">
      <c r="A83" t="inlineStr">
        <is>
          <t>A 26212-2026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46182</v>
      </c>
      <c r="E83" s="1" t="n">
        <v>46311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HYPERLINK("https://klasma.github.io/Logging_2181/artfynd/A 26212-2026 artfynd.xlsx", "A 26212-2026")</f>
        <v/>
      </c>
      <c r="X83">
        <f>HYPERLINK("https://klasma.github.io/Logging_2181/kartor/A 26212-2026 karta.png", "A 26212-2026")</f>
        <v/>
      </c>
      <c r="Y83">
        <f>HYPERLINK("https://klasma.github.io/Logging_2181/kartor_geotiff/A 26212-2026 georefererad karta.tif", "A 26212-2026")</f>
        <v/>
      </c>
      <c r="Z83">
        <f>HYPERLINK("https://klasma.github.io/Logging_2181/knärot/A 26212-2026 karta knärot.png", "A 26212-2026")</f>
        <v/>
      </c>
      <c r="AA83">
        <f>HYPERLINK("https://klasma.github.io/Logging_2181/klagomål/A 26212-2026 FSC-klagomål.docx", "A 26212-2026")</f>
        <v/>
      </c>
      <c r="AB83">
        <f>HYPERLINK("https://klasma.github.io/Logging_2181/klagomålsmail/A 26212-2026 FSC-klagomål mail.docx", "A 26212-2026")</f>
        <v/>
      </c>
      <c r="AC83">
        <f>HYPERLINK("https://klasma.github.io/Logging_2181/tillsyn/A 26212-2026 tillsynsbegäran.docx", "A 26212-2026")</f>
        <v/>
      </c>
      <c r="AD83">
        <f>HYPERLINK("https://klasma.github.io/Logging_2181/tillsynsmail/A 26212-2026 tillsynsbegäran mail.docx", "A 26212-2026")</f>
        <v/>
      </c>
    </row>
    <row r="84" ht="15" customHeight="1">
      <c r="A84" t="inlineStr">
        <is>
          <t>A 27207-2026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46188</v>
      </c>
      <c r="E84" s="1" t="n">
        <v>46311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HYPERLINK("https://klasma.github.io/Logging_2181/artfynd/A 27207-2026 artfynd.xlsx", "A 27207-2026")</f>
        <v/>
      </c>
      <c r="X84">
        <f>HYPERLINK("https://klasma.github.io/Logging_2181/kartor/A 27207-2026 karta.png", "A 27207-2026")</f>
        <v/>
      </c>
      <c r="Y84">
        <f>HYPERLINK("https://klasma.github.io/Logging_2181/kartor_geotiff/A 27207-2026 georefererad karta.tif", "A 27207-2026")</f>
        <v/>
      </c>
      <c r="AA84">
        <f>HYPERLINK("https://klasma.github.io/Logging_2181/klagomål/A 27207-2026 FSC-klagomål.docx", "A 27207-2026")</f>
        <v/>
      </c>
      <c r="AB84">
        <f>HYPERLINK("https://klasma.github.io/Logging_2181/klagomålsmail/A 27207-2026 FSC-klagomål mail.docx", "A 27207-2026")</f>
        <v/>
      </c>
      <c r="AC84">
        <f>HYPERLINK("https://klasma.github.io/Logging_2181/tillsyn/A 27207-2026 tillsynsbegäran.docx", "A 27207-2026")</f>
        <v/>
      </c>
      <c r="AD84">
        <f>HYPERLINK("https://klasma.github.io/Logging_2181/tillsynsmail/A 27207-2026 tillsynsbegäran mail.docx", "A 27207-2026")</f>
        <v/>
      </c>
    </row>
    <row r="85" ht="15" customHeight="1">
      <c r="A85" t="inlineStr">
        <is>
          <t>A 23289-2024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46311</v>
      </c>
      <c r="F85" t="inlineStr">
        <is>
          <t>GÄVLEBORGS LÄN</t>
        </is>
      </c>
      <c r="G85" t="inlineStr">
        <is>
          <t>SANDVIKEN</t>
        </is>
      </c>
      <c r="H85" t="inlineStr">
        <is>
          <t>Kyrkan</t>
        </is>
      </c>
      <c r="I85" t="n">
        <v>3.8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Skogsödla</t>
        </is>
      </c>
      <c r="W85">
        <f>HYPERLINK("https://klasma.github.io/Logging_2181/artfynd/A 23289-2024 artfynd.xlsx", "A 23289-2024")</f>
        <v/>
      </c>
      <c r="X85">
        <f>HYPERLINK("https://klasma.github.io/Logging_2181/kartor/A 23289-2024 karta.png", "A 23289-2024")</f>
        <v/>
      </c>
      <c r="Y85">
        <f>HYPERLINK("https://klasma.github.io/Logging_2181/kartor_geotiff/A 23289-2024 georefererad karta.tif", "A 23289-2024")</f>
        <v/>
      </c>
      <c r="AA85">
        <f>HYPERLINK("https://klasma.github.io/Logging_2181/klagomål/A 23289-2024 FSC-klagomål.docx", "A 23289-2024")</f>
        <v/>
      </c>
      <c r="AB85">
        <f>HYPERLINK("https://klasma.github.io/Logging_2181/klagomålsmail/A 23289-2024 FSC-klagomål mail.docx", "A 23289-2024")</f>
        <v/>
      </c>
      <c r="AC85">
        <f>HYPERLINK("https://klasma.github.io/Logging_2181/tillsyn/A 23289-2024 tillsynsbegäran.docx", "A 23289-2024")</f>
        <v/>
      </c>
      <c r="AD85">
        <f>HYPERLINK("https://klasma.github.io/Logging_2181/tillsynsmail/A 23289-2024 tillsynsbegäran mail.docx", "A 23289-2024")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46311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31311-2026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46219</v>
      </c>
      <c r="E87" s="1" t="n">
        <v>46311</v>
      </c>
      <c r="F87" t="inlineStr">
        <is>
          <t>GÄVLEBORGS LÄN</t>
        </is>
      </c>
      <c r="G87" t="inlineStr">
        <is>
          <t>SANDVIKEN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padda</t>
        </is>
      </c>
      <c r="W87">
        <f>HYPERLINK("https://klasma.github.io/Logging_2181/artfynd/A 31311-2026 artfynd.xlsx", "A 31311-2026")</f>
        <v/>
      </c>
      <c r="X87">
        <f>HYPERLINK("https://klasma.github.io/Logging_2181/kartor/A 31311-2026 karta.png", "A 31311-2026")</f>
        <v/>
      </c>
      <c r="Y87">
        <f>HYPERLINK("https://klasma.github.io/Logging_2181/kartor_geotiff/A 31311-2026 georefererad karta.tif", "A 31311-2026")</f>
        <v/>
      </c>
      <c r="AA87">
        <f>HYPERLINK("https://klasma.github.io/Logging_2181/klagomål/A 31311-2026 FSC-klagomål.docx", "A 31311-2026")</f>
        <v/>
      </c>
      <c r="AB87">
        <f>HYPERLINK("https://klasma.github.io/Logging_2181/klagomålsmail/A 31311-2026 FSC-klagomål mail.docx", "A 31311-2026")</f>
        <v/>
      </c>
      <c r="AC87">
        <f>HYPERLINK("https://klasma.github.io/Logging_2181/tillsyn/A 31311-2026 tillsynsbegäran.docx", "A 31311-2026")</f>
        <v/>
      </c>
      <c r="AD87">
        <f>HYPERLINK("https://klasma.github.io/Logging_2181/tillsynsmail/A 31311-2026 tillsynsbegäran mail.docx", "A 31311-2026")</f>
        <v/>
      </c>
    </row>
    <row r="88" ht="15" customHeight="1">
      <c r="A88" t="inlineStr">
        <is>
          <t>A 36596-2026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46269</v>
      </c>
      <c r="E88" s="1" t="n">
        <v>46311</v>
      </c>
      <c r="F88" t="inlineStr">
        <is>
          <t>GÄVLEBORGS LÄN</t>
        </is>
      </c>
      <c r="G88" t="inlineStr">
        <is>
          <t>SANDVIKEN</t>
        </is>
      </c>
      <c r="I88" t="n">
        <v>10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padda</t>
        </is>
      </c>
      <c r="W88">
        <f>HYPERLINK("https://klasma.github.io/Logging_2181/artfynd/A 36596-2026 artfynd.xlsx", "A 36596-2026")</f>
        <v/>
      </c>
      <c r="X88">
        <f>HYPERLINK("https://klasma.github.io/Logging_2181/kartor/A 36596-2026 karta.png", "A 36596-2026")</f>
        <v/>
      </c>
      <c r="Y88">
        <f>HYPERLINK("https://klasma.github.io/Logging_2181/kartor_geotiff/A 36596-2026 georefererad karta.tif", "A 36596-2026")</f>
        <v/>
      </c>
      <c r="AA88">
        <f>HYPERLINK("https://klasma.github.io/Logging_2181/klagomål/A 36596-2026 FSC-klagomål.docx", "A 36596-2026")</f>
        <v/>
      </c>
      <c r="AB88">
        <f>HYPERLINK("https://klasma.github.io/Logging_2181/klagomålsmail/A 36596-2026 FSC-klagomål mail.docx", "A 36596-2026")</f>
        <v/>
      </c>
      <c r="AC88">
        <f>HYPERLINK("https://klasma.github.io/Logging_2181/tillsyn/A 36596-2026 tillsynsbegäran.docx", "A 36596-2026")</f>
        <v/>
      </c>
      <c r="AD88">
        <f>HYPERLINK("https://klasma.github.io/Logging_2181/tillsynsmail/A 36596-2026 tillsynsbegäran mail.docx", "A 36596-2026")</f>
        <v/>
      </c>
    </row>
    <row r="89" ht="15" customHeight="1">
      <c r="A89" t="inlineStr">
        <is>
          <t>A 25479-2023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46311</v>
      </c>
      <c r="F89" t="inlineStr">
        <is>
          <t>GÄVLEBORGS LÄN</t>
        </is>
      </c>
      <c r="G89" t="inlineStr">
        <is>
          <t>SANDVIKEN</t>
        </is>
      </c>
      <c r="I89" t="n">
        <v>4.1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Grönpyrola</t>
        </is>
      </c>
      <c r="W89">
        <f>HYPERLINK("https://klasma.github.io/Logging_2181/artfynd/A 25479-2023 artfynd.xlsx", "A 25479-2023")</f>
        <v/>
      </c>
      <c r="X89">
        <f>HYPERLINK("https://klasma.github.io/Logging_2181/kartor/A 25479-2023 karta.png", "A 25479-2023")</f>
        <v/>
      </c>
      <c r="Y89">
        <f>HYPERLINK("https://klasma.github.io/Logging_2181/kartor_geotiff/A 25479-2023 georefererad karta.tif", "A 25479-2023")</f>
        <v/>
      </c>
      <c r="AA89">
        <f>HYPERLINK("https://klasma.github.io/Logging_2181/klagomål/A 25479-2023 FSC-klagomål.docx", "A 25479-2023")</f>
        <v/>
      </c>
      <c r="AB89">
        <f>HYPERLINK("https://klasma.github.io/Logging_2181/klagomålsmail/A 25479-2023 FSC-klagomål mail.docx", "A 25479-2023")</f>
        <v/>
      </c>
      <c r="AC89">
        <f>HYPERLINK("https://klasma.github.io/Logging_2181/tillsyn/A 25479-2023 tillsynsbegäran.docx", "A 25479-2023")</f>
        <v/>
      </c>
      <c r="AD89">
        <f>HYPERLINK("https://klasma.github.io/Logging_2181/tillsynsmail/A 25479-2023 tillsynsbegäran mail.docx", "A 25479-2023")</f>
        <v/>
      </c>
    </row>
    <row r="90" ht="15" customHeight="1">
      <c r="A90" t="inlineStr">
        <is>
          <t>A 38109-2026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46311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11.9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Linmåra/småsnärjmåra</t>
        </is>
      </c>
      <c r="W90">
        <f>HYPERLINK("https://klasma.github.io/Logging_2181/artfynd/A 38109-2026 artfynd.xlsx", "A 38109-2026")</f>
        <v/>
      </c>
      <c r="X90">
        <f>HYPERLINK("https://klasma.github.io/Logging_2181/kartor/A 38109-2026 karta.png", "A 38109-2026")</f>
        <v/>
      </c>
      <c r="Y90">
        <f>HYPERLINK("https://klasma.github.io/Logging_2181/kartor_geotiff/A 38109-2026 georefererad karta.tif", "A 38109-2026")</f>
        <v/>
      </c>
      <c r="AA90">
        <f>HYPERLINK("https://klasma.github.io/Logging_2181/klagomål/A 38109-2026 FSC-klagomål.docx", "A 38109-2026")</f>
        <v/>
      </c>
      <c r="AB90">
        <f>HYPERLINK("https://klasma.github.io/Logging_2181/klagomålsmail/A 38109-2026 FSC-klagomål mail.docx", "A 38109-2026")</f>
        <v/>
      </c>
      <c r="AC90">
        <f>HYPERLINK("https://klasma.github.io/Logging_2181/tillsyn/A 38109-2026 tillsynsbegäran.docx", "A 38109-2026")</f>
        <v/>
      </c>
      <c r="AD90">
        <f>HYPERLINK("https://klasma.github.io/Logging_2181/tillsynsmail/A 38109-2026 tillsynsbegäran mail.docx", "A 38109-2026")</f>
        <v/>
      </c>
    </row>
    <row r="91" ht="15" customHeight="1">
      <c r="A91" t="inlineStr">
        <is>
          <t>A 32533-2026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46239</v>
      </c>
      <c r="E91" s="1" t="n">
        <v>46311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3.1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Järnsparv</t>
        </is>
      </c>
      <c r="W91">
        <f>HYPERLINK("https://klasma.github.io/Logging_2181/artfynd/A 32533-2026 artfynd.xlsx", "A 32533-2026")</f>
        <v/>
      </c>
      <c r="X91">
        <f>HYPERLINK("https://klasma.github.io/Logging_2181/kartor/A 32533-2026 karta.png", "A 32533-2026")</f>
        <v/>
      </c>
      <c r="Y91">
        <f>HYPERLINK("https://klasma.github.io/Logging_2181/kartor_geotiff/A 32533-2026 georefererad karta.tif", "A 32533-2026")</f>
        <v/>
      </c>
      <c r="AA91">
        <f>HYPERLINK("https://klasma.github.io/Logging_2181/klagomål/A 32533-2026 FSC-klagomål.docx", "A 32533-2026")</f>
        <v/>
      </c>
      <c r="AB91">
        <f>HYPERLINK("https://klasma.github.io/Logging_2181/klagomålsmail/A 32533-2026 FSC-klagomål mail.docx", "A 32533-2026")</f>
        <v/>
      </c>
      <c r="AC91">
        <f>HYPERLINK("https://klasma.github.io/Logging_2181/tillsyn/A 32533-2026 tillsynsbegäran.docx", "A 32533-2026")</f>
        <v/>
      </c>
      <c r="AD91">
        <f>HYPERLINK("https://klasma.github.io/Logging_2181/tillsynsmail/A 32533-2026 tillsynsbegäran mail.docx", "A 32533-2026")</f>
        <v/>
      </c>
      <c r="AE91">
        <f>HYPERLINK("https://klasma.github.io/Logging_2181/fåglar/A 32533-2026 prioriterade fågelarter.docx", "A 32533-2026")</f>
        <v/>
      </c>
    </row>
    <row r="92" ht="15" customHeight="1">
      <c r="A92" t="inlineStr">
        <is>
          <t>A 32539-2026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46311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Grönsiska</t>
        </is>
      </c>
      <c r="W92">
        <f>HYPERLINK("https://klasma.github.io/Logging_2181/artfynd/A 32539-2026 artfynd.xlsx", "A 32539-2026")</f>
        <v/>
      </c>
      <c r="X92">
        <f>HYPERLINK("https://klasma.github.io/Logging_2181/kartor/A 32539-2026 karta.png", "A 32539-2026")</f>
        <v/>
      </c>
      <c r="Y92">
        <f>HYPERLINK("https://klasma.github.io/Logging_2181/kartor_geotiff/A 32539-2026 georefererad karta.tif", "A 32539-2026")</f>
        <v/>
      </c>
      <c r="AA92">
        <f>HYPERLINK("https://klasma.github.io/Logging_2181/klagomål/A 32539-2026 FSC-klagomål.docx", "A 32539-2026")</f>
        <v/>
      </c>
      <c r="AB92">
        <f>HYPERLINK("https://klasma.github.io/Logging_2181/klagomålsmail/A 32539-2026 FSC-klagomål mail.docx", "A 32539-2026")</f>
        <v/>
      </c>
      <c r="AC92">
        <f>HYPERLINK("https://klasma.github.io/Logging_2181/tillsyn/A 32539-2026 tillsynsbegäran.docx", "A 32539-2026")</f>
        <v/>
      </c>
      <c r="AD92">
        <f>HYPERLINK("https://klasma.github.io/Logging_2181/tillsynsmail/A 32539-2026 tillsynsbegäran mail.docx", "A 32539-2026")</f>
        <v/>
      </c>
    </row>
    <row r="93" ht="15" customHeight="1">
      <c r="A93" t="inlineStr">
        <is>
          <t>A 32544-2026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46311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HYPERLINK("https://klasma.github.io/Logging_2181/artfynd/A 32544-2026 artfynd.xlsx", "A 32544-2026")</f>
        <v/>
      </c>
      <c r="X93">
        <f>HYPERLINK("https://klasma.github.io/Logging_2181/kartor/A 32544-2026 karta.png", "A 32544-2026")</f>
        <v/>
      </c>
      <c r="Y93">
        <f>HYPERLINK("https://klasma.github.io/Logging_2181/kartor_geotiff/A 32544-2026 georefererad karta.tif", "A 32544-2026")</f>
        <v/>
      </c>
      <c r="AA93">
        <f>HYPERLINK("https://klasma.github.io/Logging_2181/klagomål/A 32544-2026 FSC-klagomål.docx", "A 32544-2026")</f>
        <v/>
      </c>
      <c r="AB93">
        <f>HYPERLINK("https://klasma.github.io/Logging_2181/klagomålsmail/A 32544-2026 FSC-klagomål mail.docx", "A 32544-2026")</f>
        <v/>
      </c>
      <c r="AC93">
        <f>HYPERLINK("https://klasma.github.io/Logging_2181/tillsyn/A 32544-2026 tillsynsbegäran.docx", "A 32544-2026")</f>
        <v/>
      </c>
      <c r="AD93">
        <f>HYPERLINK("https://klasma.github.io/Logging_2181/tillsynsmail/A 32544-2026 tillsynsbegäran mail.docx", "A 32544-2026")</f>
        <v/>
      </c>
    </row>
    <row r="94" ht="15" customHeight="1">
      <c r="A94" t="inlineStr">
        <is>
          <t>A 57934-2025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46311</v>
      </c>
      <c r="F94" t="inlineStr">
        <is>
          <t>GÄVLEBORGS LÄN</t>
        </is>
      </c>
      <c r="G94" t="inlineStr">
        <is>
          <t>SANDVIKEN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Grönsiska</t>
        </is>
      </c>
      <c r="W94">
        <f>HYPERLINK("https://klasma.github.io/Logging_2181/artfynd/A 57934-2025 artfynd.xlsx", "A 57934-2025")</f>
        <v/>
      </c>
      <c r="X94">
        <f>HYPERLINK("https://klasma.github.io/Logging_2181/kartor/A 57934-2025 karta.png", "A 57934-2025")</f>
        <v/>
      </c>
      <c r="Y94">
        <f>HYPERLINK("https://klasma.github.io/Logging_2181/kartor_geotiff/A 57934-2025 georefererad karta.tif", "A 57934-2025")</f>
        <v/>
      </c>
      <c r="AA94">
        <f>HYPERLINK("https://klasma.github.io/Logging_2181/klagomål/A 57934-2025 FSC-klagomål.docx", "A 57934-2025")</f>
        <v/>
      </c>
      <c r="AB94">
        <f>HYPERLINK("https://klasma.github.io/Logging_2181/klagomålsmail/A 57934-2025 FSC-klagomål mail.docx", "A 57934-2025")</f>
        <v/>
      </c>
      <c r="AC94">
        <f>HYPERLINK("https://klasma.github.io/Logging_2181/tillsyn/A 57934-2025 tillsynsbegäran.docx", "A 57934-2025")</f>
        <v/>
      </c>
      <c r="AD94">
        <f>HYPERLINK("https://klasma.github.io/Logging_2181/tillsynsmail/A 57934-2025 tillsynsbegäran mail.docx", "A 57934-2025")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46311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34406-2026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46311</v>
      </c>
      <c r="F96" t="inlineStr">
        <is>
          <t>GÄVLEBORGS LÄN</t>
        </is>
      </c>
      <c r="G96" t="inlineStr">
        <is>
          <t>SANDVIKEN</t>
        </is>
      </c>
      <c r="I96" t="n">
        <v>15.1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Loppstarr</t>
        </is>
      </c>
      <c r="W96">
        <f>HYPERLINK("https://klasma.github.io/Logging_2181/artfynd/A 34406-2026 artfynd.xlsx", "A 34406-2026")</f>
        <v/>
      </c>
      <c r="X96">
        <f>HYPERLINK("https://klasma.github.io/Logging_2181/kartor/A 34406-2026 karta.png", "A 34406-2026")</f>
        <v/>
      </c>
      <c r="Y96">
        <f>HYPERLINK("https://klasma.github.io/Logging_2181/kartor_geotiff/A 34406-2026 georefererad karta.tif", "A 34406-2026")</f>
        <v/>
      </c>
      <c r="AA96">
        <f>HYPERLINK("https://klasma.github.io/Logging_2181/klagomål/A 34406-2026 FSC-klagomål.docx", "A 34406-2026")</f>
        <v/>
      </c>
      <c r="AB96">
        <f>HYPERLINK("https://klasma.github.io/Logging_2181/klagomålsmail/A 34406-2026 FSC-klagomål mail.docx", "A 34406-2026")</f>
        <v/>
      </c>
      <c r="AC96">
        <f>HYPERLINK("https://klasma.github.io/Logging_2181/tillsyn/A 34406-2026 tillsynsbegäran.docx", "A 34406-2026")</f>
        <v/>
      </c>
      <c r="AD96">
        <f>HYPERLINK("https://klasma.github.io/Logging_2181/tillsynsmail/A 34406-2026 tillsynsbegäran mail.docx", "A 34406-2026")</f>
        <v/>
      </c>
    </row>
    <row r="97" ht="15" customHeight="1">
      <c r="A97" t="inlineStr">
        <is>
          <t>A 448-2026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46021</v>
      </c>
      <c r="E97" s="1" t="n">
        <v>46311</v>
      </c>
      <c r="F97" t="inlineStr">
        <is>
          <t>GÄVLEBORGS LÄN</t>
        </is>
      </c>
      <c r="G97" t="inlineStr">
        <is>
          <t>SANDVIKEN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Dvärghäxört</t>
        </is>
      </c>
      <c r="W97">
        <f>HYPERLINK("https://klasma.github.io/Logging_2181/artfynd/A 448-2026 artfynd.xlsx", "A 448-2026")</f>
        <v/>
      </c>
      <c r="X97">
        <f>HYPERLINK("https://klasma.github.io/Logging_2181/kartor/A 448-2026 karta.png", "A 448-2026")</f>
        <v/>
      </c>
      <c r="Y97">
        <f>HYPERLINK("https://klasma.github.io/Logging_2181/kartor_geotiff/A 448-2026 georefererad karta.tif", "A 448-2026")</f>
        <v/>
      </c>
      <c r="AA97">
        <f>HYPERLINK("https://klasma.github.io/Logging_2181/klagomål/A 448-2026 FSC-klagomål.docx", "A 448-2026")</f>
        <v/>
      </c>
      <c r="AB97">
        <f>HYPERLINK("https://klasma.github.io/Logging_2181/klagomålsmail/A 448-2026 FSC-klagomål mail.docx", "A 448-2026")</f>
        <v/>
      </c>
      <c r="AC97">
        <f>HYPERLINK("https://klasma.github.io/Logging_2181/tillsyn/A 448-2026 tillsynsbegäran.docx", "A 448-2026")</f>
        <v/>
      </c>
      <c r="AD97">
        <f>HYPERLINK("https://klasma.github.io/Logging_2181/tillsynsmail/A 448-2026 tillsynsbegäran mail.docx", "A 448-2026")</f>
        <v/>
      </c>
    </row>
    <row r="98" ht="15" customHeight="1">
      <c r="A98" t="inlineStr">
        <is>
          <t>A 42115-2023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46311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HYPERLINK("https://klasma.github.io/Logging_2181/artfynd/A 42115-2023 artfynd.xlsx", "A 42115-2023")</f>
        <v/>
      </c>
      <c r="X98">
        <f>HYPERLINK("https://klasma.github.io/Logging_2181/kartor/A 42115-2023 karta.png", "A 42115-2023")</f>
        <v/>
      </c>
      <c r="Y98">
        <f>HYPERLINK("https://klasma.github.io/Logging_2181/kartor_geotiff/A 42115-2023 georefererad karta.tif", "A 42115-2023")</f>
        <v/>
      </c>
      <c r="AA98">
        <f>HYPERLINK("https://klasma.github.io/Logging_2181/klagomål/A 42115-2023 FSC-klagomål.docx", "A 42115-2023")</f>
        <v/>
      </c>
      <c r="AB98">
        <f>HYPERLINK("https://klasma.github.io/Logging_2181/klagomålsmail/A 42115-2023 FSC-klagomål mail.docx", "A 42115-2023")</f>
        <v/>
      </c>
      <c r="AC98">
        <f>HYPERLINK("https://klasma.github.io/Logging_2181/tillsyn/A 42115-2023 tillsynsbegäran.docx", "A 42115-2023")</f>
        <v/>
      </c>
      <c r="AD98">
        <f>HYPERLINK("https://klasma.github.io/Logging_2181/tillsynsmail/A 42115-2023 tillsynsbegäran mail.docx", "A 42115-2023")</f>
        <v/>
      </c>
      <c r="AE98">
        <f>HYPERLINK("https://klasma.github.io/Logging_2181/fåglar/A 42115-2023 prioriterade fågelarter.docx", "A 42115-2023")</f>
        <v/>
      </c>
    </row>
    <row r="99" ht="15" customHeight="1">
      <c r="A99" t="inlineStr">
        <is>
          <t>A 41678-2026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46301</v>
      </c>
      <c r="E99" s="1" t="n">
        <v>46311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väst AB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Fjällig taggsvamp s.str.</t>
        </is>
      </c>
      <c r="W99">
        <f>HYPERLINK("https://klasma.github.io/Logging_2181/artfynd/A 41678-2026 artfynd.xlsx", "A 41678-2026")</f>
        <v/>
      </c>
      <c r="X99">
        <f>HYPERLINK("https://klasma.github.io/Logging_2181/kartor/A 41678-2026 karta.png", "A 41678-2026")</f>
        <v/>
      </c>
      <c r="Y99">
        <f>HYPERLINK("https://klasma.github.io/Logging_2181/kartor_geotiff/A 41678-2026 georefererad karta.tif", "A 41678-2026")</f>
        <v/>
      </c>
      <c r="AA99">
        <f>HYPERLINK("https://klasma.github.io/Logging_2181/klagomål/A 41678-2026 FSC-klagomål.docx", "A 41678-2026")</f>
        <v/>
      </c>
      <c r="AB99">
        <f>HYPERLINK("https://klasma.github.io/Logging_2181/klagomålsmail/A 41678-2026 FSC-klagomål mail.docx", "A 41678-2026")</f>
        <v/>
      </c>
      <c r="AC99">
        <f>HYPERLINK("https://klasma.github.io/Logging_2181/tillsyn/A 41678-2026 tillsynsbegäran.docx", "A 41678-2026")</f>
        <v/>
      </c>
      <c r="AD99">
        <f>HYPERLINK("https://klasma.github.io/Logging_2181/tillsynsmail/A 41678-2026 tillsynsbegäran mail.docx", "A 41678-2026")</f>
        <v/>
      </c>
    </row>
    <row r="100" ht="15" customHeight="1">
      <c r="A100" t="inlineStr">
        <is>
          <t>A 1083-2026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46311</v>
      </c>
      <c r="F100" t="inlineStr">
        <is>
          <t>GÄVLEBORGS LÄN</t>
        </is>
      </c>
      <c r="G100" t="inlineStr">
        <is>
          <t>SANDVIKEN</t>
        </is>
      </c>
      <c r="I100" t="n">
        <v>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1083-2026 artfynd.xlsx", "A 1083-2026")</f>
        <v/>
      </c>
      <c r="X100">
        <f>HYPERLINK("https://klasma.github.io/Logging_2181/kartor/A 1083-2026 karta.png", "A 1083-2026")</f>
        <v/>
      </c>
      <c r="Y100">
        <f>HYPERLINK("https://klasma.github.io/Logging_2181/kartor_geotiff/A 1083-2026 georefererad karta.tif", "A 1083-2026")</f>
        <v/>
      </c>
      <c r="AA100">
        <f>HYPERLINK("https://klasma.github.io/Logging_2181/klagomål/A 1083-2026 FSC-klagomål.docx", "A 1083-2026")</f>
        <v/>
      </c>
      <c r="AB100">
        <f>HYPERLINK("https://klasma.github.io/Logging_2181/klagomålsmail/A 1083-2026 FSC-klagomål mail.docx", "A 1083-2026")</f>
        <v/>
      </c>
      <c r="AC100">
        <f>HYPERLINK("https://klasma.github.io/Logging_2181/tillsyn/A 1083-2026 tillsynsbegäran.docx", "A 1083-2026")</f>
        <v/>
      </c>
      <c r="AD100">
        <f>HYPERLINK("https://klasma.github.io/Logging_2181/tillsynsmail/A 1083-2026 tillsynsbegäran mail.docx", "A 1083-2026")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46311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41792-2026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46303</v>
      </c>
      <c r="E102" s="1" t="n">
        <v>46311</v>
      </c>
      <c r="F102" t="inlineStr">
        <is>
          <t>GÄVLEBORGS LÄN</t>
        </is>
      </c>
      <c r="G102" t="inlineStr">
        <is>
          <t>SANDVIKEN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41792-2026 artfynd.xlsx", "A 41792-2026")</f>
        <v/>
      </c>
      <c r="X102">
        <f>HYPERLINK("https://klasma.github.io/Logging_2181/kartor/A 41792-2026 karta.png", "A 41792-2026")</f>
        <v/>
      </c>
      <c r="Y102">
        <f>HYPERLINK("https://klasma.github.io/Logging_2181/kartor_geotiff/A 41792-2026 georefererad karta.tif", "A 41792-2026")</f>
        <v/>
      </c>
      <c r="AA102">
        <f>HYPERLINK("https://klasma.github.io/Logging_2181/klagomål/A 41792-2026 FSC-klagomål.docx", "A 41792-2026")</f>
        <v/>
      </c>
      <c r="AB102">
        <f>HYPERLINK("https://klasma.github.io/Logging_2181/klagomålsmail/A 41792-2026 FSC-klagomål mail.docx", "A 41792-2026")</f>
        <v/>
      </c>
      <c r="AC102">
        <f>HYPERLINK("https://klasma.github.io/Logging_2181/tillsyn/A 41792-2026 tillsynsbegäran.docx", "A 41792-2026")</f>
        <v/>
      </c>
      <c r="AD102">
        <f>HYPERLINK("https://klasma.github.io/Logging_2181/tillsynsmail/A 41792-2026 tillsynsbegäran mail.docx", "A 41792-2026")</f>
        <v/>
      </c>
    </row>
    <row r="103" ht="15" customHeight="1">
      <c r="A103" t="inlineStr">
        <is>
          <t>A 35479-2026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46311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7.3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groda</t>
        </is>
      </c>
      <c r="W103">
        <f>HYPERLINK("https://klasma.github.io/Logging_2181/artfynd/A 35479-2026 artfynd.xlsx", "A 35479-2026")</f>
        <v/>
      </c>
      <c r="X103">
        <f>HYPERLINK("https://klasma.github.io/Logging_2181/kartor/A 35479-2026 karta.png", "A 35479-2026")</f>
        <v/>
      </c>
      <c r="Y103">
        <f>HYPERLINK("https://klasma.github.io/Logging_2181/kartor_geotiff/A 35479-2026 georefererad karta.tif", "A 35479-2026")</f>
        <v/>
      </c>
      <c r="AA103">
        <f>HYPERLINK("https://klasma.github.io/Logging_2181/klagomål/A 35479-2026 FSC-klagomål.docx", "A 35479-2026")</f>
        <v/>
      </c>
      <c r="AB103">
        <f>HYPERLINK("https://klasma.github.io/Logging_2181/klagomålsmail/A 35479-2026 FSC-klagomål mail.docx", "A 35479-2026")</f>
        <v/>
      </c>
      <c r="AC103">
        <f>HYPERLINK("https://klasma.github.io/Logging_2181/tillsyn/A 35479-2026 tillsynsbegäran.docx", "A 35479-2026")</f>
        <v/>
      </c>
      <c r="AD103">
        <f>HYPERLINK("https://klasma.github.io/Logging_2181/tillsynsmail/A 35479-2026 tillsynsbegäran mail.docx", "A 35479-2026")</f>
        <v/>
      </c>
    </row>
    <row r="104" ht="15" customHeight="1">
      <c r="A104" t="inlineStr">
        <is>
          <t>A 35540-2026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46311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Lopplummer (aggregat)</t>
        </is>
      </c>
      <c r="W104">
        <f>HYPERLINK("https://klasma.github.io/Logging_2181/artfynd/A 35540-2026 artfynd.xlsx", "A 35540-2026")</f>
        <v/>
      </c>
      <c r="X104">
        <f>HYPERLINK("https://klasma.github.io/Logging_2181/kartor/A 35540-2026 karta.png", "A 35540-2026")</f>
        <v/>
      </c>
      <c r="Y104">
        <f>HYPERLINK("https://klasma.github.io/Logging_2181/kartor_geotiff/A 35540-2026 georefererad karta.tif", "A 35540-2026")</f>
        <v/>
      </c>
      <c r="AA104">
        <f>HYPERLINK("https://klasma.github.io/Logging_2181/klagomål/A 35540-2026 FSC-klagomål.docx", "A 35540-2026")</f>
        <v/>
      </c>
      <c r="AB104">
        <f>HYPERLINK("https://klasma.github.io/Logging_2181/klagomålsmail/A 35540-2026 FSC-klagomål mail.docx", "A 35540-2026")</f>
        <v/>
      </c>
      <c r="AC104">
        <f>HYPERLINK("https://klasma.github.io/Logging_2181/tillsyn/A 35540-2026 tillsynsbegäran.docx", "A 35540-2026")</f>
        <v/>
      </c>
      <c r="AD104">
        <f>HYPERLINK("https://klasma.github.io/Logging_2181/tillsynsmail/A 35540-2026 tillsynsbegäran mail.docx", "A 35540-2026")</f>
        <v/>
      </c>
    </row>
    <row r="105" ht="15" customHeight="1">
      <c r="A105" t="inlineStr">
        <is>
          <t>A 7393-2026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46311</v>
      </c>
      <c r="F105" t="inlineStr">
        <is>
          <t>GÄVLEBORGS LÄN</t>
        </is>
      </c>
      <c r="G105" t="inlineStr">
        <is>
          <t>SANDVIKEN</t>
        </is>
      </c>
      <c r="I105" t="n">
        <v>6.7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Brunklöver</t>
        </is>
      </c>
      <c r="W105">
        <f>HYPERLINK("https://klasma.github.io/Logging_2181/artfynd/A 7393-2026 artfynd.xlsx", "A 7393-2026")</f>
        <v/>
      </c>
      <c r="X105">
        <f>HYPERLINK("https://klasma.github.io/Logging_2181/kartor/A 7393-2026 karta.png", "A 7393-2026")</f>
        <v/>
      </c>
      <c r="Y105">
        <f>HYPERLINK("https://klasma.github.io/Logging_2181/kartor_geotiff/A 7393-2026 georefererad karta.tif", "A 7393-2026")</f>
        <v/>
      </c>
      <c r="AA105">
        <f>HYPERLINK("https://klasma.github.io/Logging_2181/klagomål/A 7393-2026 FSC-klagomål.docx", "A 7393-2026")</f>
        <v/>
      </c>
      <c r="AB105">
        <f>HYPERLINK("https://klasma.github.io/Logging_2181/klagomålsmail/A 7393-2026 FSC-klagomål mail.docx", "A 7393-2026")</f>
        <v/>
      </c>
      <c r="AC105">
        <f>HYPERLINK("https://klasma.github.io/Logging_2181/tillsyn/A 7393-2026 tillsynsbegäran.docx", "A 7393-2026")</f>
        <v/>
      </c>
      <c r="AD105">
        <f>HYPERLINK("https://klasma.github.io/Logging_2181/tillsynsmail/A 7393-2026 tillsynsbegäran mail.docx", "A 7393-2026")</f>
        <v/>
      </c>
    </row>
    <row r="106" ht="15" customHeight="1">
      <c r="A106" t="inlineStr">
        <is>
          <t>A 9267-2026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46311</v>
      </c>
      <c r="F106" t="inlineStr">
        <is>
          <t>GÄVLEBORGS LÄN</t>
        </is>
      </c>
      <c r="G106" t="inlineStr">
        <is>
          <t>SANDVIKEN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HYPERLINK("https://klasma.github.io/Logging_2181/artfynd/A 9267-2026 artfynd.xlsx", "A 9267-2026")</f>
        <v/>
      </c>
      <c r="X106">
        <f>HYPERLINK("https://klasma.github.io/Logging_2181/kartor/A 9267-2026 karta.png", "A 9267-2026")</f>
        <v/>
      </c>
      <c r="Y106">
        <f>HYPERLINK("https://klasma.github.io/Logging_2181/kartor_geotiff/A 9267-2026 georefererad karta.tif", "A 9267-2026")</f>
        <v/>
      </c>
      <c r="AA106">
        <f>HYPERLINK("https://klasma.github.io/Logging_2181/klagomål/A 9267-2026 FSC-klagomål.docx", "A 9267-2026")</f>
        <v/>
      </c>
      <c r="AB106">
        <f>HYPERLINK("https://klasma.github.io/Logging_2181/klagomålsmail/A 9267-2026 FSC-klagomål mail.docx", "A 9267-2026")</f>
        <v/>
      </c>
      <c r="AC106">
        <f>HYPERLINK("https://klasma.github.io/Logging_2181/tillsyn/A 9267-2026 tillsynsbegäran.docx", "A 9267-2026")</f>
        <v/>
      </c>
      <c r="AD106">
        <f>HYPERLINK("https://klasma.github.io/Logging_2181/tillsynsmail/A 9267-2026 tillsynsbegäran mail.docx", "A 9267-2026")</f>
        <v/>
      </c>
    </row>
    <row r="107" ht="15" customHeight="1">
      <c r="A107" t="inlineStr">
        <is>
          <t>A 11784-2026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46084</v>
      </c>
      <c r="E107" s="1" t="n">
        <v>46311</v>
      </c>
      <c r="F107" t="inlineStr">
        <is>
          <t>GÄVLEBORGS LÄN</t>
        </is>
      </c>
      <c r="G107" t="inlineStr">
        <is>
          <t>SANDVIKEN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HYPERLINK("https://klasma.github.io/Logging_2181/artfynd/A 11784-2026 artfynd.xlsx", "A 11784-2026")</f>
        <v/>
      </c>
      <c r="X107">
        <f>HYPERLINK("https://klasma.github.io/Logging_2181/kartor/A 11784-2026 karta.png", "A 11784-2026")</f>
        <v/>
      </c>
      <c r="Y107">
        <f>HYPERLINK("https://klasma.github.io/Logging_2181/kartor_geotiff/A 11784-2026 georefererad karta.tif", "A 11784-2026")</f>
        <v/>
      </c>
      <c r="AA107">
        <f>HYPERLINK("https://klasma.github.io/Logging_2181/klagomål/A 11784-2026 FSC-klagomål.docx", "A 11784-2026")</f>
        <v/>
      </c>
      <c r="AB107">
        <f>HYPERLINK("https://klasma.github.io/Logging_2181/klagomålsmail/A 11784-2026 FSC-klagomål mail.docx", "A 11784-2026")</f>
        <v/>
      </c>
      <c r="AC107">
        <f>HYPERLINK("https://klasma.github.io/Logging_2181/tillsyn/A 11784-2026 tillsynsbegäran.docx", "A 11784-2026")</f>
        <v/>
      </c>
      <c r="AD107">
        <f>HYPERLINK("https://klasma.github.io/Logging_2181/tillsynsmail/A 11784-2026 tillsynsbegäran mail.docx", "A 11784-2026")</f>
        <v/>
      </c>
    </row>
    <row r="108" ht="15" customHeight="1">
      <c r="A108" t="inlineStr">
        <is>
          <t>A 13135-2026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46311</v>
      </c>
      <c r="F108" t="inlineStr">
        <is>
          <t>GÄVLEBORGS LÄN</t>
        </is>
      </c>
      <c r="G108" t="inlineStr">
        <is>
          <t>SANDVIKEN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HYPERLINK("https://klasma.github.io/Logging_2181/artfynd/A 13135-2026 artfynd.xlsx", "A 13135-2026")</f>
        <v/>
      </c>
      <c r="X108">
        <f>HYPERLINK("https://klasma.github.io/Logging_2181/kartor/A 13135-2026 karta.png", "A 13135-2026")</f>
        <v/>
      </c>
      <c r="Y108">
        <f>HYPERLINK("https://klasma.github.io/Logging_2181/kartor_geotiff/A 13135-2026 georefererad karta.tif", "A 13135-2026")</f>
        <v/>
      </c>
      <c r="AA108">
        <f>HYPERLINK("https://klasma.github.io/Logging_2181/klagomål/A 13135-2026 FSC-klagomål.docx", "A 13135-2026")</f>
        <v/>
      </c>
      <c r="AB108">
        <f>HYPERLINK("https://klasma.github.io/Logging_2181/klagomålsmail/A 13135-2026 FSC-klagomål mail.docx", "A 13135-2026")</f>
        <v/>
      </c>
      <c r="AC108">
        <f>HYPERLINK("https://klasma.github.io/Logging_2181/tillsyn/A 13135-2026 tillsynsbegäran.docx", "A 13135-2026")</f>
        <v/>
      </c>
      <c r="AD108">
        <f>HYPERLINK("https://klasma.github.io/Logging_2181/tillsynsmail/A 13135-2026 tillsynsbegäran mail.docx", "A 13135-2026")</f>
        <v/>
      </c>
    </row>
    <row r="109" ht="15" customHeight="1">
      <c r="A109" t="inlineStr">
        <is>
          <t>A 13645-2026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46311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HYPERLINK("https://klasma.github.io/Logging_2181/artfynd/A 13645-2026 artfynd.xlsx", "A 13645-2026")</f>
        <v/>
      </c>
      <c r="X109">
        <f>HYPERLINK("https://klasma.github.io/Logging_2181/kartor/A 13645-2026 karta.png", "A 13645-2026")</f>
        <v/>
      </c>
      <c r="Y109">
        <f>HYPERLINK("https://klasma.github.io/Logging_2181/kartor_geotiff/A 13645-2026 georefererad karta.tif", "A 13645-2026")</f>
        <v/>
      </c>
      <c r="AA109">
        <f>HYPERLINK("https://klasma.github.io/Logging_2181/klagomål/A 13645-2026 FSC-klagomål.docx", "A 13645-2026")</f>
        <v/>
      </c>
      <c r="AB109">
        <f>HYPERLINK("https://klasma.github.io/Logging_2181/klagomålsmail/A 13645-2026 FSC-klagomål mail.docx", "A 13645-2026")</f>
        <v/>
      </c>
      <c r="AC109">
        <f>HYPERLINK("https://klasma.github.io/Logging_2181/tillsyn/A 13645-2026 tillsynsbegäran.docx", "A 13645-2026")</f>
        <v/>
      </c>
      <c r="AD109">
        <f>HYPERLINK("https://klasma.github.io/Logging_2181/tillsynsmail/A 13645-2026 tillsynsbegäran mail.docx", "A 13645-2026")</f>
        <v/>
      </c>
      <c r="AE109">
        <f>HYPERLINK("https://klasma.github.io/Logging_2181/fåglar/A 13645-2026 prioriterade fågelarter.docx", "A 13645-2026")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46311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46311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46311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46311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46311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46311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46311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46311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46311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46311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46311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46311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46311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46311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46311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46311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46311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46311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46311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46311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46311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46311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46311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46311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46311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46311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46311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46311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46311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46311</v>
      </c>
      <c r="F139" t="inlineStr">
        <is>
          <t>GÄVLEBORGS LÄN</t>
        </is>
      </c>
      <c r="G139" t="inlineStr">
        <is>
          <t>SANDVIKEN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46311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46311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46311</v>
      </c>
      <c r="F142" t="inlineStr">
        <is>
          <t>GÄVLEBORGS LÄN</t>
        </is>
      </c>
      <c r="G142" t="inlineStr">
        <is>
          <t>SANDVIKEN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46311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46311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46311</v>
      </c>
      <c r="F145" t="inlineStr">
        <is>
          <t>GÄVLEBORGS LÄN</t>
        </is>
      </c>
      <c r="G145" t="inlineStr">
        <is>
          <t>SANDVIKEN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46311</v>
      </c>
      <c r="F146" t="inlineStr">
        <is>
          <t>GÄVLEBORGS LÄN</t>
        </is>
      </c>
      <c r="G146" t="inlineStr">
        <is>
          <t>SANDVIKEN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46311</v>
      </c>
      <c r="F147" t="inlineStr">
        <is>
          <t>GÄVLEBORGS LÄN</t>
        </is>
      </c>
      <c r="G147" t="inlineStr">
        <is>
          <t>SANDVIKEN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46311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46311</v>
      </c>
      <c r="F149" t="inlineStr">
        <is>
          <t>GÄVLEBORGS LÄN</t>
        </is>
      </c>
      <c r="G149" t="inlineStr">
        <is>
          <t>SANDVIKEN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46311</v>
      </c>
      <c r="F150" t="inlineStr">
        <is>
          <t>GÄVLEBORGS LÄN</t>
        </is>
      </c>
      <c r="G150" t="inlineStr">
        <is>
          <t>SANDVIKEN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46311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46311</v>
      </c>
      <c r="F152" t="inlineStr">
        <is>
          <t>GÄVLEBORGS LÄN</t>
        </is>
      </c>
      <c r="G152" t="inlineStr">
        <is>
          <t>SANDVIKEN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46311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46311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45523</v>
      </c>
      <c r="E155" s="1" t="n">
        <v>46311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45414</v>
      </c>
      <c r="E156" s="1" t="n">
        <v>46311</v>
      </c>
      <c r="F156" t="inlineStr">
        <is>
          <t>GÄVLEBORGS LÄN</t>
        </is>
      </c>
      <c r="G156" t="inlineStr">
        <is>
          <t>SANDVIKEN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46311</v>
      </c>
      <c r="F157" t="inlineStr">
        <is>
          <t>GÄVLEBORGS LÄN</t>
        </is>
      </c>
      <c r="G157" t="inlineStr">
        <is>
          <t>SANDVIKEN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49211-2023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46311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46311</v>
      </c>
      <c r="F159" t="inlineStr">
        <is>
          <t>GÄVLEBORGS LÄN</t>
        </is>
      </c>
      <c r="G159" t="inlineStr">
        <is>
          <t>SANDVIKEN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46311</v>
      </c>
      <c r="F160" t="inlineStr">
        <is>
          <t>GÄVLEBORGS LÄN</t>
        </is>
      </c>
      <c r="G160" t="inlineStr">
        <is>
          <t>SANDVIKEN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46311</v>
      </c>
      <c r="F161" t="inlineStr">
        <is>
          <t>GÄVLEBORGS LÄN</t>
        </is>
      </c>
      <c r="G161" t="inlineStr">
        <is>
          <t>SANDVIKEN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46311</v>
      </c>
      <c r="F162" t="inlineStr">
        <is>
          <t>GÄVLEBORGS LÄN</t>
        </is>
      </c>
      <c r="G162" t="inlineStr">
        <is>
          <t>SANDVIKEN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46311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46311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46311</v>
      </c>
      <c r="F165" t="inlineStr">
        <is>
          <t>GÄVLEBORGS LÄN</t>
        </is>
      </c>
      <c r="G165" t="inlineStr">
        <is>
          <t>SANDVIKEN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46311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46311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46311</v>
      </c>
      <c r="F168" t="inlineStr">
        <is>
          <t>GÄVLEBORGS LÄN</t>
        </is>
      </c>
      <c r="G168" t="inlineStr">
        <is>
          <t>SANDVIKEN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46311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öst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46311</v>
      </c>
      <c r="F170" t="inlineStr">
        <is>
          <t>GÄVLEBORGS LÄN</t>
        </is>
      </c>
      <c r="G170" t="inlineStr">
        <is>
          <t>SANDVIKEN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46311</v>
      </c>
      <c r="F171" t="inlineStr">
        <is>
          <t>GÄVLEBORGS LÄN</t>
        </is>
      </c>
      <c r="G171" t="inlineStr">
        <is>
          <t>SANDVIKEN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46311</v>
      </c>
      <c r="F172" t="inlineStr">
        <is>
          <t>GÄVLEBORGS LÄN</t>
        </is>
      </c>
      <c r="G172" t="inlineStr">
        <is>
          <t>SANDVIKEN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46311</v>
      </c>
      <c r="F173" t="inlineStr">
        <is>
          <t>GÄVLEBORGS LÄN</t>
        </is>
      </c>
      <c r="G173" t="inlineStr">
        <is>
          <t>SANDVIKEN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46311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46311</v>
      </c>
      <c r="F175" t="inlineStr">
        <is>
          <t>GÄVLEBORGS LÄN</t>
        </is>
      </c>
      <c r="G175" t="inlineStr">
        <is>
          <t>SANDVIKEN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46311</v>
      </c>
      <c r="F176" t="inlineStr">
        <is>
          <t>GÄVLEBORGS LÄN</t>
        </is>
      </c>
      <c r="G176" t="inlineStr">
        <is>
          <t>SANDVIKEN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45288</v>
      </c>
      <c r="E177" s="1" t="n">
        <v>46311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46311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30843-2025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45831</v>
      </c>
      <c r="E179" s="1" t="n">
        <v>46311</v>
      </c>
      <c r="F179" t="inlineStr">
        <is>
          <t>GÄVLEBORGS LÄN</t>
        </is>
      </c>
      <c r="G179" t="inlineStr">
        <is>
          <t>SANDVIKEN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46311</v>
      </c>
      <c r="F180" t="inlineStr">
        <is>
          <t>GÄVLEBORGS LÄN</t>
        </is>
      </c>
      <c r="G180" t="inlineStr">
        <is>
          <t>SANDVIKEN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46311</v>
      </c>
      <c r="F181" t="inlineStr">
        <is>
          <t>GÄVLEBORGS LÄN</t>
        </is>
      </c>
      <c r="G181" t="inlineStr">
        <is>
          <t>SANDVIKEN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46311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46311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45327</v>
      </c>
      <c r="E184" s="1" t="n">
        <v>46311</v>
      </c>
      <c r="F184" t="inlineStr">
        <is>
          <t>GÄVLEBORGS LÄN</t>
        </is>
      </c>
      <c r="G184" t="inlineStr">
        <is>
          <t>SANDVIKEN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46311</v>
      </c>
      <c r="F185" t="inlineStr">
        <is>
          <t>GÄVLEBORGS LÄN</t>
        </is>
      </c>
      <c r="G185" t="inlineStr">
        <is>
          <t>SANDVIKEN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46311</v>
      </c>
      <c r="F186" t="inlineStr">
        <is>
          <t>GÄVLEBORGS LÄN</t>
        </is>
      </c>
      <c r="G186" t="inlineStr">
        <is>
          <t>SANDVIKEN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46311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öst AB</t>
        </is>
      </c>
      <c r="I187" t="n">
        <v>27.3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46311</v>
      </c>
      <c r="F188" t="inlineStr">
        <is>
          <t>GÄVLEBORGS LÄN</t>
        </is>
      </c>
      <c r="G188" t="inlineStr">
        <is>
          <t>SANDVIKEN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45265</v>
      </c>
      <c r="E189" s="1" t="n">
        <v>46311</v>
      </c>
      <c r="F189" t="inlineStr">
        <is>
          <t>GÄVLEBORGS LÄN</t>
        </is>
      </c>
      <c r="G189" t="inlineStr">
        <is>
          <t>SANDVIKEN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46311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46311</v>
      </c>
      <c r="F191" t="inlineStr">
        <is>
          <t>GÄVLEBORGS LÄN</t>
        </is>
      </c>
      <c r="G191" t="inlineStr">
        <is>
          <t>SANDVIKEN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46311</v>
      </c>
      <c r="F192" t="inlineStr">
        <is>
          <t>GÄVLEBORGS LÄN</t>
        </is>
      </c>
      <c r="G192" t="inlineStr">
        <is>
          <t>SANDVIKEN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46311</v>
      </c>
      <c r="F193" t="inlineStr">
        <is>
          <t>GÄVLEBORGS LÄN</t>
        </is>
      </c>
      <c r="G193" t="inlineStr">
        <is>
          <t>SANDVIKEN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46311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60908-2022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44914</v>
      </c>
      <c r="E195" s="1" t="n">
        <v>46311</v>
      </c>
      <c r="F195" t="inlineStr">
        <is>
          <t>GÄVLEBORGS LÄN</t>
        </is>
      </c>
      <c r="G195" t="inlineStr">
        <is>
          <t>SANDVIKEN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46311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46311</v>
      </c>
      <c r="F197" t="inlineStr">
        <is>
          <t>GÄVLEBORGS LÄN</t>
        </is>
      </c>
      <c r="G197" t="inlineStr">
        <is>
          <t>SANDVIKEN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46311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61694-2021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44501</v>
      </c>
      <c r="E199" s="1" t="n">
        <v>46311</v>
      </c>
      <c r="F199" t="inlineStr">
        <is>
          <t>GÄVLEBORGS LÄN</t>
        </is>
      </c>
      <c r="G199" t="inlineStr">
        <is>
          <t>SANDVIKEN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46311</v>
      </c>
      <c r="F200" t="inlineStr">
        <is>
          <t>GÄVLEBORGS LÄN</t>
        </is>
      </c>
      <c r="G200" t="inlineStr">
        <is>
          <t>SANDVIKEN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46311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46311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45121</v>
      </c>
      <c r="E203" s="1" t="n">
        <v>46311</v>
      </c>
      <c r="F203" t="inlineStr">
        <is>
          <t>GÄVLEBORGS LÄN</t>
        </is>
      </c>
      <c r="G203" t="inlineStr">
        <is>
          <t>SANDVIKEN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44918</v>
      </c>
      <c r="E204" s="1" t="n">
        <v>46311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46311</v>
      </c>
      <c r="F205" t="inlineStr">
        <is>
          <t>GÄVLEBORGS LÄN</t>
        </is>
      </c>
      <c r="G205" t="inlineStr">
        <is>
          <t>SANDVIKEN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46311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44854</v>
      </c>
      <c r="E207" s="1" t="n">
        <v>46311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46311</v>
      </c>
      <c r="F208" t="inlineStr">
        <is>
          <t>GÄVLEBORGS LÄN</t>
        </is>
      </c>
      <c r="G208" t="inlineStr">
        <is>
          <t>SANDVIKEN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46311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44510</v>
      </c>
      <c r="E210" s="1" t="n">
        <v>46311</v>
      </c>
      <c r="F210" t="inlineStr">
        <is>
          <t>GÄVLEBORGS LÄN</t>
        </is>
      </c>
      <c r="G210" t="inlineStr">
        <is>
          <t>SANDVIKEN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45274</v>
      </c>
      <c r="E211" s="1" t="n">
        <v>46311</v>
      </c>
      <c r="F211" t="inlineStr">
        <is>
          <t>GÄVLEBORGS LÄN</t>
        </is>
      </c>
      <c r="G211" t="inlineStr">
        <is>
          <t>SANDVIKEN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46311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45483</v>
      </c>
      <c r="E213" s="1" t="n">
        <v>46311</v>
      </c>
      <c r="F213" t="inlineStr">
        <is>
          <t>GÄVLEBORGS LÄN</t>
        </is>
      </c>
      <c r="G213" t="inlineStr">
        <is>
          <t>SANDVIKEN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45300</v>
      </c>
      <c r="E214" s="1" t="n">
        <v>46311</v>
      </c>
      <c r="F214" t="inlineStr">
        <is>
          <t>GÄVLEBORGS LÄN</t>
        </is>
      </c>
      <c r="G214" t="inlineStr">
        <is>
          <t>SANDVIKEN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46311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46311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46311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45870</v>
      </c>
      <c r="E218" s="1" t="n">
        <v>46311</v>
      </c>
      <c r="F218" t="inlineStr">
        <is>
          <t>GÄVLEBORGS LÄN</t>
        </is>
      </c>
      <c r="G218" t="inlineStr">
        <is>
          <t>SANDVIKEN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46311</v>
      </c>
      <c r="F219" t="inlineStr">
        <is>
          <t>GÄVLEBORGS LÄN</t>
        </is>
      </c>
      <c r="G219" t="inlineStr">
        <is>
          <t>SANDVIKEN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45873</v>
      </c>
      <c r="E220" s="1" t="n">
        <v>46311</v>
      </c>
      <c r="F220" t="inlineStr">
        <is>
          <t>GÄVLEBORGS LÄN</t>
        </is>
      </c>
      <c r="G220" t="inlineStr">
        <is>
          <t>SANDVIKEN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46311</v>
      </c>
      <c r="F221" t="inlineStr">
        <is>
          <t>GÄVLEBORGS LÄN</t>
        </is>
      </c>
      <c r="G221" t="inlineStr">
        <is>
          <t>SANDVIKEN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46311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46311</v>
      </c>
      <c r="F223" t="inlineStr">
        <is>
          <t>GÄVLEBORGS LÄN</t>
        </is>
      </c>
      <c r="G223" t="inlineStr">
        <is>
          <t>SANDVIKEN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46311</v>
      </c>
      <c r="F224" t="inlineStr">
        <is>
          <t>GÄVLEBORGS LÄN</t>
        </is>
      </c>
      <c r="G224" t="inlineStr">
        <is>
          <t>SANDVIKEN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46311</v>
      </c>
      <c r="F225" t="inlineStr">
        <is>
          <t>GÄVLEBORGS LÄN</t>
        </is>
      </c>
      <c r="G225" t="inlineStr">
        <is>
          <t>SANDVIKEN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44845</v>
      </c>
      <c r="E226" s="1" t="n">
        <v>46311</v>
      </c>
      <c r="F226" t="inlineStr">
        <is>
          <t>GÄVLEBORGS LÄN</t>
        </is>
      </c>
      <c r="G226" t="inlineStr">
        <is>
          <t>SANDVIKEN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44564</v>
      </c>
      <c r="E227" s="1" t="n">
        <v>46311</v>
      </c>
      <c r="F227" t="inlineStr">
        <is>
          <t>GÄVLEBORGS LÄN</t>
        </is>
      </c>
      <c r="G227" t="inlineStr">
        <is>
          <t>SANDVIKEN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45070</v>
      </c>
      <c r="E228" s="1" t="n">
        <v>46311</v>
      </c>
      <c r="F228" t="inlineStr">
        <is>
          <t>GÄVLEBORGS LÄN</t>
        </is>
      </c>
      <c r="G228" t="inlineStr">
        <is>
          <t>SANDVIKEN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46311</v>
      </c>
      <c r="F229" t="inlineStr">
        <is>
          <t>GÄVLEBORGS LÄN</t>
        </is>
      </c>
      <c r="G229" t="inlineStr">
        <is>
          <t>SANDVIKEN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46311</v>
      </c>
      <c r="F230" t="inlineStr">
        <is>
          <t>GÄVLEBORGS LÄN</t>
        </is>
      </c>
      <c r="G230" t="inlineStr">
        <is>
          <t>SANDVIKEN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46311</v>
      </c>
      <c r="F231" t="inlineStr">
        <is>
          <t>GÄVLEBORGS LÄN</t>
        </is>
      </c>
      <c r="G231" t="inlineStr">
        <is>
          <t>SANDVIKEN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46311</v>
      </c>
      <c r="F232" t="inlineStr">
        <is>
          <t>GÄVLEBORGS LÄN</t>
        </is>
      </c>
      <c r="G232" t="inlineStr">
        <is>
          <t>SANDVIKEN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46311</v>
      </c>
      <c r="F233" t="inlineStr">
        <is>
          <t>GÄVLEBORGS LÄN</t>
        </is>
      </c>
      <c r="G233" t="inlineStr">
        <is>
          <t>SANDVIKEN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46311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46311</v>
      </c>
      <c r="F235" t="inlineStr">
        <is>
          <t>GÄVLEBORGS LÄN</t>
        </is>
      </c>
      <c r="G235" t="inlineStr">
        <is>
          <t>SANDVIKEN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46311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46311</v>
      </c>
      <c r="F237" t="inlineStr">
        <is>
          <t>GÄVLEBORGS LÄN</t>
        </is>
      </c>
      <c r="G237" t="inlineStr">
        <is>
          <t>SANDVIKEN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46311</v>
      </c>
      <c r="F238" t="inlineStr">
        <is>
          <t>GÄVLEBORGS LÄN</t>
        </is>
      </c>
      <c r="G238" t="inlineStr">
        <is>
          <t>SANDVIKEN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44988</v>
      </c>
      <c r="E239" s="1" t="n">
        <v>46311</v>
      </c>
      <c r="F239" t="inlineStr">
        <is>
          <t>GÄVLEBORGS LÄN</t>
        </is>
      </c>
      <c r="G239" t="inlineStr">
        <is>
          <t>SANDVIKEN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46311</v>
      </c>
      <c r="F240" t="inlineStr">
        <is>
          <t>GÄVLEBORGS LÄN</t>
        </is>
      </c>
      <c r="G240" t="inlineStr">
        <is>
          <t>SANDVIKEN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45112</v>
      </c>
      <c r="E241" s="1" t="n">
        <v>46311</v>
      </c>
      <c r="F241" t="inlineStr">
        <is>
          <t>GÄVLEBORGS LÄN</t>
        </is>
      </c>
      <c r="G241" t="inlineStr">
        <is>
          <t>SANDVIKEN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46311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46311</v>
      </c>
      <c r="F243" t="inlineStr">
        <is>
          <t>GÄVLEBORGS LÄN</t>
        </is>
      </c>
      <c r="G243" t="inlineStr">
        <is>
          <t>SANDVIKEN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46311</v>
      </c>
      <c r="F244" t="inlineStr">
        <is>
          <t>GÄVLEBORGS LÄN</t>
        </is>
      </c>
      <c r="G244" t="inlineStr">
        <is>
          <t>SANDVIKEN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46311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väst AB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46311</v>
      </c>
      <c r="F246" t="inlineStr">
        <is>
          <t>GÄVLEBORGS LÄN</t>
        </is>
      </c>
      <c r="G246" t="inlineStr">
        <is>
          <t>SANDVIKEN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46095</v>
      </c>
      <c r="E247" s="1" t="n">
        <v>46311</v>
      </c>
      <c r="F247" t="inlineStr">
        <is>
          <t>GÄVLEBORGS LÄN</t>
        </is>
      </c>
      <c r="G247" t="inlineStr">
        <is>
          <t>SANDVIKEN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44587</v>
      </c>
      <c r="E248" s="1" t="n">
        <v>46311</v>
      </c>
      <c r="F248" t="inlineStr">
        <is>
          <t>GÄVLEBORGS LÄN</t>
        </is>
      </c>
      <c r="G248" t="inlineStr">
        <is>
          <t>SANDVIKEN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46311</v>
      </c>
      <c r="F249" t="inlineStr">
        <is>
          <t>GÄVLEBORGS LÄN</t>
        </is>
      </c>
      <c r="G249" t="inlineStr">
        <is>
          <t>SANDVIKEN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46311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öst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46311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46311</v>
      </c>
      <c r="F252" t="inlineStr">
        <is>
          <t>GÄVLEBORGS LÄN</t>
        </is>
      </c>
      <c r="G252" t="inlineStr">
        <is>
          <t>SANDVIKEN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46311</v>
      </c>
      <c r="F253" t="inlineStr">
        <is>
          <t>GÄVLEBORGS LÄN</t>
        </is>
      </c>
      <c r="G253" t="inlineStr">
        <is>
          <t>SANDVIKEN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46311</v>
      </c>
      <c r="F254" t="inlineStr">
        <is>
          <t>GÄVLEBORGS LÄN</t>
        </is>
      </c>
      <c r="G254" t="inlineStr">
        <is>
          <t>SANDVIKEN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46100</v>
      </c>
      <c r="E255" s="1" t="n">
        <v>46311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46311</v>
      </c>
      <c r="F256" t="inlineStr">
        <is>
          <t>GÄVLEBORGS LÄN</t>
        </is>
      </c>
      <c r="G256" t="inlineStr">
        <is>
          <t>SANDVIKEN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46311</v>
      </c>
      <c r="F257" t="inlineStr">
        <is>
          <t>GÄVLEBORGS LÄN</t>
        </is>
      </c>
      <c r="G257" t="inlineStr">
        <is>
          <t>SANDVIKEN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46311</v>
      </c>
      <c r="F258" t="inlineStr">
        <is>
          <t>GÄVLEBORGS LÄN</t>
        </is>
      </c>
      <c r="G258" t="inlineStr">
        <is>
          <t>SANDVIKEN</t>
        </is>
      </c>
      <c r="H258" t="inlineStr">
        <is>
          <t>Kommuner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45748</v>
      </c>
      <c r="E259" s="1" t="n">
        <v>46311</v>
      </c>
      <c r="F259" t="inlineStr">
        <is>
          <t>GÄVLEBORGS LÄN</t>
        </is>
      </c>
      <c r="G259" t="inlineStr">
        <is>
          <t>SANDVIKEN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46311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46311</v>
      </c>
      <c r="F261" t="inlineStr">
        <is>
          <t>GÄVLEBORGS LÄN</t>
        </is>
      </c>
      <c r="G261" t="inlineStr">
        <is>
          <t>SANDVIKEN</t>
        </is>
      </c>
      <c r="H261" t="inlineStr">
        <is>
          <t>Kommuner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46311</v>
      </c>
      <c r="F262" t="inlineStr">
        <is>
          <t>GÄVLEBORGS LÄN</t>
        </is>
      </c>
      <c r="G262" t="inlineStr">
        <is>
          <t>SANDVIKEN</t>
        </is>
      </c>
      <c r="H262" t="inlineStr">
        <is>
          <t>Kommuner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45899</v>
      </c>
      <c r="E263" s="1" t="n">
        <v>46311</v>
      </c>
      <c r="F263" t="inlineStr">
        <is>
          <t>GÄVLEBORGS LÄN</t>
        </is>
      </c>
      <c r="G263" t="inlineStr">
        <is>
          <t>SANDVIKEN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46311</v>
      </c>
      <c r="F264" t="inlineStr">
        <is>
          <t>GÄVLEBORGS LÄN</t>
        </is>
      </c>
      <c r="G264" t="inlineStr">
        <is>
          <t>SANDVIKEN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47889-2022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44855</v>
      </c>
      <c r="E265" s="1" t="n">
        <v>46311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46311</v>
      </c>
      <c r="F266" t="inlineStr">
        <is>
          <t>GÄVLEBORGS LÄN</t>
        </is>
      </c>
      <c r="G266" t="inlineStr">
        <is>
          <t>SANDVIKEN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46311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46311</v>
      </c>
      <c r="F268" t="inlineStr">
        <is>
          <t>GÄVLEBORGS LÄN</t>
        </is>
      </c>
      <c r="G268" t="inlineStr">
        <is>
          <t>SANDVIKEN</t>
        </is>
      </c>
      <c r="H268" t="inlineStr">
        <is>
          <t>Kommuner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46311</v>
      </c>
      <c r="F269" t="inlineStr">
        <is>
          <t>GÄVLEBORGS LÄN</t>
        </is>
      </c>
      <c r="G269" t="inlineStr">
        <is>
          <t>SANDVIKEN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46311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46311</v>
      </c>
      <c r="F271" t="inlineStr">
        <is>
          <t>GÄVLEBORGS LÄN</t>
        </is>
      </c>
      <c r="G271" t="inlineStr">
        <is>
          <t>SANDVIKEN</t>
        </is>
      </c>
      <c r="H271" t="inlineStr">
        <is>
          <t>Kommuner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46311</v>
      </c>
      <c r="F272" t="inlineStr">
        <is>
          <t>GÄVLEBORGS LÄN</t>
        </is>
      </c>
      <c r="G272" t="inlineStr">
        <is>
          <t>SANDVIKEN</t>
        </is>
      </c>
      <c r="H272" t="inlineStr">
        <is>
          <t>Kommuner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46311</v>
      </c>
      <c r="F273" t="inlineStr">
        <is>
          <t>GÄVLEBORGS LÄN</t>
        </is>
      </c>
      <c r="G273" t="inlineStr">
        <is>
          <t>SANDVIKEN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46311</v>
      </c>
      <c r="F274" t="inlineStr">
        <is>
          <t>GÄVLEBORGS LÄN</t>
        </is>
      </c>
      <c r="G274" t="inlineStr">
        <is>
          <t>SANDVIKEN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46311</v>
      </c>
      <c r="F275" t="inlineStr">
        <is>
          <t>GÄVLEBORGS LÄN</t>
        </is>
      </c>
      <c r="G275" t="inlineStr">
        <is>
          <t>SANDVIKEN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44586</v>
      </c>
      <c r="E276" s="1" t="n">
        <v>46311</v>
      </c>
      <c r="F276" t="inlineStr">
        <is>
          <t>GÄVLEBORGS LÄN</t>
        </is>
      </c>
      <c r="G276" t="inlineStr">
        <is>
          <t>SANDVIKEN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46115</v>
      </c>
      <c r="E277" s="1" t="n">
        <v>46311</v>
      </c>
      <c r="F277" t="inlineStr">
        <is>
          <t>GÄVLEBORGS LÄN</t>
        </is>
      </c>
      <c r="G277" t="inlineStr">
        <is>
          <t>SANDVIKEN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46115</v>
      </c>
      <c r="E278" s="1" t="n">
        <v>46311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46115</v>
      </c>
      <c r="E279" s="1" t="n">
        <v>46311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46311</v>
      </c>
      <c r="F280" t="inlineStr">
        <is>
          <t>GÄVLEBORGS LÄN</t>
        </is>
      </c>
      <c r="G280" t="inlineStr">
        <is>
          <t>SANDVIKEN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46115</v>
      </c>
      <c r="E281" s="1" t="n">
        <v>46311</v>
      </c>
      <c r="F281" t="inlineStr">
        <is>
          <t>GÄVLEBORGS LÄN</t>
        </is>
      </c>
      <c r="G281" t="inlineStr">
        <is>
          <t>SANDVIKEN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46311</v>
      </c>
      <c r="F282" t="inlineStr">
        <is>
          <t>GÄVLEBORGS LÄN</t>
        </is>
      </c>
      <c r="G282" t="inlineStr">
        <is>
          <t>SANDVIKEN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46115</v>
      </c>
      <c r="E283" s="1" t="n">
        <v>46311</v>
      </c>
      <c r="F283" t="inlineStr">
        <is>
          <t>GÄVLEBORGS LÄN</t>
        </is>
      </c>
      <c r="G283" t="inlineStr">
        <is>
          <t>SANDVIKEN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46311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öst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46311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46116</v>
      </c>
      <c r="E286" s="1" t="n">
        <v>46311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46116</v>
      </c>
      <c r="E287" s="1" t="n">
        <v>46311</v>
      </c>
      <c r="F287" t="inlineStr">
        <is>
          <t>GÄVLEBORGS LÄN</t>
        </is>
      </c>
      <c r="G287" t="inlineStr">
        <is>
          <t>SANDVIKEN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46311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46115</v>
      </c>
      <c r="E289" s="1" t="n">
        <v>46311</v>
      </c>
      <c r="F289" t="inlineStr">
        <is>
          <t>GÄVLEBORGS LÄN</t>
        </is>
      </c>
      <c r="G289" t="inlineStr">
        <is>
          <t>SANDVIKEN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46116</v>
      </c>
      <c r="E290" s="1" t="n">
        <v>46311</v>
      </c>
      <c r="F290" t="inlineStr">
        <is>
          <t>GÄVLEBORGS LÄN</t>
        </is>
      </c>
      <c r="G290" t="inlineStr">
        <is>
          <t>SANDVIKEN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46119</v>
      </c>
      <c r="E291" s="1" t="n">
        <v>46311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öst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46311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46311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17473-2026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46120</v>
      </c>
      <c r="E294" s="1" t="n">
        <v>46311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17626-2026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46311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46311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46311</v>
      </c>
      <c r="F297" t="inlineStr">
        <is>
          <t>GÄVLEBORGS LÄN</t>
        </is>
      </c>
      <c r="G297" t="inlineStr">
        <is>
          <t>SANDVIKEN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46311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46311</v>
      </c>
      <c r="F299" t="inlineStr">
        <is>
          <t>GÄVLEBORGS LÄN</t>
        </is>
      </c>
      <c r="G299" t="inlineStr">
        <is>
          <t>SANDVIKEN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18395-2026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46311</v>
      </c>
      <c r="F300" t="inlineStr">
        <is>
          <t>GÄVLEBORGS LÄN</t>
        </is>
      </c>
      <c r="G300" t="inlineStr">
        <is>
          <t>SANDVIKEN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46311</v>
      </c>
      <c r="F301" t="inlineStr">
        <is>
          <t>GÄVLEBORGS LÄN</t>
        </is>
      </c>
      <c r="G301" t="inlineStr">
        <is>
          <t>SANDVIKEN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46311</v>
      </c>
      <c r="F302" t="inlineStr">
        <is>
          <t>GÄVLEBORGS LÄN</t>
        </is>
      </c>
      <c r="G302" t="inlineStr">
        <is>
          <t>SANDVIKEN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46311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11810-2023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44994</v>
      </c>
      <c r="E304" s="1" t="n">
        <v>46311</v>
      </c>
      <c r="F304" t="inlineStr">
        <is>
          <t>GÄVLEBORGS LÄN</t>
        </is>
      </c>
      <c r="G304" t="inlineStr">
        <is>
          <t>SANDVIKEN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72997-2021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44549</v>
      </c>
      <c r="E305" s="1" t="n">
        <v>46311</v>
      </c>
      <c r="F305" t="inlineStr">
        <is>
          <t>GÄVLEBORGS LÄN</t>
        </is>
      </c>
      <c r="G305" t="inlineStr">
        <is>
          <t>SANDVIKEN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46130</v>
      </c>
      <c r="E306" s="1" t="n">
        <v>46311</v>
      </c>
      <c r="F306" t="inlineStr">
        <is>
          <t>GÄVLEBORGS LÄN</t>
        </is>
      </c>
      <c r="G306" t="inlineStr">
        <is>
          <t>SANDVIKEN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46132</v>
      </c>
      <c r="E307" s="1" t="n">
        <v>46311</v>
      </c>
      <c r="F307" t="inlineStr">
        <is>
          <t>GÄVLEBORGS LÄN</t>
        </is>
      </c>
      <c r="G307" t="inlineStr">
        <is>
          <t>SANDVIKEN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46311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46129</v>
      </c>
      <c r="E309" s="1" t="n">
        <v>46311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46311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46311</v>
      </c>
      <c r="F311" t="inlineStr">
        <is>
          <t>GÄVLEBORGS LÄN</t>
        </is>
      </c>
      <c r="G311" t="inlineStr">
        <is>
          <t>SANDVIKEN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46128</v>
      </c>
      <c r="E312" s="1" t="n">
        <v>46311</v>
      </c>
      <c r="F312" t="inlineStr">
        <is>
          <t>GÄVLEBORGS LÄN</t>
        </is>
      </c>
      <c r="G312" t="inlineStr">
        <is>
          <t>SANDVIKEN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46311</v>
      </c>
      <c r="F313" t="inlineStr">
        <is>
          <t>GÄVLEBORGS LÄN</t>
        </is>
      </c>
      <c r="G313" t="inlineStr">
        <is>
          <t>SANDVIKEN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46311</v>
      </c>
      <c r="F314" t="inlineStr">
        <is>
          <t>GÄVLEBORGS LÄN</t>
        </is>
      </c>
      <c r="G314" t="inlineStr">
        <is>
          <t>SANDVIKEN</t>
        </is>
      </c>
      <c r="H314" t="inlineStr">
        <is>
          <t>Naturvårdsverket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46311</v>
      </c>
      <c r="F315" t="inlineStr">
        <is>
          <t>GÄVLEBORGS LÄN</t>
        </is>
      </c>
      <c r="G315" t="inlineStr">
        <is>
          <t>SANDVIKEN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44813</v>
      </c>
      <c r="E316" s="1" t="n">
        <v>46311</v>
      </c>
      <c r="F316" t="inlineStr">
        <is>
          <t>GÄVLEBORGS LÄN</t>
        </is>
      </c>
      <c r="G316" t="inlineStr">
        <is>
          <t>SANDVIKEN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46311</v>
      </c>
      <c r="F317" t="inlineStr">
        <is>
          <t>GÄVLEBORGS LÄN</t>
        </is>
      </c>
      <c r="G317" t="inlineStr">
        <is>
          <t>SANDVIKEN</t>
        </is>
      </c>
      <c r="H317" t="inlineStr">
        <is>
          <t>Naturvårdsverket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46311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46311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46129</v>
      </c>
      <c r="E320" s="1" t="n">
        <v>46311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46129</v>
      </c>
      <c r="E321" s="1" t="n">
        <v>46311</v>
      </c>
      <c r="F321" t="inlineStr">
        <is>
          <t>GÄVLEBORGS LÄN</t>
        </is>
      </c>
      <c r="G321" t="inlineStr">
        <is>
          <t>SANDVIKEN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46129</v>
      </c>
      <c r="E322" s="1" t="n">
        <v>46311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45590</v>
      </c>
      <c r="E323" s="1" t="n">
        <v>46311</v>
      </c>
      <c r="F323" t="inlineStr">
        <is>
          <t>GÄVLEBORGS LÄN</t>
        </is>
      </c>
      <c r="G323" t="inlineStr">
        <is>
          <t>SANDVIKEN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37641-2024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45541</v>
      </c>
      <c r="E324" s="1" t="n">
        <v>46311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46311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19273-2026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46311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19421-2025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45769</v>
      </c>
      <c r="E327" s="1" t="n">
        <v>46311</v>
      </c>
      <c r="F327" t="inlineStr">
        <is>
          <t>GÄVLEBORGS LÄN</t>
        </is>
      </c>
      <c r="G327" t="inlineStr">
        <is>
          <t>SANDVIKEN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45390</v>
      </c>
      <c r="E328" s="1" t="n">
        <v>46311</v>
      </c>
      <c r="F328" t="inlineStr">
        <is>
          <t>GÄVLEBORGS LÄN</t>
        </is>
      </c>
      <c r="G328" t="inlineStr">
        <is>
          <t>SANDVIKEN</t>
        </is>
      </c>
      <c r="H328" t="inlineStr">
        <is>
          <t>Kyrkan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44566</v>
      </c>
      <c r="E329" s="1" t="n">
        <v>46311</v>
      </c>
      <c r="F329" t="inlineStr">
        <is>
          <t>GÄVLEBORGS LÄN</t>
        </is>
      </c>
      <c r="G329" t="inlineStr">
        <is>
          <t>SANDVIKEN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46311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46136</v>
      </c>
      <c r="E331" s="1" t="n">
        <v>46311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10.9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46311</v>
      </c>
      <c r="F332" t="inlineStr">
        <is>
          <t>GÄVLEBORGS LÄN</t>
        </is>
      </c>
      <c r="G332" t="inlineStr">
        <is>
          <t>SANDVIKEN</t>
        </is>
      </c>
      <c r="H332" t="inlineStr">
        <is>
          <t>Naturvårdsverket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46135</v>
      </c>
      <c r="E333" s="1" t="n">
        <v>46311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öst AB</t>
        </is>
      </c>
      <c r="I333" t="n">
        <v>16.4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46311</v>
      </c>
      <c r="F334" t="inlineStr">
        <is>
          <t>GÄVLEBORGS LÄN</t>
        </is>
      </c>
      <c r="G334" t="inlineStr">
        <is>
          <t>SANDVIKEN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45153</v>
      </c>
      <c r="E335" s="1" t="n">
        <v>46311</v>
      </c>
      <c r="F335" t="inlineStr">
        <is>
          <t>GÄVLEBORGS LÄN</t>
        </is>
      </c>
      <c r="G335" t="inlineStr">
        <is>
          <t>SANDVIKEN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46311</v>
      </c>
      <c r="F336" t="inlineStr">
        <is>
          <t>GÄVLEBORGS LÄN</t>
        </is>
      </c>
      <c r="G336" t="inlineStr">
        <is>
          <t>SANDVIKEN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45112</v>
      </c>
      <c r="E337" s="1" t="n">
        <v>46311</v>
      </c>
      <c r="F337" t="inlineStr">
        <is>
          <t>GÄVLEBORGS LÄN</t>
        </is>
      </c>
      <c r="G337" t="inlineStr">
        <is>
          <t>SANDVIKEN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46311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44956</v>
      </c>
      <c r="E339" s="1" t="n">
        <v>46311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46311</v>
      </c>
      <c r="F340" t="inlineStr">
        <is>
          <t>GÄVLEBORGS LÄN</t>
        </is>
      </c>
      <c r="G340" t="inlineStr">
        <is>
          <t>SANDVIKEN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46311</v>
      </c>
      <c r="F341" t="inlineStr">
        <is>
          <t>GÄVLEBORGS LÄN</t>
        </is>
      </c>
      <c r="G341" t="inlineStr">
        <is>
          <t>SANDVIKEN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19865-2026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46311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12115-2026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46086</v>
      </c>
      <c r="E343" s="1" t="n">
        <v>46311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46311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46311</v>
      </c>
      <c r="F345" t="inlineStr">
        <is>
          <t>GÄVLEBORGS LÄN</t>
        </is>
      </c>
      <c r="G345" t="inlineStr">
        <is>
          <t>SANDVIKEN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46311</v>
      </c>
      <c r="F346" t="inlineStr">
        <is>
          <t>GÄVLEBORGS LÄN</t>
        </is>
      </c>
      <c r="G346" t="inlineStr">
        <is>
          <t>SANDVIKEN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46311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46311</v>
      </c>
      <c r="F348" t="inlineStr">
        <is>
          <t>GÄVLEBORGS LÄN</t>
        </is>
      </c>
      <c r="G348" t="inlineStr">
        <is>
          <t>SANDVIKEN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46311</v>
      </c>
      <c r="F349" t="inlineStr">
        <is>
          <t>GÄVLEBORGS LÄN</t>
        </is>
      </c>
      <c r="G349" t="inlineStr">
        <is>
          <t>SANDVIKEN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45094</v>
      </c>
      <c r="E350" s="1" t="n">
        <v>46311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45182</v>
      </c>
      <c r="E351" s="1" t="n">
        <v>46311</v>
      </c>
      <c r="F351" t="inlineStr">
        <is>
          <t>GÄVLEBORGS LÄN</t>
        </is>
      </c>
      <c r="G351" t="inlineStr">
        <is>
          <t>SANDVIKEN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46311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8698-2024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45356</v>
      </c>
      <c r="E353" s="1" t="n">
        <v>46311</v>
      </c>
      <c r="F353" t="inlineStr">
        <is>
          <t>GÄVLEBORGS LÄN</t>
        </is>
      </c>
      <c r="G353" t="inlineStr">
        <is>
          <t>SANDVIKEN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45673</v>
      </c>
      <c r="E354" s="1" t="n">
        <v>46311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44988</v>
      </c>
      <c r="E355" s="1" t="n">
        <v>46311</v>
      </c>
      <c r="F355" t="inlineStr">
        <is>
          <t>GÄVLEBORGS LÄN</t>
        </is>
      </c>
      <c r="G355" t="inlineStr">
        <is>
          <t>SANDVIKEN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46311</v>
      </c>
      <c r="F356" t="inlineStr">
        <is>
          <t>GÄVLEBORGS LÄN</t>
        </is>
      </c>
      <c r="G356" t="inlineStr">
        <is>
          <t>SANDVIKEN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46311</v>
      </c>
      <c r="F357" t="inlineStr">
        <is>
          <t>GÄVLEBORGS LÄN</t>
        </is>
      </c>
      <c r="G357" t="inlineStr">
        <is>
          <t>SANDVIKEN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46311</v>
      </c>
      <c r="F358" t="inlineStr">
        <is>
          <t>GÄVLEBORGS LÄN</t>
        </is>
      </c>
      <c r="G358" t="inlineStr">
        <is>
          <t>SANDVIKEN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49706-2023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45212</v>
      </c>
      <c r="E359" s="1" t="n">
        <v>46311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60891-2023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45261</v>
      </c>
      <c r="E360" s="1" t="n">
        <v>46311</v>
      </c>
      <c r="F360" t="inlineStr">
        <is>
          <t>GÄVLEBORGS LÄN</t>
        </is>
      </c>
      <c r="G360" t="inlineStr">
        <is>
          <t>SANDVIKEN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45261</v>
      </c>
      <c r="E361" s="1" t="n">
        <v>46311</v>
      </c>
      <c r="F361" t="inlineStr">
        <is>
          <t>GÄVLEBORGS LÄN</t>
        </is>
      </c>
      <c r="G361" t="inlineStr">
        <is>
          <t>SANDVIKEN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46057</v>
      </c>
      <c r="E362" s="1" t="n">
        <v>46311</v>
      </c>
      <c r="F362" t="inlineStr">
        <is>
          <t>GÄVLEBORGS LÄN</t>
        </is>
      </c>
      <c r="G362" t="inlineStr">
        <is>
          <t>SANDVIKEN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45476</v>
      </c>
      <c r="E363" s="1" t="n">
        <v>46311</v>
      </c>
      <c r="F363" t="inlineStr">
        <is>
          <t>GÄVLEBORGS LÄN</t>
        </is>
      </c>
      <c r="G363" t="inlineStr">
        <is>
          <t>SANDVIKEN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46311</v>
      </c>
      <c r="F364" t="inlineStr">
        <is>
          <t>GÄVLEBORGS LÄN</t>
        </is>
      </c>
      <c r="G364" t="inlineStr">
        <is>
          <t>SANDVIKEN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46311</v>
      </c>
      <c r="F365" t="inlineStr">
        <is>
          <t>GÄVLEBORGS LÄN</t>
        </is>
      </c>
      <c r="G365" t="inlineStr">
        <is>
          <t>SANDVIKEN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46311</v>
      </c>
      <c r="F366" t="inlineStr">
        <is>
          <t>GÄVLEBORGS LÄN</t>
        </is>
      </c>
      <c r="G366" t="inlineStr">
        <is>
          <t>SANDVIKEN</t>
        </is>
      </c>
      <c r="I366" t="n">
        <v>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45478</v>
      </c>
      <c r="E367" s="1" t="n">
        <v>46311</v>
      </c>
      <c r="F367" t="inlineStr">
        <is>
          <t>GÄVLEBORGS LÄN</t>
        </is>
      </c>
      <c r="G367" t="inlineStr">
        <is>
          <t>SANDVIKEN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45205</v>
      </c>
      <c r="E368" s="1" t="n">
        <v>46311</v>
      </c>
      <c r="F368" t="inlineStr">
        <is>
          <t>GÄVLEBORGS LÄN</t>
        </is>
      </c>
      <c r="G368" t="inlineStr">
        <is>
          <t>SANDVIKEN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45208</v>
      </c>
      <c r="E369" s="1" t="n">
        <v>46311</v>
      </c>
      <c r="F369" t="inlineStr">
        <is>
          <t>GÄVLEBORGS LÄN</t>
        </is>
      </c>
      <c r="G369" t="inlineStr">
        <is>
          <t>SANDVIKEN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46311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35184-2022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46311</v>
      </c>
      <c r="F371" t="inlineStr">
        <is>
          <t>GÄVLEBORGS LÄN</t>
        </is>
      </c>
      <c r="G371" t="inlineStr">
        <is>
          <t>SANDVIKEN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46311</v>
      </c>
      <c r="F372" t="inlineStr">
        <is>
          <t>GÄVLEBORGS LÄN</t>
        </is>
      </c>
      <c r="G372" t="inlineStr">
        <is>
          <t>SANDVIKEN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46311</v>
      </c>
      <c r="F373" t="inlineStr">
        <is>
          <t>GÄVLEBORGS LÄN</t>
        </is>
      </c>
      <c r="G373" t="inlineStr">
        <is>
          <t>SANDVIKEN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45666</v>
      </c>
      <c r="E374" s="1" t="n">
        <v>46311</v>
      </c>
      <c r="F374" t="inlineStr">
        <is>
          <t>GÄVLEBORGS LÄN</t>
        </is>
      </c>
      <c r="G374" t="inlineStr">
        <is>
          <t>SANDVIKEN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45779</v>
      </c>
      <c r="E375" s="1" t="n">
        <v>46311</v>
      </c>
      <c r="F375" t="inlineStr">
        <is>
          <t>GÄVLEBORGS LÄN</t>
        </is>
      </c>
      <c r="G375" t="inlineStr">
        <is>
          <t>SANDVIKEN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46311</v>
      </c>
      <c r="F376" t="inlineStr">
        <is>
          <t>GÄVLEBORGS LÄN</t>
        </is>
      </c>
      <c r="G376" t="inlineStr">
        <is>
          <t>SANDVIKEN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48799-2023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45209</v>
      </c>
      <c r="E377" s="1" t="n">
        <v>46311</v>
      </c>
      <c r="F377" t="inlineStr">
        <is>
          <t>GÄVLEBORGS LÄN</t>
        </is>
      </c>
      <c r="G377" t="inlineStr">
        <is>
          <t>SANDVIKEN</t>
        </is>
      </c>
      <c r="H377" t="inlineStr">
        <is>
          <t>Bergvik skog öst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45240</v>
      </c>
      <c r="E378" s="1" t="n">
        <v>46311</v>
      </c>
      <c r="F378" t="inlineStr">
        <is>
          <t>GÄVLEBORGS LÄN</t>
        </is>
      </c>
      <c r="G378" t="inlineStr">
        <is>
          <t>SANDVIKEN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46311</v>
      </c>
      <c r="F379" t="inlineStr">
        <is>
          <t>GÄVLEBORGS LÄN</t>
        </is>
      </c>
      <c r="G379" t="inlineStr">
        <is>
          <t>SANDVIKEN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46311</v>
      </c>
      <c r="F380" t="inlineStr">
        <is>
          <t>GÄVLEBORGS LÄN</t>
        </is>
      </c>
      <c r="G380" t="inlineStr">
        <is>
          <t>SANDVIKEN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46311</v>
      </c>
      <c r="F381" t="inlineStr">
        <is>
          <t>GÄVLEBORGS LÄN</t>
        </is>
      </c>
      <c r="G381" t="inlineStr">
        <is>
          <t>SANDVIKEN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46311</v>
      </c>
      <c r="F382" t="inlineStr">
        <is>
          <t>GÄVLEBORGS LÄN</t>
        </is>
      </c>
      <c r="G382" t="inlineStr">
        <is>
          <t>SANDVIKEN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46311</v>
      </c>
      <c r="F383" t="inlineStr">
        <is>
          <t>GÄVLEBORGS LÄN</t>
        </is>
      </c>
      <c r="G383" t="inlineStr">
        <is>
          <t>SANDVIKEN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46311</v>
      </c>
      <c r="F384" t="inlineStr">
        <is>
          <t>GÄVLEBORGS LÄN</t>
        </is>
      </c>
      <c r="G384" t="inlineStr">
        <is>
          <t>SANDVIKEN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9601-2026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46311</v>
      </c>
      <c r="F385" t="inlineStr">
        <is>
          <t>GÄVLEBORGS LÄN</t>
        </is>
      </c>
      <c r="G385" t="inlineStr">
        <is>
          <t>SANDVIKEN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45022</v>
      </c>
      <c r="E386" s="1" t="n">
        <v>46311</v>
      </c>
      <c r="F386" t="inlineStr">
        <is>
          <t>GÄVLEBORGS LÄN</t>
        </is>
      </c>
      <c r="G386" t="inlineStr">
        <is>
          <t>SANDVIKEN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46311</v>
      </c>
      <c r="F387" t="inlineStr">
        <is>
          <t>GÄVLEBORGS LÄN</t>
        </is>
      </c>
      <c r="G387" t="inlineStr">
        <is>
          <t>SANDVIKEN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45671</v>
      </c>
      <c r="E388" s="1" t="n">
        <v>46311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45238</v>
      </c>
      <c r="E389" s="1" t="n">
        <v>46311</v>
      </c>
      <c r="F389" t="inlineStr">
        <is>
          <t>GÄVLEBORGS LÄN</t>
        </is>
      </c>
      <c r="G389" t="inlineStr">
        <is>
          <t>SANDVIKEN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45562</v>
      </c>
      <c r="E390" s="1" t="n">
        <v>46311</v>
      </c>
      <c r="F390" t="inlineStr">
        <is>
          <t>GÄVLEBORGS LÄN</t>
        </is>
      </c>
      <c r="G390" t="inlineStr">
        <is>
          <t>SANDVIKEN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46311</v>
      </c>
      <c r="F391" t="inlineStr">
        <is>
          <t>GÄVLEBORGS LÄN</t>
        </is>
      </c>
      <c r="G391" t="inlineStr">
        <is>
          <t>SANDVIKEN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45537</v>
      </c>
      <c r="E392" s="1" t="n">
        <v>46311</v>
      </c>
      <c r="F392" t="inlineStr">
        <is>
          <t>GÄVLEBORGS LÄN</t>
        </is>
      </c>
      <c r="G392" t="inlineStr">
        <is>
          <t>SANDVIKEN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46311</v>
      </c>
      <c r="F393" t="inlineStr">
        <is>
          <t>GÄVLEBORGS LÄN</t>
        </is>
      </c>
      <c r="G393" t="inlineStr">
        <is>
          <t>SANDVIKEN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45645</v>
      </c>
      <c r="E394" s="1" t="n">
        <v>46311</v>
      </c>
      <c r="F394" t="inlineStr">
        <is>
          <t>GÄVLEBORGS LÄN</t>
        </is>
      </c>
      <c r="G394" t="inlineStr">
        <is>
          <t>SANDVIKEN</t>
        </is>
      </c>
      <c r="H394" t="inlineStr">
        <is>
          <t>Naturvårdsverket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46311</v>
      </c>
      <c r="F395" t="inlineStr">
        <is>
          <t>GÄVLEBORGS LÄN</t>
        </is>
      </c>
      <c r="G395" t="inlineStr">
        <is>
          <t>SANDVIKEN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49209-2024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46311</v>
      </c>
      <c r="F396" t="inlineStr">
        <is>
          <t>GÄVLEBORGS LÄN</t>
        </is>
      </c>
      <c r="G396" t="inlineStr">
        <is>
          <t>SANDVIKEN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46061</v>
      </c>
      <c r="E397" s="1" t="n">
        <v>46311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46311</v>
      </c>
      <c r="F398" t="inlineStr">
        <is>
          <t>GÄVLEBORGS LÄN</t>
        </is>
      </c>
      <c r="G398" t="inlineStr">
        <is>
          <t>SANDVIKEN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46311</v>
      </c>
      <c r="F399" t="inlineStr">
        <is>
          <t>GÄVLEBORGS LÄN</t>
        </is>
      </c>
      <c r="G399" t="inlineStr">
        <is>
          <t>SANDVIKEN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44717-2025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46311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46046</v>
      </c>
      <c r="E401" s="1" t="n">
        <v>46311</v>
      </c>
      <c r="F401" t="inlineStr">
        <is>
          <t>GÄVLEBORGS LÄN</t>
        </is>
      </c>
      <c r="G401" t="inlineStr">
        <is>
          <t>SANDVIKEN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45728</v>
      </c>
      <c r="E402" s="1" t="n">
        <v>46311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46311</v>
      </c>
      <c r="F403" t="inlineStr">
        <is>
          <t>GÄVLEBORGS LÄN</t>
        </is>
      </c>
      <c r="G403" t="inlineStr">
        <is>
          <t>SANDVIKEN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45589</v>
      </c>
      <c r="E404" s="1" t="n">
        <v>46311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46311</v>
      </c>
      <c r="F405" t="inlineStr">
        <is>
          <t>GÄVLEBORGS LÄN</t>
        </is>
      </c>
      <c r="G405" t="inlineStr">
        <is>
          <t>SANDVIKEN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46311</v>
      </c>
      <c r="F406" t="inlineStr">
        <is>
          <t>GÄVLEBORGS LÄN</t>
        </is>
      </c>
      <c r="G406" t="inlineStr">
        <is>
          <t>SANDVIKEN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46311</v>
      </c>
      <c r="F407" t="inlineStr">
        <is>
          <t>GÄVLEBORGS LÄN</t>
        </is>
      </c>
      <c r="G407" t="inlineStr">
        <is>
          <t>SANDVIKEN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11205-2026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46080</v>
      </c>
      <c r="E408" s="1" t="n">
        <v>46311</v>
      </c>
      <c r="F408" t="inlineStr">
        <is>
          <t>GÄVLEBORGS LÄN</t>
        </is>
      </c>
      <c r="G408" t="inlineStr">
        <is>
          <t>SANDVIKEN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46036</v>
      </c>
      <c r="E409" s="1" t="n">
        <v>46311</v>
      </c>
      <c r="F409" t="inlineStr">
        <is>
          <t>GÄVLEBORGS LÄN</t>
        </is>
      </c>
      <c r="G409" t="inlineStr">
        <is>
          <t>SANDVIKEN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45602</v>
      </c>
      <c r="E410" s="1" t="n">
        <v>46311</v>
      </c>
      <c r="F410" t="inlineStr">
        <is>
          <t>GÄVLEBORGS LÄN</t>
        </is>
      </c>
      <c r="G410" t="inlineStr">
        <is>
          <t>SANDVIKEN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46311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45688</v>
      </c>
      <c r="E412" s="1" t="n">
        <v>46311</v>
      </c>
      <c r="F412" t="inlineStr">
        <is>
          <t>GÄVLEBORGS LÄN</t>
        </is>
      </c>
      <c r="G412" t="inlineStr">
        <is>
          <t>SANDVIKEN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46311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45602</v>
      </c>
      <c r="E414" s="1" t="n">
        <v>46311</v>
      </c>
      <c r="F414" t="inlineStr">
        <is>
          <t>GÄVLEBORGS LÄN</t>
        </is>
      </c>
      <c r="G414" t="inlineStr">
        <is>
          <t>SANDVIKEN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46311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46311</v>
      </c>
      <c r="F416" t="inlineStr">
        <is>
          <t>GÄVLEBORGS LÄN</t>
        </is>
      </c>
      <c r="G416" t="inlineStr">
        <is>
          <t>SANDVIKEN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46311</v>
      </c>
      <c r="F417" t="inlineStr">
        <is>
          <t>GÄVLEBORGS LÄN</t>
        </is>
      </c>
      <c r="G417" t="inlineStr">
        <is>
          <t>SANDVIKEN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46311</v>
      </c>
      <c r="F418" t="inlineStr">
        <is>
          <t>GÄVLEBORGS LÄN</t>
        </is>
      </c>
      <c r="G418" t="inlineStr">
        <is>
          <t>SANDVIKEN</t>
        </is>
      </c>
      <c r="I418" t="n">
        <v>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46311</v>
      </c>
      <c r="F419" t="inlineStr">
        <is>
          <t>GÄVLEBORGS LÄN</t>
        </is>
      </c>
      <c r="G419" t="inlineStr">
        <is>
          <t>SANDVIKEN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15237-2026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46311</v>
      </c>
      <c r="F420" t="inlineStr">
        <is>
          <t>GÄVLEBORGS LÄN</t>
        </is>
      </c>
      <c r="G420" t="inlineStr">
        <is>
          <t>SANDVIKEN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46311</v>
      </c>
      <c r="F421" t="inlineStr">
        <is>
          <t>GÄVLEBORGS LÄN</t>
        </is>
      </c>
      <c r="G421" t="inlineStr">
        <is>
          <t>SANDVIKEN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9603-2026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46311</v>
      </c>
      <c r="F422" t="inlineStr">
        <is>
          <t>GÄVLEBORGS LÄN</t>
        </is>
      </c>
      <c r="G422" t="inlineStr">
        <is>
          <t>SANDVIKEN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46311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46311</v>
      </c>
      <c r="F424" t="inlineStr">
        <is>
          <t>GÄVLEBORGS LÄN</t>
        </is>
      </c>
      <c r="G424" t="inlineStr">
        <is>
          <t>SANDVIKEN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58911-2023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45250</v>
      </c>
      <c r="E425" s="1" t="n">
        <v>46311</v>
      </c>
      <c r="F425" t="inlineStr">
        <is>
          <t>GÄVLEBORGS LÄN</t>
        </is>
      </c>
      <c r="G425" t="inlineStr">
        <is>
          <t>SANDVIKEN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45251</v>
      </c>
      <c r="E426" s="1" t="n">
        <v>46311</v>
      </c>
      <c r="F426" t="inlineStr">
        <is>
          <t>GÄVLEBORGS LÄN</t>
        </is>
      </c>
      <c r="G426" t="inlineStr">
        <is>
          <t>SANDVIKEN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46311</v>
      </c>
      <c r="F427" t="inlineStr">
        <is>
          <t>GÄVLEBORGS LÄN</t>
        </is>
      </c>
      <c r="G427" t="inlineStr">
        <is>
          <t>SANDVIKEN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46311</v>
      </c>
      <c r="F428" t="inlineStr">
        <is>
          <t>GÄVLEBORGS LÄN</t>
        </is>
      </c>
      <c r="G428" t="inlineStr">
        <is>
          <t>SANDVIKEN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46311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44582</v>
      </c>
      <c r="E430" s="1" t="n">
        <v>46311</v>
      </c>
      <c r="F430" t="inlineStr">
        <is>
          <t>GÄVLEBORGS LÄN</t>
        </is>
      </c>
      <c r="G430" t="inlineStr">
        <is>
          <t>SANDVIKEN</t>
        </is>
      </c>
      <c r="H430" t="inlineStr">
        <is>
          <t>Kyrkan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45463</v>
      </c>
      <c r="E431" s="1" t="n">
        <v>46311</v>
      </c>
      <c r="F431" t="inlineStr">
        <is>
          <t>GÄVLEBORGS LÄN</t>
        </is>
      </c>
      <c r="G431" t="inlineStr">
        <is>
          <t>SANDVIKEN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46311</v>
      </c>
      <c r="F432" t="inlineStr">
        <is>
          <t>GÄVLEBORGS LÄN</t>
        </is>
      </c>
      <c r="G432" t="inlineStr">
        <is>
          <t>SANDVIKEN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46311</v>
      </c>
      <c r="F433" t="inlineStr">
        <is>
          <t>GÄVLEBORGS LÄN</t>
        </is>
      </c>
      <c r="G433" t="inlineStr">
        <is>
          <t>SANDVIKEN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46311</v>
      </c>
      <c r="F434" t="inlineStr">
        <is>
          <t>GÄVLEBORGS LÄN</t>
        </is>
      </c>
      <c r="G434" t="inlineStr">
        <is>
          <t>SANDVIKEN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46311</v>
      </c>
      <c r="F435" t="inlineStr">
        <is>
          <t>GÄVLEBORGS LÄN</t>
        </is>
      </c>
      <c r="G435" t="inlineStr">
        <is>
          <t>SANDVIKEN</t>
        </is>
      </c>
      <c r="I435" t="n">
        <v>11.2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45693</v>
      </c>
      <c r="E436" s="1" t="n">
        <v>46311</v>
      </c>
      <c r="F436" t="inlineStr">
        <is>
          <t>GÄVLEBORGS LÄN</t>
        </is>
      </c>
      <c r="G436" t="inlineStr">
        <is>
          <t>SANDVIKEN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46311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46038</v>
      </c>
      <c r="E438" s="1" t="n">
        <v>46311</v>
      </c>
      <c r="F438" t="inlineStr">
        <is>
          <t>GÄVLEBORGS LÄN</t>
        </is>
      </c>
      <c r="G438" t="inlineStr">
        <is>
          <t>SANDVIKEN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44804</v>
      </c>
      <c r="E439" s="1" t="n">
        <v>46311</v>
      </c>
      <c r="F439" t="inlineStr">
        <is>
          <t>GÄVLEBORGS LÄN</t>
        </is>
      </c>
      <c r="G439" t="inlineStr">
        <is>
          <t>SANDVIKEN</t>
        </is>
      </c>
      <c r="I439" t="n">
        <v>9.199999999999999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46311</v>
      </c>
      <c r="F440" t="inlineStr">
        <is>
          <t>GÄVLEBORGS LÄN</t>
        </is>
      </c>
      <c r="G440" t="inlineStr">
        <is>
          <t>SANDVIKEN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20917-2026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46311</v>
      </c>
      <c r="F441" t="inlineStr">
        <is>
          <t>GÄVLEBORGS LÄN</t>
        </is>
      </c>
      <c r="G441" t="inlineStr">
        <is>
          <t>SANDVIKEN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16683-2024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46311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väst AB</t>
        </is>
      </c>
      <c r="I442" t="n">
        <v>14.2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46311</v>
      </c>
      <c r="F443" t="inlineStr">
        <is>
          <t>GÄVLEBORGS LÄN</t>
        </is>
      </c>
      <c r="G443" t="inlineStr">
        <is>
          <t>SANDVIKEN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46311</v>
      </c>
      <c r="F444" t="inlineStr">
        <is>
          <t>GÄVLEBORGS LÄN</t>
        </is>
      </c>
      <c r="G444" t="inlineStr">
        <is>
          <t>SANDVIKEN</t>
        </is>
      </c>
      <c r="H444" t="inlineStr">
        <is>
          <t>Kommuner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61858-2024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45649</v>
      </c>
      <c r="E445" s="1" t="n">
        <v>46311</v>
      </c>
      <c r="F445" t="inlineStr">
        <is>
          <t>GÄVLEBORGS LÄN</t>
        </is>
      </c>
      <c r="G445" t="inlineStr">
        <is>
          <t>SANDVIKEN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45649</v>
      </c>
      <c r="E446" s="1" t="n">
        <v>46311</v>
      </c>
      <c r="F446" t="inlineStr">
        <is>
          <t>GÄVLEBORGS LÄN</t>
        </is>
      </c>
      <c r="G446" t="inlineStr">
        <is>
          <t>SANDVIKEN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46311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46311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21343-2026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46147</v>
      </c>
      <c r="E449" s="1" t="n">
        <v>46311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46311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46311</v>
      </c>
      <c r="F451" t="inlineStr">
        <is>
          <t>GÄVLEBORGS LÄN</t>
        </is>
      </c>
      <c r="G451" t="inlineStr">
        <is>
          <t>SANDVIKEN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46311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46311</v>
      </c>
      <c r="F453" t="inlineStr">
        <is>
          <t>GÄVLEBORGS LÄN</t>
        </is>
      </c>
      <c r="G453" t="inlineStr">
        <is>
          <t>SANDVIKEN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46311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46311</v>
      </c>
      <c r="F455" t="inlineStr">
        <is>
          <t>GÄVLEBORGS LÄN</t>
        </is>
      </c>
      <c r="G455" t="inlineStr">
        <is>
          <t>SANDVIKEN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45188</v>
      </c>
      <c r="E456" s="1" t="n">
        <v>46311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46151</v>
      </c>
      <c r="E457" s="1" t="n">
        <v>46311</v>
      </c>
      <c r="F457" t="inlineStr">
        <is>
          <t>GÄVLEBORGS LÄN</t>
        </is>
      </c>
      <c r="G457" t="inlineStr">
        <is>
          <t>SANDVIKEN</t>
        </is>
      </c>
      <c r="I457" t="n">
        <v>11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46086</v>
      </c>
      <c r="E458" s="1" t="n">
        <v>46311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46311</v>
      </c>
      <c r="F459" t="inlineStr">
        <is>
          <t>GÄVLEBORGS LÄN</t>
        </is>
      </c>
      <c r="G459" t="inlineStr">
        <is>
          <t>SANDVIKEN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27967-2022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44744</v>
      </c>
      <c r="E460" s="1" t="n">
        <v>46311</v>
      </c>
      <c r="F460" t="inlineStr">
        <is>
          <t>GÄVLEBORGS LÄN</t>
        </is>
      </c>
      <c r="G460" t="inlineStr">
        <is>
          <t>SANDVIKEN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46311</v>
      </c>
      <c r="F461" t="inlineStr">
        <is>
          <t>GÄVLEBORGS LÄN</t>
        </is>
      </c>
      <c r="G461" t="inlineStr">
        <is>
          <t>SANDVIKEN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46311</v>
      </c>
      <c r="F462" t="inlineStr">
        <is>
          <t>GÄVLEBORGS LÄN</t>
        </is>
      </c>
      <c r="G462" t="inlineStr">
        <is>
          <t>SANDVIKEN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46311</v>
      </c>
      <c r="F463" t="inlineStr">
        <is>
          <t>GÄVLEBORGS LÄN</t>
        </is>
      </c>
      <c r="G463" t="inlineStr">
        <is>
          <t>SANDVIKEN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46311</v>
      </c>
      <c r="F464" t="inlineStr">
        <is>
          <t>GÄVLEBORGS LÄN</t>
        </is>
      </c>
      <c r="G464" t="inlineStr">
        <is>
          <t>SANDVIKEN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45670</v>
      </c>
      <c r="E465" s="1" t="n">
        <v>46311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46311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45102-2022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44843</v>
      </c>
      <c r="E467" s="1" t="n">
        <v>46311</v>
      </c>
      <c r="F467" t="inlineStr">
        <is>
          <t>GÄVLEBORGS LÄN</t>
        </is>
      </c>
      <c r="G467" t="inlineStr">
        <is>
          <t>SANDVIKEN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46311</v>
      </c>
      <c r="F468" t="inlineStr">
        <is>
          <t>GÄVLEBORGS LÄN</t>
        </is>
      </c>
      <c r="G468" t="inlineStr">
        <is>
          <t>SANDVIKEN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45916</v>
      </c>
      <c r="E469" s="1" t="n">
        <v>46311</v>
      </c>
      <c r="F469" t="inlineStr">
        <is>
          <t>GÄVLEBORGS LÄN</t>
        </is>
      </c>
      <c r="G469" t="inlineStr">
        <is>
          <t>SANDVIKEN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46311</v>
      </c>
      <c r="F470" t="inlineStr">
        <is>
          <t>GÄVLEBORGS LÄN</t>
        </is>
      </c>
      <c r="G470" t="inlineStr">
        <is>
          <t>SANDVIKEN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46311</v>
      </c>
      <c r="F471" t="inlineStr">
        <is>
          <t>GÄVLEBORGS LÄN</t>
        </is>
      </c>
      <c r="G471" t="inlineStr">
        <is>
          <t>SANDVIKEN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46311</v>
      </c>
      <c r="F472" t="inlineStr">
        <is>
          <t>GÄVLEBORGS LÄN</t>
        </is>
      </c>
      <c r="G472" t="inlineStr">
        <is>
          <t>SANDVIKEN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46311</v>
      </c>
      <c r="F473" t="inlineStr">
        <is>
          <t>GÄVLEBORGS LÄN</t>
        </is>
      </c>
      <c r="G473" t="inlineStr">
        <is>
          <t>SANDVIKEN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46108</v>
      </c>
      <c r="E474" s="1" t="n">
        <v>46311</v>
      </c>
      <c r="F474" t="inlineStr">
        <is>
          <t>GÄVLEBORGS LÄN</t>
        </is>
      </c>
      <c r="G474" t="inlineStr">
        <is>
          <t>SANDVIKEN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45989-2023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45196</v>
      </c>
      <c r="E475" s="1" t="n">
        <v>46311</v>
      </c>
      <c r="F475" t="inlineStr">
        <is>
          <t>GÄVLEBORGS LÄN</t>
        </is>
      </c>
      <c r="G475" t="inlineStr">
        <is>
          <t>SANDVIKEN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44796</v>
      </c>
      <c r="E476" s="1" t="n">
        <v>46311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46311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45090-2025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46311</v>
      </c>
      <c r="F478" t="inlineStr">
        <is>
          <t>GÄVLEBORGS LÄN</t>
        </is>
      </c>
      <c r="G478" t="inlineStr">
        <is>
          <t>SANDVIKEN</t>
        </is>
      </c>
      <c r="H478" t="inlineStr">
        <is>
          <t>Kyrkan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45103-2025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45919</v>
      </c>
      <c r="E479" s="1" t="n">
        <v>46311</v>
      </c>
      <c r="F479" t="inlineStr">
        <is>
          <t>GÄVLEBORGS LÄN</t>
        </is>
      </c>
      <c r="G479" t="inlineStr">
        <is>
          <t>SANDVIKEN</t>
        </is>
      </c>
      <c r="H479" t="inlineStr">
        <is>
          <t>Kyrkan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45920-2022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44846</v>
      </c>
      <c r="E480" s="1" t="n">
        <v>46311</v>
      </c>
      <c r="F480" t="inlineStr">
        <is>
          <t>GÄVLEBORGS LÄN</t>
        </is>
      </c>
      <c r="G480" t="inlineStr">
        <is>
          <t>SANDVIKEN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36671-2023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45153</v>
      </c>
      <c r="E481" s="1" t="n">
        <v>46311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45488</v>
      </c>
      <c r="E482" s="1" t="n">
        <v>46311</v>
      </c>
      <c r="F482" t="inlineStr">
        <is>
          <t>GÄVLEBORGS LÄN</t>
        </is>
      </c>
      <c r="G482" t="inlineStr">
        <is>
          <t>SANDVIKEN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46311</v>
      </c>
      <c r="F483" t="inlineStr">
        <is>
          <t>GÄVLEBORGS LÄN</t>
        </is>
      </c>
      <c r="G483" t="inlineStr">
        <is>
          <t>SANDVIKEN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46311</v>
      </c>
      <c r="F484" t="inlineStr">
        <is>
          <t>GÄVLEBORGS LÄN</t>
        </is>
      </c>
      <c r="G484" t="inlineStr">
        <is>
          <t>SANDVIKEN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46311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46311</v>
      </c>
      <c r="F486" t="inlineStr">
        <is>
          <t>GÄVLEBORGS LÄN</t>
        </is>
      </c>
      <c r="G486" t="inlineStr">
        <is>
          <t>SANDVIKEN</t>
        </is>
      </c>
      <c r="H486" t="inlineStr">
        <is>
          <t>Övriga statliga verk och myndigheter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46311</v>
      </c>
      <c r="F487" t="inlineStr">
        <is>
          <t>GÄVLEBORGS LÄN</t>
        </is>
      </c>
      <c r="G487" t="inlineStr">
        <is>
          <t>SANDVIKEN</t>
        </is>
      </c>
      <c r="H487" t="inlineStr">
        <is>
          <t>Övriga statliga verk och myndigheter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44586</v>
      </c>
      <c r="E488" s="1" t="n">
        <v>46311</v>
      </c>
      <c r="F488" t="inlineStr">
        <is>
          <t>GÄVLEBORGS LÄN</t>
        </is>
      </c>
      <c r="G488" t="inlineStr">
        <is>
          <t>SANDVIKEN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46311</v>
      </c>
      <c r="F489" t="inlineStr">
        <is>
          <t>GÄVLEBORGS LÄN</t>
        </is>
      </c>
      <c r="G489" t="inlineStr">
        <is>
          <t>SANDVIKEN</t>
        </is>
      </c>
      <c r="I489" t="n">
        <v>14.2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46311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64801-2023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45282</v>
      </c>
      <c r="E491" s="1" t="n">
        <v>46311</v>
      </c>
      <c r="F491" t="inlineStr">
        <is>
          <t>GÄVLEBORGS LÄN</t>
        </is>
      </c>
      <c r="G491" t="inlineStr">
        <is>
          <t>SANDVIKEN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46311</v>
      </c>
      <c r="F492" t="inlineStr">
        <is>
          <t>GÄVLEBORGS LÄN</t>
        </is>
      </c>
      <c r="G492" t="inlineStr">
        <is>
          <t>SANDVIKEN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46311</v>
      </c>
      <c r="F493" t="inlineStr">
        <is>
          <t>GÄVLEBORGS LÄN</t>
        </is>
      </c>
      <c r="G493" t="inlineStr">
        <is>
          <t>SANDVIKEN</t>
        </is>
      </c>
      <c r="H493" t="inlineStr">
        <is>
          <t>Övriga statliga verk och myndigheter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46321-2025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46311</v>
      </c>
      <c r="F494" t="inlineStr">
        <is>
          <t>GÄVLEBORGS LÄN</t>
        </is>
      </c>
      <c r="G494" t="inlineStr">
        <is>
          <t>SANDVIKEN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46311</v>
      </c>
      <c r="F495" t="inlineStr">
        <is>
          <t>GÄVLEBORGS LÄN</t>
        </is>
      </c>
      <c r="G495" t="inlineStr">
        <is>
          <t>SANDVIKEN</t>
        </is>
      </c>
      <c r="H495" t="inlineStr">
        <is>
          <t>Övriga statliga verk och myndigheter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46311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46311</v>
      </c>
      <c r="F497" t="inlineStr">
        <is>
          <t>GÄVLEBORGS LÄN</t>
        </is>
      </c>
      <c r="G497" t="inlineStr">
        <is>
          <t>SANDVIKEN</t>
        </is>
      </c>
      <c r="H497" t="inlineStr">
        <is>
          <t>Övriga statliga verk och myndigheter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45265</v>
      </c>
      <c r="E498" s="1" t="n">
        <v>46311</v>
      </c>
      <c r="F498" t="inlineStr">
        <is>
          <t>GÄVLEBORGS LÄN</t>
        </is>
      </c>
      <c r="G498" t="inlineStr">
        <is>
          <t>SANDVIKEN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46618-2025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46311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45925</v>
      </c>
      <c r="E500" s="1" t="n">
        <v>46311</v>
      </c>
      <c r="F500" t="inlineStr">
        <is>
          <t>GÄVLEBORGS LÄN</t>
        </is>
      </c>
      <c r="G500" t="inlineStr">
        <is>
          <t>SANDVIKEN</t>
        </is>
      </c>
      <c r="I500" t="n">
        <v>10.3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46165</v>
      </c>
      <c r="E501" s="1" t="n">
        <v>46311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46165</v>
      </c>
      <c r="E502" s="1" t="n">
        <v>46311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46311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46311</v>
      </c>
      <c r="F504" t="inlineStr">
        <is>
          <t>GÄVLEBORGS LÄN</t>
        </is>
      </c>
      <c r="G504" t="inlineStr">
        <is>
          <t>SANDVIKEN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46311</v>
      </c>
      <c r="F505" t="inlineStr">
        <is>
          <t>GÄVLEBORGS LÄN</t>
        </is>
      </c>
      <c r="G505" t="inlineStr">
        <is>
          <t>SANDVIKEN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46165</v>
      </c>
      <c r="E506" s="1" t="n">
        <v>46311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45293</v>
      </c>
      <c r="E507" s="1" t="n">
        <v>46311</v>
      </c>
      <c r="F507" t="inlineStr">
        <is>
          <t>GÄVLEBORGS LÄN</t>
        </is>
      </c>
      <c r="G507" t="inlineStr">
        <is>
          <t>SANDVIKEN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45293</v>
      </c>
      <c r="E508" s="1" t="n">
        <v>46311</v>
      </c>
      <c r="F508" t="inlineStr">
        <is>
          <t>GÄVLEBORGS LÄN</t>
        </is>
      </c>
      <c r="G508" t="inlineStr">
        <is>
          <t>SANDVIKEN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23821-2026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46165</v>
      </c>
      <c r="E509" s="1" t="n">
        <v>46311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46311</v>
      </c>
      <c r="F510" t="inlineStr">
        <is>
          <t>GÄVLEBORGS LÄN</t>
        </is>
      </c>
      <c r="G510" t="inlineStr">
        <is>
          <t>SANDVIKEN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46311</v>
      </c>
      <c r="F511" t="inlineStr">
        <is>
          <t>GÄVLEBORGS LÄN</t>
        </is>
      </c>
      <c r="G511" t="inlineStr">
        <is>
          <t>SANDVIKEN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46311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24303-2026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46169</v>
      </c>
      <c r="E513" s="1" t="n">
        <v>46311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45660</v>
      </c>
      <c r="E514" s="1" t="n">
        <v>46311</v>
      </c>
      <c r="F514" t="inlineStr">
        <is>
          <t>GÄVLEBORGS LÄN</t>
        </is>
      </c>
      <c r="G514" t="inlineStr">
        <is>
          <t>SANDVIKEN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46311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46169</v>
      </c>
      <c r="E516" s="1" t="n">
        <v>46311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46169</v>
      </c>
      <c r="E517" s="1" t="n">
        <v>46311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46311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45540</v>
      </c>
      <c r="E519" s="1" t="n">
        <v>46311</v>
      </c>
      <c r="F519" t="inlineStr">
        <is>
          <t>GÄVLEBORGS LÄN</t>
        </is>
      </c>
      <c r="G519" t="inlineStr">
        <is>
          <t>SANDVIKEN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46311</v>
      </c>
      <c r="F520" t="inlineStr">
        <is>
          <t>GÄVLEBORGS LÄN</t>
        </is>
      </c>
      <c r="G520" t="inlineStr">
        <is>
          <t>SANDVIKEN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46311</v>
      </c>
      <c r="F521" t="inlineStr">
        <is>
          <t>GÄVLEBORGS LÄN</t>
        </is>
      </c>
      <c r="G521" t="inlineStr">
        <is>
          <t>SANDVIKEN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46311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47770-2025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45931</v>
      </c>
      <c r="E523" s="1" t="n">
        <v>46311</v>
      </c>
      <c r="F523" t="inlineStr">
        <is>
          <t>GÄVLEBORGS LÄN</t>
        </is>
      </c>
      <c r="G523" t="inlineStr">
        <is>
          <t>SANDVIKEN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46311</v>
      </c>
      <c r="F524" t="inlineStr">
        <is>
          <t>GÄVLEBORGS LÄN</t>
        </is>
      </c>
      <c r="G524" t="inlineStr">
        <is>
          <t>SANDVIKEN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46311</v>
      </c>
      <c r="F525" t="inlineStr">
        <is>
          <t>GÄVLEBORGS LÄN</t>
        </is>
      </c>
      <c r="G525" t="inlineStr">
        <is>
          <t>SANDVIKEN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60798-2023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46311</v>
      </c>
      <c r="F526" t="inlineStr">
        <is>
          <t>GÄVLEBORGS LÄN</t>
        </is>
      </c>
      <c r="G526" t="inlineStr">
        <is>
          <t>SANDVIKEN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71995-2021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44544</v>
      </c>
      <c r="E527" s="1" t="n">
        <v>46311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46311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46311</v>
      </c>
      <c r="F529" t="inlineStr">
        <is>
          <t>GÄVLEBORGS LÄN</t>
        </is>
      </c>
      <c r="G529" t="inlineStr">
        <is>
          <t>SANDVIKEN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46311</v>
      </c>
      <c r="F530" t="inlineStr">
        <is>
          <t>GÄVLEBORGS LÄN</t>
        </is>
      </c>
      <c r="G530" t="inlineStr">
        <is>
          <t>SANDVIKEN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46069</v>
      </c>
      <c r="E531" s="1" t="n">
        <v>46311</v>
      </c>
      <c r="F531" t="inlineStr">
        <is>
          <t>GÄVLEBORGS LÄN</t>
        </is>
      </c>
      <c r="G531" t="inlineStr">
        <is>
          <t>SANDVIKEN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11438-2023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44988</v>
      </c>
      <c r="E532" s="1" t="n">
        <v>46311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44988</v>
      </c>
      <c r="E533" s="1" t="n">
        <v>46311</v>
      </c>
      <c r="F533" t="inlineStr">
        <is>
          <t>GÄVLEBORGS LÄN</t>
        </is>
      </c>
      <c r="G533" t="inlineStr">
        <is>
          <t>SANDVIKEN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46311</v>
      </c>
      <c r="F534" t="inlineStr">
        <is>
          <t>GÄVLEBORGS LÄN</t>
        </is>
      </c>
      <c r="G534" t="inlineStr">
        <is>
          <t>SANDVIKEN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48263-2025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46311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11.9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46311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46311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46311</v>
      </c>
      <c r="F538" t="inlineStr">
        <is>
          <t>GÄVLEBORGS LÄN</t>
        </is>
      </c>
      <c r="G538" t="inlineStr">
        <is>
          <t>SANDVIKEN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45022</v>
      </c>
      <c r="E539" s="1" t="n">
        <v>46311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väst AB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25842-2026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46311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45374</v>
      </c>
      <c r="E541" s="1" t="n">
        <v>46311</v>
      </c>
      <c r="F541" t="inlineStr">
        <is>
          <t>GÄVLEBORGS LÄN</t>
        </is>
      </c>
      <c r="G541" t="inlineStr">
        <is>
          <t>SANDVIKEN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45376</v>
      </c>
      <c r="E542" s="1" t="n">
        <v>46311</v>
      </c>
      <c r="F542" t="inlineStr">
        <is>
          <t>GÄVLEBORGS LÄN</t>
        </is>
      </c>
      <c r="G542" t="inlineStr">
        <is>
          <t>SANDVIKEN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45933</v>
      </c>
      <c r="E543" s="1" t="n">
        <v>46311</v>
      </c>
      <c r="F543" t="inlineStr">
        <is>
          <t>GÄVLEBORGS LÄN</t>
        </is>
      </c>
      <c r="G543" t="inlineStr">
        <is>
          <t>SANDVIKEN</t>
        </is>
      </c>
      <c r="H543" t="inlineStr">
        <is>
          <t>Sveaskog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48268-2025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45933</v>
      </c>
      <c r="E544" s="1" t="n">
        <v>46311</v>
      </c>
      <c r="F544" t="inlineStr">
        <is>
          <t>GÄVLEBORGS LÄN</t>
        </is>
      </c>
      <c r="G544" t="inlineStr">
        <is>
          <t>SANDVIKEN</t>
        </is>
      </c>
      <c r="H544" t="inlineStr">
        <is>
          <t>Sveaskog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42069-2024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45562</v>
      </c>
      <c r="E545" s="1" t="n">
        <v>46311</v>
      </c>
      <c r="F545" t="inlineStr">
        <is>
          <t>GÄVLEBORGS LÄN</t>
        </is>
      </c>
      <c r="G545" t="inlineStr">
        <is>
          <t>SANDVIKEN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45271</v>
      </c>
      <c r="E546" s="1" t="n">
        <v>46311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45936</v>
      </c>
      <c r="E547" s="1" t="n">
        <v>46311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väst AB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25691-2026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46311</v>
      </c>
      <c r="F548" t="inlineStr">
        <is>
          <t>GÄVLEBORGS LÄN</t>
        </is>
      </c>
      <c r="G548" t="inlineStr">
        <is>
          <t>SANDVIKEN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45070</v>
      </c>
      <c r="E549" s="1" t="n">
        <v>46311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45937</v>
      </c>
      <c r="E550" s="1" t="n">
        <v>46311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45075</v>
      </c>
      <c r="E551" s="1" t="n">
        <v>46311</v>
      </c>
      <c r="F551" t="inlineStr">
        <is>
          <t>GÄVLEBORGS LÄN</t>
        </is>
      </c>
      <c r="G551" t="inlineStr">
        <is>
          <t>SANDVIKEN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46311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49042-2025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45937</v>
      </c>
      <c r="E553" s="1" t="n">
        <v>46311</v>
      </c>
      <c r="F553" t="inlineStr">
        <is>
          <t>GÄVLEBORGS LÄN</t>
        </is>
      </c>
      <c r="G553" t="inlineStr">
        <is>
          <t>SANDVIKEN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46311</v>
      </c>
      <c r="F554" t="inlineStr">
        <is>
          <t>GÄVLEBORGS LÄN</t>
        </is>
      </c>
      <c r="G554" t="inlineStr">
        <is>
          <t>SANDVIKEN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46311</v>
      </c>
      <c r="F555" t="inlineStr">
        <is>
          <t>GÄVLEBORGS LÄN</t>
        </is>
      </c>
      <c r="G555" t="inlineStr">
        <is>
          <t>SANDVIKEN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46311</v>
      </c>
      <c r="F556" t="inlineStr">
        <is>
          <t>GÄVLEBORGS LÄN</t>
        </is>
      </c>
      <c r="G556" t="inlineStr">
        <is>
          <t>SANDVIKEN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49217-2025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45938</v>
      </c>
      <c r="E557" s="1" t="n">
        <v>46311</v>
      </c>
      <c r="F557" t="inlineStr">
        <is>
          <t>GÄVLEBORGS LÄN</t>
        </is>
      </c>
      <c r="G557" t="inlineStr">
        <is>
          <t>SANDVIKEN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46311</v>
      </c>
      <c r="F558" t="inlineStr">
        <is>
          <t>GÄVLEBORGS LÄN</t>
        </is>
      </c>
      <c r="G558" t="inlineStr">
        <is>
          <t>SANDVIKEN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36833-2022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44805</v>
      </c>
      <c r="E559" s="1" t="n">
        <v>46311</v>
      </c>
      <c r="F559" t="inlineStr">
        <is>
          <t>GÄVLEBORGS LÄN</t>
        </is>
      </c>
      <c r="G559" t="inlineStr">
        <is>
          <t>SANDVIKEN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46311</v>
      </c>
      <c r="F560" t="inlineStr">
        <is>
          <t>GÄVLEBORGS LÄN</t>
        </is>
      </c>
      <c r="G560" t="inlineStr">
        <is>
          <t>SANDVIKEN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46311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49320-2025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45938</v>
      </c>
      <c r="E562" s="1" t="n">
        <v>46311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44656</v>
      </c>
      <c r="E563" s="1" t="n">
        <v>46311</v>
      </c>
      <c r="F563" t="inlineStr">
        <is>
          <t>GÄVLEBORGS LÄN</t>
        </is>
      </c>
      <c r="G563" t="inlineStr">
        <is>
          <t>SANDVIKEN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46311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45404</v>
      </c>
      <c r="E565" s="1" t="n">
        <v>46311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45938</v>
      </c>
      <c r="E566" s="1" t="n">
        <v>46311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49454-2025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45939</v>
      </c>
      <c r="E567" s="1" t="n">
        <v>46311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46311</v>
      </c>
      <c r="F568" t="inlineStr">
        <is>
          <t>GÄVLEBORGS LÄN</t>
        </is>
      </c>
      <c r="G568" t="inlineStr">
        <is>
          <t>SANDVIKEN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46311</v>
      </c>
      <c r="F569" t="inlineStr">
        <is>
          <t>GÄVLEBORGS LÄN</t>
        </is>
      </c>
      <c r="G569" t="inlineStr">
        <is>
          <t>SANDVIKEN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23217-2023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45075</v>
      </c>
      <c r="E570" s="1" t="n">
        <v>46311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56150-2023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45240</v>
      </c>
      <c r="E571" s="1" t="n">
        <v>46311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46311</v>
      </c>
      <c r="F572" t="inlineStr">
        <is>
          <t>GÄVLEBORGS LÄN</t>
        </is>
      </c>
      <c r="G572" t="inlineStr">
        <is>
          <t>SANDVIKEN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39566-2022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44818</v>
      </c>
      <c r="E573" s="1" t="n">
        <v>46311</v>
      </c>
      <c r="F573" t="inlineStr">
        <is>
          <t>GÄVLEBORGS LÄN</t>
        </is>
      </c>
      <c r="G573" t="inlineStr">
        <is>
          <t>SANDVIKEN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46311</v>
      </c>
      <c r="F574" t="inlineStr">
        <is>
          <t>GÄVLEBORGS LÄN</t>
        </is>
      </c>
      <c r="G574" t="inlineStr">
        <is>
          <t>SANDVIKEN</t>
        </is>
      </c>
      <c r="H574" t="inlineStr">
        <is>
          <t>Sveaskog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46311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26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46196</v>
      </c>
      <c r="E576" s="1" t="n">
        <v>46311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50012-2025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46311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16.6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46311</v>
      </c>
      <c r="F578" t="inlineStr">
        <is>
          <t>GÄVLEBORGS LÄN</t>
        </is>
      </c>
      <c r="G578" t="inlineStr">
        <is>
          <t>SANDVIKEN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46196</v>
      </c>
      <c r="E579" s="1" t="n">
        <v>46311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45930</v>
      </c>
      <c r="E580" s="1" t="n">
        <v>46311</v>
      </c>
      <c r="F580" t="inlineStr">
        <is>
          <t>GÄVLEBORGS LÄN</t>
        </is>
      </c>
      <c r="G580" t="inlineStr">
        <is>
          <t>SANDVIKEN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45930</v>
      </c>
      <c r="E581" s="1" t="n">
        <v>46311</v>
      </c>
      <c r="F581" t="inlineStr">
        <is>
          <t>GÄVLEBORGS LÄN</t>
        </is>
      </c>
      <c r="G581" t="inlineStr">
        <is>
          <t>SANDVIKEN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50665-2025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45945</v>
      </c>
      <c r="E582" s="1" t="n">
        <v>46311</v>
      </c>
      <c r="F582" t="inlineStr">
        <is>
          <t>GÄVLEBORGS LÄN</t>
        </is>
      </c>
      <c r="G582" t="inlineStr">
        <is>
          <t>SANDVIKEN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31317-2023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46311</v>
      </c>
      <c r="F583" t="inlineStr">
        <is>
          <t>GÄVLEBORGS LÄN</t>
        </is>
      </c>
      <c r="G583" t="inlineStr">
        <is>
          <t>SANDVIKEN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29115-2026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46201</v>
      </c>
      <c r="E584" s="1" t="n">
        <v>46311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12417-2025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45730</v>
      </c>
      <c r="E585" s="1" t="n">
        <v>46311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45730</v>
      </c>
      <c r="E586" s="1" t="n">
        <v>46311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50833-2025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45946</v>
      </c>
      <c r="E587" s="1" t="n">
        <v>46311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45320</v>
      </c>
      <c r="E588" s="1" t="n">
        <v>46311</v>
      </c>
      <c r="F588" t="inlineStr">
        <is>
          <t>GÄVLEBORGS LÄN</t>
        </is>
      </c>
      <c r="G588" t="inlineStr">
        <is>
          <t>SANDVIKEN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46311</v>
      </c>
      <c r="F589" t="inlineStr">
        <is>
          <t>GÄVLEBORGS LÄN</t>
        </is>
      </c>
      <c r="G589" t="inlineStr">
        <is>
          <t>SANDVIKEN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46311</v>
      </c>
      <c r="F590" t="inlineStr">
        <is>
          <t>GÄVLEBORGS LÄN</t>
        </is>
      </c>
      <c r="G590" t="inlineStr">
        <is>
          <t>SANDVIKEN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45668</v>
      </c>
      <c r="E591" s="1" t="n">
        <v>46311</v>
      </c>
      <c r="F591" t="inlineStr">
        <is>
          <t>GÄVLEBORGS LÄN</t>
        </is>
      </c>
      <c r="G591" t="inlineStr">
        <is>
          <t>SANDVIKEN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62459-2023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45268</v>
      </c>
      <c r="E592" s="1" t="n">
        <v>46311</v>
      </c>
      <c r="F592" t="inlineStr">
        <is>
          <t>GÄVLEBORGS LÄN</t>
        </is>
      </c>
      <c r="G592" t="inlineStr">
        <is>
          <t>SANDVIKEN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45063</v>
      </c>
      <c r="E593" s="1" t="n">
        <v>46311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50851-2025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45946</v>
      </c>
      <c r="E594" s="1" t="n">
        <v>46311</v>
      </c>
      <c r="F594" t="inlineStr">
        <is>
          <t>GÄVLEBORGS LÄN</t>
        </is>
      </c>
      <c r="G594" t="inlineStr">
        <is>
          <t>SANDVIKEN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45945</v>
      </c>
      <c r="E595" s="1" t="n">
        <v>46311</v>
      </c>
      <c r="F595" t="inlineStr">
        <is>
          <t>GÄVLEBORGS LÄN</t>
        </is>
      </c>
      <c r="G595" t="inlineStr">
        <is>
          <t>SANDVIKEN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46203</v>
      </c>
      <c r="E596" s="1" t="n">
        <v>46311</v>
      </c>
      <c r="F596" t="inlineStr">
        <is>
          <t>GÄVLEBORGS LÄN</t>
        </is>
      </c>
      <c r="G596" t="inlineStr">
        <is>
          <t>SANDVIKEN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46311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46311</v>
      </c>
      <c r="F598" t="inlineStr">
        <is>
          <t>GÄVLEBORGS LÄN</t>
        </is>
      </c>
      <c r="G598" t="inlineStr">
        <is>
          <t>SANDVIKEN</t>
        </is>
      </c>
      <c r="H598" t="inlineStr">
        <is>
          <t>Naturvårdsverket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29620-2026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46311</v>
      </c>
      <c r="F599" t="inlineStr">
        <is>
          <t>GÄVLEBORGS LÄN</t>
        </is>
      </c>
      <c r="G599" t="inlineStr">
        <is>
          <t>SANDVIKEN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46205</v>
      </c>
      <c r="E600" s="1" t="n">
        <v>46311</v>
      </c>
      <c r="F600" t="inlineStr">
        <is>
          <t>GÄVLEBORGS LÄN</t>
        </is>
      </c>
      <c r="G600" t="inlineStr">
        <is>
          <t>SANDVIKEN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46311</v>
      </c>
      <c r="F601" t="inlineStr">
        <is>
          <t>GÄVLEBORGS LÄN</t>
        </is>
      </c>
      <c r="G601" t="inlineStr">
        <is>
          <t>SANDVIKEN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46311</v>
      </c>
      <c r="F602" t="inlineStr">
        <is>
          <t>GÄVLEBORGS LÄN</t>
        </is>
      </c>
      <c r="G602" t="inlineStr">
        <is>
          <t>SANDVIKEN</t>
        </is>
      </c>
      <c r="H602" t="inlineStr">
        <is>
          <t>Naturvårdsverket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29833-2026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46205</v>
      </c>
      <c r="E603" s="1" t="n">
        <v>46311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4498-2024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45327</v>
      </c>
      <c r="E604" s="1" t="n">
        <v>46311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46311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46311</v>
      </c>
      <c r="F606" t="inlineStr">
        <is>
          <t>GÄVLEBORGS LÄN</t>
        </is>
      </c>
      <c r="G606" t="inlineStr">
        <is>
          <t>SANDVIKEN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25498-2026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46311</v>
      </c>
      <c r="F607" t="inlineStr">
        <is>
          <t>GÄVLEBORGS LÄN</t>
        </is>
      </c>
      <c r="G607" t="inlineStr">
        <is>
          <t>SANDVIKEN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28897-2024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45480</v>
      </c>
      <c r="E608" s="1" t="n">
        <v>46311</v>
      </c>
      <c r="F608" t="inlineStr">
        <is>
          <t>GÄVLEBORGS LÄN</t>
        </is>
      </c>
      <c r="G608" t="inlineStr">
        <is>
          <t>SANDVIKEN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46311</v>
      </c>
      <c r="F609" t="inlineStr">
        <is>
          <t>GÄVLEBORGS LÄN</t>
        </is>
      </c>
      <c r="G609" t="inlineStr">
        <is>
          <t>SANDVIKEN</t>
        </is>
      </c>
      <c r="I609" t="n">
        <v>10.2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45957</v>
      </c>
      <c r="E610" s="1" t="n">
        <v>46311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  <c r="Z610">
        <f>HYPERLINK("https://klasma.github.io/Logging_2181/knärot/A 52786-2025 karta knärot.png", "A 52786-2025")</f>
        <v/>
      </c>
      <c r="AA610">
        <f>HYPERLINK("https://klasma.github.io/Logging_2181/klagomål/A 52786-2025 FSC-klagomål.docx", "A 52786-2025")</f>
        <v/>
      </c>
      <c r="AB610">
        <f>HYPERLINK("https://klasma.github.io/Logging_2181/klagomålsmail/A 52786-2025 FSC-klagomål mail.docx", "A 52786-2025")</f>
        <v/>
      </c>
      <c r="AC610">
        <f>HYPERLINK("https://klasma.github.io/Logging_2181/tillsyn/A 52786-2025 tillsynsbegäran.docx", "A 52786-2025")</f>
        <v/>
      </c>
      <c r="AD610">
        <f>HYPERLINK("https://klasma.github.io/Logging_2181/tillsynsmail/A 52786-2025 tillsynsbegäran mail.docx", "A 52786-2025")</f>
        <v/>
      </c>
    </row>
    <row r="611" ht="15" customHeight="1">
      <c r="A611" t="inlineStr">
        <is>
          <t>A 17498-2024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45415</v>
      </c>
      <c r="E611" s="1" t="n">
        <v>46311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38428-2023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46311</v>
      </c>
      <c r="F612" t="inlineStr">
        <is>
          <t>GÄVLEBORGS LÄN</t>
        </is>
      </c>
      <c r="G612" t="inlineStr">
        <is>
          <t>SANDVIKEN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46311</v>
      </c>
      <c r="F613" t="inlineStr">
        <is>
          <t>GÄVLEBORGS LÄN</t>
        </is>
      </c>
      <c r="G613" t="inlineStr">
        <is>
          <t>SANDVIKEN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45162</v>
      </c>
      <c r="E614" s="1" t="n">
        <v>46311</v>
      </c>
      <c r="F614" t="inlineStr">
        <is>
          <t>GÄVLEBORGS LÄN</t>
        </is>
      </c>
      <c r="G614" t="inlineStr">
        <is>
          <t>SANDVIKEN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45331-2024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45576</v>
      </c>
      <c r="E615" s="1" t="n">
        <v>46311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31314-2026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46219</v>
      </c>
      <c r="E616" s="1" t="n">
        <v>46311</v>
      </c>
      <c r="F616" t="inlineStr">
        <is>
          <t>GÄVLEBORGS LÄN</t>
        </is>
      </c>
      <c r="G616" t="inlineStr">
        <is>
          <t>SANDVIKEN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25357-2023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45087</v>
      </c>
      <c r="E617" s="1" t="n">
        <v>46311</v>
      </c>
      <c r="F617" t="inlineStr">
        <is>
          <t>GÄVLEBORGS LÄN</t>
        </is>
      </c>
      <c r="G617" t="inlineStr">
        <is>
          <t>SANDVIKEN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46311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45169</v>
      </c>
      <c r="E619" s="1" t="n">
        <v>46311</v>
      </c>
      <c r="F619" t="inlineStr">
        <is>
          <t>GÄVLEBORGS LÄN</t>
        </is>
      </c>
      <c r="G619" t="inlineStr">
        <is>
          <t>SANDVIKEN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46227</v>
      </c>
      <c r="E620" s="1" t="n">
        <v>46311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49704-2023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45212</v>
      </c>
      <c r="E621" s="1" t="n">
        <v>46311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46311</v>
      </c>
      <c r="F622" t="inlineStr">
        <is>
          <t>GÄVLEBORGS LÄN</t>
        </is>
      </c>
      <c r="G622" t="inlineStr">
        <is>
          <t>SANDVIKEN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37643-2024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46311</v>
      </c>
      <c r="F623" t="inlineStr">
        <is>
          <t>GÄVLEBORGS LÄN</t>
        </is>
      </c>
      <c r="G623" t="inlineStr">
        <is>
          <t>SANDVIKEN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46230</v>
      </c>
      <c r="E624" s="1" t="n">
        <v>46311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46311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11.2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35185-2022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44797</v>
      </c>
      <c r="E626" s="1" t="n">
        <v>46311</v>
      </c>
      <c r="F626" t="inlineStr">
        <is>
          <t>GÄVLEBORGS LÄN</t>
        </is>
      </c>
      <c r="G626" t="inlineStr">
        <is>
          <t>SANDVIKEN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11385-2023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44988</v>
      </c>
      <c r="E627" s="1" t="n">
        <v>46311</v>
      </c>
      <c r="F627" t="inlineStr">
        <is>
          <t>GÄVLEBORGS LÄN</t>
        </is>
      </c>
      <c r="G627" t="inlineStr">
        <is>
          <t>SANDVIKEN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55099-2025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45968</v>
      </c>
      <c r="E628" s="1" t="n">
        <v>46311</v>
      </c>
      <c r="F628" t="inlineStr">
        <is>
          <t>GÄVLEBORGS LÄN</t>
        </is>
      </c>
      <c r="G628" t="inlineStr">
        <is>
          <t>SANDVIKEN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46311</v>
      </c>
      <c r="F629" t="inlineStr">
        <is>
          <t>GÄVLEBORGS LÄN</t>
        </is>
      </c>
      <c r="G629" t="inlineStr">
        <is>
          <t>SANDVIKEN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37455-2026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46275</v>
      </c>
      <c r="E630" s="1" t="n">
        <v>46311</v>
      </c>
      <c r="F630" t="inlineStr">
        <is>
          <t>GÄVLEBORGS LÄN</t>
        </is>
      </c>
      <c r="G630" t="inlineStr">
        <is>
          <t>SANDVIKEN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58916-2023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45252</v>
      </c>
      <c r="E631" s="1" t="n">
        <v>46311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64112-2023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45279</v>
      </c>
      <c r="E632" s="1" t="n">
        <v>46311</v>
      </c>
      <c r="F632" t="inlineStr">
        <is>
          <t>GÄVLEBORGS LÄN</t>
        </is>
      </c>
      <c r="G632" t="inlineStr">
        <is>
          <t>SANDVIKEN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58797-2024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45636</v>
      </c>
      <c r="E633" s="1" t="n">
        <v>46311</v>
      </c>
      <c r="F633" t="inlineStr">
        <is>
          <t>GÄVLEBORGS LÄN</t>
        </is>
      </c>
      <c r="G633" t="inlineStr">
        <is>
          <t>SANDVIKEN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55595-2025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45971</v>
      </c>
      <c r="E634" s="1" t="n">
        <v>46311</v>
      </c>
      <c r="F634" t="inlineStr">
        <is>
          <t>GÄVLEBORGS LÄN</t>
        </is>
      </c>
      <c r="G634" t="inlineStr">
        <is>
          <t>SANDVIKEN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7886-2026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46063</v>
      </c>
      <c r="E635" s="1" t="n">
        <v>46311</v>
      </c>
      <c r="F635" t="inlineStr">
        <is>
          <t>GÄVLEBORGS LÄN</t>
        </is>
      </c>
      <c r="G635" t="inlineStr">
        <is>
          <t>SANDVIKEN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38047-2026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46280</v>
      </c>
      <c r="E636" s="1" t="n">
        <v>46311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37741-2023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46311</v>
      </c>
      <c r="F637" t="inlineStr">
        <is>
          <t>GÄVLEBORGS LÄN</t>
        </is>
      </c>
      <c r="G637" t="inlineStr">
        <is>
          <t>SANDVIKEN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55607-2025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45971</v>
      </c>
      <c r="E638" s="1" t="n">
        <v>46311</v>
      </c>
      <c r="F638" t="inlineStr">
        <is>
          <t>GÄVLEBORGS LÄN</t>
        </is>
      </c>
      <c r="G638" t="inlineStr">
        <is>
          <t>SANDVIKEN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55355-2025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45971</v>
      </c>
      <c r="E639" s="1" t="n">
        <v>46311</v>
      </c>
      <c r="F639" t="inlineStr">
        <is>
          <t>GÄVLEBORGS LÄN</t>
        </is>
      </c>
      <c r="G639" t="inlineStr">
        <is>
          <t>SANDVIKEN</t>
        </is>
      </c>
      <c r="H639" t="inlineStr">
        <is>
          <t>Sveaskog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43121-2024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45567</v>
      </c>
      <c r="E640" s="1" t="n">
        <v>46311</v>
      </c>
      <c r="F640" t="inlineStr">
        <is>
          <t>GÄVLEBORGS LÄN</t>
        </is>
      </c>
      <c r="G640" t="inlineStr">
        <is>
          <t>SANDVIKEN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22042-2023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45069</v>
      </c>
      <c r="E641" s="1" t="n">
        <v>46311</v>
      </c>
      <c r="F641" t="inlineStr">
        <is>
          <t>GÄVLEBORGS LÄN</t>
        </is>
      </c>
      <c r="G641" t="inlineStr">
        <is>
          <t>SANDVIKEN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46482-2023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45197</v>
      </c>
      <c r="E642" s="1" t="n">
        <v>46311</v>
      </c>
      <c r="F642" t="inlineStr">
        <is>
          <t>GÄVLEBORGS LÄN</t>
        </is>
      </c>
      <c r="G642" t="inlineStr">
        <is>
          <t>SANDVIKEN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56755-2025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45978</v>
      </c>
      <c r="E643" s="1" t="n">
        <v>46311</v>
      </c>
      <c r="F643" t="inlineStr">
        <is>
          <t>GÄVLEBORGS LÄN</t>
        </is>
      </c>
      <c r="G643" t="inlineStr">
        <is>
          <t>SANDVIKEN</t>
        </is>
      </c>
      <c r="I643" t="n">
        <v>10.4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29661-2026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46311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56587-2025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45975</v>
      </c>
      <c r="E645" s="1" t="n">
        <v>46311</v>
      </c>
      <c r="F645" t="inlineStr">
        <is>
          <t>GÄVLEBORGS LÄN</t>
        </is>
      </c>
      <c r="G645" t="inlineStr">
        <is>
          <t>SANDVIKEN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37367-2024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45540</v>
      </c>
      <c r="E646" s="1" t="n">
        <v>46311</v>
      </c>
      <c r="F646" t="inlineStr">
        <is>
          <t>GÄVLEBORGS LÄN</t>
        </is>
      </c>
      <c r="G646" t="inlineStr">
        <is>
          <t>SANDVIKEN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56703-2025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45977</v>
      </c>
      <c r="E647" s="1" t="n">
        <v>46311</v>
      </c>
      <c r="F647" t="inlineStr">
        <is>
          <t>GÄVLEBORGS LÄN</t>
        </is>
      </c>
      <c r="G647" t="inlineStr">
        <is>
          <t>SANDVIKEN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57261-2025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45979</v>
      </c>
      <c r="E648" s="1" t="n">
        <v>46311</v>
      </c>
      <c r="F648" t="inlineStr">
        <is>
          <t>GÄVLEBORGS LÄN</t>
        </is>
      </c>
      <c r="G648" t="inlineStr">
        <is>
          <t>SANDVIKEN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29972-2022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44756</v>
      </c>
      <c r="E649" s="1" t="n">
        <v>46311</v>
      </c>
      <c r="F649" t="inlineStr">
        <is>
          <t>GÄVLEBORGS LÄN</t>
        </is>
      </c>
      <c r="G649" t="inlineStr">
        <is>
          <t>SANDVIKEN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45284-2023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45191</v>
      </c>
      <c r="E650" s="1" t="n">
        <v>46311</v>
      </c>
      <c r="F650" t="inlineStr">
        <is>
          <t>GÄVLEBORGS LÄN</t>
        </is>
      </c>
      <c r="G650" t="inlineStr">
        <is>
          <t>SANDVIKEN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44918</v>
      </c>
      <c r="E651" s="1" t="n">
        <v>46311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46311</v>
      </c>
      <c r="F652" t="inlineStr">
        <is>
          <t>GÄVLEBORGS LÄN</t>
        </is>
      </c>
      <c r="G652" t="inlineStr">
        <is>
          <t>SANDVIKEN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39393-2026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46288</v>
      </c>
      <c r="E653" s="1" t="n">
        <v>46311</v>
      </c>
      <c r="F653" t="inlineStr">
        <is>
          <t>GÄVLEBORGS LÄN</t>
        </is>
      </c>
      <c r="G653" t="inlineStr">
        <is>
          <t>SANDVIKEN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45667</v>
      </c>
      <c r="E654" s="1" t="n">
        <v>46311</v>
      </c>
      <c r="F654" t="inlineStr">
        <is>
          <t>GÄVLEBORGS LÄN</t>
        </is>
      </c>
      <c r="G654" t="inlineStr">
        <is>
          <t>SANDVIKEN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39396-2026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46288</v>
      </c>
      <c r="E655" s="1" t="n">
        <v>46311</v>
      </c>
      <c r="F655" t="inlineStr">
        <is>
          <t>GÄVLEBORGS LÄN</t>
        </is>
      </c>
      <c r="G655" t="inlineStr">
        <is>
          <t>SANDVIKEN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39157-2026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46287</v>
      </c>
      <c r="E656" s="1" t="n">
        <v>46311</v>
      </c>
      <c r="F656" t="inlineStr">
        <is>
          <t>GÄVLEBORGS LÄN</t>
        </is>
      </c>
      <c r="G656" t="inlineStr">
        <is>
          <t>SANDVIKEN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10895-2025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45722</v>
      </c>
      <c r="E657" s="1" t="n">
        <v>46311</v>
      </c>
      <c r="F657" t="inlineStr">
        <is>
          <t>GÄVLEBORGS LÄN</t>
        </is>
      </c>
      <c r="G657" t="inlineStr">
        <is>
          <t>SANDVIKEN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46244</v>
      </c>
      <c r="E658" s="1" t="n">
        <v>46311</v>
      </c>
      <c r="F658" t="inlineStr">
        <is>
          <t>GÄVLEBORGS LÄN</t>
        </is>
      </c>
      <c r="G658" t="inlineStr">
        <is>
          <t>SANDVIKEN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32875-2026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46244</v>
      </c>
      <c r="E659" s="1" t="n">
        <v>46311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46287</v>
      </c>
      <c r="E660" s="1" t="n">
        <v>46311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45476</v>
      </c>
      <c r="E661" s="1" t="n">
        <v>46311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45022</v>
      </c>
      <c r="E662" s="1" t="n">
        <v>46311</v>
      </c>
      <c r="F662" t="inlineStr">
        <is>
          <t>GÄVLEBORGS LÄN</t>
        </is>
      </c>
      <c r="G662" t="inlineStr">
        <is>
          <t>SANDVIKEN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57933-2025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45981</v>
      </c>
      <c r="E663" s="1" t="n">
        <v>46311</v>
      </c>
      <c r="F663" t="inlineStr">
        <is>
          <t>GÄVLEBORGS LÄN</t>
        </is>
      </c>
      <c r="G663" t="inlineStr">
        <is>
          <t>SANDVIKEN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37996-2024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46311</v>
      </c>
      <c r="F664" t="inlineStr">
        <is>
          <t>GÄVLEBORGS LÄN</t>
        </is>
      </c>
      <c r="G664" t="inlineStr">
        <is>
          <t>SANDVIKEN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45981</v>
      </c>
      <c r="E665" s="1" t="n">
        <v>46311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33383-2026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46311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58592-2025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45986</v>
      </c>
      <c r="E667" s="1" t="n">
        <v>46311</v>
      </c>
      <c r="F667" t="inlineStr">
        <is>
          <t>GÄVLEBORGS LÄN</t>
        </is>
      </c>
      <c r="G667" t="inlineStr">
        <is>
          <t>SANDVIKEN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33310-2026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46246</v>
      </c>
      <c r="E668" s="1" t="n">
        <v>46311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61820-2024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45649</v>
      </c>
      <c r="E669" s="1" t="n">
        <v>46311</v>
      </c>
      <c r="F669" t="inlineStr">
        <is>
          <t>GÄVLEBORGS LÄN</t>
        </is>
      </c>
      <c r="G669" t="inlineStr">
        <is>
          <t>SANDVIKEN</t>
        </is>
      </c>
      <c r="I669" t="n">
        <v>11.1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58207-2025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45985</v>
      </c>
      <c r="E670" s="1" t="n">
        <v>46311</v>
      </c>
      <c r="F670" t="inlineStr">
        <is>
          <t>GÄVLEBORGS LÄN</t>
        </is>
      </c>
      <c r="G670" t="inlineStr">
        <is>
          <t>SANDVIKEN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24992-2023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45085</v>
      </c>
      <c r="E671" s="1" t="n">
        <v>46311</v>
      </c>
      <c r="F671" t="inlineStr">
        <is>
          <t>GÄVLEBORGS LÄN</t>
        </is>
      </c>
      <c r="G671" t="inlineStr">
        <is>
          <t>SANDVIKEN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58184-2025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45983</v>
      </c>
      <c r="E672" s="1" t="n">
        <v>46311</v>
      </c>
      <c r="F672" t="inlineStr">
        <is>
          <t>GÄVLEBORGS LÄN</t>
        </is>
      </c>
      <c r="G672" t="inlineStr">
        <is>
          <t>SANDVIKEN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58197-2025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45984</v>
      </c>
      <c r="E673" s="1" t="n">
        <v>46311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58199-2025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45984</v>
      </c>
      <c r="E674" s="1" t="n">
        <v>46311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58201-2025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45984</v>
      </c>
      <c r="E675" s="1" t="n">
        <v>46311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45779</v>
      </c>
      <c r="E676" s="1" t="n">
        <v>46311</v>
      </c>
      <c r="F676" t="inlineStr">
        <is>
          <t>GÄVLEBORGS LÄN</t>
        </is>
      </c>
      <c r="G676" t="inlineStr">
        <is>
          <t>SANDVIKEN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59623-2025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45992</v>
      </c>
      <c r="E677" s="1" t="n">
        <v>46311</v>
      </c>
      <c r="F677" t="inlineStr">
        <is>
          <t>GÄVLEBORGS LÄN</t>
        </is>
      </c>
      <c r="G677" t="inlineStr">
        <is>
          <t>SANDVIKEN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59755-2025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46311</v>
      </c>
      <c r="F678" t="inlineStr">
        <is>
          <t>GÄVLEBORGS LÄN</t>
        </is>
      </c>
      <c r="G678" t="inlineStr">
        <is>
          <t>SANDVIKEN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59750-2025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45992</v>
      </c>
      <c r="E679" s="1" t="n">
        <v>46311</v>
      </c>
      <c r="F679" t="inlineStr">
        <is>
          <t>GÄVLEBORGS LÄN</t>
        </is>
      </c>
      <c r="G679" t="inlineStr">
        <is>
          <t>SANDVIKEN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27533-2026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46311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59718-2025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45992</v>
      </c>
      <c r="E681" s="1" t="n">
        <v>46311</v>
      </c>
      <c r="F681" t="inlineStr">
        <is>
          <t>GÄVLEBORGS LÄN</t>
        </is>
      </c>
      <c r="G681" t="inlineStr">
        <is>
          <t>SANDVIKEN</t>
        </is>
      </c>
      <c r="I681" t="n">
        <v>10.2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37459-2024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45540</v>
      </c>
      <c r="E682" s="1" t="n">
        <v>46311</v>
      </c>
      <c r="F682" t="inlineStr">
        <is>
          <t>GÄVLEBORGS LÄN</t>
        </is>
      </c>
      <c r="G682" t="inlineStr">
        <is>
          <t>SANDVIKEN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46162</v>
      </c>
      <c r="E683" s="1" t="n">
        <v>46311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46311</v>
      </c>
      <c r="F684" t="inlineStr">
        <is>
          <t>GÄVLEBORGS LÄN</t>
        </is>
      </c>
      <c r="G684" t="inlineStr">
        <is>
          <t>SANDVIKEN</t>
        </is>
      </c>
      <c r="I684" t="n">
        <v>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46311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41284-2023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45174</v>
      </c>
      <c r="E686" s="1" t="n">
        <v>46311</v>
      </c>
      <c r="F686" t="inlineStr">
        <is>
          <t>GÄVLEBORGS LÄN</t>
        </is>
      </c>
      <c r="G686" t="inlineStr">
        <is>
          <t>SANDVIKEN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56019-2023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45240</v>
      </c>
      <c r="E687" s="1" t="n">
        <v>46311</v>
      </c>
      <c r="F687" t="inlineStr">
        <is>
          <t>GÄVLEBORGS LÄN</t>
        </is>
      </c>
      <c r="G687" t="inlineStr">
        <is>
          <t>SANDVIKEN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46311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40460-2024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45555</v>
      </c>
      <c r="E689" s="1" t="n">
        <v>46311</v>
      </c>
      <c r="F689" t="inlineStr">
        <is>
          <t>GÄVLEBORGS LÄN</t>
        </is>
      </c>
      <c r="G689" t="inlineStr">
        <is>
          <t>SANDVIKEN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45622</v>
      </c>
      <c r="E690" s="1" t="n">
        <v>46311</v>
      </c>
      <c r="F690" t="inlineStr">
        <is>
          <t>GÄVLEBORGS LÄN</t>
        </is>
      </c>
      <c r="G690" t="inlineStr">
        <is>
          <t>SANDVIKEN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48319-2023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45205</v>
      </c>
      <c r="E691" s="1" t="n">
        <v>46311</v>
      </c>
      <c r="F691" t="inlineStr">
        <is>
          <t>GÄVLEBORGS LÄN</t>
        </is>
      </c>
      <c r="G691" t="inlineStr">
        <is>
          <t>SANDVIKEN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60952-2025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45999</v>
      </c>
      <c r="E692" s="1" t="n">
        <v>46311</v>
      </c>
      <c r="F692" t="inlineStr">
        <is>
          <t>GÄVLEBORGS LÄN</t>
        </is>
      </c>
      <c r="G692" t="inlineStr">
        <is>
          <t>SANDVIKEN</t>
        </is>
      </c>
      <c r="I692" t="n">
        <v>9.6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42950-2023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45178</v>
      </c>
      <c r="E693" s="1" t="n">
        <v>46311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väst AB</t>
        </is>
      </c>
      <c r="I693" t="n">
        <v>16.5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69521-2021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44531</v>
      </c>
      <c r="E694" s="1" t="n">
        <v>46311</v>
      </c>
      <c r="F694" t="inlineStr">
        <is>
          <t>GÄVLEBORGS LÄN</t>
        </is>
      </c>
      <c r="G694" t="inlineStr">
        <is>
          <t>SANDVIKEN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45679</v>
      </c>
      <c r="E695" s="1" t="n">
        <v>46311</v>
      </c>
      <c r="F695" t="inlineStr">
        <is>
          <t>GÄVLEBORGS LÄN</t>
        </is>
      </c>
      <c r="G695" t="inlineStr">
        <is>
          <t>SANDVIKEN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61303-2025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46000</v>
      </c>
      <c r="E696" s="1" t="n">
        <v>46311</v>
      </c>
      <c r="F696" t="inlineStr">
        <is>
          <t>GÄVLEBORGS LÄN</t>
        </is>
      </c>
      <c r="G696" t="inlineStr">
        <is>
          <t>SANDVIKEN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58804-2025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45986</v>
      </c>
      <c r="E697" s="1" t="n">
        <v>46311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61020-2025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45999</v>
      </c>
      <c r="E698" s="1" t="n">
        <v>46311</v>
      </c>
      <c r="F698" t="inlineStr">
        <is>
          <t>GÄVLEBORGS LÄN</t>
        </is>
      </c>
      <c r="G698" t="inlineStr">
        <is>
          <t>SANDVIKEN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61022-2025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45999</v>
      </c>
      <c r="E699" s="1" t="n">
        <v>46311</v>
      </c>
      <c r="F699" t="inlineStr">
        <is>
          <t>GÄVLEBORGS LÄN</t>
        </is>
      </c>
      <c r="G699" t="inlineStr">
        <is>
          <t>SANDVIKEN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61299-2025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46000</v>
      </c>
      <c r="E700" s="1" t="n">
        <v>46311</v>
      </c>
      <c r="F700" t="inlineStr">
        <is>
          <t>GÄVLEBORGS LÄN</t>
        </is>
      </c>
      <c r="G700" t="inlineStr">
        <is>
          <t>SANDVIKEN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34253-2026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46253</v>
      </c>
      <c r="E701" s="1" t="n">
        <v>46311</v>
      </c>
      <c r="F701" t="inlineStr">
        <is>
          <t>GÄVLEBORGS LÄN</t>
        </is>
      </c>
      <c r="G701" t="inlineStr">
        <is>
          <t>SANDVIKEN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33623-2024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45520</v>
      </c>
      <c r="E702" s="1" t="n">
        <v>46311</v>
      </c>
      <c r="F702" t="inlineStr">
        <is>
          <t>GÄVLEBORGS LÄN</t>
        </is>
      </c>
      <c r="G702" t="inlineStr">
        <is>
          <t>SANDVIKEN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34036-2026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46252</v>
      </c>
      <c r="E703" s="1" t="n">
        <v>46311</v>
      </c>
      <c r="F703" t="inlineStr">
        <is>
          <t>GÄVLEBORGS LÄN</t>
        </is>
      </c>
      <c r="G703" t="inlineStr">
        <is>
          <t>SANDVIKEN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46311</v>
      </c>
      <c r="F704" t="inlineStr">
        <is>
          <t>GÄVLEBORGS LÄN</t>
        </is>
      </c>
      <c r="G704" t="inlineStr">
        <is>
          <t>SANDVIKEN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46126</v>
      </c>
      <c r="E705" s="1" t="n">
        <v>46311</v>
      </c>
      <c r="F705" t="inlineStr">
        <is>
          <t>GÄVLEBORGS LÄN</t>
        </is>
      </c>
      <c r="G705" t="inlineStr">
        <is>
          <t>SANDVIKEN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12656-2026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46311</v>
      </c>
      <c r="F706" t="inlineStr">
        <is>
          <t>GÄVLEBORGS LÄN</t>
        </is>
      </c>
      <c r="G706" t="inlineStr">
        <is>
          <t>SANDVIKEN</t>
        </is>
      </c>
      <c r="H706" t="inlineStr">
        <is>
          <t>Naturvårdsverket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46095</v>
      </c>
      <c r="E707" s="1" t="n">
        <v>46311</v>
      </c>
      <c r="F707" t="inlineStr">
        <is>
          <t>GÄVLEBORGS LÄN</t>
        </is>
      </c>
      <c r="G707" t="inlineStr">
        <is>
          <t>SANDVIKEN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17164-2026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46115</v>
      </c>
      <c r="E708" s="1" t="n">
        <v>46311</v>
      </c>
      <c r="F708" t="inlineStr">
        <is>
          <t>GÄVLEBORGS LÄN</t>
        </is>
      </c>
      <c r="G708" t="inlineStr">
        <is>
          <t>SANDVIKEN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46311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46311</v>
      </c>
      <c r="F710" t="inlineStr">
        <is>
          <t>GÄVLEBORGS LÄN</t>
        </is>
      </c>
      <c r="G710" t="inlineStr">
        <is>
          <t>SANDVIKEN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46058</v>
      </c>
      <c r="E711" s="1" t="n">
        <v>46311</v>
      </c>
      <c r="F711" t="inlineStr">
        <is>
          <t>GÄVLEBORGS LÄN</t>
        </is>
      </c>
      <c r="G711" t="inlineStr">
        <is>
          <t>SANDVIKEN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33873-2026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46251</v>
      </c>
      <c r="E712" s="1" t="n">
        <v>46311</v>
      </c>
      <c r="F712" t="inlineStr">
        <is>
          <t>GÄVLEBORGS LÄN</t>
        </is>
      </c>
      <c r="G712" t="inlineStr">
        <is>
          <t>SANDVIKEN</t>
        </is>
      </c>
      <c r="H712" t="inlineStr">
        <is>
          <t>Sveaskog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46311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46311</v>
      </c>
      <c r="F714" t="inlineStr">
        <is>
          <t>GÄVLEBORGS LÄN</t>
        </is>
      </c>
      <c r="G714" t="inlineStr">
        <is>
          <t>SANDVIKEN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19186-2026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46311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34429-2024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46311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13580-2026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46095</v>
      </c>
      <c r="E717" s="1" t="n">
        <v>46311</v>
      </c>
      <c r="F717" t="inlineStr">
        <is>
          <t>GÄVLEBORGS LÄN</t>
        </is>
      </c>
      <c r="G717" t="inlineStr">
        <is>
          <t>SANDVIKEN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61301-2025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46000</v>
      </c>
      <c r="E718" s="1" t="n">
        <v>46311</v>
      </c>
      <c r="F718" t="inlineStr">
        <is>
          <t>GÄVLEBORGS LÄN</t>
        </is>
      </c>
      <c r="G718" t="inlineStr">
        <is>
          <t>SANDVIKEN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46311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46311</v>
      </c>
      <c r="F720" t="inlineStr">
        <is>
          <t>GÄVLEBORGS LÄN</t>
        </is>
      </c>
      <c r="G720" t="inlineStr">
        <is>
          <t>SANDVIKEN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8611-2026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46065</v>
      </c>
      <c r="E721" s="1" t="n">
        <v>46311</v>
      </c>
      <c r="F721" t="inlineStr">
        <is>
          <t>GÄVLEBORGS LÄN</t>
        </is>
      </c>
      <c r="G721" t="inlineStr">
        <is>
          <t>SANDVIKEN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46311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45984</v>
      </c>
      <c r="E723" s="1" t="n">
        <v>46311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46607-2025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45926</v>
      </c>
      <c r="E724" s="1" t="n">
        <v>46311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46311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46254</v>
      </c>
      <c r="E726" s="1" t="n">
        <v>46311</v>
      </c>
      <c r="F726" t="inlineStr">
        <is>
          <t>GÄVLEBORGS LÄN</t>
        </is>
      </c>
      <c r="G726" t="inlineStr">
        <is>
          <t>SANDVIKEN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63486-2025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46013</v>
      </c>
      <c r="E727" s="1" t="n">
        <v>46311</v>
      </c>
      <c r="F727" t="inlineStr">
        <is>
          <t>GÄVLEBORGS LÄN</t>
        </is>
      </c>
      <c r="G727" t="inlineStr">
        <is>
          <t>SANDVIKEN</t>
        </is>
      </c>
      <c r="H727" t="inlineStr">
        <is>
          <t>Sveaskog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34603-2026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46311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34608-2026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46255</v>
      </c>
      <c r="E729" s="1" t="n">
        <v>46311</v>
      </c>
      <c r="F729" t="inlineStr">
        <is>
          <t>GÄVLEBORGS LÄN</t>
        </is>
      </c>
      <c r="G729" t="inlineStr">
        <is>
          <t>SANDVIKEN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58200-2025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45984</v>
      </c>
      <c r="E730" s="1" t="n">
        <v>46311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46049</v>
      </c>
      <c r="E731" s="1" t="n">
        <v>46311</v>
      </c>
      <c r="F731" t="inlineStr">
        <is>
          <t>GÄVLEBORGS LÄN</t>
        </is>
      </c>
      <c r="G731" t="inlineStr">
        <is>
          <t>SANDVIKEN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46251</v>
      </c>
      <c r="E732" s="1" t="n">
        <v>46311</v>
      </c>
      <c r="F732" t="inlineStr">
        <is>
          <t>GÄVLEBORGS LÄN</t>
        </is>
      </c>
      <c r="G732" t="inlineStr">
        <is>
          <t>SANDVIKEN</t>
        </is>
      </c>
      <c r="H732" t="inlineStr">
        <is>
          <t>Sveaskog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46311</v>
      </c>
      <c r="F733" t="inlineStr">
        <is>
          <t>GÄVLEBORGS LÄN</t>
        </is>
      </c>
      <c r="G733" t="inlineStr">
        <is>
          <t>SANDVIKEN</t>
        </is>
      </c>
      <c r="H733" t="inlineStr">
        <is>
          <t>Kommuner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45475</v>
      </c>
      <c r="E734" s="1" t="n">
        <v>46311</v>
      </c>
      <c r="F734" t="inlineStr">
        <is>
          <t>GÄVLEBORGS LÄN</t>
        </is>
      </c>
      <c r="G734" t="inlineStr">
        <is>
          <t>SANDVIKEN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15340-2026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46105</v>
      </c>
      <c r="E735" s="1" t="n">
        <v>46311</v>
      </c>
      <c r="F735" t="inlineStr">
        <is>
          <t>GÄVLEBORGS LÄN</t>
        </is>
      </c>
      <c r="G735" t="inlineStr">
        <is>
          <t>SANDVIKEN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4169-2026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46311</v>
      </c>
      <c r="F736" t="inlineStr">
        <is>
          <t>GÄVLEBORGS LÄN</t>
        </is>
      </c>
      <c r="G736" t="inlineStr">
        <is>
          <t>SANDVIKEN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34879-2026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46258</v>
      </c>
      <c r="E737" s="1" t="n">
        <v>46311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41328-2026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46301</v>
      </c>
      <c r="E738" s="1" t="n">
        <v>46311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46021</v>
      </c>
      <c r="E739" s="1" t="n">
        <v>46311</v>
      </c>
      <c r="F739" t="inlineStr">
        <is>
          <t>GÄVLEBORGS LÄN</t>
        </is>
      </c>
      <c r="G739" t="inlineStr">
        <is>
          <t>SANDVIKEN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44289-2023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45188</v>
      </c>
      <c r="E740" s="1" t="n">
        <v>46311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15682-2024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45404</v>
      </c>
      <c r="E741" s="1" t="n">
        <v>46311</v>
      </c>
      <c r="F741" t="inlineStr">
        <is>
          <t>GÄVLEBORGS LÄN</t>
        </is>
      </c>
      <c r="G741" t="inlineStr">
        <is>
          <t>SANDVIKEN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12857-2026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46092</v>
      </c>
      <c r="E742" s="1" t="n">
        <v>46311</v>
      </c>
      <c r="F742" t="inlineStr">
        <is>
          <t>GÄVLEBORGS LÄN</t>
        </is>
      </c>
      <c r="G742" t="inlineStr">
        <is>
          <t>SANDVIKEN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17735-2024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45418</v>
      </c>
      <c r="E743" s="1" t="n">
        <v>46311</v>
      </c>
      <c r="F743" t="inlineStr">
        <is>
          <t>GÄVLEBORGS LÄN</t>
        </is>
      </c>
      <c r="G743" t="inlineStr">
        <is>
          <t>SANDVIKEN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64000-2023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45278</v>
      </c>
      <c r="E744" s="1" t="n">
        <v>46311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29613-2026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46311</v>
      </c>
      <c r="F745" t="inlineStr">
        <is>
          <t>GÄVLEBORGS LÄN</t>
        </is>
      </c>
      <c r="G745" t="inlineStr">
        <is>
          <t>SANDVIKEN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29608-2026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46311</v>
      </c>
      <c r="F746" t="inlineStr">
        <is>
          <t>GÄVLEBORGS LÄN</t>
        </is>
      </c>
      <c r="G746" t="inlineStr">
        <is>
          <t>SANDVIKEN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45614</v>
      </c>
      <c r="E747" s="1" t="n">
        <v>46311</v>
      </c>
      <c r="F747" t="inlineStr">
        <is>
          <t>GÄVLEBORGS LÄN</t>
        </is>
      </c>
      <c r="G747" t="inlineStr">
        <is>
          <t>SANDVIKEN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2358-2025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46311</v>
      </c>
      <c r="F748" t="inlineStr">
        <is>
          <t>GÄVLEBORGS LÄN</t>
        </is>
      </c>
      <c r="G748" t="inlineStr">
        <is>
          <t>SANDVIKEN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34997-2026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46259</v>
      </c>
      <c r="E749" s="1" t="n">
        <v>46311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18725-2025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45763</v>
      </c>
      <c r="E750" s="1" t="n">
        <v>46311</v>
      </c>
      <c r="F750" t="inlineStr">
        <is>
          <t>GÄVLEBORGS LÄN</t>
        </is>
      </c>
      <c r="G750" t="inlineStr">
        <is>
          <t>SANDVIKEN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46031</v>
      </c>
      <c r="E751" s="1" t="n">
        <v>46311</v>
      </c>
      <c r="F751" t="inlineStr">
        <is>
          <t>GÄVLEBORGS LÄN</t>
        </is>
      </c>
      <c r="G751" t="inlineStr">
        <is>
          <t>SANDVIKEN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25300-2025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45800</v>
      </c>
      <c r="E752" s="1" t="n">
        <v>46311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46311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25317-2025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45800</v>
      </c>
      <c r="E754" s="1" t="n">
        <v>46311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35253-2026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46311</v>
      </c>
      <c r="F755" t="inlineStr">
        <is>
          <t>GÄVLEBORGS LÄN</t>
        </is>
      </c>
      <c r="G755" t="inlineStr">
        <is>
          <t>SANDVIKEN</t>
        </is>
      </c>
      <c r="H755" t="inlineStr">
        <is>
          <t>Sveaskog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46261</v>
      </c>
      <c r="E756" s="1" t="n">
        <v>46311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11800-2026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46085</v>
      </c>
      <c r="E757" s="1" t="n">
        <v>46311</v>
      </c>
      <c r="F757" t="inlineStr">
        <is>
          <t>GÄVLEBORGS LÄN</t>
        </is>
      </c>
      <c r="G757" t="inlineStr">
        <is>
          <t>SANDVIKEN</t>
        </is>
      </c>
      <c r="H757" t="inlineStr">
        <is>
          <t>Naturvårdsverket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1283-2026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46311</v>
      </c>
      <c r="F758" t="inlineStr">
        <is>
          <t>GÄVLEBORGS LÄN</t>
        </is>
      </c>
      <c r="G758" t="inlineStr">
        <is>
          <t>SANDVIKEN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35414-2026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46311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46034</v>
      </c>
      <c r="E760" s="1" t="n">
        <v>46311</v>
      </c>
      <c r="F760" t="inlineStr">
        <is>
          <t>GÄVLEBORGS LÄN</t>
        </is>
      </c>
      <c r="G760" t="inlineStr">
        <is>
          <t>SANDVIKEN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42018-2026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46304</v>
      </c>
      <c r="E761" s="1" t="n">
        <v>46311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35254-2026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46311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46035</v>
      </c>
      <c r="E763" s="1" t="n">
        <v>46311</v>
      </c>
      <c r="F763" t="inlineStr">
        <is>
          <t>GÄVLEBORGS LÄN</t>
        </is>
      </c>
      <c r="G763" t="inlineStr">
        <is>
          <t>SANDVIKEN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46311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46036</v>
      </c>
      <c r="E765" s="1" t="n">
        <v>46311</v>
      </c>
      <c r="F765" t="inlineStr">
        <is>
          <t>GÄVLEBORGS LÄN</t>
        </is>
      </c>
      <c r="G765" t="inlineStr">
        <is>
          <t>SANDVIKEN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46036</v>
      </c>
      <c r="E766" s="1" t="n">
        <v>46311</v>
      </c>
      <c r="F766" t="inlineStr">
        <is>
          <t>GÄVLEBORGS LÄN</t>
        </is>
      </c>
      <c r="G766" t="inlineStr">
        <is>
          <t>SANDVIKEN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46311</v>
      </c>
      <c r="F767" t="inlineStr">
        <is>
          <t>GÄVLEBORGS LÄN</t>
        </is>
      </c>
      <c r="G767" t="inlineStr">
        <is>
          <t>SANDVIKEN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2094-2026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46036</v>
      </c>
      <c r="E768" s="1" t="n">
        <v>46311</v>
      </c>
      <c r="F768" t="inlineStr">
        <is>
          <t>GÄVLEBORGS LÄN</t>
        </is>
      </c>
      <c r="G768" t="inlineStr">
        <is>
          <t>SANDVIKEN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46311</v>
      </c>
      <c r="F769" t="inlineStr">
        <is>
          <t>GÄVLEBORGS LÄN</t>
        </is>
      </c>
      <c r="G769" t="inlineStr">
        <is>
          <t>SANDVIKEN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2004-2026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46035</v>
      </c>
      <c r="E770" s="1" t="n">
        <v>46311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46035</v>
      </c>
      <c r="E771" s="1" t="n">
        <v>46311</v>
      </c>
      <c r="F771" t="inlineStr">
        <is>
          <t>GÄVLEBORGS LÄN</t>
        </is>
      </c>
      <c r="G771" t="inlineStr">
        <is>
          <t>SANDVIKEN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23539-2026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46163</v>
      </c>
      <c r="E772" s="1" t="n">
        <v>46311</v>
      </c>
      <c r="F772" t="inlineStr">
        <is>
          <t>GÄVLEBORGS LÄN</t>
        </is>
      </c>
      <c r="G772" t="inlineStr">
        <is>
          <t>SANDVIKEN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46038</v>
      </c>
      <c r="E773" s="1" t="n">
        <v>46311</v>
      </c>
      <c r="F773" t="inlineStr">
        <is>
          <t>GÄVLEBORGS LÄN</t>
        </is>
      </c>
      <c r="G773" t="inlineStr">
        <is>
          <t>SANDVIKEN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46311</v>
      </c>
      <c r="F774" t="inlineStr">
        <is>
          <t>GÄVLEBORGS LÄN</t>
        </is>
      </c>
      <c r="G774" t="inlineStr">
        <is>
          <t>SANDVIKEN</t>
        </is>
      </c>
      <c r="H774" t="inlineStr">
        <is>
          <t>Naturvårdsverket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46311</v>
      </c>
      <c r="F775" t="inlineStr">
        <is>
          <t>GÄVLEBORGS LÄN</t>
        </is>
      </c>
      <c r="G775" t="inlineStr">
        <is>
          <t>SANDVIKEN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35370-2026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46311</v>
      </c>
      <c r="F776" t="inlineStr">
        <is>
          <t>GÄVLEBORGS LÄN</t>
        </is>
      </c>
      <c r="G776" t="inlineStr">
        <is>
          <t>SANDVIKEN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35348-2026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46261</v>
      </c>
      <c r="E777" s="1" t="n">
        <v>46311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35376-2026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46261</v>
      </c>
      <c r="E778" s="1" t="n">
        <v>46311</v>
      </c>
      <c r="F778" t="inlineStr">
        <is>
          <t>GÄVLEBORGS LÄN</t>
        </is>
      </c>
      <c r="G778" t="inlineStr">
        <is>
          <t>SANDVIKEN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46260</v>
      </c>
      <c r="E779" s="1" t="n">
        <v>46311</v>
      </c>
      <c r="F779" t="inlineStr">
        <is>
          <t>GÄVLEBORGS LÄN</t>
        </is>
      </c>
      <c r="G779" t="inlineStr">
        <is>
          <t>SANDVIKEN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35420-2026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46311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46037</v>
      </c>
      <c r="E781" s="1" t="n">
        <v>46311</v>
      </c>
      <c r="F781" t="inlineStr">
        <is>
          <t>GÄVLEBORGS LÄN</t>
        </is>
      </c>
      <c r="G781" t="inlineStr">
        <is>
          <t>SANDVIKEN</t>
        </is>
      </c>
      <c r="I781" t="n">
        <v>8.699999999999999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35345-2026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46261</v>
      </c>
      <c r="E782" s="1" t="n">
        <v>46311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3566-2026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46042</v>
      </c>
      <c r="E783" s="1" t="n">
        <v>46311</v>
      </c>
      <c r="F783" t="inlineStr">
        <is>
          <t>GÄVLEBORGS LÄN</t>
        </is>
      </c>
      <c r="G783" t="inlineStr">
        <is>
          <t>SANDVIKEN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46311</v>
      </c>
      <c r="F784" t="inlineStr">
        <is>
          <t>GÄVLEBORGS LÄN</t>
        </is>
      </c>
      <c r="G784" t="inlineStr">
        <is>
          <t>SANDVIKEN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46311</v>
      </c>
      <c r="F785" t="inlineStr">
        <is>
          <t>GÄVLEBORGS LÄN</t>
        </is>
      </c>
      <c r="G785" t="inlineStr">
        <is>
          <t>SANDVIKEN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35416-2026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46311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35417-2026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46311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3991-2026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46311</v>
      </c>
      <c r="F788" t="inlineStr">
        <is>
          <t>GÄVLEBORGS LÄN</t>
        </is>
      </c>
      <c r="G788" t="inlineStr">
        <is>
          <t>SANDVIKEN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46311</v>
      </c>
      <c r="F789" t="inlineStr">
        <is>
          <t>GÄVLEBORGS LÄN</t>
        </is>
      </c>
      <c r="G789" t="inlineStr">
        <is>
          <t>SANDVIKEN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46044</v>
      </c>
      <c r="E790" s="1" t="n">
        <v>46311</v>
      </c>
      <c r="F790" t="inlineStr">
        <is>
          <t>GÄVLEBORGS LÄN</t>
        </is>
      </c>
      <c r="G790" t="inlineStr">
        <is>
          <t>SANDVIKEN</t>
        </is>
      </c>
      <c r="I790" t="n">
        <v>5.7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36203-2025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45867</v>
      </c>
      <c r="E791" s="1" t="n">
        <v>46311</v>
      </c>
      <c r="F791" t="inlineStr">
        <is>
          <t>GÄVLEBORGS LÄN</t>
        </is>
      </c>
      <c r="G791" t="inlineStr">
        <is>
          <t>SANDVIKEN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46262</v>
      </c>
      <c r="E792" s="1" t="n">
        <v>46311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35434-2026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46262</v>
      </c>
      <c r="E793" s="1" t="n">
        <v>46311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3909-2026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46043</v>
      </c>
      <c r="E794" s="1" t="n">
        <v>46311</v>
      </c>
      <c r="F794" t="inlineStr">
        <is>
          <t>GÄVLEBORGS LÄN</t>
        </is>
      </c>
      <c r="G794" t="inlineStr">
        <is>
          <t>SANDVIKEN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4512-2026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46311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46311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35578-2026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46262</v>
      </c>
      <c r="E797" s="1" t="n">
        <v>46311</v>
      </c>
      <c r="F797" t="inlineStr">
        <is>
          <t>GÄVLEBORGS LÄN</t>
        </is>
      </c>
      <c r="G797" t="inlineStr">
        <is>
          <t>SANDVIKEN</t>
        </is>
      </c>
      <c r="H797" t="inlineStr">
        <is>
          <t>Naturvårdsverket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35575-2026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46262</v>
      </c>
      <c r="E798" s="1" t="n">
        <v>46311</v>
      </c>
      <c r="F798" t="inlineStr">
        <is>
          <t>GÄVLEBORGS LÄN</t>
        </is>
      </c>
      <c r="G798" t="inlineStr">
        <is>
          <t>SANDVIKEN</t>
        </is>
      </c>
      <c r="H798" t="inlineStr">
        <is>
          <t>Naturvårdsverket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4375-2026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46311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5547-2026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46050</v>
      </c>
      <c r="E800" s="1" t="n">
        <v>46311</v>
      </c>
      <c r="F800" t="inlineStr">
        <is>
          <t>GÄVLEBORGS LÄN</t>
        </is>
      </c>
      <c r="G800" t="inlineStr">
        <is>
          <t>SANDVIKEN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35451-2026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46262</v>
      </c>
      <c r="E801" s="1" t="n">
        <v>46311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46051</v>
      </c>
      <c r="E802" s="1" t="n">
        <v>46311</v>
      </c>
      <c r="F802" t="inlineStr">
        <is>
          <t>GÄVLEBORGS LÄN</t>
        </is>
      </c>
      <c r="G802" t="inlineStr">
        <is>
          <t>SANDVIKEN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23476-2026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46163</v>
      </c>
      <c r="E803" s="1" t="n">
        <v>46311</v>
      </c>
      <c r="F803" t="inlineStr">
        <is>
          <t>GÄVLEBORGS LÄN</t>
        </is>
      </c>
      <c r="G803" t="inlineStr">
        <is>
          <t>SANDVIKEN</t>
        </is>
      </c>
      <c r="H803" t="inlineStr">
        <is>
          <t>Övriga statliga verk och myndigheter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35492-2026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46262</v>
      </c>
      <c r="E804" s="1" t="n">
        <v>46311</v>
      </c>
      <c r="F804" t="inlineStr">
        <is>
          <t>GÄVLEBORGS LÄN</t>
        </is>
      </c>
      <c r="G804" t="inlineStr">
        <is>
          <t>SANDVIKEN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46051</v>
      </c>
      <c r="E805" s="1" t="n">
        <v>46311</v>
      </c>
      <c r="F805" t="inlineStr">
        <is>
          <t>GÄVLEBORGS LÄN</t>
        </is>
      </c>
      <c r="G805" t="inlineStr">
        <is>
          <t>SANDVIKEN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35576-2026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46311</v>
      </c>
      <c r="F806" t="inlineStr">
        <is>
          <t>GÄVLEBORGS LÄN</t>
        </is>
      </c>
      <c r="G806" t="inlineStr">
        <is>
          <t>SANDVIKEN</t>
        </is>
      </c>
      <c r="H806" t="inlineStr">
        <is>
          <t>Naturvårdsverket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46050</v>
      </c>
      <c r="E807" s="1" t="n">
        <v>46311</v>
      </c>
      <c r="F807" t="inlineStr">
        <is>
          <t>GÄVLEBORGS LÄN</t>
        </is>
      </c>
      <c r="G807" t="inlineStr">
        <is>
          <t>SANDVIKEN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46262</v>
      </c>
      <c r="E808" s="1" t="n">
        <v>46311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46307</v>
      </c>
      <c r="E809" s="1" t="n">
        <v>46311</v>
      </c>
      <c r="F809" t="inlineStr">
        <is>
          <t>GÄVLEBORGS LÄN</t>
        </is>
      </c>
      <c r="G809" t="inlineStr">
        <is>
          <t>SANDVIKEN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6793-2026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46055</v>
      </c>
      <c r="E810" s="1" t="n">
        <v>46311</v>
      </c>
      <c r="F810" t="inlineStr">
        <is>
          <t>GÄVLEBORGS LÄN</t>
        </is>
      </c>
      <c r="G810" t="inlineStr">
        <is>
          <t>SANDVIKEN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46311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46043</v>
      </c>
      <c r="E812" s="1" t="n">
        <v>46311</v>
      </c>
      <c r="F812" t="inlineStr">
        <is>
          <t>GÄVLEBORGS LÄN</t>
        </is>
      </c>
      <c r="G812" t="inlineStr">
        <is>
          <t>SANDVIKEN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42325-2026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46307</v>
      </c>
      <c r="E813" s="1" t="n">
        <v>46311</v>
      </c>
      <c r="F813" t="inlineStr">
        <is>
          <t>GÄVLEBORGS LÄN</t>
        </is>
      </c>
      <c r="G813" t="inlineStr">
        <is>
          <t>SANDVIKEN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46311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6555-2026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46056</v>
      </c>
      <c r="E815" s="1" t="n">
        <v>46311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46056</v>
      </c>
      <c r="E816" s="1" t="n">
        <v>46311</v>
      </c>
      <c r="F816" t="inlineStr">
        <is>
          <t>GÄVLEBORGS LÄN</t>
        </is>
      </c>
      <c r="G816" t="inlineStr">
        <is>
          <t>SANDVIKEN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6651-2026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46056</v>
      </c>
      <c r="E817" s="1" t="n">
        <v>46311</v>
      </c>
      <c r="F817" t="inlineStr">
        <is>
          <t>GÄVLEBORGS LÄN</t>
        </is>
      </c>
      <c r="G817" t="inlineStr">
        <is>
          <t>SANDVIKEN</t>
        </is>
      </c>
      <c r="I817" t="n">
        <v>8.800000000000001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42925-2026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46310</v>
      </c>
      <c r="E818" s="1" t="n">
        <v>46311</v>
      </c>
      <c r="F818" t="inlineStr">
        <is>
          <t>GÄVLEBORGS LÄN</t>
        </is>
      </c>
      <c r="G818" t="inlineStr">
        <is>
          <t>SANDVIKEN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7725-2026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46062</v>
      </c>
      <c r="E819" s="1" t="n">
        <v>46311</v>
      </c>
      <c r="F819" t="inlineStr">
        <is>
          <t>GÄVLEBORGS LÄN</t>
        </is>
      </c>
      <c r="G819" t="inlineStr">
        <is>
          <t>SANDVIKEN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7360-2026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46058</v>
      </c>
      <c r="E820" s="1" t="n">
        <v>46311</v>
      </c>
      <c r="F820" t="inlineStr">
        <is>
          <t>GÄVLEBORGS LÄN</t>
        </is>
      </c>
      <c r="G820" t="inlineStr">
        <is>
          <t>SANDVIKEN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7343-2026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46058</v>
      </c>
      <c r="E821" s="1" t="n">
        <v>46311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41125-2026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46300</v>
      </c>
      <c r="E822" s="1" t="n">
        <v>46311</v>
      </c>
      <c r="F822" t="inlineStr">
        <is>
          <t>GÄVLEBORGS LÄN</t>
        </is>
      </c>
      <c r="G822" t="inlineStr">
        <is>
          <t>SANDVIKEN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7348-2026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46058</v>
      </c>
      <c r="E823" s="1" t="n">
        <v>46311</v>
      </c>
      <c r="F823" t="inlineStr">
        <is>
          <t>GÄVLEBORGS LÄN</t>
        </is>
      </c>
      <c r="G823" t="inlineStr">
        <is>
          <t>SANDVIKEN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7694-2026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46062</v>
      </c>
      <c r="E824" s="1" t="n">
        <v>46311</v>
      </c>
      <c r="F824" t="inlineStr">
        <is>
          <t>GÄVLEBORGS LÄN</t>
        </is>
      </c>
      <c r="G824" t="inlineStr">
        <is>
          <t>SANDVIKEN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46311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väst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35863-2026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46266</v>
      </c>
      <c r="E826" s="1" t="n">
        <v>46311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7890-2026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46063</v>
      </c>
      <c r="E827" s="1" t="n">
        <v>46311</v>
      </c>
      <c r="F827" t="inlineStr">
        <is>
          <t>GÄVLEBORGS LÄN</t>
        </is>
      </c>
      <c r="G827" t="inlineStr">
        <is>
          <t>SANDVIKEN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7910-2026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46311</v>
      </c>
      <c r="F828" t="inlineStr">
        <is>
          <t>GÄVLEBORGS LÄN</t>
        </is>
      </c>
      <c r="G828" t="inlineStr">
        <is>
          <t>SANDVIKEN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7914-2026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46311</v>
      </c>
      <c r="F829" t="inlineStr">
        <is>
          <t>GÄVLEBORGS LÄN</t>
        </is>
      </c>
      <c r="G829" t="inlineStr">
        <is>
          <t>SANDVIKEN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7877-2026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46063</v>
      </c>
      <c r="E830" s="1" t="n">
        <v>46311</v>
      </c>
      <c r="F830" t="inlineStr">
        <is>
          <t>GÄVLEBORGS LÄN</t>
        </is>
      </c>
      <c r="G830" t="inlineStr">
        <is>
          <t>SANDVIKEN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8363-2026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46064</v>
      </c>
      <c r="E831" s="1" t="n">
        <v>46311</v>
      </c>
      <c r="F831" t="inlineStr">
        <is>
          <t>GÄVLEBORGS LÄN</t>
        </is>
      </c>
      <c r="G831" t="inlineStr">
        <is>
          <t>SANDVIKEN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7885-2026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46311</v>
      </c>
      <c r="F832" t="inlineStr">
        <is>
          <t>GÄVLEBORGS LÄN</t>
        </is>
      </c>
      <c r="G832" t="inlineStr">
        <is>
          <t>SANDVIKEN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8612-2026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46065</v>
      </c>
      <c r="E833" s="1" t="n">
        <v>46311</v>
      </c>
      <c r="F833" t="inlineStr">
        <is>
          <t>GÄVLEBORGS LÄN</t>
        </is>
      </c>
      <c r="G833" t="inlineStr">
        <is>
          <t>SANDVIKEN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8706-2026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46311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8713-2026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46066</v>
      </c>
      <c r="E835" s="1" t="n">
        <v>46311</v>
      </c>
      <c r="F835" t="inlineStr">
        <is>
          <t>GÄVLEBORGS LÄN</t>
        </is>
      </c>
      <c r="G835" t="inlineStr">
        <is>
          <t>SANDVIKEN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8719-2026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46066</v>
      </c>
      <c r="E836" s="1" t="n">
        <v>46311</v>
      </c>
      <c r="F836" t="inlineStr">
        <is>
          <t>GÄVLEBORGS LÄN</t>
        </is>
      </c>
      <c r="G836" t="inlineStr">
        <is>
          <t>SANDVIKEN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8574-2026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46065</v>
      </c>
      <c r="E837" s="1" t="n">
        <v>46311</v>
      </c>
      <c r="F837" t="inlineStr">
        <is>
          <t>GÄVLEBORGS LÄN</t>
        </is>
      </c>
      <c r="G837" t="inlineStr">
        <is>
          <t>SANDVIKEN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8608-2026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46065</v>
      </c>
      <c r="E838" s="1" t="n">
        <v>46311</v>
      </c>
      <c r="F838" t="inlineStr">
        <is>
          <t>GÄVLEBORGS LÄN</t>
        </is>
      </c>
      <c r="G838" t="inlineStr">
        <is>
          <t>SANDVIKEN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9093-2026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46311</v>
      </c>
      <c r="F839" t="inlineStr">
        <is>
          <t>GÄVLEBORGS LÄN</t>
        </is>
      </c>
      <c r="G839" t="inlineStr">
        <is>
          <t>SANDVIKEN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9142-2026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46069</v>
      </c>
      <c r="E840" s="1" t="n">
        <v>46311</v>
      </c>
      <c r="F840" t="inlineStr">
        <is>
          <t>GÄVLEBORGS LÄN</t>
        </is>
      </c>
      <c r="G840" t="inlineStr">
        <is>
          <t>SANDVIKEN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35865-2026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46266</v>
      </c>
      <c r="E841" s="1" t="n">
        <v>46311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9714-2026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46072</v>
      </c>
      <c r="E842" s="1" t="n">
        <v>46311</v>
      </c>
      <c r="F842" t="inlineStr">
        <is>
          <t>GÄVLEBORGS LÄN</t>
        </is>
      </c>
      <c r="G842" t="inlineStr">
        <is>
          <t>SANDVIKEN</t>
        </is>
      </c>
      <c r="H842" t="inlineStr">
        <is>
          <t>Naturvårdsverket</t>
        </is>
      </c>
      <c r="I842" t="n">
        <v>19.5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9480-2026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46071</v>
      </c>
      <c r="E843" s="1" t="n">
        <v>46311</v>
      </c>
      <c r="F843" t="inlineStr">
        <is>
          <t>GÄVLEBORGS LÄN</t>
        </is>
      </c>
      <c r="G843" t="inlineStr">
        <is>
          <t>SANDVIKEN</t>
        </is>
      </c>
      <c r="H843" t="inlineStr">
        <is>
          <t>Naturvårdsverket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9651-2026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46072</v>
      </c>
      <c r="E844" s="1" t="n">
        <v>46311</v>
      </c>
      <c r="F844" t="inlineStr">
        <is>
          <t>GÄVLEBORGS LÄN</t>
        </is>
      </c>
      <c r="G844" t="inlineStr">
        <is>
          <t>SANDVIKEN</t>
        </is>
      </c>
      <c r="I844" t="n">
        <v>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9653-2026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46072</v>
      </c>
      <c r="E845" s="1" t="n">
        <v>46311</v>
      </c>
      <c r="F845" t="inlineStr">
        <is>
          <t>GÄVLEBORGS LÄN</t>
        </is>
      </c>
      <c r="G845" t="inlineStr">
        <is>
          <t>SANDVIKEN</t>
        </is>
      </c>
      <c r="I845" t="n">
        <v>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46076</v>
      </c>
      <c r="E846" s="1" t="n">
        <v>46311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1372-2026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46031</v>
      </c>
      <c r="E847" s="1" t="n">
        <v>46311</v>
      </c>
      <c r="F847" t="inlineStr">
        <is>
          <t>GÄVLEBORGS LÄN</t>
        </is>
      </c>
      <c r="G847" t="inlineStr">
        <is>
          <t>SANDVIKEN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10107-2026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46074</v>
      </c>
      <c r="E848" s="1" t="n">
        <v>46311</v>
      </c>
      <c r="F848" t="inlineStr">
        <is>
          <t>GÄVLEBORGS LÄN</t>
        </is>
      </c>
      <c r="G848" t="inlineStr">
        <is>
          <t>SANDVIKEN</t>
        </is>
      </c>
      <c r="I848" t="n">
        <v>7.6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10176-2026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46311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46073</v>
      </c>
      <c r="E850" s="1" t="n">
        <v>46311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10022-2026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46311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1562-2026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46034</v>
      </c>
      <c r="E852" s="1" t="n">
        <v>46311</v>
      </c>
      <c r="F852" t="inlineStr">
        <is>
          <t>GÄVLEBORGS LÄN</t>
        </is>
      </c>
      <c r="G852" t="inlineStr">
        <is>
          <t>SANDVIKEN</t>
        </is>
      </c>
      <c r="I852" t="n">
        <v>9.300000000000001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46036</v>
      </c>
      <c r="E853" s="1" t="n">
        <v>46311</v>
      </c>
      <c r="F853" t="inlineStr">
        <is>
          <t>GÄVLEBORGS LÄN</t>
        </is>
      </c>
      <c r="G853" t="inlineStr">
        <is>
          <t>SANDVIKEN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10808-2026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46078</v>
      </c>
      <c r="E854" s="1" t="n">
        <v>46311</v>
      </c>
      <c r="F854" t="inlineStr">
        <is>
          <t>GÄVLEBORGS LÄN</t>
        </is>
      </c>
      <c r="G854" t="inlineStr">
        <is>
          <t>SANDVIKEN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46080</v>
      </c>
      <c r="E855" s="1" t="n">
        <v>46311</v>
      </c>
      <c r="F855" t="inlineStr">
        <is>
          <t>GÄVLEBORGS LÄN</t>
        </is>
      </c>
      <c r="G855" t="inlineStr">
        <is>
          <t>SANDVIKEN</t>
        </is>
      </c>
      <c r="I855" t="n">
        <v>14.5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11191-2026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46080</v>
      </c>
      <c r="E856" s="1" t="n">
        <v>46311</v>
      </c>
      <c r="F856" t="inlineStr">
        <is>
          <t>GÄVLEBORGS LÄN</t>
        </is>
      </c>
      <c r="G856" t="inlineStr">
        <is>
          <t>SANDVIKEN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11940-2026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46085</v>
      </c>
      <c r="E857" s="1" t="n">
        <v>46311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11725-2026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46084</v>
      </c>
      <c r="E858" s="1" t="n">
        <v>46311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10.5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11726-2026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46084</v>
      </c>
      <c r="E859" s="1" t="n">
        <v>46311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11913-2026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46085</v>
      </c>
      <c r="E860" s="1" t="n">
        <v>46311</v>
      </c>
      <c r="F860" t="inlineStr">
        <is>
          <t>GÄVLEBORGS LÄN</t>
        </is>
      </c>
      <c r="G860" t="inlineStr">
        <is>
          <t>SANDVIKEN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11914-2026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46085</v>
      </c>
      <c r="E861" s="1" t="n">
        <v>46311</v>
      </c>
      <c r="F861" t="inlineStr">
        <is>
          <t>GÄVLEBORGS LÄN</t>
        </is>
      </c>
      <c r="G861" t="inlineStr">
        <is>
          <t>SANDVIKEN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2712-2026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46037</v>
      </c>
      <c r="E862" s="1" t="n">
        <v>46311</v>
      </c>
      <c r="F862" t="inlineStr">
        <is>
          <t>GÄVLEBORGS LÄN</t>
        </is>
      </c>
      <c r="G862" t="inlineStr">
        <is>
          <t>SANDVIKEN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11707-2026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46084</v>
      </c>
      <c r="E863" s="1" t="n">
        <v>46311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11786-2026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46084</v>
      </c>
      <c r="E864" s="1" t="n">
        <v>46311</v>
      </c>
      <c r="F864" t="inlineStr">
        <is>
          <t>GÄVLEBORGS LÄN</t>
        </is>
      </c>
      <c r="G864" t="inlineStr">
        <is>
          <t>SANDVIKEN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12146-2026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46086</v>
      </c>
      <c r="E865" s="1" t="n">
        <v>46311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12317-2026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46087</v>
      </c>
      <c r="E866" s="1" t="n">
        <v>46311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27.2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12081-2026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46086</v>
      </c>
      <c r="E867" s="1" t="n">
        <v>46311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12062-2026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46086</v>
      </c>
      <c r="E868" s="1" t="n">
        <v>46311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12064-2026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46086</v>
      </c>
      <c r="E869" s="1" t="n">
        <v>46311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12293-2026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46087</v>
      </c>
      <c r="E870" s="1" t="n">
        <v>46311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12098-2026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46086</v>
      </c>
      <c r="E871" s="1" t="n">
        <v>46311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12166-2026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46086</v>
      </c>
      <c r="E872" s="1" t="n">
        <v>46311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12208-2026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46311</v>
      </c>
      <c r="F873" t="inlineStr">
        <is>
          <t>GÄVLEBORGS LÄN</t>
        </is>
      </c>
      <c r="G873" t="inlineStr">
        <is>
          <t>SANDVIKEN</t>
        </is>
      </c>
      <c r="I873" t="n">
        <v>9.4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12089-2026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46086</v>
      </c>
      <c r="E874" s="1" t="n">
        <v>46311</v>
      </c>
      <c r="F874" t="inlineStr">
        <is>
          <t>GÄVLEBORGS LÄN</t>
        </is>
      </c>
      <c r="G874" t="inlineStr">
        <is>
          <t>SANDVIKEN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12091-2026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46311</v>
      </c>
      <c r="F875" t="inlineStr">
        <is>
          <t>GÄVLEBORGS LÄN</t>
        </is>
      </c>
      <c r="G875" t="inlineStr">
        <is>
          <t>SANDVIKEN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12099-2026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46086</v>
      </c>
      <c r="E876" s="1" t="n">
        <v>46311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12132-2026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46086</v>
      </c>
      <c r="E877" s="1" t="n">
        <v>46311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12433-2026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46090</v>
      </c>
      <c r="E878" s="1" t="n">
        <v>46311</v>
      </c>
      <c r="F878" t="inlineStr">
        <is>
          <t>GÄVLEBORGS LÄN</t>
        </is>
      </c>
      <c r="G878" t="inlineStr">
        <is>
          <t>SANDVIKEN</t>
        </is>
      </c>
      <c r="H878" t="inlineStr">
        <is>
          <t>Kommuner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46043</v>
      </c>
      <c r="E879" s="1" t="n">
        <v>46311</v>
      </c>
      <c r="F879" t="inlineStr">
        <is>
          <t>GÄVLEBORGS LÄN</t>
        </is>
      </c>
      <c r="G879" t="inlineStr">
        <is>
          <t>SANDVIKEN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46311</v>
      </c>
      <c r="F880" t="inlineStr">
        <is>
          <t>GÄVLEBORGS LÄN</t>
        </is>
      </c>
      <c r="G880" t="inlineStr">
        <is>
          <t>SANDVIKEN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12641-2026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46311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12704-2026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46091</v>
      </c>
      <c r="E882" s="1" t="n">
        <v>46311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12847-2026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46092</v>
      </c>
      <c r="E883" s="1" t="n">
        <v>46311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13108-2026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46311</v>
      </c>
      <c r="F884" t="inlineStr">
        <is>
          <t>GÄVLEBORGS LÄN</t>
        </is>
      </c>
      <c r="G884" t="inlineStr">
        <is>
          <t>SANDVIKEN</t>
        </is>
      </c>
      <c r="I884" t="n">
        <v>22.5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12826-2026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46092</v>
      </c>
      <c r="E885" s="1" t="n">
        <v>46311</v>
      </c>
      <c r="F885" t="inlineStr">
        <is>
          <t>GÄVLEBORGS LÄN</t>
        </is>
      </c>
      <c r="G885" t="inlineStr">
        <is>
          <t>SANDVIKEN</t>
        </is>
      </c>
      <c r="H885" t="inlineStr">
        <is>
          <t>Naturvårdsverket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12891-2026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46311</v>
      </c>
      <c r="F886" t="inlineStr">
        <is>
          <t>GÄVLEBORGS LÄN</t>
        </is>
      </c>
      <c r="G886" t="inlineStr">
        <is>
          <t>SANDVIKEN</t>
        </is>
      </c>
      <c r="H886" t="inlineStr">
        <is>
          <t>Naturvårdsverket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13138-2026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46093</v>
      </c>
      <c r="E887" s="1" t="n">
        <v>46311</v>
      </c>
      <c r="F887" t="inlineStr">
        <is>
          <t>GÄVLEBORGS LÄN</t>
        </is>
      </c>
      <c r="G887" t="inlineStr">
        <is>
          <t>SANDVIKEN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12893-2026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46092</v>
      </c>
      <c r="E888" s="1" t="n">
        <v>46311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6.2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46311</v>
      </c>
      <c r="F889" t="inlineStr">
        <is>
          <t>GÄVLEBORGS LÄN</t>
        </is>
      </c>
      <c r="G889" t="inlineStr">
        <is>
          <t>SANDVIKEN</t>
        </is>
      </c>
      <c r="I889" t="n">
        <v>6.7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13409-2026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46094</v>
      </c>
      <c r="E890" s="1" t="n">
        <v>46311</v>
      </c>
      <c r="F890" t="inlineStr">
        <is>
          <t>GÄVLEBORGS LÄN</t>
        </is>
      </c>
      <c r="G890" t="inlineStr">
        <is>
          <t>SANDVIKEN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13577-2026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46095</v>
      </c>
      <c r="E891" s="1" t="n">
        <v>46311</v>
      </c>
      <c r="F891" t="inlineStr">
        <is>
          <t>GÄVLEBORGS LÄN</t>
        </is>
      </c>
      <c r="G891" t="inlineStr">
        <is>
          <t>SANDVIKEN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13585-2026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46095</v>
      </c>
      <c r="E892" s="1" t="n">
        <v>46311</v>
      </c>
      <c r="F892" t="inlineStr">
        <is>
          <t>GÄVLEBORGS LÄN</t>
        </is>
      </c>
      <c r="G892" t="inlineStr">
        <is>
          <t>SANDVIKEN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13586-2026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46095</v>
      </c>
      <c r="E893" s="1" t="n">
        <v>46311</v>
      </c>
      <c r="F893" t="inlineStr">
        <is>
          <t>GÄVLEBORGS LÄN</t>
        </is>
      </c>
      <c r="G893" t="inlineStr">
        <is>
          <t>SANDVIKEN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13605-2026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46311</v>
      </c>
      <c r="F894" t="inlineStr">
        <is>
          <t>GÄVLEBORGS LÄN</t>
        </is>
      </c>
      <c r="G894" t="inlineStr">
        <is>
          <t>SANDVIKEN</t>
        </is>
      </c>
      <c r="H894" t="inlineStr">
        <is>
          <t>Kommuner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13642-2026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46097</v>
      </c>
      <c r="E895" s="1" t="n">
        <v>46311</v>
      </c>
      <c r="F895" t="inlineStr">
        <is>
          <t>GÄVLEBORGS LÄN</t>
        </is>
      </c>
      <c r="G895" t="inlineStr">
        <is>
          <t>SANDVIKEN</t>
        </is>
      </c>
      <c r="H895" t="inlineStr">
        <is>
          <t>Kommuner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13552-2026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46094</v>
      </c>
      <c r="E896" s="1" t="n">
        <v>46311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13582-2026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46095</v>
      </c>
      <c r="E897" s="1" t="n">
        <v>46311</v>
      </c>
      <c r="F897" t="inlineStr">
        <is>
          <t>GÄVLEBORGS LÄN</t>
        </is>
      </c>
      <c r="G897" t="inlineStr">
        <is>
          <t>SANDVIKEN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13727-2026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46097</v>
      </c>
      <c r="E898" s="1" t="n">
        <v>46311</v>
      </c>
      <c r="F898" t="inlineStr">
        <is>
          <t>GÄVLEBORGS LÄN</t>
        </is>
      </c>
      <c r="G898" t="inlineStr">
        <is>
          <t>SANDVIKEN</t>
        </is>
      </c>
      <c r="H898" t="inlineStr">
        <is>
          <t>Kommuner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2071-2020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44102</v>
      </c>
      <c r="E899" s="1" t="n">
        <v>46311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42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10363-2021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44550</v>
      </c>
      <c r="E900" s="1" t="n">
        <v>46311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73.3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219-2024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45316</v>
      </c>
      <c r="E901" s="1" t="n">
        <v>46311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198-2024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45315</v>
      </c>
      <c r="E902" s="1" t="n">
        <v>46311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64.59999999999999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513-2025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45706</v>
      </c>
      <c r="E903" s="1" t="n">
        <v>46311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29.5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46311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46311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46311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46311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46311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46311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46311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46311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2026-10-16T02:20:56Z</dcterms:created>
  <dcterms:modified xmlns:dcterms="http://purl.org/dc/terms/" xmlns:xsi="http://www.w3.org/2001/XMLSchema-instance" xsi:type="dcterms:W3CDTF">2026-10-16T02:20:57Z</dcterms:modified>
</cp:coreProperties>
</file>