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46129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7459-2026</t>
        </is>
      </c>
      <c r="B3" s="1" t="n">
        <v>46058</v>
      </c>
      <c r="C3" s="1" t="n">
        <v>46129</v>
      </c>
      <c r="D3" t="inlineStr">
        <is>
          <t>GÄVLEBORGS LÄN</t>
        </is>
      </c>
      <c r="E3" t="inlineStr">
        <is>
          <t>SANDVIKEN</t>
        </is>
      </c>
      <c r="G3" t="n">
        <v>7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Rödvingetrast
Brandticka
Rostfläck
Grönsiska</t>
        </is>
      </c>
      <c r="S3">
        <f>HYPERLINK("https://klasma.github.io/Logging_2181/artfynd/A 7459-2026 artfynd.xlsx", "A 7459-2026")</f>
        <v/>
      </c>
      <c r="T3">
        <f>HYPERLINK("https://klasma.github.io/Logging_2181/kartor/A 7459-2026 karta.png", "A 7459-2026")</f>
        <v/>
      </c>
      <c r="V3">
        <f>HYPERLINK("https://klasma.github.io/Logging_2181/klagomål/A 7459-2026 FSC-klagomål.docx", "A 7459-2026")</f>
        <v/>
      </c>
      <c r="W3">
        <f>HYPERLINK("https://klasma.github.io/Logging_2181/klagomålsmail/A 7459-2026 FSC-klagomål mail.docx", "A 7459-2026")</f>
        <v/>
      </c>
      <c r="X3">
        <f>HYPERLINK("https://klasma.github.io/Logging_2181/tillsyn/A 7459-2026 tillsynsbegäran.docx", "A 7459-2026")</f>
        <v/>
      </c>
      <c r="Y3">
        <f>HYPERLINK("https://klasma.github.io/Logging_2181/tillsynsmail/A 7459-2026 tillsynsbegäran mail.docx", "A 7459-2026")</f>
        <v/>
      </c>
      <c r="Z3">
        <f>HYPERLINK("https://klasma.github.io/Logging_2181/fåglar/A 7459-2026 prioriterade fågelarter.docx", "A 7459-2026")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46129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46129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15650-2024</t>
        </is>
      </c>
      <c r="B6" s="1" t="n">
        <v>45404</v>
      </c>
      <c r="C6" s="1" t="n">
        <v>46129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9.300000000000001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Fjällig taggsvamp s.str.
Grönpyrola</t>
        </is>
      </c>
      <c r="S6">
        <f>HYPERLINK("https://klasma.github.io/Logging_2181/artfynd/A 15650-2024 artfynd.xlsx", "A 15650-2024")</f>
        <v/>
      </c>
      <c r="T6">
        <f>HYPERLINK("https://klasma.github.io/Logging_2181/kartor/A 15650-2024 karta.png", "A 15650-2024")</f>
        <v/>
      </c>
      <c r="U6">
        <f>HYPERLINK("https://klasma.github.io/Logging_2181/knärot/A 15650-2024 karta knärot.png", "A 15650-2024")</f>
        <v/>
      </c>
      <c r="V6">
        <f>HYPERLINK("https://klasma.github.io/Logging_2181/klagomål/A 15650-2024 FSC-klagomål.docx", "A 15650-2024")</f>
        <v/>
      </c>
      <c r="W6">
        <f>HYPERLINK("https://klasma.github.io/Logging_2181/klagomålsmail/A 15650-2024 FSC-klagomål mail.docx", "A 15650-2024")</f>
        <v/>
      </c>
      <c r="X6">
        <f>HYPERLINK("https://klasma.github.io/Logging_2181/tillsyn/A 15650-2024 tillsynsbegäran.docx", "A 15650-2024")</f>
        <v/>
      </c>
      <c r="Y6">
        <f>HYPERLINK("https://klasma.github.io/Logging_2181/tillsynsmail/A 15650-2024 tillsynsbegäran mail.docx", "A 15650-2024")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46129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46129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46129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21196-2024</t>
        </is>
      </c>
      <c r="B10" s="1" t="n">
        <v>45440</v>
      </c>
      <c r="C10" s="1" t="n">
        <v>46129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45.5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Lappuggla
Ullticka</t>
        </is>
      </c>
      <c r="S10">
        <f>HYPERLINK("https://klasma.github.io/Logging_2181/artfynd/A 21196-2024 artfynd.xlsx", "A 21196-2024")</f>
        <v/>
      </c>
      <c r="T10">
        <f>HYPERLINK("https://klasma.github.io/Logging_2181/kartor/A 21196-2024 karta.png", "A 21196-2024")</f>
        <v/>
      </c>
      <c r="V10">
        <f>HYPERLINK("https://klasma.github.io/Logging_2181/klagomål/A 21196-2024 FSC-klagomål.docx", "A 21196-2024")</f>
        <v/>
      </c>
      <c r="W10">
        <f>HYPERLINK("https://klasma.github.io/Logging_2181/klagomålsmail/A 21196-2024 FSC-klagomål mail.docx", "A 21196-2024")</f>
        <v/>
      </c>
      <c r="X10">
        <f>HYPERLINK("https://klasma.github.io/Logging_2181/tillsyn/A 21196-2024 tillsynsbegäran.docx", "A 21196-2024")</f>
        <v/>
      </c>
      <c r="Y10">
        <f>HYPERLINK("https://klasma.github.io/Logging_2181/tillsynsmail/A 21196-2024 tillsynsbegäran mail.docx", "A 21196-2024")</f>
        <v/>
      </c>
      <c r="Z10">
        <f>HYPERLINK("https://klasma.github.io/Logging_2181/fåglar/A 21196-2024 prioriterade fågelarter.docx", "A 21196-2024")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46129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1179-2026</t>
        </is>
      </c>
      <c r="B12" s="1" t="n">
        <v>46031.35736111111</v>
      </c>
      <c r="C12" s="1" t="n">
        <v>46129</v>
      </c>
      <c r="D12" t="inlineStr">
        <is>
          <t>GÄVLEBORGS LÄN</t>
        </is>
      </c>
      <c r="E12" t="inlineStr">
        <is>
          <t>SANDVIKEN</t>
        </is>
      </c>
      <c r="G12" t="n">
        <v>2.7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Strutbräken
Revlummer</t>
        </is>
      </c>
      <c r="S12">
        <f>HYPERLINK("https://klasma.github.io/Logging_2181/artfynd/A 1179-2026 artfynd.xlsx", "A 1179-2026")</f>
        <v/>
      </c>
      <c r="T12">
        <f>HYPERLINK("https://klasma.github.io/Logging_2181/kartor/A 1179-2026 karta.png", "A 1179-2026")</f>
        <v/>
      </c>
      <c r="V12">
        <f>HYPERLINK("https://klasma.github.io/Logging_2181/klagomål/A 1179-2026 FSC-klagomål.docx", "A 1179-2026")</f>
        <v/>
      </c>
      <c r="W12">
        <f>HYPERLINK("https://klasma.github.io/Logging_2181/klagomålsmail/A 1179-2026 FSC-klagomål mail.docx", "A 1179-2026")</f>
        <v/>
      </c>
      <c r="X12">
        <f>HYPERLINK("https://klasma.github.io/Logging_2181/tillsyn/A 1179-2026 tillsynsbegäran.docx", "A 1179-2026")</f>
        <v/>
      </c>
      <c r="Y12">
        <f>HYPERLINK("https://klasma.github.io/Logging_2181/tillsynsmail/A 1179-2026 tillsynsbegäran mail.docx", "A 1179-2026")</f>
        <v/>
      </c>
    </row>
    <row r="13" ht="15" customHeight="1">
      <c r="A13" t="inlineStr">
        <is>
          <t>A 4501-2026</t>
        </is>
      </c>
      <c r="B13" s="1" t="n">
        <v>46045</v>
      </c>
      <c r="C13" s="1" t="n">
        <v>46129</v>
      </c>
      <c r="D13" t="inlineStr">
        <is>
          <t>GÄVLEBORGS LÄN</t>
        </is>
      </c>
      <c r="E13" t="inlineStr">
        <is>
          <t>SANDVIKEN</t>
        </is>
      </c>
      <c r="G13" t="n">
        <v>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Fläcknycklar</t>
        </is>
      </c>
      <c r="S13">
        <f>HYPERLINK("https://klasma.github.io/Logging_2181/artfynd/A 4501-2026 artfynd.xlsx", "A 4501-2026")</f>
        <v/>
      </c>
      <c r="T13">
        <f>HYPERLINK("https://klasma.github.io/Logging_2181/kartor/A 4501-2026 karta.png", "A 4501-2026")</f>
        <v/>
      </c>
      <c r="V13">
        <f>HYPERLINK("https://klasma.github.io/Logging_2181/klagomål/A 4501-2026 FSC-klagomål.docx", "A 4501-2026")</f>
        <v/>
      </c>
      <c r="W13">
        <f>HYPERLINK("https://klasma.github.io/Logging_2181/klagomålsmail/A 4501-2026 FSC-klagomål mail.docx", "A 4501-2026")</f>
        <v/>
      </c>
      <c r="X13">
        <f>HYPERLINK("https://klasma.github.io/Logging_2181/tillsyn/A 4501-2026 tillsynsbegäran.docx", "A 4501-2026")</f>
        <v/>
      </c>
      <c r="Y13">
        <f>HYPERLINK("https://klasma.github.io/Logging_2181/tillsynsmail/A 4501-2026 tillsynsbegäran mail.docx", "A 4501-2026")</f>
        <v/>
      </c>
    </row>
    <row r="14" ht="15" customHeight="1">
      <c r="A14" t="inlineStr">
        <is>
          <t>A 5020-2026</t>
        </is>
      </c>
      <c r="B14" s="1" t="n">
        <v>46049.43936342592</v>
      </c>
      <c r="C14" s="1" t="n">
        <v>46129</v>
      </c>
      <c r="D14" t="inlineStr">
        <is>
          <t>GÄVLEBORGS LÄN</t>
        </is>
      </c>
      <c r="E14" t="inlineStr">
        <is>
          <t>SANDVIKEN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Orange taggsvamp</t>
        </is>
      </c>
      <c r="S14">
        <f>HYPERLINK("https://klasma.github.io/Logging_2181/artfynd/A 5020-2026 artfynd.xlsx", "A 5020-2026")</f>
        <v/>
      </c>
      <c r="T14">
        <f>HYPERLINK("https://klasma.github.io/Logging_2181/kartor/A 5020-2026 karta.png", "A 5020-2026")</f>
        <v/>
      </c>
      <c r="V14">
        <f>HYPERLINK("https://klasma.github.io/Logging_2181/klagomål/A 5020-2026 FSC-klagomål.docx", "A 5020-2026")</f>
        <v/>
      </c>
      <c r="W14">
        <f>HYPERLINK("https://klasma.github.io/Logging_2181/klagomålsmail/A 5020-2026 FSC-klagomål mail.docx", "A 5020-2026")</f>
        <v/>
      </c>
      <c r="X14">
        <f>HYPERLINK("https://klasma.github.io/Logging_2181/tillsyn/A 5020-2026 tillsynsbegäran.docx", "A 5020-2026")</f>
        <v/>
      </c>
      <c r="Y14">
        <f>HYPERLINK("https://klasma.github.io/Logging_2181/tillsynsmail/A 5020-2026 tillsynsbegäran mail.docx", "A 5020-2026")</f>
        <v/>
      </c>
    </row>
    <row r="15" ht="15" customHeight="1">
      <c r="A15" t="inlineStr">
        <is>
          <t>A 2857-2025</t>
        </is>
      </c>
      <c r="B15" s="1" t="n">
        <v>45677.66832175926</v>
      </c>
      <c r="C15" s="1" t="n">
        <v>46129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Thomsons trägnagare</t>
        </is>
      </c>
      <c r="S15">
        <f>HYPERLINK("https://klasma.github.io/Logging_2181/artfynd/A 2857-2025 artfynd.xlsx", "A 2857-2025")</f>
        <v/>
      </c>
      <c r="T15">
        <f>HYPERLINK("https://klasma.github.io/Logging_2181/kartor/A 2857-2025 karta.png", "A 2857-2025")</f>
        <v/>
      </c>
      <c r="V15">
        <f>HYPERLINK("https://klasma.github.io/Logging_2181/klagomål/A 2857-2025 FSC-klagomål.docx", "A 2857-2025")</f>
        <v/>
      </c>
      <c r="W15">
        <f>HYPERLINK("https://klasma.github.io/Logging_2181/klagomålsmail/A 2857-2025 FSC-klagomål mail.docx", "A 2857-2025")</f>
        <v/>
      </c>
      <c r="X15">
        <f>HYPERLINK("https://klasma.github.io/Logging_2181/tillsyn/A 2857-2025 tillsynsbegäran.docx", "A 2857-2025")</f>
        <v/>
      </c>
      <c r="Y15">
        <f>HYPERLINK("https://klasma.github.io/Logging_2181/tillsynsmail/A 2857-2025 tillsynsbegäran mail.docx", "A 2857-2025")</f>
        <v/>
      </c>
    </row>
    <row r="16" ht="15" customHeight="1">
      <c r="A16" t="inlineStr">
        <is>
          <t>A 13897-2026</t>
        </is>
      </c>
      <c r="B16" s="1" t="n">
        <v>46098.46626157407</v>
      </c>
      <c r="C16" s="1" t="n">
        <v>46129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Igelkott
Fläcknycklar</t>
        </is>
      </c>
      <c r="S16">
        <f>HYPERLINK("https://klasma.github.io/Logging_2181/artfynd/A 13897-2026 artfynd.xlsx", "A 13897-2026")</f>
        <v/>
      </c>
      <c r="T16">
        <f>HYPERLINK("https://klasma.github.io/Logging_2181/kartor/A 13897-2026 karta.png", "A 13897-2026")</f>
        <v/>
      </c>
      <c r="V16">
        <f>HYPERLINK("https://klasma.github.io/Logging_2181/klagomål/A 13897-2026 FSC-klagomål.docx", "A 13897-2026")</f>
        <v/>
      </c>
      <c r="W16">
        <f>HYPERLINK("https://klasma.github.io/Logging_2181/klagomålsmail/A 13897-2026 FSC-klagomål mail.docx", "A 13897-2026")</f>
        <v/>
      </c>
      <c r="X16">
        <f>HYPERLINK("https://klasma.github.io/Logging_2181/tillsyn/A 13897-2026 tillsynsbegäran.docx", "A 13897-2026")</f>
        <v/>
      </c>
      <c r="Y16">
        <f>HYPERLINK("https://klasma.github.io/Logging_2181/tillsynsmail/A 13897-2026 tillsynsbegäran mail.docx", "A 13897-2026")</f>
        <v/>
      </c>
    </row>
    <row r="17" ht="15" customHeight="1">
      <c r="A17" t="inlineStr">
        <is>
          <t>A 14696-2026</t>
        </is>
      </c>
      <c r="B17" s="1" t="n">
        <v>46101.51688657407</v>
      </c>
      <c r="C17" s="1" t="n">
        <v>46129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Garnlav</t>
        </is>
      </c>
      <c r="S17">
        <f>HYPERLINK("https://klasma.github.io/Logging_2181/artfynd/A 14696-2026 artfynd.xlsx", "A 14696-2026")</f>
        <v/>
      </c>
      <c r="T17">
        <f>HYPERLINK("https://klasma.github.io/Logging_2181/kartor/A 14696-2026 karta.png", "A 14696-2026")</f>
        <v/>
      </c>
      <c r="U17">
        <f>HYPERLINK("https://klasma.github.io/Logging_2181/knärot/A 14696-2026 karta knärot.png", "A 14696-2026")</f>
        <v/>
      </c>
      <c r="V17">
        <f>HYPERLINK("https://klasma.github.io/Logging_2181/klagomål/A 14696-2026 FSC-klagomål.docx", "A 14696-2026")</f>
        <v/>
      </c>
      <c r="W17">
        <f>HYPERLINK("https://klasma.github.io/Logging_2181/klagomålsmail/A 14696-2026 FSC-klagomål mail.docx", "A 14696-2026")</f>
        <v/>
      </c>
      <c r="X17">
        <f>HYPERLINK("https://klasma.github.io/Logging_2181/tillsyn/A 14696-2026 tillsynsbegäran.docx", "A 14696-2026")</f>
        <v/>
      </c>
      <c r="Y17">
        <f>HYPERLINK("https://klasma.github.io/Logging_2181/tillsynsmail/A 14696-2026 tillsynsbegäran mail.docx", "A 14696-2026")</f>
        <v/>
      </c>
    </row>
    <row r="18" ht="15" customHeight="1">
      <c r="A18" t="inlineStr">
        <is>
          <t>A 15895-2026</t>
        </is>
      </c>
      <c r="B18" s="1" t="n">
        <v>46107.62331018518</v>
      </c>
      <c r="C18" s="1" t="n">
        <v>46129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10.2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HYPERLINK("https://klasma.github.io/Logging_2181/artfynd/A 15895-2026 artfynd.xlsx", "A 15895-2026")</f>
        <v/>
      </c>
      <c r="T18">
        <f>HYPERLINK("https://klasma.github.io/Logging_2181/kartor/A 15895-2026 karta.png", "A 15895-2026")</f>
        <v/>
      </c>
      <c r="V18">
        <f>HYPERLINK("https://klasma.github.io/Logging_2181/klagomål/A 15895-2026 FSC-klagomål.docx", "A 15895-2026")</f>
        <v/>
      </c>
      <c r="W18">
        <f>HYPERLINK("https://klasma.github.io/Logging_2181/klagomålsmail/A 15895-2026 FSC-klagomål mail.docx", "A 15895-2026")</f>
        <v/>
      </c>
      <c r="X18">
        <f>HYPERLINK("https://klasma.github.io/Logging_2181/tillsyn/A 15895-2026 tillsynsbegäran.docx", "A 15895-2026")</f>
        <v/>
      </c>
      <c r="Y18">
        <f>HYPERLINK("https://klasma.github.io/Logging_2181/tillsynsmail/A 15895-2026 tillsynsbegäran mail.docx", "A 15895-2026")</f>
        <v/>
      </c>
    </row>
    <row r="19" ht="15" customHeight="1">
      <c r="A19" t="inlineStr">
        <is>
          <t>A 11908-2026</t>
        </is>
      </c>
      <c r="B19" s="1" t="n">
        <v>46085</v>
      </c>
      <c r="C19" s="1" t="n">
        <v>46129</v>
      </c>
      <c r="D19" t="inlineStr">
        <is>
          <t>GÄVLEBORGS LÄN</t>
        </is>
      </c>
      <c r="E19" t="inlineStr">
        <is>
          <t>SANDVIKEN</t>
        </is>
      </c>
      <c r="G19" t="n">
        <v>2.6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HYPERLINK("https://klasma.github.io/Logging_2181/artfynd/A 11908-2026 artfynd.xlsx", "A 11908-2026")</f>
        <v/>
      </c>
      <c r="T19">
        <f>HYPERLINK("https://klasma.github.io/Logging_2181/kartor/A 11908-2026 karta.png", "A 11908-2026")</f>
        <v/>
      </c>
      <c r="U19">
        <f>HYPERLINK("https://klasma.github.io/Logging_2181/knärot/A 11908-2026 karta knärot.png", "A 11908-2026")</f>
        <v/>
      </c>
      <c r="V19">
        <f>HYPERLINK("https://klasma.github.io/Logging_2181/klagomål/A 11908-2026 FSC-klagomål.docx", "A 11908-2026")</f>
        <v/>
      </c>
      <c r="W19">
        <f>HYPERLINK("https://klasma.github.io/Logging_2181/klagomålsmail/A 11908-2026 FSC-klagomål mail.docx", "A 11908-2026")</f>
        <v/>
      </c>
      <c r="X19">
        <f>HYPERLINK("https://klasma.github.io/Logging_2181/tillsyn/A 11908-2026 tillsynsbegäran.docx", "A 11908-2026")</f>
        <v/>
      </c>
      <c r="Y19">
        <f>HYPERLINK("https://klasma.github.io/Logging_2181/tillsynsmail/A 11908-2026 tillsynsbegäran mail.docx", "A 11908-2026")</f>
        <v/>
      </c>
    </row>
    <row r="20" ht="15" customHeight="1">
      <c r="A20" t="inlineStr">
        <is>
          <t>A 27966-2022</t>
        </is>
      </c>
      <c r="B20" s="1" t="n">
        <v>44744</v>
      </c>
      <c r="C20" s="1" t="n">
        <v>46129</v>
      </c>
      <c r="D20" t="inlineStr">
        <is>
          <t>GÄVLEBORGS LÄN</t>
        </is>
      </c>
      <c r="E20" t="inlineStr">
        <is>
          <t>SANDVIKEN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HYPERLINK("https://klasma.github.io/Logging_2181/artfynd/A 27966-2022 artfynd.xlsx", "A 27966-2022")</f>
        <v/>
      </c>
      <c r="T20">
        <f>HYPERLINK("https://klasma.github.io/Logging_2181/kartor/A 27966-2022 karta.png", "A 27966-2022")</f>
        <v/>
      </c>
      <c r="V20">
        <f>HYPERLINK("https://klasma.github.io/Logging_2181/klagomål/A 27966-2022 FSC-klagomål.docx", "A 27966-2022")</f>
        <v/>
      </c>
      <c r="W20">
        <f>HYPERLINK("https://klasma.github.io/Logging_2181/klagomålsmail/A 27966-2022 FSC-klagomål mail.docx", "A 27966-2022")</f>
        <v/>
      </c>
      <c r="X20">
        <f>HYPERLINK("https://klasma.github.io/Logging_2181/tillsyn/A 27966-2022 tillsynsbegäran.docx", "A 27966-2022")</f>
        <v/>
      </c>
      <c r="Y20">
        <f>HYPERLINK("https://klasma.github.io/Logging_2181/tillsynsmail/A 27966-2022 tillsynsbegäran mail.docx", "A 27966-2022")</f>
        <v/>
      </c>
    </row>
    <row r="21" ht="15" customHeight="1">
      <c r="A21" t="inlineStr">
        <is>
          <t>A 63033-2021</t>
        </is>
      </c>
      <c r="B21" s="1" t="n">
        <v>44505.46231481482</v>
      </c>
      <c r="C21" s="1" t="n">
        <v>46129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35525-2022</t>
        </is>
      </c>
      <c r="B22" s="1" t="n">
        <v>44799.29469907407</v>
      </c>
      <c r="C22" s="1" t="n">
        <v>46129</v>
      </c>
      <c r="D22" t="inlineStr">
        <is>
          <t>GÄVLEBORGS LÄN</t>
        </is>
      </c>
      <c r="E22" t="inlineStr">
        <is>
          <t>SANDVIKEN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HYPERLINK("https://klasma.github.io/Logging_2181/artfynd/A 35525-2022 artfynd.xlsx", "A 35525-2022")</f>
        <v/>
      </c>
      <c r="T22">
        <f>HYPERLINK("https://klasma.github.io/Logging_2181/kartor/A 35525-2022 karta.png", "A 35525-2022")</f>
        <v/>
      </c>
      <c r="V22">
        <f>HYPERLINK("https://klasma.github.io/Logging_2181/klagomål/A 35525-2022 FSC-klagomål.docx", "A 35525-2022")</f>
        <v/>
      </c>
      <c r="W22">
        <f>HYPERLINK("https://klasma.github.io/Logging_2181/klagomålsmail/A 35525-2022 FSC-klagomål mail.docx", "A 35525-2022")</f>
        <v/>
      </c>
      <c r="X22">
        <f>HYPERLINK("https://klasma.github.io/Logging_2181/tillsyn/A 35525-2022 tillsynsbegäran.docx", "A 35525-2022")</f>
        <v/>
      </c>
      <c r="Y22">
        <f>HYPERLINK("https://klasma.github.io/Logging_2181/tillsynsmail/A 35525-2022 tillsynsbegäran mail.docx", "A 35525-2022")</f>
        <v/>
      </c>
    </row>
    <row r="23" ht="15" customHeight="1">
      <c r="A23" t="inlineStr">
        <is>
          <t>A 58845-2023</t>
        </is>
      </c>
      <c r="B23" s="1" t="n">
        <v>45252</v>
      </c>
      <c r="C23" s="1" t="n">
        <v>46129</v>
      </c>
      <c r="D23" t="inlineStr">
        <is>
          <t>GÄVLEBORGS LÄN</t>
        </is>
      </c>
      <c r="E23" t="inlineStr">
        <is>
          <t>SANDVIKEN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HYPERLINK("https://klasma.github.io/Logging_2181/artfynd/A 58845-2023 artfynd.xlsx", "A 58845-2023")</f>
        <v/>
      </c>
      <c r="T23">
        <f>HYPERLINK("https://klasma.github.io/Logging_2181/kartor/A 58845-2023 karta.png", "A 58845-2023")</f>
        <v/>
      </c>
      <c r="V23">
        <f>HYPERLINK("https://klasma.github.io/Logging_2181/klagomål/A 58845-2023 FSC-klagomål.docx", "A 58845-2023")</f>
        <v/>
      </c>
      <c r="W23">
        <f>HYPERLINK("https://klasma.github.io/Logging_2181/klagomålsmail/A 58845-2023 FSC-klagomål mail.docx", "A 58845-2023")</f>
        <v/>
      </c>
      <c r="X23">
        <f>HYPERLINK("https://klasma.github.io/Logging_2181/tillsyn/A 58845-2023 tillsynsbegäran.docx", "A 58845-2023")</f>
        <v/>
      </c>
      <c r="Y23">
        <f>HYPERLINK("https://klasma.github.io/Logging_2181/tillsynsmail/A 58845-2023 tillsynsbegäran mail.docx", "A 58845-2023")</f>
        <v/>
      </c>
    </row>
    <row r="24" ht="15" customHeight="1">
      <c r="A24" t="inlineStr">
        <is>
          <t>A 47971-2024</t>
        </is>
      </c>
      <c r="B24" s="1" t="n">
        <v>45589.39483796297</v>
      </c>
      <c r="C24" s="1" t="n">
        <v>46129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väst AB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HYPERLINK("https://klasma.github.io/Logging_2181/artfynd/A 47971-2024 artfynd.xlsx", "A 47971-2024")</f>
        <v/>
      </c>
      <c r="T24">
        <f>HYPERLINK("https://klasma.github.io/Logging_2181/kartor/A 47971-2024 karta.png", "A 47971-2024")</f>
        <v/>
      </c>
      <c r="V24">
        <f>HYPERLINK("https://klasma.github.io/Logging_2181/klagomål/A 47971-2024 FSC-klagomål.docx", "A 47971-2024")</f>
        <v/>
      </c>
      <c r="W24">
        <f>HYPERLINK("https://klasma.github.io/Logging_2181/klagomålsmail/A 47971-2024 FSC-klagomål mail.docx", "A 47971-2024")</f>
        <v/>
      </c>
      <c r="X24">
        <f>HYPERLINK("https://klasma.github.io/Logging_2181/tillsyn/A 47971-2024 tillsynsbegäran.docx", "A 47971-2024")</f>
        <v/>
      </c>
      <c r="Y24">
        <f>HYPERLINK("https://klasma.github.io/Logging_2181/tillsynsmail/A 47971-2024 tillsynsbegäran mail.docx", "A 47971-2024")</f>
        <v/>
      </c>
    </row>
    <row r="25" ht="15" customHeight="1">
      <c r="A25" t="inlineStr">
        <is>
          <t>A 311-2024</t>
        </is>
      </c>
      <c r="B25" s="1" t="n">
        <v>45295.51502314815</v>
      </c>
      <c r="C25" s="1" t="n">
        <v>46129</v>
      </c>
      <c r="D25" t="inlineStr">
        <is>
          <t>GÄVLEBORGS LÄN</t>
        </is>
      </c>
      <c r="E25" t="inlineStr">
        <is>
          <t>SANDVIKEN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311-2024 artfynd.xlsx", "A 311-2024")</f>
        <v/>
      </c>
      <c r="T25">
        <f>HYPERLINK("https://klasma.github.io/Logging_2181/kartor/A 311-2024 karta.png", "A 311-2024")</f>
        <v/>
      </c>
      <c r="V25">
        <f>HYPERLINK("https://klasma.github.io/Logging_2181/klagomål/A 311-2024 FSC-klagomål.docx", "A 311-2024")</f>
        <v/>
      </c>
      <c r="W25">
        <f>HYPERLINK("https://klasma.github.io/Logging_2181/klagomålsmail/A 311-2024 FSC-klagomål mail.docx", "A 311-2024")</f>
        <v/>
      </c>
      <c r="X25">
        <f>HYPERLINK("https://klasma.github.io/Logging_2181/tillsyn/A 311-2024 tillsynsbegäran.docx", "A 311-2024")</f>
        <v/>
      </c>
      <c r="Y25">
        <f>HYPERLINK("https://klasma.github.io/Logging_2181/tillsynsmail/A 311-2024 tillsynsbegäran mail.docx", "A 311-2024")</f>
        <v/>
      </c>
    </row>
    <row r="26" ht="15" customHeight="1">
      <c r="A26" t="inlineStr">
        <is>
          <t>A 39872-2025</t>
        </is>
      </c>
      <c r="B26" s="1" t="n">
        <v>45891.61175925926</v>
      </c>
      <c r="C26" s="1" t="n">
        <v>46129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HYPERLINK("https://klasma.github.io/Logging_2181/artfynd/A 39872-2025 artfynd.xlsx", "A 39872-2025")</f>
        <v/>
      </c>
      <c r="T26">
        <f>HYPERLINK("https://klasma.github.io/Logging_2181/kartor/A 39872-2025 karta.png", "A 39872-2025")</f>
        <v/>
      </c>
      <c r="V26">
        <f>HYPERLINK("https://klasma.github.io/Logging_2181/klagomål/A 39872-2025 FSC-klagomål.docx", "A 39872-2025")</f>
        <v/>
      </c>
      <c r="W26">
        <f>HYPERLINK("https://klasma.github.io/Logging_2181/klagomålsmail/A 39872-2025 FSC-klagomål mail.docx", "A 39872-2025")</f>
        <v/>
      </c>
      <c r="X26">
        <f>HYPERLINK("https://klasma.github.io/Logging_2181/tillsyn/A 39872-2025 tillsynsbegäran.docx", "A 39872-2025")</f>
        <v/>
      </c>
      <c r="Y26">
        <f>HYPERLINK("https://klasma.github.io/Logging_2181/tillsynsmail/A 39872-2025 tillsynsbegäran mail.docx", "A 39872-2025")</f>
        <v/>
      </c>
    </row>
    <row r="27" ht="15" customHeight="1">
      <c r="A27" t="inlineStr">
        <is>
          <t>A 39873-2025</t>
        </is>
      </c>
      <c r="B27" s="1" t="n">
        <v>45891.61375</v>
      </c>
      <c r="C27" s="1" t="n">
        <v>46129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HYPERLINK("https://klasma.github.io/Logging_2181/artfynd/A 39873-2025 artfynd.xlsx", "A 39873-2025")</f>
        <v/>
      </c>
      <c r="T27">
        <f>HYPERLINK("https://klasma.github.io/Logging_2181/kartor/A 39873-2025 karta.png", "A 39873-2025")</f>
        <v/>
      </c>
      <c r="V27">
        <f>HYPERLINK("https://klasma.github.io/Logging_2181/klagomål/A 39873-2025 FSC-klagomål.docx", "A 39873-2025")</f>
        <v/>
      </c>
      <c r="W27">
        <f>HYPERLINK("https://klasma.github.io/Logging_2181/klagomålsmail/A 39873-2025 FSC-klagomål mail.docx", "A 39873-2025")</f>
        <v/>
      </c>
      <c r="X27">
        <f>HYPERLINK("https://klasma.github.io/Logging_2181/tillsyn/A 39873-2025 tillsynsbegäran.docx", "A 39873-2025")</f>
        <v/>
      </c>
      <c r="Y27">
        <f>HYPERLINK("https://klasma.github.io/Logging_2181/tillsynsmail/A 39873-2025 tillsynsbegäran mail.docx", "A 39873-2025")</f>
        <v/>
      </c>
    </row>
    <row r="28" ht="15" customHeight="1">
      <c r="A28" t="inlineStr">
        <is>
          <t>A 40434-2025</t>
        </is>
      </c>
      <c r="B28" s="1" t="n">
        <v>45895.61741898148</v>
      </c>
      <c r="C28" s="1" t="n">
        <v>46129</v>
      </c>
      <c r="D28" t="inlineStr">
        <is>
          <t>GÄVLEBORGS LÄN</t>
        </is>
      </c>
      <c r="E28" t="inlineStr">
        <is>
          <t>SANDVIKEN</t>
        </is>
      </c>
      <c r="G28" t="n">
        <v>11.7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HYPERLINK("https://klasma.github.io/Logging_2181/artfynd/A 40434-2025 artfynd.xlsx", "A 40434-2025")</f>
        <v/>
      </c>
      <c r="T28">
        <f>HYPERLINK("https://klasma.github.io/Logging_2181/kartor/A 40434-2025 karta.png", "A 40434-2025")</f>
        <v/>
      </c>
      <c r="V28">
        <f>HYPERLINK("https://klasma.github.io/Logging_2181/klagomål/A 40434-2025 FSC-klagomål.docx", "A 40434-2025")</f>
        <v/>
      </c>
      <c r="W28">
        <f>HYPERLINK("https://klasma.github.io/Logging_2181/klagomålsmail/A 40434-2025 FSC-klagomål mail.docx", "A 40434-2025")</f>
        <v/>
      </c>
      <c r="X28">
        <f>HYPERLINK("https://klasma.github.io/Logging_2181/tillsyn/A 40434-2025 tillsynsbegäran.docx", "A 40434-2025")</f>
        <v/>
      </c>
      <c r="Y28">
        <f>HYPERLINK("https://klasma.github.io/Logging_2181/tillsynsmail/A 40434-2025 tillsynsbegäran mail.docx", "A 40434-2025")</f>
        <v/>
      </c>
    </row>
    <row r="29" ht="15" customHeight="1">
      <c r="A29" t="inlineStr">
        <is>
          <t>A 25323-2025</t>
        </is>
      </c>
      <c r="B29" s="1" t="n">
        <v>45800.58765046296</v>
      </c>
      <c r="C29" s="1" t="n">
        <v>46129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HYPERLINK("https://klasma.github.io/Logging_2181/artfynd/A 25323-2025 artfynd.xlsx", "A 25323-2025")</f>
        <v/>
      </c>
      <c r="T29">
        <f>HYPERLINK("https://klasma.github.io/Logging_2181/kartor/A 25323-2025 karta.png", "A 25323-2025")</f>
        <v/>
      </c>
      <c r="V29">
        <f>HYPERLINK("https://klasma.github.io/Logging_2181/klagomål/A 25323-2025 FSC-klagomål.docx", "A 25323-2025")</f>
        <v/>
      </c>
      <c r="W29">
        <f>HYPERLINK("https://klasma.github.io/Logging_2181/klagomålsmail/A 25323-2025 FSC-klagomål mail.docx", "A 25323-2025")</f>
        <v/>
      </c>
      <c r="X29">
        <f>HYPERLINK("https://klasma.github.io/Logging_2181/tillsyn/A 25323-2025 tillsynsbegäran.docx", "A 25323-2025")</f>
        <v/>
      </c>
      <c r="Y29">
        <f>HYPERLINK("https://klasma.github.io/Logging_2181/tillsynsmail/A 25323-2025 tillsynsbegäran mail.docx", "A 25323-2025")</f>
        <v/>
      </c>
    </row>
    <row r="30" ht="15" customHeight="1">
      <c r="A30" t="inlineStr">
        <is>
          <t>A 46729-2025</t>
        </is>
      </c>
      <c r="B30" s="1" t="n">
        <v>45926.59086805556</v>
      </c>
      <c r="C30" s="1" t="n">
        <v>46129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HYPERLINK("https://klasma.github.io/Logging_2181/artfynd/A 46729-2025 artfynd.xlsx", "A 46729-2025")</f>
        <v/>
      </c>
      <c r="T30">
        <f>HYPERLINK("https://klasma.github.io/Logging_2181/kartor/A 46729-2025 karta.png", "A 46729-2025")</f>
        <v/>
      </c>
      <c r="V30">
        <f>HYPERLINK("https://klasma.github.io/Logging_2181/klagomål/A 46729-2025 FSC-klagomål.docx", "A 46729-2025")</f>
        <v/>
      </c>
      <c r="W30">
        <f>HYPERLINK("https://klasma.github.io/Logging_2181/klagomålsmail/A 46729-2025 FSC-klagomål mail.docx", "A 46729-2025")</f>
        <v/>
      </c>
      <c r="X30">
        <f>HYPERLINK("https://klasma.github.io/Logging_2181/tillsyn/A 46729-2025 tillsynsbegäran.docx", "A 46729-2025")</f>
        <v/>
      </c>
      <c r="Y30">
        <f>HYPERLINK("https://klasma.github.io/Logging_2181/tillsynsmail/A 46729-2025 tillsynsbegäran mail.docx", "A 46729-2025")</f>
        <v/>
      </c>
    </row>
    <row r="31" ht="15" customHeight="1">
      <c r="A31" t="inlineStr">
        <is>
          <t>A 46610-2025</t>
        </is>
      </c>
      <c r="B31" s="1" t="n">
        <v>45926.42373842592</v>
      </c>
      <c r="C31" s="1" t="n">
        <v>46129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16.3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HYPERLINK("https://klasma.github.io/Logging_2181/artfynd/A 46610-2025 artfynd.xlsx", "A 46610-2025")</f>
        <v/>
      </c>
      <c r="T31">
        <f>HYPERLINK("https://klasma.github.io/Logging_2181/kartor/A 46610-2025 karta.png", "A 46610-2025")</f>
        <v/>
      </c>
      <c r="V31">
        <f>HYPERLINK("https://klasma.github.io/Logging_2181/klagomål/A 46610-2025 FSC-klagomål.docx", "A 46610-2025")</f>
        <v/>
      </c>
      <c r="W31">
        <f>HYPERLINK("https://klasma.github.io/Logging_2181/klagomålsmail/A 46610-2025 FSC-klagomål mail.docx", "A 46610-2025")</f>
        <v/>
      </c>
      <c r="X31">
        <f>HYPERLINK("https://klasma.github.io/Logging_2181/tillsyn/A 46610-2025 tillsynsbegäran.docx", "A 46610-2025")</f>
        <v/>
      </c>
      <c r="Y31">
        <f>HYPERLINK("https://klasma.github.io/Logging_2181/tillsynsmail/A 46610-2025 tillsynsbegäran mail.docx", "A 46610-2025")</f>
        <v/>
      </c>
    </row>
    <row r="32" ht="15" customHeight="1">
      <c r="A32" t="inlineStr">
        <is>
          <t>A 42115-2023</t>
        </is>
      </c>
      <c r="B32" s="1" t="n">
        <v>45177</v>
      </c>
      <c r="C32" s="1" t="n">
        <v>46129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HYPERLINK("https://klasma.github.io/Logging_2181/artfynd/A 42115-2023 artfynd.xlsx", "A 42115-2023")</f>
        <v/>
      </c>
      <c r="T32">
        <f>HYPERLINK("https://klasma.github.io/Logging_2181/kartor/A 42115-2023 karta.png", "A 42115-2023")</f>
        <v/>
      </c>
      <c r="V32">
        <f>HYPERLINK("https://klasma.github.io/Logging_2181/klagomål/A 42115-2023 FSC-klagomål.docx", "A 42115-2023")</f>
        <v/>
      </c>
      <c r="W32">
        <f>HYPERLINK("https://klasma.github.io/Logging_2181/klagomålsmail/A 42115-2023 FSC-klagomål mail.docx", "A 42115-2023")</f>
        <v/>
      </c>
      <c r="X32">
        <f>HYPERLINK("https://klasma.github.io/Logging_2181/tillsyn/A 42115-2023 tillsynsbegäran.docx", "A 42115-2023")</f>
        <v/>
      </c>
      <c r="Y32">
        <f>HYPERLINK("https://klasma.github.io/Logging_2181/tillsynsmail/A 42115-2023 tillsynsbegäran mail.docx", "A 42115-2023")</f>
        <v/>
      </c>
      <c r="Z32">
        <f>HYPERLINK("https://klasma.github.io/Logging_2181/fåglar/A 42115-2023 prioriterade fågelarter.docx", "A 42115-2023")</f>
        <v/>
      </c>
    </row>
    <row r="33" ht="15" customHeight="1">
      <c r="A33" t="inlineStr">
        <is>
          <t>A 17653-2025</t>
        </is>
      </c>
      <c r="B33" s="1" t="n">
        <v>45758.33842592593</v>
      </c>
      <c r="C33" s="1" t="n">
        <v>46129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HYPERLINK("https://klasma.github.io/Logging_2181/artfynd/A 17653-2025 artfynd.xlsx", "A 17653-2025")</f>
        <v/>
      </c>
      <c r="T33">
        <f>HYPERLINK("https://klasma.github.io/Logging_2181/kartor/A 17653-2025 karta.png", "A 17653-2025")</f>
        <v/>
      </c>
      <c r="V33">
        <f>HYPERLINK("https://klasma.github.io/Logging_2181/klagomål/A 17653-2025 FSC-klagomål.docx", "A 17653-2025")</f>
        <v/>
      </c>
      <c r="W33">
        <f>HYPERLINK("https://klasma.github.io/Logging_2181/klagomålsmail/A 17653-2025 FSC-klagomål mail.docx", "A 17653-2025")</f>
        <v/>
      </c>
      <c r="X33">
        <f>HYPERLINK("https://klasma.github.io/Logging_2181/tillsyn/A 17653-2025 tillsynsbegäran.docx", "A 17653-2025")</f>
        <v/>
      </c>
      <c r="Y33">
        <f>HYPERLINK("https://klasma.github.io/Logging_2181/tillsynsmail/A 17653-2025 tillsynsbegäran mail.docx", "A 17653-2025")</f>
        <v/>
      </c>
    </row>
    <row r="34" ht="15" customHeight="1">
      <c r="A34" t="inlineStr">
        <is>
          <t>A 49333-2025</t>
        </is>
      </c>
      <c r="B34" s="1" t="n">
        <v>45938.58262731481</v>
      </c>
      <c r="C34" s="1" t="n">
        <v>46129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Grönfink</t>
        </is>
      </c>
      <c r="S34">
        <f>HYPERLINK("https://klasma.github.io/Logging_2181/artfynd/A 49333-2025 artfynd.xlsx", "A 49333-2025")</f>
        <v/>
      </c>
      <c r="T34">
        <f>HYPERLINK("https://klasma.github.io/Logging_2181/kartor/A 49333-2025 karta.png", "A 49333-2025")</f>
        <v/>
      </c>
      <c r="V34">
        <f>HYPERLINK("https://klasma.github.io/Logging_2181/klagomål/A 49333-2025 FSC-klagomål.docx", "A 49333-2025")</f>
        <v/>
      </c>
      <c r="W34">
        <f>HYPERLINK("https://klasma.github.io/Logging_2181/klagomålsmail/A 49333-2025 FSC-klagomål mail.docx", "A 49333-2025")</f>
        <v/>
      </c>
      <c r="X34">
        <f>HYPERLINK("https://klasma.github.io/Logging_2181/tillsyn/A 49333-2025 tillsynsbegäran.docx", "A 49333-2025")</f>
        <v/>
      </c>
      <c r="Y34">
        <f>HYPERLINK("https://klasma.github.io/Logging_2181/tillsynsmail/A 49333-2025 tillsynsbegäran mail.docx", "A 49333-2025")</f>
        <v/>
      </c>
      <c r="Z34">
        <f>HYPERLINK("https://klasma.github.io/Logging_2181/fåglar/A 49333-2025 prioriterade fågelarter.docx", "A 49333-2025")</f>
        <v/>
      </c>
    </row>
    <row r="35" ht="15" customHeight="1">
      <c r="A35" t="inlineStr">
        <is>
          <t>A 15729-2022</t>
        </is>
      </c>
      <c r="B35" s="1" t="n">
        <v>44663</v>
      </c>
      <c r="C35" s="1" t="n">
        <v>46129</v>
      </c>
      <c r="D35" t="inlineStr">
        <is>
          <t>GÄVLEBORGS LÄN</t>
        </is>
      </c>
      <c r="E35" t="inlineStr">
        <is>
          <t>SANDVIKEN</t>
        </is>
      </c>
      <c r="G35" t="n">
        <v>2.1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HYPERLINK("https://klasma.github.io/Logging_2181/artfynd/A 15729-2022 artfynd.xlsx", "A 15729-2022")</f>
        <v/>
      </c>
      <c r="T35">
        <f>HYPERLINK("https://klasma.github.io/Logging_2181/kartor/A 15729-2022 karta.png", "A 15729-2022")</f>
        <v/>
      </c>
      <c r="U35">
        <f>HYPERLINK("https://klasma.github.io/Logging_2181/knärot/A 15729-2022 karta knärot.png", "A 15729-2022")</f>
        <v/>
      </c>
      <c r="V35">
        <f>HYPERLINK("https://klasma.github.io/Logging_2181/klagomål/A 15729-2022 FSC-klagomål.docx", "A 15729-2022")</f>
        <v/>
      </c>
      <c r="W35">
        <f>HYPERLINK("https://klasma.github.io/Logging_2181/klagomålsmail/A 15729-2022 FSC-klagomål mail.docx", "A 15729-2022")</f>
        <v/>
      </c>
      <c r="X35">
        <f>HYPERLINK("https://klasma.github.io/Logging_2181/tillsyn/A 15729-2022 tillsynsbegäran.docx", "A 15729-2022")</f>
        <v/>
      </c>
      <c r="Y35">
        <f>HYPERLINK("https://klasma.github.io/Logging_2181/tillsynsmail/A 15729-2022 tillsynsbegäran mail.docx", "A 15729-2022")</f>
        <v/>
      </c>
    </row>
    <row r="36" ht="15" customHeight="1">
      <c r="A36" t="inlineStr">
        <is>
          <t>A 45427-2023</t>
        </is>
      </c>
      <c r="B36" s="1" t="n">
        <v>45194.3671875</v>
      </c>
      <c r="C36" s="1" t="n">
        <v>46129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48188-2025</t>
        </is>
      </c>
      <c r="B37" s="1" t="n">
        <v>45933.46856481482</v>
      </c>
      <c r="C37" s="1" t="n">
        <v>46129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4.6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HYPERLINK("https://klasma.github.io/Logging_2181/artfynd/A 48188-2025 artfynd.xlsx", "A 48188-2025")</f>
        <v/>
      </c>
      <c r="T37">
        <f>HYPERLINK("https://klasma.github.io/Logging_2181/kartor/A 48188-2025 karta.png", "A 48188-2025")</f>
        <v/>
      </c>
      <c r="V37">
        <f>HYPERLINK("https://klasma.github.io/Logging_2181/klagomål/A 48188-2025 FSC-klagomål.docx", "A 48188-2025")</f>
        <v/>
      </c>
      <c r="W37">
        <f>HYPERLINK("https://klasma.github.io/Logging_2181/klagomålsmail/A 48188-2025 FSC-klagomål mail.docx", "A 48188-2025")</f>
        <v/>
      </c>
      <c r="X37">
        <f>HYPERLINK("https://klasma.github.io/Logging_2181/tillsyn/A 48188-2025 tillsynsbegäran.docx", "A 48188-2025")</f>
        <v/>
      </c>
      <c r="Y37">
        <f>HYPERLINK("https://klasma.github.io/Logging_2181/tillsynsmail/A 48188-2025 tillsynsbegäran mail.docx", "A 48188-2025")</f>
        <v/>
      </c>
      <c r="Z37">
        <f>HYPERLINK("https://klasma.github.io/Logging_2181/fåglar/A 48188-2025 prioriterade fågelarter.docx", "A 48188-2025")</f>
        <v/>
      </c>
    </row>
    <row r="38" ht="15" customHeight="1">
      <c r="A38" t="inlineStr">
        <is>
          <t>A 38350-2025</t>
        </is>
      </c>
      <c r="B38" s="1" t="n">
        <v>45883</v>
      </c>
      <c r="C38" s="1" t="n">
        <v>46129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väst AB</t>
        </is>
      </c>
      <c r="G38" t="n">
        <v>25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HYPERLINK("https://klasma.github.io/Logging_2181/artfynd/A 38350-2025 artfynd.xlsx", "A 38350-2025")</f>
        <v/>
      </c>
      <c r="T38">
        <f>HYPERLINK("https://klasma.github.io/Logging_2181/kartor/A 38350-2025 karta.png", "A 38350-2025")</f>
        <v/>
      </c>
      <c r="V38">
        <f>HYPERLINK("https://klasma.github.io/Logging_2181/klagomål/A 38350-2025 FSC-klagomål.docx", "A 38350-2025")</f>
        <v/>
      </c>
      <c r="W38">
        <f>HYPERLINK("https://klasma.github.io/Logging_2181/klagomålsmail/A 38350-2025 FSC-klagomål mail.docx", "A 38350-2025")</f>
        <v/>
      </c>
      <c r="X38">
        <f>HYPERLINK("https://klasma.github.io/Logging_2181/tillsyn/A 38350-2025 tillsynsbegäran.docx", "A 38350-2025")</f>
        <v/>
      </c>
      <c r="Y38">
        <f>HYPERLINK("https://klasma.github.io/Logging_2181/tillsynsmail/A 38350-2025 tillsynsbegäran mail.docx", "A 38350-2025")</f>
        <v/>
      </c>
    </row>
    <row r="39" ht="15" customHeight="1">
      <c r="A39" t="inlineStr">
        <is>
          <t>A 3708-2026</t>
        </is>
      </c>
      <c r="B39" s="1" t="n">
        <v>46043.47832175926</v>
      </c>
      <c r="C39" s="1" t="n">
        <v>46129</v>
      </c>
      <c r="D39" t="inlineStr">
        <is>
          <t>GÄVLEBORGS LÄN</t>
        </is>
      </c>
      <c r="E39" t="inlineStr">
        <is>
          <t>SANDVIKEN</t>
        </is>
      </c>
      <c r="F39" t="inlineStr">
        <is>
          <t>Kommuner</t>
        </is>
      </c>
      <c r="G39" t="n">
        <v>11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HYPERLINK("https://klasma.github.io/Logging_2181/artfynd/A 3708-2026 artfynd.xlsx", "A 3708-2026")</f>
        <v/>
      </c>
      <c r="T39">
        <f>HYPERLINK("https://klasma.github.io/Logging_2181/kartor/A 3708-2026 karta.png", "A 3708-2026")</f>
        <v/>
      </c>
      <c r="U39">
        <f>HYPERLINK("https://klasma.github.io/Logging_2181/knärot/A 3708-2026 karta knärot.png", "A 3708-2026")</f>
        <v/>
      </c>
      <c r="V39">
        <f>HYPERLINK("https://klasma.github.io/Logging_2181/klagomål/A 3708-2026 FSC-klagomål.docx", "A 3708-2026")</f>
        <v/>
      </c>
      <c r="W39">
        <f>HYPERLINK("https://klasma.github.io/Logging_2181/klagomålsmail/A 3708-2026 FSC-klagomål mail.docx", "A 3708-2026")</f>
        <v/>
      </c>
      <c r="X39">
        <f>HYPERLINK("https://klasma.github.io/Logging_2181/tillsyn/A 3708-2026 tillsynsbegäran.docx", "A 3708-2026")</f>
        <v/>
      </c>
      <c r="Y39">
        <f>HYPERLINK("https://klasma.github.io/Logging_2181/tillsynsmail/A 3708-2026 tillsynsbegäran mail.docx", "A 3708-2026")</f>
        <v/>
      </c>
    </row>
    <row r="40" ht="15" customHeight="1">
      <c r="A40" t="inlineStr">
        <is>
          <t>A 6378-2023</t>
        </is>
      </c>
      <c r="B40" s="1" t="n">
        <v>44965</v>
      </c>
      <c r="C40" s="1" t="n">
        <v>46129</v>
      </c>
      <c r="D40" t="inlineStr">
        <is>
          <t>GÄVLEBORGS LÄN</t>
        </is>
      </c>
      <c r="E40" t="inlineStr">
        <is>
          <t>SANDVIKEN</t>
        </is>
      </c>
      <c r="G40" t="n">
        <v>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HYPERLINK("https://klasma.github.io/Logging_2181/artfynd/A 6378-2023 artfynd.xlsx", "A 6378-2023")</f>
        <v/>
      </c>
      <c r="T40">
        <f>HYPERLINK("https://klasma.github.io/Logging_2181/kartor/A 6378-2023 karta.png", "A 6378-2023")</f>
        <v/>
      </c>
      <c r="V40">
        <f>HYPERLINK("https://klasma.github.io/Logging_2181/klagomål/A 6378-2023 FSC-klagomål.docx", "A 6378-2023")</f>
        <v/>
      </c>
      <c r="W40">
        <f>HYPERLINK("https://klasma.github.io/Logging_2181/klagomålsmail/A 6378-2023 FSC-klagomål mail.docx", "A 6378-2023")</f>
        <v/>
      </c>
      <c r="X40">
        <f>HYPERLINK("https://klasma.github.io/Logging_2181/tillsyn/A 6378-2023 tillsynsbegäran.docx", "A 6378-2023")</f>
        <v/>
      </c>
      <c r="Y40">
        <f>HYPERLINK("https://klasma.github.io/Logging_2181/tillsynsmail/A 6378-2023 tillsynsbegäran mail.docx", "A 6378-2023")</f>
        <v/>
      </c>
      <c r="Z40">
        <f>HYPERLINK("https://klasma.github.io/Logging_2181/fåglar/A 6378-2023 prioriterade fågelarter.docx", "A 6378-2023")</f>
        <v/>
      </c>
    </row>
    <row r="41" ht="15" customHeight="1">
      <c r="A41" t="inlineStr">
        <is>
          <t>A 13135-2026</t>
        </is>
      </c>
      <c r="B41" s="1" t="n">
        <v>46093</v>
      </c>
      <c r="C41" s="1" t="n">
        <v>46129</v>
      </c>
      <c r="D41" t="inlineStr">
        <is>
          <t>GÄVLEBORGS LÄN</t>
        </is>
      </c>
      <c r="E41" t="inlineStr">
        <is>
          <t>SANDVIKEN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13135-2026 artfynd.xlsx", "A 13135-2026")</f>
        <v/>
      </c>
      <c r="T41">
        <f>HYPERLINK("https://klasma.github.io/Logging_2181/kartor/A 13135-2026 karta.png", "A 13135-2026")</f>
        <v/>
      </c>
      <c r="V41">
        <f>HYPERLINK("https://klasma.github.io/Logging_2181/klagomål/A 13135-2026 FSC-klagomål.docx", "A 13135-2026")</f>
        <v/>
      </c>
      <c r="W41">
        <f>HYPERLINK("https://klasma.github.io/Logging_2181/klagomålsmail/A 13135-2026 FSC-klagomål mail.docx", "A 13135-2026")</f>
        <v/>
      </c>
      <c r="X41">
        <f>HYPERLINK("https://klasma.github.io/Logging_2181/tillsyn/A 13135-2026 tillsynsbegäran.docx", "A 13135-2026")</f>
        <v/>
      </c>
      <c r="Y41">
        <f>HYPERLINK("https://klasma.github.io/Logging_2181/tillsynsmail/A 13135-2026 tillsynsbegäran mail.docx", "A 13135-2026")</f>
        <v/>
      </c>
    </row>
    <row r="42" ht="15" customHeight="1">
      <c r="A42" t="inlineStr">
        <is>
          <t>A 7143-2026</t>
        </is>
      </c>
      <c r="B42" s="1" t="n">
        <v>46058.41995370371</v>
      </c>
      <c r="C42" s="1" t="n">
        <v>46129</v>
      </c>
      <c r="D42" t="inlineStr">
        <is>
          <t>GÄVLEBORGS LÄN</t>
        </is>
      </c>
      <c r="E42" t="inlineStr">
        <is>
          <t>SANDVIKEN</t>
        </is>
      </c>
      <c r="G42" t="n">
        <v>5.4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HYPERLINK("https://klasma.github.io/Logging_2181/artfynd/A 7143-2026 artfynd.xlsx", "A 7143-2026")</f>
        <v/>
      </c>
      <c r="T42">
        <f>HYPERLINK("https://klasma.github.io/Logging_2181/kartor/A 7143-2026 karta.png", "A 7143-2026")</f>
        <v/>
      </c>
      <c r="V42">
        <f>HYPERLINK("https://klasma.github.io/Logging_2181/klagomål/A 7143-2026 FSC-klagomål.docx", "A 7143-2026")</f>
        <v/>
      </c>
      <c r="W42">
        <f>HYPERLINK("https://klasma.github.io/Logging_2181/klagomålsmail/A 7143-2026 FSC-klagomål mail.docx", "A 7143-2026")</f>
        <v/>
      </c>
      <c r="X42">
        <f>HYPERLINK("https://klasma.github.io/Logging_2181/tillsyn/A 7143-2026 tillsynsbegäran.docx", "A 7143-2026")</f>
        <v/>
      </c>
      <c r="Y42">
        <f>HYPERLINK("https://klasma.github.io/Logging_2181/tillsynsmail/A 7143-2026 tillsynsbegäran mail.docx", "A 7143-2026")</f>
        <v/>
      </c>
    </row>
    <row r="43" ht="15" customHeight="1">
      <c r="A43" t="inlineStr">
        <is>
          <t>A 5015-2023</t>
        </is>
      </c>
      <c r="B43" s="1" t="n">
        <v>44958</v>
      </c>
      <c r="C43" s="1" t="n">
        <v>46129</v>
      </c>
      <c r="D43" t="inlineStr">
        <is>
          <t>GÄVLEBORGS LÄN</t>
        </is>
      </c>
      <c r="E43" t="inlineStr">
        <is>
          <t>SANDVIKEN</t>
        </is>
      </c>
      <c r="G43" t="n">
        <v>7.8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HYPERLINK("https://klasma.github.io/Logging_2181/artfynd/A 5015-2023 artfynd.xlsx", "A 5015-2023")</f>
        <v/>
      </c>
      <c r="T43">
        <f>HYPERLINK("https://klasma.github.io/Logging_2181/kartor/A 5015-2023 karta.png", "A 5015-2023")</f>
        <v/>
      </c>
      <c r="V43">
        <f>HYPERLINK("https://klasma.github.io/Logging_2181/klagomål/A 5015-2023 FSC-klagomål.docx", "A 5015-2023")</f>
        <v/>
      </c>
      <c r="W43">
        <f>HYPERLINK("https://klasma.github.io/Logging_2181/klagomålsmail/A 5015-2023 FSC-klagomål mail.docx", "A 5015-2023")</f>
        <v/>
      </c>
      <c r="X43">
        <f>HYPERLINK("https://klasma.github.io/Logging_2181/tillsyn/A 5015-2023 tillsynsbegäran.docx", "A 5015-2023")</f>
        <v/>
      </c>
      <c r="Y43">
        <f>HYPERLINK("https://klasma.github.io/Logging_2181/tillsynsmail/A 5015-2023 tillsynsbegäran mail.docx", "A 5015-2023")</f>
        <v/>
      </c>
    </row>
    <row r="44" ht="15" customHeight="1">
      <c r="A44" t="inlineStr">
        <is>
          <t>A 15783-2026</t>
        </is>
      </c>
      <c r="B44" s="1" t="n">
        <v>46107.46695601852</v>
      </c>
      <c r="C44" s="1" t="n">
        <v>46129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HYPERLINK("https://klasma.github.io/Logging_2181/artfynd/A 15783-2026 artfynd.xlsx", "A 15783-2026")</f>
        <v/>
      </c>
      <c r="T44">
        <f>HYPERLINK("https://klasma.github.io/Logging_2181/kartor/A 15783-2026 karta.png", "A 15783-2026")</f>
        <v/>
      </c>
      <c r="V44">
        <f>HYPERLINK("https://klasma.github.io/Logging_2181/klagomål/A 15783-2026 FSC-klagomål.docx", "A 15783-2026")</f>
        <v/>
      </c>
      <c r="W44">
        <f>HYPERLINK("https://klasma.github.io/Logging_2181/klagomålsmail/A 15783-2026 FSC-klagomål mail.docx", "A 15783-2026")</f>
        <v/>
      </c>
      <c r="X44">
        <f>HYPERLINK("https://klasma.github.io/Logging_2181/tillsyn/A 15783-2026 tillsynsbegäran.docx", "A 15783-2026")</f>
        <v/>
      </c>
      <c r="Y44">
        <f>HYPERLINK("https://klasma.github.io/Logging_2181/tillsynsmail/A 15783-2026 tillsynsbegäran mail.docx", "A 15783-2026")</f>
        <v/>
      </c>
      <c r="Z44">
        <f>HYPERLINK("https://klasma.github.io/Logging_2181/fåglar/A 15783-2026 prioriterade fågelarter.docx", "A 15783-2026")</f>
        <v/>
      </c>
    </row>
    <row r="45" ht="15" customHeight="1">
      <c r="A45" t="inlineStr">
        <is>
          <t>A 17062-2026</t>
        </is>
      </c>
      <c r="B45" s="1" t="n">
        <v>46114.51710648148</v>
      </c>
      <c r="C45" s="1" t="n">
        <v>46129</v>
      </c>
      <c r="D45" t="inlineStr">
        <is>
          <t>GÄVLEBORGS LÄN</t>
        </is>
      </c>
      <c r="E45" t="inlineStr">
        <is>
          <t>SANDVIKEN</t>
        </is>
      </c>
      <c r="F45" t="inlineStr">
        <is>
          <t>Bergvik skog öst AB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Vårärt</t>
        </is>
      </c>
      <c r="S45">
        <f>HYPERLINK("https://klasma.github.io/Logging_2181/artfynd/A 17062-2026 artfynd.xlsx", "A 17062-2026")</f>
        <v/>
      </c>
      <c r="T45">
        <f>HYPERLINK("https://klasma.github.io/Logging_2181/kartor/A 17062-2026 karta.png", "A 17062-2026")</f>
        <v/>
      </c>
      <c r="V45">
        <f>HYPERLINK("https://klasma.github.io/Logging_2181/klagomål/A 17062-2026 FSC-klagomål.docx", "A 17062-2026")</f>
        <v/>
      </c>
      <c r="W45">
        <f>HYPERLINK("https://klasma.github.io/Logging_2181/klagomålsmail/A 17062-2026 FSC-klagomål mail.docx", "A 17062-2026")</f>
        <v/>
      </c>
      <c r="X45">
        <f>HYPERLINK("https://klasma.github.io/Logging_2181/tillsyn/A 17062-2026 tillsynsbegäran.docx", "A 17062-2026")</f>
        <v/>
      </c>
      <c r="Y45">
        <f>HYPERLINK("https://klasma.github.io/Logging_2181/tillsynsmail/A 17062-2026 tillsynsbegäran mail.docx", "A 17062-2026")</f>
        <v/>
      </c>
    </row>
    <row r="46" ht="15" customHeight="1">
      <c r="A46" t="inlineStr">
        <is>
          <t>A 54335-2024</t>
        </is>
      </c>
      <c r="B46" s="1" t="n">
        <v>45617.38313657408</v>
      </c>
      <c r="C46" s="1" t="n">
        <v>46129</v>
      </c>
      <c r="D46" t="inlineStr">
        <is>
          <t>GÄVLEBORGS LÄN</t>
        </is>
      </c>
      <c r="E46" t="inlineStr">
        <is>
          <t>SANDVIKEN</t>
        </is>
      </c>
      <c r="G46" t="n">
        <v>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Väddnätfjäril</t>
        </is>
      </c>
      <c r="S46">
        <f>HYPERLINK("https://klasma.github.io/Logging_2181/artfynd/A 54335-2024 artfynd.xlsx", "A 54335-2024")</f>
        <v/>
      </c>
      <c r="T46">
        <f>HYPERLINK("https://klasma.github.io/Logging_2181/kartor/A 54335-2024 karta.png", "A 54335-2024")</f>
        <v/>
      </c>
      <c r="V46">
        <f>HYPERLINK("https://klasma.github.io/Logging_2181/klagomål/A 54335-2024 FSC-klagomål.docx", "A 54335-2024")</f>
        <v/>
      </c>
      <c r="W46">
        <f>HYPERLINK("https://klasma.github.io/Logging_2181/klagomålsmail/A 54335-2024 FSC-klagomål mail.docx", "A 54335-2024")</f>
        <v/>
      </c>
      <c r="X46">
        <f>HYPERLINK("https://klasma.github.io/Logging_2181/tillsyn/A 54335-2024 tillsynsbegäran.docx", "A 54335-2024")</f>
        <v/>
      </c>
      <c r="Y46">
        <f>HYPERLINK("https://klasma.github.io/Logging_2181/tillsynsmail/A 54335-2024 tillsynsbegäran mail.docx", "A 54335-2024")</f>
        <v/>
      </c>
    </row>
    <row r="47" ht="15" customHeight="1">
      <c r="A47" t="inlineStr">
        <is>
          <t>A 10112-2026</t>
        </is>
      </c>
      <c r="B47" s="1" t="n">
        <v>46074</v>
      </c>
      <c r="C47" s="1" t="n">
        <v>46129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10112-2026 artfynd.xlsx", "A 10112-2026")</f>
        <v/>
      </c>
      <c r="T47">
        <f>HYPERLINK("https://klasma.github.io/Logging_2181/kartor/A 10112-2026 karta.png", "A 10112-2026")</f>
        <v/>
      </c>
      <c r="V47">
        <f>HYPERLINK("https://klasma.github.io/Logging_2181/klagomål/A 10112-2026 FSC-klagomål.docx", "A 10112-2026")</f>
        <v/>
      </c>
      <c r="W47">
        <f>HYPERLINK("https://klasma.github.io/Logging_2181/klagomålsmail/A 10112-2026 FSC-klagomål mail.docx", "A 10112-2026")</f>
        <v/>
      </c>
      <c r="X47">
        <f>HYPERLINK("https://klasma.github.io/Logging_2181/tillsyn/A 10112-2026 tillsynsbegäran.docx", "A 10112-2026")</f>
        <v/>
      </c>
      <c r="Y47">
        <f>HYPERLINK("https://klasma.github.io/Logging_2181/tillsynsmail/A 10112-2026 tillsynsbegäran mail.docx", "A 10112-2026")</f>
        <v/>
      </c>
      <c r="Z47">
        <f>HYPERLINK("https://klasma.github.io/Logging_2181/fåglar/A 10112-2026 prioriterade fågelarter.docx", "A 10112-2026")</f>
        <v/>
      </c>
    </row>
    <row r="48" ht="15" customHeight="1">
      <c r="A48" t="inlineStr">
        <is>
          <t>A 10113-2026</t>
        </is>
      </c>
      <c r="B48" s="1" t="n">
        <v>46074.83114583333</v>
      </c>
      <c r="C48" s="1" t="n">
        <v>46129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1.3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HYPERLINK("https://klasma.github.io/Logging_2181/artfynd/A 10113-2026 artfynd.xlsx", "A 10113-2026")</f>
        <v/>
      </c>
      <c r="T48">
        <f>HYPERLINK("https://klasma.github.io/Logging_2181/kartor/A 10113-2026 karta.png", "A 10113-2026")</f>
        <v/>
      </c>
      <c r="V48">
        <f>HYPERLINK("https://klasma.github.io/Logging_2181/klagomål/A 10113-2026 FSC-klagomål.docx", "A 10113-2026")</f>
        <v/>
      </c>
      <c r="W48">
        <f>HYPERLINK("https://klasma.github.io/Logging_2181/klagomålsmail/A 10113-2026 FSC-klagomål mail.docx", "A 10113-2026")</f>
        <v/>
      </c>
      <c r="X48">
        <f>HYPERLINK("https://klasma.github.io/Logging_2181/tillsyn/A 10113-2026 tillsynsbegäran.docx", "A 10113-2026")</f>
        <v/>
      </c>
      <c r="Y48">
        <f>HYPERLINK("https://klasma.github.io/Logging_2181/tillsynsmail/A 10113-2026 tillsynsbegäran mail.docx", "A 10113-2026")</f>
        <v/>
      </c>
    </row>
    <row r="49" ht="15" customHeight="1">
      <c r="A49" t="inlineStr">
        <is>
          <t>A 37635-2024</t>
        </is>
      </c>
      <c r="B49" s="1" t="n">
        <v>45541</v>
      </c>
      <c r="C49" s="1" t="n">
        <v>46129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25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HYPERLINK("https://klasma.github.io/Logging_2181/artfynd/A 37635-2024 artfynd.xlsx", "A 37635-2024")</f>
        <v/>
      </c>
      <c r="T49">
        <f>HYPERLINK("https://klasma.github.io/Logging_2181/kartor/A 37635-2024 karta.png", "A 37635-2024")</f>
        <v/>
      </c>
      <c r="V49">
        <f>HYPERLINK("https://klasma.github.io/Logging_2181/klagomål/A 37635-2024 FSC-klagomål.docx", "A 37635-2024")</f>
        <v/>
      </c>
      <c r="W49">
        <f>HYPERLINK("https://klasma.github.io/Logging_2181/klagomålsmail/A 37635-2024 FSC-klagomål mail.docx", "A 37635-2024")</f>
        <v/>
      </c>
      <c r="X49">
        <f>HYPERLINK("https://klasma.github.io/Logging_2181/tillsyn/A 37635-2024 tillsynsbegäran.docx", "A 37635-2024")</f>
        <v/>
      </c>
      <c r="Y49">
        <f>HYPERLINK("https://klasma.github.io/Logging_2181/tillsynsmail/A 37635-2024 tillsynsbegäran mail.docx", "A 37635-2024")</f>
        <v/>
      </c>
      <c r="Z49">
        <f>HYPERLINK("https://klasma.github.io/Logging_2181/fåglar/A 37635-2024 prioriterade fågelarter.docx", "A 37635-2024")</f>
        <v/>
      </c>
    </row>
    <row r="50" ht="15" customHeight="1">
      <c r="A50" t="inlineStr">
        <is>
          <t>A 11861-2026</t>
        </is>
      </c>
      <c r="B50" s="1" t="n">
        <v>46085.47364583334</v>
      </c>
      <c r="C50" s="1" t="n">
        <v>46129</v>
      </c>
      <c r="D50" t="inlineStr">
        <is>
          <t>GÄVLEBORGS LÄN</t>
        </is>
      </c>
      <c r="E50" t="inlineStr">
        <is>
          <t>SANDVIKEN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HYPERLINK("https://klasma.github.io/Logging_2181/artfynd/A 11861-2026 artfynd.xlsx", "A 11861-2026")</f>
        <v/>
      </c>
      <c r="T50">
        <f>HYPERLINK("https://klasma.github.io/Logging_2181/kartor/A 11861-2026 karta.png", "A 11861-2026")</f>
        <v/>
      </c>
      <c r="V50">
        <f>HYPERLINK("https://klasma.github.io/Logging_2181/klagomål/A 11861-2026 FSC-klagomål.docx", "A 11861-2026")</f>
        <v/>
      </c>
      <c r="W50">
        <f>HYPERLINK("https://klasma.github.io/Logging_2181/klagomålsmail/A 11861-2026 FSC-klagomål mail.docx", "A 11861-2026")</f>
        <v/>
      </c>
      <c r="X50">
        <f>HYPERLINK("https://klasma.github.io/Logging_2181/tillsyn/A 11861-2026 tillsynsbegäran.docx", "A 11861-2026")</f>
        <v/>
      </c>
      <c r="Y50">
        <f>HYPERLINK("https://klasma.github.io/Logging_2181/tillsynsmail/A 11861-2026 tillsynsbegäran mail.docx", "A 11861-2026")</f>
        <v/>
      </c>
    </row>
    <row r="51" ht="15" customHeight="1">
      <c r="A51" t="inlineStr">
        <is>
          <t>A 14835-2026</t>
        </is>
      </c>
      <c r="B51" s="1" t="n">
        <v>46104.37540509259</v>
      </c>
      <c r="C51" s="1" t="n">
        <v>46129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öst AB</t>
        </is>
      </c>
      <c r="G51" t="n">
        <v>2.5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Höstlåsbräken</t>
        </is>
      </c>
      <c r="S51">
        <f>HYPERLINK("https://klasma.github.io/Logging_2181/artfynd/A 14835-2026 artfynd.xlsx", "A 14835-2026")</f>
        <v/>
      </c>
      <c r="T51">
        <f>HYPERLINK("https://klasma.github.io/Logging_2181/kartor/A 14835-2026 karta.png", "A 14835-2026")</f>
        <v/>
      </c>
      <c r="V51">
        <f>HYPERLINK("https://klasma.github.io/Logging_2181/klagomål/A 14835-2026 FSC-klagomål.docx", "A 14835-2026")</f>
        <v/>
      </c>
      <c r="W51">
        <f>HYPERLINK("https://klasma.github.io/Logging_2181/klagomålsmail/A 14835-2026 FSC-klagomål mail.docx", "A 14835-2026")</f>
        <v/>
      </c>
      <c r="X51">
        <f>HYPERLINK("https://klasma.github.io/Logging_2181/tillsyn/A 14835-2026 tillsynsbegäran.docx", "A 14835-2026")</f>
        <v/>
      </c>
      <c r="Y51">
        <f>HYPERLINK("https://klasma.github.io/Logging_2181/tillsynsmail/A 14835-2026 tillsynsbegäran mail.docx", "A 14835-2026")</f>
        <v/>
      </c>
    </row>
    <row r="52" ht="15" customHeight="1">
      <c r="A52" t="inlineStr">
        <is>
          <t>A 10783-2024</t>
        </is>
      </c>
      <c r="B52" s="1" t="n">
        <v>45369</v>
      </c>
      <c r="C52" s="1" t="n">
        <v>46129</v>
      </c>
      <c r="D52" t="inlineStr">
        <is>
          <t>GÄVLEBORGS LÄN</t>
        </is>
      </c>
      <c r="E52" t="inlineStr">
        <is>
          <t>SANDVIKEN</t>
        </is>
      </c>
      <c r="G52" t="n">
        <v>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HYPERLINK("https://klasma.github.io/Logging_2181/artfynd/A 10783-2024 artfynd.xlsx", "A 10783-2024")</f>
        <v/>
      </c>
      <c r="T52">
        <f>HYPERLINK("https://klasma.github.io/Logging_2181/kartor/A 10783-2024 karta.png", "A 10783-2024")</f>
        <v/>
      </c>
      <c r="V52">
        <f>HYPERLINK("https://klasma.github.io/Logging_2181/klagomål/A 10783-2024 FSC-klagomål.docx", "A 10783-2024")</f>
        <v/>
      </c>
      <c r="W52">
        <f>HYPERLINK("https://klasma.github.io/Logging_2181/klagomålsmail/A 10783-2024 FSC-klagomål mail.docx", "A 10783-2024")</f>
        <v/>
      </c>
      <c r="X52">
        <f>HYPERLINK("https://klasma.github.io/Logging_2181/tillsyn/A 10783-2024 tillsynsbegäran.docx", "A 10783-2024")</f>
        <v/>
      </c>
      <c r="Y52">
        <f>HYPERLINK("https://klasma.github.io/Logging_2181/tillsynsmail/A 10783-2024 tillsynsbegäran mail.docx", "A 10783-2024")</f>
        <v/>
      </c>
    </row>
    <row r="53" ht="15" customHeight="1">
      <c r="A53" t="inlineStr">
        <is>
          <t>A 51162-2022</t>
        </is>
      </c>
      <c r="B53" s="1" t="n">
        <v>44868</v>
      </c>
      <c r="C53" s="1" t="n">
        <v>46129</v>
      </c>
      <c r="D53" t="inlineStr">
        <is>
          <t>GÄVLEBORGS LÄN</t>
        </is>
      </c>
      <c r="E53" t="inlineStr">
        <is>
          <t>SANDVIKEN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63086-2021</t>
        </is>
      </c>
      <c r="B54" s="1" t="n">
        <v>44505.57928240741</v>
      </c>
      <c r="C54" s="1" t="n">
        <v>46129</v>
      </c>
      <c r="D54" t="inlineStr">
        <is>
          <t>GÄVLEBORGS LÄN</t>
        </is>
      </c>
      <c r="E54" t="inlineStr">
        <is>
          <t>SANDVIKEN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50277-2022</t>
        </is>
      </c>
      <c r="B55" s="1" t="n">
        <v>44865.77954861111</v>
      </c>
      <c r="C55" s="1" t="n">
        <v>46129</v>
      </c>
      <c r="D55" t="inlineStr">
        <is>
          <t>GÄVLEBORGS LÄN</t>
        </is>
      </c>
      <c r="E55" t="inlineStr">
        <is>
          <t>SANDVIKEN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41861-2022</t>
        </is>
      </c>
      <c r="B56" s="1" t="n">
        <v>44829.71965277778</v>
      </c>
      <c r="C56" s="1" t="n">
        <v>46129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18.2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31419-2022</t>
        </is>
      </c>
      <c r="B57" s="1" t="n">
        <v>44774.70063657407</v>
      </c>
      <c r="C57" s="1" t="n">
        <v>46129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50876-2021</t>
        </is>
      </c>
      <c r="B58" s="1" t="n">
        <v>44460</v>
      </c>
      <c r="C58" s="1" t="n">
        <v>46129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64068-2021</t>
        </is>
      </c>
      <c r="B59" s="1" t="n">
        <v>44510.39528935185</v>
      </c>
      <c r="C59" s="1" t="n">
        <v>46129</v>
      </c>
      <c r="D59" t="inlineStr">
        <is>
          <t>GÄVLEBORGS LÄN</t>
        </is>
      </c>
      <c r="E59" t="inlineStr">
        <is>
          <t>SANDVIKEN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63084-2021</t>
        </is>
      </c>
      <c r="B60" s="1" t="n">
        <v>44505.57767361111</v>
      </c>
      <c r="C60" s="1" t="n">
        <v>46129</v>
      </c>
      <c r="D60" t="inlineStr">
        <is>
          <t>GÄVLEBORGS LÄN</t>
        </is>
      </c>
      <c r="E60" t="inlineStr">
        <is>
          <t>SANDVIKEN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25056-2021</t>
        </is>
      </c>
      <c r="B61" s="1" t="n">
        <v>44341.60780092593</v>
      </c>
      <c r="C61" s="1" t="n">
        <v>46129</v>
      </c>
      <c r="D61" t="inlineStr">
        <is>
          <t>GÄVLEBORGS LÄN</t>
        </is>
      </c>
      <c r="E61" t="inlineStr">
        <is>
          <t>SANDVIKEN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61729-2021</t>
        </is>
      </c>
      <c r="B62" s="1" t="n">
        <v>44501.61454861111</v>
      </c>
      <c r="C62" s="1" t="n">
        <v>46129</v>
      </c>
      <c r="D62" t="inlineStr">
        <is>
          <t>GÄVLEBORGS LÄN</t>
        </is>
      </c>
      <c r="E62" t="inlineStr">
        <is>
          <t>SANDVIKEN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28739-2021</t>
        </is>
      </c>
      <c r="B63" s="1" t="n">
        <v>44357</v>
      </c>
      <c r="C63" s="1" t="n">
        <v>46129</v>
      </c>
      <c r="D63" t="inlineStr">
        <is>
          <t>GÄVLEBORGS LÄN</t>
        </is>
      </c>
      <c r="E63" t="inlineStr">
        <is>
          <t>SANDVIKEN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45985-2021</t>
        </is>
      </c>
      <c r="B64" s="1" t="n">
        <v>44441</v>
      </c>
      <c r="C64" s="1" t="n">
        <v>46129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21297-2022</t>
        </is>
      </c>
      <c r="B65" s="1" t="n">
        <v>44705</v>
      </c>
      <c r="C65" s="1" t="n">
        <v>46129</v>
      </c>
      <c r="D65" t="inlineStr">
        <is>
          <t>GÄVLEBORGS LÄN</t>
        </is>
      </c>
      <c r="E65" t="inlineStr">
        <is>
          <t>SANDVIKEN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65270-2021</t>
        </is>
      </c>
      <c r="B66" s="1" t="n">
        <v>44515</v>
      </c>
      <c r="C66" s="1" t="n">
        <v>46129</v>
      </c>
      <c r="D66" t="inlineStr">
        <is>
          <t>GÄVLEBORGS LÄN</t>
        </is>
      </c>
      <c r="E66" t="inlineStr">
        <is>
          <t>SANDVIKEN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40926-2021</t>
        </is>
      </c>
      <c r="B67" s="1" t="n">
        <v>44421</v>
      </c>
      <c r="C67" s="1" t="n">
        <v>46129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18483-2021</t>
        </is>
      </c>
      <c r="B68" s="1" t="n">
        <v>44306.37357638889</v>
      </c>
      <c r="C68" s="1" t="n">
        <v>46129</v>
      </c>
      <c r="D68" t="inlineStr">
        <is>
          <t>GÄVLEBORGS LÄN</t>
        </is>
      </c>
      <c r="E68" t="inlineStr">
        <is>
          <t>SANDVIKEN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47632-2021</t>
        </is>
      </c>
      <c r="B69" s="1" t="n">
        <v>44448</v>
      </c>
      <c r="C69" s="1" t="n">
        <v>46129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33410-2021</t>
        </is>
      </c>
      <c r="B70" s="1" t="n">
        <v>44377</v>
      </c>
      <c r="C70" s="1" t="n">
        <v>46129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43465-2021</t>
        </is>
      </c>
      <c r="B71" s="1" t="n">
        <v>44432.72325231481</v>
      </c>
      <c r="C71" s="1" t="n">
        <v>46129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30391-2022</t>
        </is>
      </c>
      <c r="B72" s="1" t="n">
        <v>44760.79641203704</v>
      </c>
      <c r="C72" s="1" t="n">
        <v>46129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52276-2022</t>
        </is>
      </c>
      <c r="B73" s="1" t="n">
        <v>44873.65104166666</v>
      </c>
      <c r="C73" s="1" t="n">
        <v>46129</v>
      </c>
      <c r="D73" t="inlineStr">
        <is>
          <t>GÄVLEBORGS LÄN</t>
        </is>
      </c>
      <c r="E73" t="inlineStr">
        <is>
          <t>SANDVIKEN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18496-2021</t>
        </is>
      </c>
      <c r="B74" s="1" t="n">
        <v>44306.39076388889</v>
      </c>
      <c r="C74" s="1" t="n">
        <v>46129</v>
      </c>
      <c r="D74" t="inlineStr">
        <is>
          <t>GÄVLEBORGS LÄN</t>
        </is>
      </c>
      <c r="E74" t="inlineStr">
        <is>
          <t>SANDVIKEN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55082-2021</t>
        </is>
      </c>
      <c r="B75" s="1" t="n">
        <v>44474.65907407407</v>
      </c>
      <c r="C75" s="1" t="n">
        <v>46129</v>
      </c>
      <c r="D75" t="inlineStr">
        <is>
          <t>GÄVLEBORGS LÄN</t>
        </is>
      </c>
      <c r="E75" t="inlineStr">
        <is>
          <t>SANDVIKEN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45992-2021</t>
        </is>
      </c>
      <c r="B76" s="1" t="n">
        <v>44441</v>
      </c>
      <c r="C76" s="1" t="n">
        <v>46129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47720-2022</t>
        </is>
      </c>
      <c r="B77" s="1" t="n">
        <v>44854</v>
      </c>
      <c r="C77" s="1" t="n">
        <v>46129</v>
      </c>
      <c r="D77" t="inlineStr">
        <is>
          <t>GÄVLEBORGS LÄN</t>
        </is>
      </c>
      <c r="E77" t="inlineStr">
        <is>
          <t>SANDVIKEN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64720-2021</t>
        </is>
      </c>
      <c r="B78" s="1" t="n">
        <v>44512.376875</v>
      </c>
      <c r="C78" s="1" t="n">
        <v>46129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53258-2022</t>
        </is>
      </c>
      <c r="B79" s="1" t="n">
        <v>44876</v>
      </c>
      <c r="C79" s="1" t="n">
        <v>46129</v>
      </c>
      <c r="D79" t="inlineStr">
        <is>
          <t>GÄVLEBORGS LÄN</t>
        </is>
      </c>
      <c r="E79" t="inlineStr">
        <is>
          <t>SANDVIKEN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11923-2022</t>
        </is>
      </c>
      <c r="B80" s="1" t="n">
        <v>44635.50788194445</v>
      </c>
      <c r="C80" s="1" t="n">
        <v>46129</v>
      </c>
      <c r="D80" t="inlineStr">
        <is>
          <t>GÄVLEBORGS LÄN</t>
        </is>
      </c>
      <c r="E80" t="inlineStr">
        <is>
          <t>SANDVIKEN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5825-2022</t>
        </is>
      </c>
      <c r="B81" s="1" t="n">
        <v>44596</v>
      </c>
      <c r="C81" s="1" t="n">
        <v>46129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5610-2022</t>
        </is>
      </c>
      <c r="B82" s="1" t="n">
        <v>44595.69634259259</v>
      </c>
      <c r="C82" s="1" t="n">
        <v>46129</v>
      </c>
      <c r="D82" t="inlineStr">
        <is>
          <t>GÄVLEBORGS LÄN</t>
        </is>
      </c>
      <c r="E82" t="inlineStr">
        <is>
          <t>SANDVIKEN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60405-2021</t>
        </is>
      </c>
      <c r="B83" s="1" t="n">
        <v>44496</v>
      </c>
      <c r="C83" s="1" t="n">
        <v>46129</v>
      </c>
      <c r="D83" t="inlineStr">
        <is>
          <t>GÄVLEBORGS LÄN</t>
        </is>
      </c>
      <c r="E83" t="inlineStr">
        <is>
          <t>SANDVIKEN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61616-2021</t>
        </is>
      </c>
      <c r="B84" s="1" t="n">
        <v>44501.48219907407</v>
      </c>
      <c r="C84" s="1" t="n">
        <v>46129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66590-2021</t>
        </is>
      </c>
      <c r="B85" s="1" t="n">
        <v>44519.46857638889</v>
      </c>
      <c r="C85" s="1" t="n">
        <v>46129</v>
      </c>
      <c r="D85" t="inlineStr">
        <is>
          <t>GÄVLEBORGS LÄN</t>
        </is>
      </c>
      <c r="E85" t="inlineStr">
        <is>
          <t>SANDVIKEN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5430-2022</t>
        </is>
      </c>
      <c r="B86" s="1" t="n">
        <v>44595</v>
      </c>
      <c r="C86" s="1" t="n">
        <v>46129</v>
      </c>
      <c r="D86" t="inlineStr">
        <is>
          <t>GÄVLEBORGS LÄN</t>
        </is>
      </c>
      <c r="E86" t="inlineStr">
        <is>
          <t>SANDVIKEN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46854-2021</t>
        </is>
      </c>
      <c r="B87" s="1" t="n">
        <v>44446.38486111111</v>
      </c>
      <c r="C87" s="1" t="n">
        <v>46129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34930-2021</t>
        </is>
      </c>
      <c r="B88" s="1" t="n">
        <v>44383.56744212963</v>
      </c>
      <c r="C88" s="1" t="n">
        <v>46129</v>
      </c>
      <c r="D88" t="inlineStr">
        <is>
          <t>GÄVLEBORGS LÄN</t>
        </is>
      </c>
      <c r="E88" t="inlineStr">
        <is>
          <t>SANDVIKEN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26711-2022</t>
        </is>
      </c>
      <c r="B89" s="1" t="n">
        <v>44739.83524305555</v>
      </c>
      <c r="C89" s="1" t="n">
        <v>46129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55411-2022</t>
        </is>
      </c>
      <c r="B90" s="1" t="n">
        <v>44887.58847222223</v>
      </c>
      <c r="C90" s="1" t="n">
        <v>46129</v>
      </c>
      <c r="D90" t="inlineStr">
        <is>
          <t>GÄVLEBORGS LÄN</t>
        </is>
      </c>
      <c r="E90" t="inlineStr">
        <is>
          <t>SANDVIKEN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49493-2022</t>
        </is>
      </c>
      <c r="B91" s="1" t="n">
        <v>44861</v>
      </c>
      <c r="C91" s="1" t="n">
        <v>46129</v>
      </c>
      <c r="D91" t="inlineStr">
        <is>
          <t>GÄVLEBORGS LÄN</t>
        </is>
      </c>
      <c r="E91" t="inlineStr">
        <is>
          <t>SANDVIKEN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39241-2022</t>
        </is>
      </c>
      <c r="B92" s="1" t="n">
        <v>44817</v>
      </c>
      <c r="C92" s="1" t="n">
        <v>46129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63621-2021</t>
        </is>
      </c>
      <c r="B93" s="1" t="n">
        <v>44509</v>
      </c>
      <c r="C93" s="1" t="n">
        <v>46129</v>
      </c>
      <c r="D93" t="inlineStr">
        <is>
          <t>GÄVLEBORGS LÄN</t>
        </is>
      </c>
      <c r="E93" t="inlineStr">
        <is>
          <t>SANDVIKEN</t>
        </is>
      </c>
      <c r="F93" t="inlineStr">
        <is>
          <t>Kommuner</t>
        </is>
      </c>
      <c r="G93" t="n">
        <v>18.3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47718-2022</t>
        </is>
      </c>
      <c r="B94" s="1" t="n">
        <v>44854.60716435185</v>
      </c>
      <c r="C94" s="1" t="n">
        <v>46129</v>
      </c>
      <c r="D94" t="inlineStr">
        <is>
          <t>GÄVLEBORGS LÄN</t>
        </is>
      </c>
      <c r="E94" t="inlineStr">
        <is>
          <t>SANDVIKEN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52763-2022</t>
        </is>
      </c>
      <c r="B95" s="1" t="n">
        <v>44875.32665509259</v>
      </c>
      <c r="C95" s="1" t="n">
        <v>46129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52765-2022</t>
        </is>
      </c>
      <c r="B96" s="1" t="n">
        <v>44875</v>
      </c>
      <c r="C96" s="1" t="n">
        <v>46129</v>
      </c>
      <c r="D96" t="inlineStr">
        <is>
          <t>GÄVLEBORGS LÄN</t>
        </is>
      </c>
      <c r="E96" t="inlineStr">
        <is>
          <t>SANDVIKEN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67180-2021</t>
        </is>
      </c>
      <c r="B97" s="1" t="n">
        <v>44523.44119212963</v>
      </c>
      <c r="C97" s="1" t="n">
        <v>46129</v>
      </c>
      <c r="D97" t="inlineStr">
        <is>
          <t>GÄVLEBORGS LÄN</t>
        </is>
      </c>
      <c r="E97" t="inlineStr">
        <is>
          <t>SANDVIKEN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22654-2022</t>
        </is>
      </c>
      <c r="B98" s="1" t="n">
        <v>44714</v>
      </c>
      <c r="C98" s="1" t="n">
        <v>46129</v>
      </c>
      <c r="D98" t="inlineStr">
        <is>
          <t>GÄVLEBORGS LÄN</t>
        </is>
      </c>
      <c r="E98" t="inlineStr">
        <is>
          <t>SANDVIKEN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66345-2021</t>
        </is>
      </c>
      <c r="B99" s="1" t="n">
        <v>44518.5616087963</v>
      </c>
      <c r="C99" s="1" t="n">
        <v>46129</v>
      </c>
      <c r="D99" t="inlineStr">
        <is>
          <t>GÄVLEBORGS LÄN</t>
        </is>
      </c>
      <c r="E99" t="inlineStr">
        <is>
          <t>SANDVIKEN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56734-2021</t>
        </is>
      </c>
      <c r="B100" s="1" t="n">
        <v>44481.44684027778</v>
      </c>
      <c r="C100" s="1" t="n">
        <v>46129</v>
      </c>
      <c r="D100" t="inlineStr">
        <is>
          <t>GÄVLEBORGS LÄN</t>
        </is>
      </c>
      <c r="E100" t="inlineStr">
        <is>
          <t>SANDVIKEN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11993-2022</t>
        </is>
      </c>
      <c r="B101" s="1" t="n">
        <v>44635.71787037037</v>
      </c>
      <c r="C101" s="1" t="n">
        <v>46129</v>
      </c>
      <c r="D101" t="inlineStr">
        <is>
          <t>GÄVLEBORGS LÄN</t>
        </is>
      </c>
      <c r="E101" t="inlineStr">
        <is>
          <t>SANDVIKEN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6947-2022</t>
        </is>
      </c>
      <c r="B102" s="1" t="n">
        <v>44603</v>
      </c>
      <c r="C102" s="1" t="n">
        <v>46129</v>
      </c>
      <c r="D102" t="inlineStr">
        <is>
          <t>GÄVLEBORGS LÄN</t>
        </is>
      </c>
      <c r="E102" t="inlineStr">
        <is>
          <t>SANDVIKEN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21610-2021</t>
        </is>
      </c>
      <c r="B103" s="1" t="n">
        <v>44321</v>
      </c>
      <c r="C103" s="1" t="n">
        <v>46129</v>
      </c>
      <c r="D103" t="inlineStr">
        <is>
          <t>GÄVLEBORGS LÄN</t>
        </is>
      </c>
      <c r="E103" t="inlineStr">
        <is>
          <t>SANDVIKEN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42287-2021</t>
        </is>
      </c>
      <c r="B104" s="1" t="n">
        <v>44427.35351851852</v>
      </c>
      <c r="C104" s="1" t="n">
        <v>46129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39170-2022</t>
        </is>
      </c>
      <c r="B105" s="1" t="n">
        <v>44817.4978125</v>
      </c>
      <c r="C105" s="1" t="n">
        <v>46129</v>
      </c>
      <c r="D105" t="inlineStr">
        <is>
          <t>GÄVLEBORGS LÄN</t>
        </is>
      </c>
      <c r="E105" t="inlineStr">
        <is>
          <t>SANDVIKEN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16603-2022</t>
        </is>
      </c>
      <c r="B106" s="1" t="n">
        <v>44672</v>
      </c>
      <c r="C106" s="1" t="n">
        <v>46129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41862-2022</t>
        </is>
      </c>
      <c r="B107" s="1" t="n">
        <v>44829</v>
      </c>
      <c r="C107" s="1" t="n">
        <v>46129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15907-2023</t>
        </is>
      </c>
      <c r="B108" s="1" t="n">
        <v>45022.49149305555</v>
      </c>
      <c r="C108" s="1" t="n">
        <v>46129</v>
      </c>
      <c r="D108" t="inlineStr">
        <is>
          <t>GÄVLEBORGS LÄN</t>
        </is>
      </c>
      <c r="E108" t="inlineStr">
        <is>
          <t>SANDVIKEN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50905-2024</t>
        </is>
      </c>
      <c r="B109" s="1" t="n">
        <v>45602.69391203704</v>
      </c>
      <c r="C109" s="1" t="n">
        <v>46129</v>
      </c>
      <c r="D109" t="inlineStr">
        <is>
          <t>GÄVLEBORGS LÄN</t>
        </is>
      </c>
      <c r="E109" t="inlineStr">
        <is>
          <t>SANDVIKEN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29928-2024</t>
        </is>
      </c>
      <c r="B110" s="1" t="n">
        <v>45488.38681712963</v>
      </c>
      <c r="C110" s="1" t="n">
        <v>46129</v>
      </c>
      <c r="D110" t="inlineStr">
        <is>
          <t>GÄVLEBORGS LÄN</t>
        </is>
      </c>
      <c r="E110" t="inlineStr">
        <is>
          <t>SANDVIKEN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53719-2024</t>
        </is>
      </c>
      <c r="B111" s="1" t="n">
        <v>45615.43756944445</v>
      </c>
      <c r="C111" s="1" t="n">
        <v>46129</v>
      </c>
      <c r="D111" t="inlineStr">
        <is>
          <t>GÄVLEBORGS LÄN</t>
        </is>
      </c>
      <c r="E111" t="inlineStr">
        <is>
          <t>SANDVIKEN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64225-2021</t>
        </is>
      </c>
      <c r="B112" s="1" t="n">
        <v>44510.63287037037</v>
      </c>
      <c r="C112" s="1" t="n">
        <v>46129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32002-2024</t>
        </is>
      </c>
      <c r="B113" s="1" t="n">
        <v>45510.60306712963</v>
      </c>
      <c r="C113" s="1" t="n">
        <v>46129</v>
      </c>
      <c r="D113" t="inlineStr">
        <is>
          <t>GÄVLEBORGS LÄN</t>
        </is>
      </c>
      <c r="E113" t="inlineStr">
        <is>
          <t>SANDVIKEN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13194-2025</t>
        </is>
      </c>
      <c r="B114" s="1" t="n">
        <v>45735</v>
      </c>
      <c r="C114" s="1" t="n">
        <v>46129</v>
      </c>
      <c r="D114" t="inlineStr">
        <is>
          <t>GÄVLEBORGS LÄN</t>
        </is>
      </c>
      <c r="E114" t="inlineStr">
        <is>
          <t>SANDVIKEN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14840-2022</t>
        </is>
      </c>
      <c r="B115" s="1" t="n">
        <v>44656.57594907407</v>
      </c>
      <c r="C115" s="1" t="n">
        <v>46129</v>
      </c>
      <c r="D115" t="inlineStr">
        <is>
          <t>GÄVLEBORGS LÄN</t>
        </is>
      </c>
      <c r="E115" t="inlineStr">
        <is>
          <t>SANDVIKEN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45920-2022</t>
        </is>
      </c>
      <c r="B116" s="1" t="n">
        <v>44846.62366898148</v>
      </c>
      <c r="C116" s="1" t="n">
        <v>46129</v>
      </c>
      <c r="D116" t="inlineStr">
        <is>
          <t>GÄVLEBORGS LÄN</t>
        </is>
      </c>
      <c r="E116" t="inlineStr">
        <is>
          <t>SANDVIKEN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34013-2024</t>
        </is>
      </c>
      <c r="B117" s="1" t="n">
        <v>45523.56701388889</v>
      </c>
      <c r="C117" s="1" t="n">
        <v>46129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11438-2023</t>
        </is>
      </c>
      <c r="B118" s="1" t="n">
        <v>44988</v>
      </c>
      <c r="C118" s="1" t="n">
        <v>46129</v>
      </c>
      <c r="D118" t="inlineStr">
        <is>
          <t>GÄVLEBORGS LÄN</t>
        </is>
      </c>
      <c r="E118" t="inlineStr">
        <is>
          <t>SANDVIKEN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11447-2023</t>
        </is>
      </c>
      <c r="B119" s="1" t="n">
        <v>44988</v>
      </c>
      <c r="C119" s="1" t="n">
        <v>46129</v>
      </c>
      <c r="D119" t="inlineStr">
        <is>
          <t>GÄVLEBORGS LÄN</t>
        </is>
      </c>
      <c r="E119" t="inlineStr">
        <is>
          <t>SANDVIKEN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45299-2023</t>
        </is>
      </c>
      <c r="B120" s="1" t="n">
        <v>45191.66645833333</v>
      </c>
      <c r="C120" s="1" t="n">
        <v>46129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öst AB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56019-2023</t>
        </is>
      </c>
      <c r="B121" s="1" t="n">
        <v>45240.42166666667</v>
      </c>
      <c r="C121" s="1" t="n">
        <v>46129</v>
      </c>
      <c r="D121" t="inlineStr">
        <is>
          <t>GÄVLEBORGS LÄN</t>
        </is>
      </c>
      <c r="E121" t="inlineStr">
        <is>
          <t>SANDVIKEN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18611-2025</t>
        </is>
      </c>
      <c r="B122" s="1" t="n">
        <v>45763.49574074074</v>
      </c>
      <c r="C122" s="1" t="n">
        <v>46129</v>
      </c>
      <c r="D122" t="inlineStr">
        <is>
          <t>GÄVLEBORGS LÄN</t>
        </is>
      </c>
      <c r="E122" t="inlineStr">
        <is>
          <t>SANDVIKEN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42950-2023</t>
        </is>
      </c>
      <c r="B123" s="1" t="n">
        <v>45178</v>
      </c>
      <c r="C123" s="1" t="n">
        <v>46129</v>
      </c>
      <c r="D123" t="inlineStr">
        <is>
          <t>GÄVLEBORGS LÄN</t>
        </is>
      </c>
      <c r="E123" t="inlineStr">
        <is>
          <t>SANDVIKEN</t>
        </is>
      </c>
      <c r="F123" t="inlineStr">
        <is>
          <t>Bergvik skog väst AB</t>
        </is>
      </c>
      <c r="G123" t="n">
        <v>16.5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1712-2025</t>
        </is>
      </c>
      <c r="B124" s="1" t="n">
        <v>45671.31266203704</v>
      </c>
      <c r="C124" s="1" t="n">
        <v>46129</v>
      </c>
      <c r="D124" t="inlineStr">
        <is>
          <t>GÄVLEBORGS LÄN</t>
        </is>
      </c>
      <c r="E124" t="inlineStr">
        <is>
          <t>SANDVIKEN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39591-2024</t>
        </is>
      </c>
      <c r="B125" s="1" t="n">
        <v>45552.37234953704</v>
      </c>
      <c r="C125" s="1" t="n">
        <v>46129</v>
      </c>
      <c r="D125" t="inlineStr">
        <is>
          <t>GÄVLEBORGS LÄN</t>
        </is>
      </c>
      <c r="E125" t="inlineStr">
        <is>
          <t>SANDVIKEN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73925-2021</t>
        </is>
      </c>
      <c r="B126" s="1" t="n">
        <v>44553</v>
      </c>
      <c r="C126" s="1" t="n">
        <v>46129</v>
      </c>
      <c r="D126" t="inlineStr">
        <is>
          <t>GÄVLEBORGS LÄN</t>
        </is>
      </c>
      <c r="E126" t="inlineStr">
        <is>
          <t>SANDVIKEN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42864-2024</t>
        </is>
      </c>
      <c r="B127" s="1" t="n">
        <v>45566</v>
      </c>
      <c r="C127" s="1" t="n">
        <v>46129</v>
      </c>
      <c r="D127" t="inlineStr">
        <is>
          <t>GÄVLEBORGS LÄN</t>
        </is>
      </c>
      <c r="E127" t="inlineStr">
        <is>
          <t>SANDVIKEN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55753-2025</t>
        </is>
      </c>
      <c r="B128" s="1" t="n">
        <v>45972.58767361111</v>
      </c>
      <c r="C128" s="1" t="n">
        <v>46129</v>
      </c>
      <c r="D128" t="inlineStr">
        <is>
          <t>GÄVLEBORGS LÄN</t>
        </is>
      </c>
      <c r="E128" t="inlineStr">
        <is>
          <t>SANDVIKEN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55607-2025</t>
        </is>
      </c>
      <c r="B129" s="1" t="n">
        <v>45971.79834490741</v>
      </c>
      <c r="C129" s="1" t="n">
        <v>46129</v>
      </c>
      <c r="D129" t="inlineStr">
        <is>
          <t>GÄVLEBORGS LÄN</t>
        </is>
      </c>
      <c r="E129" t="inlineStr">
        <is>
          <t>SANDVIKEN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33623-2024</t>
        </is>
      </c>
      <c r="B130" s="1" t="n">
        <v>45520.41766203703</v>
      </c>
      <c r="C130" s="1" t="n">
        <v>46129</v>
      </c>
      <c r="D130" t="inlineStr">
        <is>
          <t>GÄVLEBORGS LÄN</t>
        </is>
      </c>
      <c r="E130" t="inlineStr">
        <is>
          <t>SANDVIKEN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38673-2025</t>
        </is>
      </c>
      <c r="B131" s="1" t="n">
        <v>45884.63460648148</v>
      </c>
      <c r="C131" s="1" t="n">
        <v>46129</v>
      </c>
      <c r="D131" t="inlineStr">
        <is>
          <t>GÄVLEBORGS LÄN</t>
        </is>
      </c>
      <c r="E131" t="inlineStr">
        <is>
          <t>SANDVIKEN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38846-2025</t>
        </is>
      </c>
      <c r="B132" s="1" t="n">
        <v>45887.54204861111</v>
      </c>
      <c r="C132" s="1" t="n">
        <v>46129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22495-2025</t>
        </is>
      </c>
      <c r="B133" s="1" t="n">
        <v>45786.65537037037</v>
      </c>
      <c r="C133" s="1" t="n">
        <v>46129</v>
      </c>
      <c r="D133" t="inlineStr">
        <is>
          <t>GÄVLEBORGS LÄN</t>
        </is>
      </c>
      <c r="E133" t="inlineStr">
        <is>
          <t>SANDVIKEN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26413-2023</t>
        </is>
      </c>
      <c r="B134" s="1" t="n">
        <v>45092.3786574074</v>
      </c>
      <c r="C134" s="1" t="n">
        <v>46129</v>
      </c>
      <c r="D134" t="inlineStr">
        <is>
          <t>GÄVLEBORGS LÄN</t>
        </is>
      </c>
      <c r="E134" t="inlineStr">
        <is>
          <t>SANDVIKEN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34429-2024</t>
        </is>
      </c>
      <c r="B135" s="1" t="n">
        <v>45525.51678240741</v>
      </c>
      <c r="C135" s="1" t="n">
        <v>46129</v>
      </c>
      <c r="D135" t="inlineStr">
        <is>
          <t>GÄVLEBORGS LÄN</t>
        </is>
      </c>
      <c r="E135" t="inlineStr">
        <is>
          <t>SANDVIKEN</t>
        </is>
      </c>
      <c r="F135" t="inlineStr">
        <is>
          <t>Bergvik skog öst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45562-2022</t>
        </is>
      </c>
      <c r="B136" s="1" t="n">
        <v>44845</v>
      </c>
      <c r="C136" s="1" t="n">
        <v>46129</v>
      </c>
      <c r="D136" t="inlineStr">
        <is>
          <t>GÄVLEBORGS LÄN</t>
        </is>
      </c>
      <c r="E136" t="inlineStr">
        <is>
          <t>SANDVIKEN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56587-2025</t>
        </is>
      </c>
      <c r="B137" s="1" t="n">
        <v>45975</v>
      </c>
      <c r="C137" s="1" t="n">
        <v>46129</v>
      </c>
      <c r="D137" t="inlineStr">
        <is>
          <t>GÄVLEBORGS LÄN</t>
        </is>
      </c>
      <c r="E137" t="inlineStr">
        <is>
          <t>SANDVIKEN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64587-2023</t>
        </is>
      </c>
      <c r="B138" s="1" t="n">
        <v>45281.46988425926</v>
      </c>
      <c r="C138" s="1" t="n">
        <v>46129</v>
      </c>
      <c r="D138" t="inlineStr">
        <is>
          <t>GÄVLEBORGS LÄN</t>
        </is>
      </c>
      <c r="E138" t="inlineStr">
        <is>
          <t>SANDVIKEN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41890-2023</t>
        </is>
      </c>
      <c r="B139" s="1" t="n">
        <v>45176.71189814815</v>
      </c>
      <c r="C139" s="1" t="n">
        <v>46129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49704-2023</t>
        </is>
      </c>
      <c r="B140" s="1" t="n">
        <v>45212</v>
      </c>
      <c r="C140" s="1" t="n">
        <v>46129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25265-2025</t>
        </is>
      </c>
      <c r="B141" s="1" t="n">
        <v>45800.53510416667</v>
      </c>
      <c r="C141" s="1" t="n">
        <v>46129</v>
      </c>
      <c r="D141" t="inlineStr">
        <is>
          <t>GÄVLEBORGS LÄN</t>
        </is>
      </c>
      <c r="E141" t="inlineStr">
        <is>
          <t>SANDVIKEN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38676-2025</t>
        </is>
      </c>
      <c r="B142" s="1" t="n">
        <v>45884.63819444444</v>
      </c>
      <c r="C142" s="1" t="n">
        <v>46129</v>
      </c>
      <c r="D142" t="inlineStr">
        <is>
          <t>GÄVLEBORGS LÄN</t>
        </is>
      </c>
      <c r="E142" t="inlineStr">
        <is>
          <t>SANDVIKEN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38677-2025</t>
        </is>
      </c>
      <c r="B143" s="1" t="n">
        <v>45884.64185185185</v>
      </c>
      <c r="C143" s="1" t="n">
        <v>46129</v>
      </c>
      <c r="D143" t="inlineStr">
        <is>
          <t>GÄVLEBORGS LÄN</t>
        </is>
      </c>
      <c r="E143" t="inlineStr">
        <is>
          <t>SANDVIKEN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61848-2023</t>
        </is>
      </c>
      <c r="B144" s="1" t="n">
        <v>45265</v>
      </c>
      <c r="C144" s="1" t="n">
        <v>46129</v>
      </c>
      <c r="D144" t="inlineStr">
        <is>
          <t>GÄVLEBORGS LÄN</t>
        </is>
      </c>
      <c r="E144" t="inlineStr">
        <is>
          <t>SANDVIKEN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11401-2023</t>
        </is>
      </c>
      <c r="B145" s="1" t="n">
        <v>44988</v>
      </c>
      <c r="C145" s="1" t="n">
        <v>46129</v>
      </c>
      <c r="D145" t="inlineStr">
        <is>
          <t>GÄVLEBORGS LÄN</t>
        </is>
      </c>
      <c r="E145" t="inlineStr">
        <is>
          <t>SANDVIKEN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30798-2022</t>
        </is>
      </c>
      <c r="B146" s="1" t="n">
        <v>44764.71993055556</v>
      </c>
      <c r="C146" s="1" t="n">
        <v>46129</v>
      </c>
      <c r="D146" t="inlineStr">
        <is>
          <t>GÄVLEBORGS LÄN</t>
        </is>
      </c>
      <c r="E146" t="inlineStr">
        <is>
          <t>SANDVIKEN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37458-2024</t>
        </is>
      </c>
      <c r="B147" s="1" t="n">
        <v>45540.71457175926</v>
      </c>
      <c r="C147" s="1" t="n">
        <v>46129</v>
      </c>
      <c r="D147" t="inlineStr">
        <is>
          <t>GÄVLEBORGS LÄN</t>
        </is>
      </c>
      <c r="E147" t="inlineStr">
        <is>
          <t>SANDVIKEN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39153-2025</t>
        </is>
      </c>
      <c r="B148" s="1" t="n">
        <v>45888.6171875</v>
      </c>
      <c r="C148" s="1" t="n">
        <v>46129</v>
      </c>
      <c r="D148" t="inlineStr">
        <is>
          <t>GÄVLEBORGS LÄN</t>
        </is>
      </c>
      <c r="E148" t="inlineStr">
        <is>
          <t>SANDVIKEN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39283-2025</t>
        </is>
      </c>
      <c r="B149" s="1" t="n">
        <v>45889.40511574074</v>
      </c>
      <c r="C149" s="1" t="n">
        <v>46129</v>
      </c>
      <c r="D149" t="inlineStr">
        <is>
          <t>GÄVLEBORGS LÄN</t>
        </is>
      </c>
      <c r="E149" t="inlineStr">
        <is>
          <t>SANDVIKEN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61859-2024</t>
        </is>
      </c>
      <c r="B150" s="1" t="n">
        <v>45649</v>
      </c>
      <c r="C150" s="1" t="n">
        <v>46129</v>
      </c>
      <c r="D150" t="inlineStr">
        <is>
          <t>GÄVLEBORGS LÄN</t>
        </is>
      </c>
      <c r="E150" t="inlineStr">
        <is>
          <t>SANDVIKEN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19771-2025</t>
        </is>
      </c>
      <c r="B151" s="1" t="n">
        <v>45771.41731481482</v>
      </c>
      <c r="C151" s="1" t="n">
        <v>46129</v>
      </c>
      <c r="D151" t="inlineStr">
        <is>
          <t>GÄVLEBORGS LÄN</t>
        </is>
      </c>
      <c r="E151" t="inlineStr">
        <is>
          <t>SANDVIKEN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15682-2024</t>
        </is>
      </c>
      <c r="B152" s="1" t="n">
        <v>45404.42548611111</v>
      </c>
      <c r="C152" s="1" t="n">
        <v>46129</v>
      </c>
      <c r="D152" t="inlineStr">
        <is>
          <t>GÄVLEBORGS LÄN</t>
        </is>
      </c>
      <c r="E152" t="inlineStr">
        <is>
          <t>SANDVIKEN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39381-2025</t>
        </is>
      </c>
      <c r="B153" s="1" t="n">
        <v>45889.60896990741</v>
      </c>
      <c r="C153" s="1" t="n">
        <v>46129</v>
      </c>
      <c r="D153" t="inlineStr">
        <is>
          <t>GÄVLEBORGS LÄN</t>
        </is>
      </c>
      <c r="E153" t="inlineStr">
        <is>
          <t>SANDVIKEN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44289-2023</t>
        </is>
      </c>
      <c r="B154" s="1" t="n">
        <v>45188.63613425926</v>
      </c>
      <c r="C154" s="1" t="n">
        <v>46129</v>
      </c>
      <c r="D154" t="inlineStr">
        <is>
          <t>GÄVLEBORGS LÄN</t>
        </is>
      </c>
      <c r="E154" t="inlineStr">
        <is>
          <t>SANDVIKEN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23497-2025</t>
        </is>
      </c>
      <c r="B155" s="1" t="n">
        <v>45792.47788194445</v>
      </c>
      <c r="C155" s="1" t="n">
        <v>46129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27872-2024</t>
        </is>
      </c>
      <c r="B156" s="1" t="n">
        <v>45475.71920138889</v>
      </c>
      <c r="C156" s="1" t="n">
        <v>46129</v>
      </c>
      <c r="D156" t="inlineStr">
        <is>
          <t>GÄVLEBORGS LÄN</t>
        </is>
      </c>
      <c r="E156" t="inlineStr">
        <is>
          <t>SANDVIKEN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39049-2025</t>
        </is>
      </c>
      <c r="B157" s="1" t="n">
        <v>45888.44660879629</v>
      </c>
      <c r="C157" s="1" t="n">
        <v>46129</v>
      </c>
      <c r="D157" t="inlineStr">
        <is>
          <t>GÄVLEBORGS LÄN</t>
        </is>
      </c>
      <c r="E157" t="inlineStr">
        <is>
          <t>SANDVIKEN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37232-2024</t>
        </is>
      </c>
      <c r="B158" s="1" t="n">
        <v>45540</v>
      </c>
      <c r="C158" s="1" t="n">
        <v>46129</v>
      </c>
      <c r="D158" t="inlineStr">
        <is>
          <t>GÄVLEBORGS LÄN</t>
        </is>
      </c>
      <c r="E158" t="inlineStr">
        <is>
          <t>SANDVIKEN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49656-2024</t>
        </is>
      </c>
      <c r="B159" s="1" t="n">
        <v>45596.6178125</v>
      </c>
      <c r="C159" s="1" t="n">
        <v>46129</v>
      </c>
      <c r="D159" t="inlineStr">
        <is>
          <t>GÄVLEBORGS LÄN</t>
        </is>
      </c>
      <c r="E159" t="inlineStr">
        <is>
          <t>SANDVIKEN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56703-2025</t>
        </is>
      </c>
      <c r="B160" s="1" t="n">
        <v>45977.45782407407</v>
      </c>
      <c r="C160" s="1" t="n">
        <v>46129</v>
      </c>
      <c r="D160" t="inlineStr">
        <is>
          <t>GÄVLEBORGS LÄN</t>
        </is>
      </c>
      <c r="E160" t="inlineStr">
        <is>
          <t>SANDVIKEN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2358-2025</t>
        </is>
      </c>
      <c r="B161" s="1" t="n">
        <v>45673</v>
      </c>
      <c r="C161" s="1" t="n">
        <v>46129</v>
      </c>
      <c r="D161" t="inlineStr">
        <is>
          <t>GÄVLEBORGS LÄN</t>
        </is>
      </c>
      <c r="E161" t="inlineStr">
        <is>
          <t>SANDVIKEN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56036-2023</t>
        </is>
      </c>
      <c r="B162" s="1" t="n">
        <v>45240.44027777778</v>
      </c>
      <c r="C162" s="1" t="n">
        <v>46129</v>
      </c>
      <c r="D162" t="inlineStr">
        <is>
          <t>GÄVLEBORGS LÄN</t>
        </is>
      </c>
      <c r="E162" t="inlineStr">
        <is>
          <t>SANDVIKEN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45302-2023</t>
        </is>
      </c>
      <c r="B163" s="1" t="n">
        <v>45191</v>
      </c>
      <c r="C163" s="1" t="n">
        <v>46129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18725-2025</t>
        </is>
      </c>
      <c r="B164" s="1" t="n">
        <v>45763.66766203703</v>
      </c>
      <c r="C164" s="1" t="n">
        <v>46129</v>
      </c>
      <c r="D164" t="inlineStr">
        <is>
          <t>GÄVLEBORGS LÄN</t>
        </is>
      </c>
      <c r="E164" t="inlineStr">
        <is>
          <t>SANDVIKEN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39877-2025</t>
        </is>
      </c>
      <c r="B165" s="1" t="n">
        <v>45891.61541666667</v>
      </c>
      <c r="C165" s="1" t="n">
        <v>46129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64000-2023</t>
        </is>
      </c>
      <c r="B166" s="1" t="n">
        <v>45278</v>
      </c>
      <c r="C166" s="1" t="n">
        <v>46129</v>
      </c>
      <c r="D166" t="inlineStr">
        <is>
          <t>GÄVLEBORGS LÄN</t>
        </is>
      </c>
      <c r="E166" t="inlineStr">
        <is>
          <t>SANDVIKEN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29832-2025</t>
        </is>
      </c>
      <c r="B167" s="1" t="n">
        <v>45825.92290509259</v>
      </c>
      <c r="C167" s="1" t="n">
        <v>46129</v>
      </c>
      <c r="D167" t="inlineStr">
        <is>
          <t>GÄVLEBORGS LÄN</t>
        </is>
      </c>
      <c r="E167" t="inlineStr">
        <is>
          <t>SANDVIKEN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5586-2025</t>
        </is>
      </c>
      <c r="B168" s="1" t="n">
        <v>45693.55771990741</v>
      </c>
      <c r="C168" s="1" t="n">
        <v>46129</v>
      </c>
      <c r="D168" t="inlineStr">
        <is>
          <t>GÄVLEBORGS LÄN</t>
        </is>
      </c>
      <c r="E168" t="inlineStr">
        <is>
          <t>SANDVIKEN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19419-2025</t>
        </is>
      </c>
      <c r="B169" s="1" t="n">
        <v>45769.74543981482</v>
      </c>
      <c r="C169" s="1" t="n">
        <v>46129</v>
      </c>
      <c r="D169" t="inlineStr">
        <is>
          <t>GÄVLEBORGS LÄN</t>
        </is>
      </c>
      <c r="E169" t="inlineStr">
        <is>
          <t>SANDVIKEN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17735-2024</t>
        </is>
      </c>
      <c r="B170" s="1" t="n">
        <v>45418.5744675926</v>
      </c>
      <c r="C170" s="1" t="n">
        <v>46129</v>
      </c>
      <c r="D170" t="inlineStr">
        <is>
          <t>GÄVLEBORGS LÄN</t>
        </is>
      </c>
      <c r="E170" t="inlineStr">
        <is>
          <t>SANDVIKEN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56755-2025</t>
        </is>
      </c>
      <c r="B171" s="1" t="n">
        <v>45978.36744212963</v>
      </c>
      <c r="C171" s="1" t="n">
        <v>46129</v>
      </c>
      <c r="D171" t="inlineStr">
        <is>
          <t>GÄVLEBORGS LÄN</t>
        </is>
      </c>
      <c r="E171" t="inlineStr">
        <is>
          <t>SANDVIKEN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53005-2024</t>
        </is>
      </c>
      <c r="B172" s="1" t="n">
        <v>45611.38907407408</v>
      </c>
      <c r="C172" s="1" t="n">
        <v>46129</v>
      </c>
      <c r="D172" t="inlineStr">
        <is>
          <t>GÄVLEBORGS LÄN</t>
        </is>
      </c>
      <c r="E172" t="inlineStr">
        <is>
          <t>SANDVIKEN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40588-2025</t>
        </is>
      </c>
      <c r="B173" s="1" t="n">
        <v>45896.5346412037</v>
      </c>
      <c r="C173" s="1" t="n">
        <v>46129</v>
      </c>
      <c r="D173" t="inlineStr">
        <is>
          <t>GÄVLEBORGS LÄN</t>
        </is>
      </c>
      <c r="E173" t="inlineStr">
        <is>
          <t>SANDVIKEN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57261-2025</t>
        </is>
      </c>
      <c r="B174" s="1" t="n">
        <v>45979.65626157408</v>
      </c>
      <c r="C174" s="1" t="n">
        <v>46129</v>
      </c>
      <c r="D174" t="inlineStr">
        <is>
          <t>GÄVLEBORGS LÄN</t>
        </is>
      </c>
      <c r="E174" t="inlineStr">
        <is>
          <t>SANDVIKEN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53322-2024</t>
        </is>
      </c>
      <c r="B175" s="1" t="n">
        <v>45614.40765046296</v>
      </c>
      <c r="C175" s="1" t="n">
        <v>46129</v>
      </c>
      <c r="D175" t="inlineStr">
        <is>
          <t>GÄVLEBORGS LÄN</t>
        </is>
      </c>
      <c r="E175" t="inlineStr">
        <is>
          <t>SANDVIKEN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24585-2025</t>
        </is>
      </c>
      <c r="B176" s="1" t="n">
        <v>45798.5110300926</v>
      </c>
      <c r="C176" s="1" t="n">
        <v>46129</v>
      </c>
      <c r="D176" t="inlineStr">
        <is>
          <t>GÄVLEBORGS LÄN</t>
        </is>
      </c>
      <c r="E176" t="inlineStr">
        <is>
          <t>SANDVIKEN</t>
        </is>
      </c>
      <c r="G176" t="n">
        <v>10.5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24940-2025</t>
        </is>
      </c>
      <c r="B177" s="1" t="n">
        <v>45799.56048611111</v>
      </c>
      <c r="C177" s="1" t="n">
        <v>46129</v>
      </c>
      <c r="D177" t="inlineStr">
        <is>
          <t>GÄVLEBORGS LÄN</t>
        </is>
      </c>
      <c r="E177" t="inlineStr">
        <is>
          <t>SANDVIKEN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24948-2025</t>
        </is>
      </c>
      <c r="B178" s="1" t="n">
        <v>45799.56586805556</v>
      </c>
      <c r="C178" s="1" t="n">
        <v>46129</v>
      </c>
      <c r="D178" t="inlineStr">
        <is>
          <t>GÄVLEBORGS LÄN</t>
        </is>
      </c>
      <c r="E178" t="inlineStr">
        <is>
          <t>SANDVIKEN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24953-2025</t>
        </is>
      </c>
      <c r="B179" s="1" t="n">
        <v>45799.57369212963</v>
      </c>
      <c r="C179" s="1" t="n">
        <v>46129</v>
      </c>
      <c r="D179" t="inlineStr">
        <is>
          <t>GÄVLEBORGS LÄN</t>
        </is>
      </c>
      <c r="E179" t="inlineStr">
        <is>
          <t>SANDVIKEN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41349-2025</t>
        </is>
      </c>
      <c r="B180" s="1" t="n">
        <v>45899.61452546297</v>
      </c>
      <c r="C180" s="1" t="n">
        <v>46129</v>
      </c>
      <c r="D180" t="inlineStr">
        <is>
          <t>GÄVLEBORGS LÄN</t>
        </is>
      </c>
      <c r="E180" t="inlineStr">
        <is>
          <t>SANDVIKEN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41348-2025</t>
        </is>
      </c>
      <c r="B181" s="1" t="n">
        <v>45899.56299768519</v>
      </c>
      <c r="C181" s="1" t="n">
        <v>46129</v>
      </c>
      <c r="D181" t="inlineStr">
        <is>
          <t>GÄVLEBORGS LÄN</t>
        </is>
      </c>
      <c r="E181" t="inlineStr">
        <is>
          <t>SANDVIKEN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25410-2025</t>
        </is>
      </c>
      <c r="B182" s="1" t="n">
        <v>45800.66126157407</v>
      </c>
      <c r="C182" s="1" t="n">
        <v>46129</v>
      </c>
      <c r="D182" t="inlineStr">
        <is>
          <t>GÄVLEBORGS LÄN</t>
        </is>
      </c>
      <c r="E182" t="inlineStr">
        <is>
          <t>SANDVIKEN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41111-2025</t>
        </is>
      </c>
      <c r="B183" s="1" t="n">
        <v>45898</v>
      </c>
      <c r="C183" s="1" t="n">
        <v>46129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väst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781-2025</t>
        </is>
      </c>
      <c r="B184" s="1" t="n">
        <v>45665.4825</v>
      </c>
      <c r="C184" s="1" t="n">
        <v>46129</v>
      </c>
      <c r="D184" t="inlineStr">
        <is>
          <t>GÄVLEBORGS LÄN</t>
        </is>
      </c>
      <c r="E184" t="inlineStr">
        <is>
          <t>SANDVIKEN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41185-2025</t>
        </is>
      </c>
      <c r="B185" s="1" t="n">
        <v>45898.56283564815</v>
      </c>
      <c r="C185" s="1" t="n">
        <v>46129</v>
      </c>
      <c r="D185" t="inlineStr">
        <is>
          <t>GÄVLEBORGS LÄN</t>
        </is>
      </c>
      <c r="E185" t="inlineStr">
        <is>
          <t>SANDVIKEN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10260-2024</t>
        </is>
      </c>
      <c r="B186" s="1" t="n">
        <v>45365.42304398148</v>
      </c>
      <c r="C186" s="1" t="n">
        <v>46129</v>
      </c>
      <c r="D186" t="inlineStr">
        <is>
          <t>GÄVLEBORGS LÄN</t>
        </is>
      </c>
      <c r="E186" t="inlineStr">
        <is>
          <t>SANDVIKEN</t>
        </is>
      </c>
      <c r="F186" t="inlineStr">
        <is>
          <t>Kommuner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25425-2025</t>
        </is>
      </c>
      <c r="B187" s="1" t="n">
        <v>45800.7003125</v>
      </c>
      <c r="C187" s="1" t="n">
        <v>46129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33136-2023</t>
        </is>
      </c>
      <c r="B188" s="1" t="n">
        <v>45126.63739583334</v>
      </c>
      <c r="C188" s="1" t="n">
        <v>46129</v>
      </c>
      <c r="D188" t="inlineStr">
        <is>
          <t>GÄVLEBORGS LÄN</t>
        </is>
      </c>
      <c r="E188" t="inlineStr">
        <is>
          <t>SANDVIKEN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57604-2025</t>
        </is>
      </c>
      <c r="B189" s="1" t="n">
        <v>45981.32533564815</v>
      </c>
      <c r="C189" s="1" t="n">
        <v>46129</v>
      </c>
      <c r="D189" t="inlineStr">
        <is>
          <t>GÄVLEBORGS LÄN</t>
        </is>
      </c>
      <c r="E189" t="inlineStr">
        <is>
          <t>SANDVIKEN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25300-2025</t>
        </is>
      </c>
      <c r="B190" s="1" t="n">
        <v>45800.57034722222</v>
      </c>
      <c r="C190" s="1" t="n">
        <v>46129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25327-2025</t>
        </is>
      </c>
      <c r="B191" s="1" t="n">
        <v>45800.58903935185</v>
      </c>
      <c r="C191" s="1" t="n">
        <v>46129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25111-2025</t>
        </is>
      </c>
      <c r="B192" s="1" t="n">
        <v>45800.35587962963</v>
      </c>
      <c r="C192" s="1" t="n">
        <v>46129</v>
      </c>
      <c r="D192" t="inlineStr">
        <is>
          <t>GÄVLEBORGS LÄN</t>
        </is>
      </c>
      <c r="E192" t="inlineStr">
        <is>
          <t>SANDVIKEN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25314-2025</t>
        </is>
      </c>
      <c r="B193" s="1" t="n">
        <v>45800.57782407408</v>
      </c>
      <c r="C193" s="1" t="n">
        <v>46129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25317-2025</t>
        </is>
      </c>
      <c r="B194" s="1" t="n">
        <v>45800.58108796296</v>
      </c>
      <c r="C194" s="1" t="n">
        <v>46129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26294-2025</t>
        </is>
      </c>
      <c r="B195" s="1" t="n">
        <v>45805</v>
      </c>
      <c r="C195" s="1" t="n">
        <v>46129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11810-2023</t>
        </is>
      </c>
      <c r="B196" s="1" t="n">
        <v>44994.71511574074</v>
      </c>
      <c r="C196" s="1" t="n">
        <v>46129</v>
      </c>
      <c r="D196" t="inlineStr">
        <is>
          <t>GÄVLEBORGS LÄN</t>
        </is>
      </c>
      <c r="E196" t="inlineStr">
        <is>
          <t>SANDVIKEN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14356-2025</t>
        </is>
      </c>
      <c r="B197" s="1" t="n">
        <v>45741.36755787037</v>
      </c>
      <c r="C197" s="1" t="n">
        <v>46129</v>
      </c>
      <c r="D197" t="inlineStr">
        <is>
          <t>GÄVLEBORGS LÄN</t>
        </is>
      </c>
      <c r="E197" t="inlineStr">
        <is>
          <t>SANDVIKEN</t>
        </is>
      </c>
      <c r="F197" t="inlineStr">
        <is>
          <t>Bergvik skog öst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7031-2025</t>
        </is>
      </c>
      <c r="B198" s="1" t="n">
        <v>45701.63361111111</v>
      </c>
      <c r="C198" s="1" t="n">
        <v>46129</v>
      </c>
      <c r="D198" t="inlineStr">
        <is>
          <t>GÄVLEBORGS LÄN</t>
        </is>
      </c>
      <c r="E198" t="inlineStr">
        <is>
          <t>SANDVIKEN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37996-2024</t>
        </is>
      </c>
      <c r="B199" s="1" t="n">
        <v>45544.60001157408</v>
      </c>
      <c r="C199" s="1" t="n">
        <v>46129</v>
      </c>
      <c r="D199" t="inlineStr">
        <is>
          <t>GÄVLEBORGS LÄN</t>
        </is>
      </c>
      <c r="E199" t="inlineStr">
        <is>
          <t>SANDVIKEN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26201-2025</t>
        </is>
      </c>
      <c r="B200" s="1" t="n">
        <v>45805.50863425926</v>
      </c>
      <c r="C200" s="1" t="n">
        <v>46129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56310-2021</t>
        </is>
      </c>
      <c r="B201" s="1" t="n">
        <v>44477</v>
      </c>
      <c r="C201" s="1" t="n">
        <v>46129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väst AB</t>
        </is>
      </c>
      <c r="G201" t="n">
        <v>18.5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11481-2025</t>
        </is>
      </c>
      <c r="B202" s="1" t="n">
        <v>45726.67984953704</v>
      </c>
      <c r="C202" s="1" t="n">
        <v>46129</v>
      </c>
      <c r="D202" t="inlineStr">
        <is>
          <t>GÄVLEBORGS LÄN</t>
        </is>
      </c>
      <c r="E202" t="inlineStr">
        <is>
          <t>SANDVIKEN</t>
        </is>
      </c>
      <c r="F202" t="inlineStr">
        <is>
          <t>Bergvik skog öst AB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26203-2025</t>
        </is>
      </c>
      <c r="B203" s="1" t="n">
        <v>45805.50974537037</v>
      </c>
      <c r="C203" s="1" t="n">
        <v>46129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45284-2023</t>
        </is>
      </c>
      <c r="B204" s="1" t="n">
        <v>45191.64744212963</v>
      </c>
      <c r="C204" s="1" t="n">
        <v>46129</v>
      </c>
      <c r="D204" t="inlineStr">
        <is>
          <t>GÄVLEBORGS LÄN</t>
        </is>
      </c>
      <c r="E204" t="inlineStr">
        <is>
          <t>SANDVIKEN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59614-2024</t>
        </is>
      </c>
      <c r="B205" s="1" t="n">
        <v>45638.78225694445</v>
      </c>
      <c r="C205" s="1" t="n">
        <v>46129</v>
      </c>
      <c r="D205" t="inlineStr">
        <is>
          <t>GÄVLEBORGS LÄN</t>
        </is>
      </c>
      <c r="E205" t="inlineStr">
        <is>
          <t>SANDVIKEN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42088-2024</t>
        </is>
      </c>
      <c r="B206" s="1" t="n">
        <v>45562.34226851852</v>
      </c>
      <c r="C206" s="1" t="n">
        <v>46129</v>
      </c>
      <c r="D206" t="inlineStr">
        <is>
          <t>GÄVLEBORGS LÄN</t>
        </is>
      </c>
      <c r="E206" t="inlineStr">
        <is>
          <t>SANDVIKEN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16819-2025</t>
        </is>
      </c>
      <c r="B207" s="1" t="n">
        <v>45754.64091435185</v>
      </c>
      <c r="C207" s="1" t="n">
        <v>46129</v>
      </c>
      <c r="D207" t="inlineStr">
        <is>
          <t>GÄVLEBORGS LÄN</t>
        </is>
      </c>
      <c r="E207" t="inlineStr">
        <is>
          <t>SANDVIKEN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41023-2023</t>
        </is>
      </c>
      <c r="B208" s="1" t="n">
        <v>45173.59473379629</v>
      </c>
      <c r="C208" s="1" t="n">
        <v>46129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58184-2025</t>
        </is>
      </c>
      <c r="B209" s="1" t="n">
        <v>45983.29730324074</v>
      </c>
      <c r="C209" s="1" t="n">
        <v>46129</v>
      </c>
      <c r="D209" t="inlineStr">
        <is>
          <t>GÄVLEBORGS LÄN</t>
        </is>
      </c>
      <c r="E209" t="inlineStr">
        <is>
          <t>SANDVIKEN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58197-2025</t>
        </is>
      </c>
      <c r="B210" s="1" t="n">
        <v>45984.44152777778</v>
      </c>
      <c r="C210" s="1" t="n">
        <v>46129</v>
      </c>
      <c r="D210" t="inlineStr">
        <is>
          <t>GÄVLEBORGS LÄN</t>
        </is>
      </c>
      <c r="E210" t="inlineStr">
        <is>
          <t>SANDVIKEN</t>
        </is>
      </c>
      <c r="F210" t="inlineStr">
        <is>
          <t>Bergvik skog öst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58199-2025</t>
        </is>
      </c>
      <c r="B211" s="1" t="n">
        <v>45984.44215277778</v>
      </c>
      <c r="C211" s="1" t="n">
        <v>46129</v>
      </c>
      <c r="D211" t="inlineStr">
        <is>
          <t>GÄVLEBORGS LÄN</t>
        </is>
      </c>
      <c r="E211" t="inlineStr">
        <is>
          <t>SANDVIKEN</t>
        </is>
      </c>
      <c r="F211" t="inlineStr">
        <is>
          <t>Bergvik skog öst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58201-2025</t>
        </is>
      </c>
      <c r="B212" s="1" t="n">
        <v>45984.44289351852</v>
      </c>
      <c r="C212" s="1" t="n">
        <v>46129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öst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26787-2025</t>
        </is>
      </c>
      <c r="B213" s="1" t="n">
        <v>45810</v>
      </c>
      <c r="C213" s="1" t="n">
        <v>46129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42107-2024</t>
        </is>
      </c>
      <c r="B214" s="1" t="n">
        <v>45562.36814814815</v>
      </c>
      <c r="C214" s="1" t="n">
        <v>46129</v>
      </c>
      <c r="D214" t="inlineStr">
        <is>
          <t>GÄVLEBORGS LÄN</t>
        </is>
      </c>
      <c r="E214" t="inlineStr">
        <is>
          <t>SANDVIKEN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11393-2023</t>
        </is>
      </c>
      <c r="B215" s="1" t="n">
        <v>44988</v>
      </c>
      <c r="C215" s="1" t="n">
        <v>46129</v>
      </c>
      <c r="D215" t="inlineStr">
        <is>
          <t>GÄVLEBORGS LÄN</t>
        </is>
      </c>
      <c r="E215" t="inlineStr">
        <is>
          <t>SANDVIKEN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11436-2023</t>
        </is>
      </c>
      <c r="B216" s="1" t="n">
        <v>44988</v>
      </c>
      <c r="C216" s="1" t="n">
        <v>46129</v>
      </c>
      <c r="D216" t="inlineStr">
        <is>
          <t>GÄVLEBORGS LÄN</t>
        </is>
      </c>
      <c r="E216" t="inlineStr">
        <is>
          <t>SANDVIKEN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40363-2023</t>
        </is>
      </c>
      <c r="B217" s="1" t="n">
        <v>45169.66825231481</v>
      </c>
      <c r="C217" s="1" t="n">
        <v>46129</v>
      </c>
      <c r="D217" t="inlineStr">
        <is>
          <t>GÄVLEBORGS LÄN</t>
        </is>
      </c>
      <c r="E217" t="inlineStr">
        <is>
          <t>SANDVIKEN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57932-2025</t>
        </is>
      </c>
      <c r="B218" s="1" t="n">
        <v>45981.94925925926</v>
      </c>
      <c r="C218" s="1" t="n">
        <v>46129</v>
      </c>
      <c r="D218" t="inlineStr">
        <is>
          <t>GÄVLEBORGS LÄN</t>
        </is>
      </c>
      <c r="E218" t="inlineStr">
        <is>
          <t>SANDVIKEN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57934-2025</t>
        </is>
      </c>
      <c r="B219" s="1" t="n">
        <v>45981.95412037037</v>
      </c>
      <c r="C219" s="1" t="n">
        <v>46129</v>
      </c>
      <c r="D219" t="inlineStr">
        <is>
          <t>GÄVLEBORGS LÄN</t>
        </is>
      </c>
      <c r="E219" t="inlineStr">
        <is>
          <t>SANDVIKEN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43036-2025</t>
        </is>
      </c>
      <c r="B220" s="1" t="n">
        <v>45909.54861111111</v>
      </c>
      <c r="C220" s="1" t="n">
        <v>46129</v>
      </c>
      <c r="D220" t="inlineStr">
        <is>
          <t>GÄVLEBORGS LÄN</t>
        </is>
      </c>
      <c r="E220" t="inlineStr">
        <is>
          <t>SANDVIKEN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43230-2025</t>
        </is>
      </c>
      <c r="B221" s="1" t="n">
        <v>45910.49741898148</v>
      </c>
      <c r="C221" s="1" t="n">
        <v>46129</v>
      </c>
      <c r="D221" t="inlineStr">
        <is>
          <t>GÄVLEBORGS LÄN</t>
        </is>
      </c>
      <c r="E221" t="inlineStr">
        <is>
          <t>SANDVIKEN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43472-2025</t>
        </is>
      </c>
      <c r="B222" s="1" t="n">
        <v>45911.48361111111</v>
      </c>
      <c r="C222" s="1" t="n">
        <v>46129</v>
      </c>
      <c r="D222" t="inlineStr">
        <is>
          <t>GÄVLEBORGS LÄN</t>
        </is>
      </c>
      <c r="E222" t="inlineStr">
        <is>
          <t>SANDVIKEN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27967-2022</t>
        </is>
      </c>
      <c r="B223" s="1" t="n">
        <v>44744</v>
      </c>
      <c r="C223" s="1" t="n">
        <v>46129</v>
      </c>
      <c r="D223" t="inlineStr">
        <is>
          <t>GÄVLEBORGS LÄN</t>
        </is>
      </c>
      <c r="E223" t="inlineStr">
        <is>
          <t>SANDVIKEN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43210-2025</t>
        </is>
      </c>
      <c r="B224" s="1" t="n">
        <v>45910.45524305556</v>
      </c>
      <c r="C224" s="1" t="n">
        <v>46129</v>
      </c>
      <c r="D224" t="inlineStr">
        <is>
          <t>GÄVLEBORGS LÄN</t>
        </is>
      </c>
      <c r="E224" t="inlineStr">
        <is>
          <t>SANDVIKEN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7617-2025</t>
        </is>
      </c>
      <c r="B225" s="1" t="n">
        <v>45705</v>
      </c>
      <c r="C225" s="1" t="n">
        <v>46129</v>
      </c>
      <c r="D225" t="inlineStr">
        <is>
          <t>GÄVLEBORGS LÄN</t>
        </is>
      </c>
      <c r="E225" t="inlineStr">
        <is>
          <t>SANDVIKEN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57933-2025</t>
        </is>
      </c>
      <c r="B226" s="1" t="n">
        <v>45981.95112268518</v>
      </c>
      <c r="C226" s="1" t="n">
        <v>46129</v>
      </c>
      <c r="D226" t="inlineStr">
        <is>
          <t>GÄVLEBORGS LÄN</t>
        </is>
      </c>
      <c r="E226" t="inlineStr">
        <is>
          <t>SANDVIKEN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42495-2025</t>
        </is>
      </c>
      <c r="B227" s="1" t="n">
        <v>45905.50623842593</v>
      </c>
      <c r="C227" s="1" t="n">
        <v>46129</v>
      </c>
      <c r="D227" t="inlineStr">
        <is>
          <t>GÄVLEBORGS LÄN</t>
        </is>
      </c>
      <c r="E227" t="inlineStr">
        <is>
          <t>SANDVIKEN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16683-2024</t>
        </is>
      </c>
      <c r="B228" s="1" t="n">
        <v>45408</v>
      </c>
      <c r="C228" s="1" t="n">
        <v>46129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väst AB</t>
        </is>
      </c>
      <c r="G228" t="n">
        <v>14.2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58207-2025</t>
        </is>
      </c>
      <c r="B229" s="1" t="n">
        <v>45985.30828703703</v>
      </c>
      <c r="C229" s="1" t="n">
        <v>46129</v>
      </c>
      <c r="D229" t="inlineStr">
        <is>
          <t>GÄVLEBORGS LÄN</t>
        </is>
      </c>
      <c r="E229" t="inlineStr">
        <is>
          <t>SANDVIKEN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14143-2025</t>
        </is>
      </c>
      <c r="B230" s="1" t="n">
        <v>45740.48563657407</v>
      </c>
      <c r="C230" s="1" t="n">
        <v>46129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28468-2025</t>
        </is>
      </c>
      <c r="B231" s="1" t="n">
        <v>45819.42824074074</v>
      </c>
      <c r="C231" s="1" t="n">
        <v>46129</v>
      </c>
      <c r="D231" t="inlineStr">
        <is>
          <t>GÄVLEBORGS LÄN</t>
        </is>
      </c>
      <c r="E231" t="inlineStr">
        <is>
          <t>SANDVIKEN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28295-2025</t>
        </is>
      </c>
      <c r="B232" s="1" t="n">
        <v>45818.59716435185</v>
      </c>
      <c r="C232" s="1" t="n">
        <v>46129</v>
      </c>
      <c r="D232" t="inlineStr">
        <is>
          <t>GÄVLEBORGS LÄN</t>
        </is>
      </c>
      <c r="E232" t="inlineStr">
        <is>
          <t>SANDVIKEN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58592-2025</t>
        </is>
      </c>
      <c r="B233" s="1" t="n">
        <v>45986.41121527777</v>
      </c>
      <c r="C233" s="1" t="n">
        <v>46129</v>
      </c>
      <c r="D233" t="inlineStr">
        <is>
          <t>GÄVLEBORGS LÄN</t>
        </is>
      </c>
      <c r="E233" t="inlineStr">
        <is>
          <t>SANDVIKEN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58773-2025</t>
        </is>
      </c>
      <c r="B234" s="1" t="n">
        <v>45986.6946875</v>
      </c>
      <c r="C234" s="1" t="n">
        <v>46129</v>
      </c>
      <c r="D234" t="inlineStr">
        <is>
          <t>GÄVLEBORGS LÄN</t>
        </is>
      </c>
      <c r="E234" t="inlineStr">
        <is>
          <t>SANDVIKEN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28547-2025</t>
        </is>
      </c>
      <c r="B235" s="1" t="n">
        <v>45819.52945601852</v>
      </c>
      <c r="C235" s="1" t="n">
        <v>46129</v>
      </c>
      <c r="D235" t="inlineStr">
        <is>
          <t>GÄVLEBORGS LÄN</t>
        </is>
      </c>
      <c r="E235" t="inlineStr">
        <is>
          <t>SANDVIKEN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28548-2025</t>
        </is>
      </c>
      <c r="B236" s="1" t="n">
        <v>45819.53034722222</v>
      </c>
      <c r="C236" s="1" t="n">
        <v>46129</v>
      </c>
      <c r="D236" t="inlineStr">
        <is>
          <t>GÄVLEBORGS LÄN</t>
        </is>
      </c>
      <c r="E236" t="inlineStr">
        <is>
          <t>SANDVIKEN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28424-2025</t>
        </is>
      </c>
      <c r="B237" s="1" t="n">
        <v>45819.36444444444</v>
      </c>
      <c r="C237" s="1" t="n">
        <v>46129</v>
      </c>
      <c r="D237" t="inlineStr">
        <is>
          <t>GÄVLEBORGS LÄN</t>
        </is>
      </c>
      <c r="E237" t="inlineStr">
        <is>
          <t>SANDVIKEN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28476-2025</t>
        </is>
      </c>
      <c r="B238" s="1" t="n">
        <v>45819.44342592593</v>
      </c>
      <c r="C238" s="1" t="n">
        <v>46129</v>
      </c>
      <c r="D238" t="inlineStr">
        <is>
          <t>GÄVLEBORGS LÄN</t>
        </is>
      </c>
      <c r="E238" t="inlineStr">
        <is>
          <t>SANDVIKEN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38428-2023</t>
        </is>
      </c>
      <c r="B239" s="1" t="n">
        <v>45162</v>
      </c>
      <c r="C239" s="1" t="n">
        <v>46129</v>
      </c>
      <c r="D239" t="inlineStr">
        <is>
          <t>GÄVLEBORGS LÄN</t>
        </is>
      </c>
      <c r="E239" t="inlineStr">
        <is>
          <t>SANDVIKEN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38431-2023</t>
        </is>
      </c>
      <c r="B240" s="1" t="n">
        <v>45162</v>
      </c>
      <c r="C240" s="1" t="n">
        <v>46129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38449-2023</t>
        </is>
      </c>
      <c r="B241" s="1" t="n">
        <v>45162</v>
      </c>
      <c r="C241" s="1" t="n">
        <v>46129</v>
      </c>
      <c r="D241" t="inlineStr">
        <is>
          <t>GÄVLEBORGS LÄN</t>
        </is>
      </c>
      <c r="E241" t="inlineStr">
        <is>
          <t>SANDVIKEN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59750-2025</t>
        </is>
      </c>
      <c r="B242" s="1" t="n">
        <v>45992.58516203704</v>
      </c>
      <c r="C242" s="1" t="n">
        <v>46129</v>
      </c>
      <c r="D242" t="inlineStr">
        <is>
          <t>GÄVLEBORGS LÄN</t>
        </is>
      </c>
      <c r="E242" t="inlineStr">
        <is>
          <t>SANDVIKEN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44717-2025</t>
        </is>
      </c>
      <c r="B243" s="1" t="n">
        <v>45917.63239583333</v>
      </c>
      <c r="C243" s="1" t="n">
        <v>46129</v>
      </c>
      <c r="D243" t="inlineStr">
        <is>
          <t>GÄVLEBORGS LÄN</t>
        </is>
      </c>
      <c r="E243" t="inlineStr">
        <is>
          <t>SANDVIKEN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59755-2025</t>
        </is>
      </c>
      <c r="B244" s="1" t="n">
        <v>45992.586875</v>
      </c>
      <c r="C244" s="1" t="n">
        <v>46129</v>
      </c>
      <c r="D244" t="inlineStr">
        <is>
          <t>GÄVLEBORGS LÄN</t>
        </is>
      </c>
      <c r="E244" t="inlineStr">
        <is>
          <t>SANDVIKEN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59718-2025</t>
        </is>
      </c>
      <c r="B245" s="1" t="n">
        <v>45992.53359953704</v>
      </c>
      <c r="C245" s="1" t="n">
        <v>46129</v>
      </c>
      <c r="D245" t="inlineStr">
        <is>
          <t>GÄVLEBORGS LÄN</t>
        </is>
      </c>
      <c r="E245" t="inlineStr">
        <is>
          <t>SANDVIKEN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59623-2025</t>
        </is>
      </c>
      <c r="B246" s="1" t="n">
        <v>45992.38607638889</v>
      </c>
      <c r="C246" s="1" t="n">
        <v>46129</v>
      </c>
      <c r="D246" t="inlineStr">
        <is>
          <t>GÄVLEBORGS LÄN</t>
        </is>
      </c>
      <c r="E246" t="inlineStr">
        <is>
          <t>SANDVIKEN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44450-2025</t>
        </is>
      </c>
      <c r="B247" s="1" t="n">
        <v>45916.6016087963</v>
      </c>
      <c r="C247" s="1" t="n">
        <v>46129</v>
      </c>
      <c r="D247" t="inlineStr">
        <is>
          <t>GÄVLEBORGS LÄN</t>
        </is>
      </c>
      <c r="E247" t="inlineStr">
        <is>
          <t>SANDVIKEN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29748-2025</t>
        </is>
      </c>
      <c r="B248" s="1" t="n">
        <v>45825.60623842593</v>
      </c>
      <c r="C248" s="1" t="n">
        <v>46129</v>
      </c>
      <c r="D248" t="inlineStr">
        <is>
          <t>GÄVLEBORGS LÄN</t>
        </is>
      </c>
      <c r="E248" t="inlineStr">
        <is>
          <t>SANDVIKEN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61820-2024</t>
        </is>
      </c>
      <c r="B249" s="1" t="n">
        <v>45649</v>
      </c>
      <c r="C249" s="1" t="n">
        <v>46129</v>
      </c>
      <c r="D249" t="inlineStr">
        <is>
          <t>GÄVLEBORGS LÄN</t>
        </is>
      </c>
      <c r="E249" t="inlineStr">
        <is>
          <t>SANDVIKEN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48597-2023</t>
        </is>
      </c>
      <c r="B250" s="1" t="n">
        <v>45208</v>
      </c>
      <c r="C250" s="1" t="n">
        <v>46129</v>
      </c>
      <c r="D250" t="inlineStr">
        <is>
          <t>GÄVLEBORGS LÄN</t>
        </is>
      </c>
      <c r="E250" t="inlineStr">
        <is>
          <t>SANDVIKEN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29738-2025</t>
        </is>
      </c>
      <c r="B251" s="1" t="n">
        <v>45825.58762731482</v>
      </c>
      <c r="C251" s="1" t="n">
        <v>46129</v>
      </c>
      <c r="D251" t="inlineStr">
        <is>
          <t>GÄVLEBORGS LÄN</t>
        </is>
      </c>
      <c r="E251" t="inlineStr">
        <is>
          <t>SANDVIKEN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29735-2025</t>
        </is>
      </c>
      <c r="B252" s="1" t="n">
        <v>45825.58403935185</v>
      </c>
      <c r="C252" s="1" t="n">
        <v>46129</v>
      </c>
      <c r="D252" t="inlineStr">
        <is>
          <t>GÄVLEBORGS LÄN</t>
        </is>
      </c>
      <c r="E252" t="inlineStr">
        <is>
          <t>SANDVIKEN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29388-2025</t>
        </is>
      </c>
      <c r="B253" s="1" t="n">
        <v>45824.60252314815</v>
      </c>
      <c r="C253" s="1" t="n">
        <v>46129</v>
      </c>
      <c r="D253" t="inlineStr">
        <is>
          <t>GÄVLEBORGS LÄN</t>
        </is>
      </c>
      <c r="E253" t="inlineStr">
        <is>
          <t>SANDVIKEN</t>
        </is>
      </c>
      <c r="G253" t="n">
        <v>13.9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29833-2025</t>
        </is>
      </c>
      <c r="B254" s="1" t="n">
        <v>45825.92494212963</v>
      </c>
      <c r="C254" s="1" t="n">
        <v>46129</v>
      </c>
      <c r="D254" t="inlineStr">
        <is>
          <t>GÄVLEBORGS LÄN</t>
        </is>
      </c>
      <c r="E254" t="inlineStr">
        <is>
          <t>SANDVIKEN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45103-2025</t>
        </is>
      </c>
      <c r="B255" s="1" t="n">
        <v>45919.3984837963</v>
      </c>
      <c r="C255" s="1" t="n">
        <v>46129</v>
      </c>
      <c r="D255" t="inlineStr">
        <is>
          <t>GÄVLEBORGS LÄN</t>
        </is>
      </c>
      <c r="E255" t="inlineStr">
        <is>
          <t>SANDVIKEN</t>
        </is>
      </c>
      <c r="F255" t="inlineStr">
        <is>
          <t>Kyrkan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35646-2024</t>
        </is>
      </c>
      <c r="B256" s="1" t="n">
        <v>45532</v>
      </c>
      <c r="C256" s="1" t="n">
        <v>46129</v>
      </c>
      <c r="D256" t="inlineStr">
        <is>
          <t>GÄVLEBORGS LÄN</t>
        </is>
      </c>
      <c r="E256" t="inlineStr">
        <is>
          <t>SANDVIKEN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29831-2025</t>
        </is>
      </c>
      <c r="B257" s="1" t="n">
        <v>45825.92075231481</v>
      </c>
      <c r="C257" s="1" t="n">
        <v>46129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12421-2025</t>
        </is>
      </c>
      <c r="B258" s="1" t="n">
        <v>45730.45319444445</v>
      </c>
      <c r="C258" s="1" t="n">
        <v>46129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45090-2025</t>
        </is>
      </c>
      <c r="B259" s="1" t="n">
        <v>45919.37730324074</v>
      </c>
      <c r="C259" s="1" t="n">
        <v>46129</v>
      </c>
      <c r="D259" t="inlineStr">
        <is>
          <t>GÄVLEBORGS LÄN</t>
        </is>
      </c>
      <c r="E259" t="inlineStr">
        <is>
          <t>SANDVIKEN</t>
        </is>
      </c>
      <c r="F259" t="inlineStr">
        <is>
          <t>Kyrkan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30203-2025</t>
        </is>
      </c>
      <c r="B260" s="1" t="n">
        <v>45827.35971064815</v>
      </c>
      <c r="C260" s="1" t="n">
        <v>46129</v>
      </c>
      <c r="D260" t="inlineStr">
        <is>
          <t>GÄVLEBORGS LÄN</t>
        </is>
      </c>
      <c r="E260" t="inlineStr">
        <is>
          <t>SANDVIKEN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45400-2025</t>
        </is>
      </c>
      <c r="B261" s="1" t="n">
        <v>45922.4216087963</v>
      </c>
      <c r="C261" s="1" t="n">
        <v>46129</v>
      </c>
      <c r="D261" t="inlineStr">
        <is>
          <t>GÄVLEBORGS LÄN</t>
        </is>
      </c>
      <c r="E261" t="inlineStr">
        <is>
          <t>SANDVIKEN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61774-2024</t>
        </is>
      </c>
      <c r="B262" s="1" t="n">
        <v>45649.46215277778</v>
      </c>
      <c r="C262" s="1" t="n">
        <v>46129</v>
      </c>
      <c r="D262" t="inlineStr">
        <is>
          <t>GÄVLEBORGS LÄN</t>
        </is>
      </c>
      <c r="E262" t="inlineStr">
        <is>
          <t>SANDVIKEN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47974-2024</t>
        </is>
      </c>
      <c r="B263" s="1" t="n">
        <v>45589.3999537037</v>
      </c>
      <c r="C263" s="1" t="n">
        <v>46129</v>
      </c>
      <c r="D263" t="inlineStr">
        <is>
          <t>GÄVLEBORGS LÄN</t>
        </is>
      </c>
      <c r="E263" t="inlineStr">
        <is>
          <t>SANDVIKEN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24088-2021</t>
        </is>
      </c>
      <c r="B264" s="1" t="n">
        <v>44336</v>
      </c>
      <c r="C264" s="1" t="n">
        <v>46129</v>
      </c>
      <c r="D264" t="inlineStr">
        <is>
          <t>GÄVLEBORGS LÄN</t>
        </is>
      </c>
      <c r="E264" t="inlineStr">
        <is>
          <t>SANDVIKEN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31460-2025</t>
        </is>
      </c>
      <c r="B265" s="1" t="n">
        <v>45833.5490162037</v>
      </c>
      <c r="C265" s="1" t="n">
        <v>46129</v>
      </c>
      <c r="D265" t="inlineStr">
        <is>
          <t>GÄVLEBORGS LÄN</t>
        </is>
      </c>
      <c r="E265" t="inlineStr">
        <is>
          <t>SANDVIKEN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46321-2025</t>
        </is>
      </c>
      <c r="B266" s="1" t="n">
        <v>45925.44876157407</v>
      </c>
      <c r="C266" s="1" t="n">
        <v>46129</v>
      </c>
      <c r="D266" t="inlineStr">
        <is>
          <t>GÄVLEBORGS LÄN</t>
        </is>
      </c>
      <c r="E266" t="inlineStr">
        <is>
          <t>SANDVIKEN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31202-2025</t>
        </is>
      </c>
      <c r="B267" s="1" t="n">
        <v>45832.69885416667</v>
      </c>
      <c r="C267" s="1" t="n">
        <v>46129</v>
      </c>
      <c r="D267" t="inlineStr">
        <is>
          <t>GÄVLEBORGS LÄN</t>
        </is>
      </c>
      <c r="E267" t="inlineStr">
        <is>
          <t>SANDVIKEN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46269-2025</t>
        </is>
      </c>
      <c r="B268" s="1" t="n">
        <v>45925.36886574074</v>
      </c>
      <c r="C268" s="1" t="n">
        <v>46129</v>
      </c>
      <c r="D268" t="inlineStr">
        <is>
          <t>GÄVLEBORGS LÄN</t>
        </is>
      </c>
      <c r="E268" t="inlineStr">
        <is>
          <t>SANDVIKEN</t>
        </is>
      </c>
      <c r="G268" t="n">
        <v>10.3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31145-2025</t>
        </is>
      </c>
      <c r="B269" s="1" t="n">
        <v>45832.63834490741</v>
      </c>
      <c r="C269" s="1" t="n">
        <v>46129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öst AB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30843-2025</t>
        </is>
      </c>
      <c r="B270" s="1" t="n">
        <v>45831.75673611111</v>
      </c>
      <c r="C270" s="1" t="n">
        <v>46129</v>
      </c>
      <c r="D270" t="inlineStr">
        <is>
          <t>GÄVLEBORGS LÄN</t>
        </is>
      </c>
      <c r="E270" t="inlineStr">
        <is>
          <t>SANDVIKEN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32847-2022</t>
        </is>
      </c>
      <c r="B271" s="1" t="n">
        <v>44784.46349537037</v>
      </c>
      <c r="C271" s="1" t="n">
        <v>46129</v>
      </c>
      <c r="D271" t="inlineStr">
        <is>
          <t>GÄVLEBORGS LÄN</t>
        </is>
      </c>
      <c r="E271" t="inlineStr">
        <is>
          <t>SANDVIKEN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46618-2025</t>
        </is>
      </c>
      <c r="B272" s="1" t="n">
        <v>45926.43328703703</v>
      </c>
      <c r="C272" s="1" t="n">
        <v>46129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46730-2025</t>
        </is>
      </c>
      <c r="B273" s="1" t="n">
        <v>45926.59225694444</v>
      </c>
      <c r="C273" s="1" t="n">
        <v>46129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43121-2024</t>
        </is>
      </c>
      <c r="B274" s="1" t="n">
        <v>45567.57664351852</v>
      </c>
      <c r="C274" s="1" t="n">
        <v>46129</v>
      </c>
      <c r="D274" t="inlineStr">
        <is>
          <t>GÄVLEBORGS LÄN</t>
        </is>
      </c>
      <c r="E274" t="inlineStr">
        <is>
          <t>SANDVIKEN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47148-2025</t>
        </is>
      </c>
      <c r="B275" s="1" t="n">
        <v>45929.71905092592</v>
      </c>
      <c r="C275" s="1" t="n">
        <v>46129</v>
      </c>
      <c r="D275" t="inlineStr">
        <is>
          <t>GÄVLEBORGS LÄN</t>
        </is>
      </c>
      <c r="E275" t="inlineStr">
        <is>
          <t>SANDVIKEN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46727-2025</t>
        </is>
      </c>
      <c r="B276" s="1" t="n">
        <v>45926.58954861111</v>
      </c>
      <c r="C276" s="1" t="n">
        <v>46129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60798-2023</t>
        </is>
      </c>
      <c r="B277" s="1" t="n">
        <v>45260</v>
      </c>
      <c r="C277" s="1" t="n">
        <v>46129</v>
      </c>
      <c r="D277" t="inlineStr">
        <is>
          <t>GÄVLEBORGS LÄN</t>
        </is>
      </c>
      <c r="E277" t="inlineStr">
        <is>
          <t>SANDVIKEN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60952-2025</t>
        </is>
      </c>
      <c r="B278" s="1" t="n">
        <v>45999.65306712963</v>
      </c>
      <c r="C278" s="1" t="n">
        <v>46129</v>
      </c>
      <c r="D278" t="inlineStr">
        <is>
          <t>GÄVLEBORGS LÄN</t>
        </is>
      </c>
      <c r="E278" t="inlineStr">
        <is>
          <t>SANDVIKEN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46958-2025</t>
        </is>
      </c>
      <c r="B279" s="1" t="n">
        <v>45929.48452546296</v>
      </c>
      <c r="C279" s="1" t="n">
        <v>46129</v>
      </c>
      <c r="D279" t="inlineStr">
        <is>
          <t>GÄVLEBORGS LÄN</t>
        </is>
      </c>
      <c r="E279" t="inlineStr">
        <is>
          <t>SANDVIKEN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46961-2025</t>
        </is>
      </c>
      <c r="B280" s="1" t="n">
        <v>45929.48710648148</v>
      </c>
      <c r="C280" s="1" t="n">
        <v>46129</v>
      </c>
      <c r="D280" t="inlineStr">
        <is>
          <t>GÄVLEBORGS LÄN</t>
        </is>
      </c>
      <c r="E280" t="inlineStr">
        <is>
          <t>SANDVIKEN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46621-2025</t>
        </is>
      </c>
      <c r="B281" s="1" t="n">
        <v>45926.4384375</v>
      </c>
      <c r="C281" s="1" t="n">
        <v>46129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31674-2025</t>
        </is>
      </c>
      <c r="B282" s="1" t="n">
        <v>45834.37255787037</v>
      </c>
      <c r="C282" s="1" t="n">
        <v>46129</v>
      </c>
      <c r="D282" t="inlineStr">
        <is>
          <t>GÄVLEBORGS LÄN</t>
        </is>
      </c>
      <c r="E282" t="inlineStr">
        <is>
          <t>SANDVIKEN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46607-2025</t>
        </is>
      </c>
      <c r="B283" s="1" t="n">
        <v>45926.41520833333</v>
      </c>
      <c r="C283" s="1" t="n">
        <v>46129</v>
      </c>
      <c r="D283" t="inlineStr">
        <is>
          <t>GÄVLEBORGS LÄN</t>
        </is>
      </c>
      <c r="E283" t="inlineStr">
        <is>
          <t>SANDVIKEN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53867-2024</t>
        </is>
      </c>
      <c r="B284" s="1" t="n">
        <v>45615.64972222222</v>
      </c>
      <c r="C284" s="1" t="n">
        <v>46129</v>
      </c>
      <c r="D284" t="inlineStr">
        <is>
          <t>GÄVLEBORGS LÄN</t>
        </is>
      </c>
      <c r="E284" t="inlineStr">
        <is>
          <t>SANDVIKEN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53718-2024</t>
        </is>
      </c>
      <c r="B285" s="1" t="n">
        <v>45615.43480324074</v>
      </c>
      <c r="C285" s="1" t="n">
        <v>46129</v>
      </c>
      <c r="D285" t="inlineStr">
        <is>
          <t>GÄVLEBORGS LÄN</t>
        </is>
      </c>
      <c r="E285" t="inlineStr">
        <is>
          <t>SANDVIKEN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47325-2025</t>
        </is>
      </c>
      <c r="B286" s="1" t="n">
        <v>45930.55521990741</v>
      </c>
      <c r="C286" s="1" t="n">
        <v>46129</v>
      </c>
      <c r="D286" t="inlineStr">
        <is>
          <t>GÄVLEBORGS LÄN</t>
        </is>
      </c>
      <c r="E286" t="inlineStr">
        <is>
          <t>SANDVIKEN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47173-2025</t>
        </is>
      </c>
      <c r="B287" s="1" t="n">
        <v>45930.2187962963</v>
      </c>
      <c r="C287" s="1" t="n">
        <v>46129</v>
      </c>
      <c r="D287" t="inlineStr">
        <is>
          <t>GÄVLEBORGS LÄN</t>
        </is>
      </c>
      <c r="E287" t="inlineStr">
        <is>
          <t>SANDVIKEN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32907-2025</t>
        </is>
      </c>
      <c r="B288" s="1" t="n">
        <v>45839.62800925926</v>
      </c>
      <c r="C288" s="1" t="n">
        <v>46129</v>
      </c>
      <c r="D288" t="inlineStr">
        <is>
          <t>GÄVLEBORGS LÄN</t>
        </is>
      </c>
      <c r="E288" t="inlineStr">
        <is>
          <t>SANDVIKEN</t>
        </is>
      </c>
      <c r="F288" t="inlineStr">
        <is>
          <t>Naturvårdsverket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25304-2021</t>
        </is>
      </c>
      <c r="B289" s="1" t="n">
        <v>44342</v>
      </c>
      <c r="C289" s="1" t="n">
        <v>46129</v>
      </c>
      <c r="D289" t="inlineStr">
        <is>
          <t>GÄVLEBORGS LÄN</t>
        </is>
      </c>
      <c r="E289" t="inlineStr">
        <is>
          <t>SANDVIKEN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47743-2025</t>
        </is>
      </c>
      <c r="B290" s="1" t="n">
        <v>45931.64719907408</v>
      </c>
      <c r="C290" s="1" t="n">
        <v>46129</v>
      </c>
      <c r="D290" t="inlineStr">
        <is>
          <t>GÄVLEBORGS LÄN</t>
        </is>
      </c>
      <c r="E290" t="inlineStr">
        <is>
          <t>SANDVIKEN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32737-2025</t>
        </is>
      </c>
      <c r="B291" s="1" t="n">
        <v>45839</v>
      </c>
      <c r="C291" s="1" t="n">
        <v>46129</v>
      </c>
      <c r="D291" t="inlineStr">
        <is>
          <t>GÄVLEBORGS LÄN</t>
        </is>
      </c>
      <c r="E291" t="inlineStr">
        <is>
          <t>SANDVIKEN</t>
        </is>
      </c>
      <c r="F291" t="inlineStr">
        <is>
          <t>Bergvik skog öst AB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32742-2025</t>
        </is>
      </c>
      <c r="B292" s="1" t="n">
        <v>45839</v>
      </c>
      <c r="C292" s="1" t="n">
        <v>46129</v>
      </c>
      <c r="D292" t="inlineStr">
        <is>
          <t>GÄVLEBORGS LÄN</t>
        </is>
      </c>
      <c r="E292" t="inlineStr">
        <is>
          <t>SANDVIKEN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47174-2025</t>
        </is>
      </c>
      <c r="B293" s="1" t="n">
        <v>45930.23103009259</v>
      </c>
      <c r="C293" s="1" t="n">
        <v>46129</v>
      </c>
      <c r="D293" t="inlineStr">
        <is>
          <t>GÄVLEBORGS LÄN</t>
        </is>
      </c>
      <c r="E293" t="inlineStr">
        <is>
          <t>SANDVIKEN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47396-2025</t>
        </is>
      </c>
      <c r="B294" s="1" t="n">
        <v>45930.60548611111</v>
      </c>
      <c r="C294" s="1" t="n">
        <v>46129</v>
      </c>
      <c r="D294" t="inlineStr">
        <is>
          <t>GÄVLEBORGS LÄN</t>
        </is>
      </c>
      <c r="E294" t="inlineStr">
        <is>
          <t>SANDVIKEN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47416-2025</t>
        </is>
      </c>
      <c r="B295" s="1" t="n">
        <v>45930.62028935185</v>
      </c>
      <c r="C295" s="1" t="n">
        <v>46129</v>
      </c>
      <c r="D295" t="inlineStr">
        <is>
          <t>GÄVLEBORGS LÄN</t>
        </is>
      </c>
      <c r="E295" t="inlineStr">
        <is>
          <t>SANDVIKEN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3316-2023</t>
        </is>
      </c>
      <c r="B296" s="1" t="n">
        <v>44949</v>
      </c>
      <c r="C296" s="1" t="n">
        <v>46129</v>
      </c>
      <c r="D296" t="inlineStr">
        <is>
          <t>GÄVLEBORGS LÄN</t>
        </is>
      </c>
      <c r="E296" t="inlineStr">
        <is>
          <t>SANDVIKEN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38609-2022</t>
        </is>
      </c>
      <c r="B297" s="1" t="n">
        <v>44813</v>
      </c>
      <c r="C297" s="1" t="n">
        <v>46129</v>
      </c>
      <c r="D297" t="inlineStr">
        <is>
          <t>GÄVLEBORGS LÄN</t>
        </is>
      </c>
      <c r="E297" t="inlineStr">
        <is>
          <t>SANDVIKEN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47770-2025</t>
        </is>
      </c>
      <c r="B298" s="1" t="n">
        <v>45931.71005787037</v>
      </c>
      <c r="C298" s="1" t="n">
        <v>46129</v>
      </c>
      <c r="D298" t="inlineStr">
        <is>
          <t>GÄVLEBORGS LÄN</t>
        </is>
      </c>
      <c r="E298" t="inlineStr">
        <is>
          <t>SANDVIKEN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52772-2023</t>
        </is>
      </c>
      <c r="B299" s="1" t="n">
        <v>45226.33118055556</v>
      </c>
      <c r="C299" s="1" t="n">
        <v>46129</v>
      </c>
      <c r="D299" t="inlineStr">
        <is>
          <t>GÄVLEBORGS LÄN</t>
        </is>
      </c>
      <c r="E299" t="inlineStr">
        <is>
          <t>SANDVIKEN</t>
        </is>
      </c>
      <c r="F299" t="inlineStr">
        <is>
          <t>Bergvik skog öst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33015-2025</t>
        </is>
      </c>
      <c r="B300" s="1" t="n">
        <v>45840.36614583333</v>
      </c>
      <c r="C300" s="1" t="n">
        <v>46129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öst AB</t>
        </is>
      </c>
      <c r="G300" t="n">
        <v>27.3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33350-2025</t>
        </is>
      </c>
      <c r="B301" s="1" t="n">
        <v>45841</v>
      </c>
      <c r="C301" s="1" t="n">
        <v>46129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48043-2025</t>
        </is>
      </c>
      <c r="B302" s="1" t="n">
        <v>45932.66321759259</v>
      </c>
      <c r="C302" s="1" t="n">
        <v>46129</v>
      </c>
      <c r="D302" t="inlineStr">
        <is>
          <t>GÄVLEBORGS LÄN</t>
        </is>
      </c>
      <c r="E302" t="inlineStr">
        <is>
          <t>SANDVIKEN</t>
        </is>
      </c>
      <c r="F302" t="inlineStr">
        <is>
          <t>Kommuner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48261-2025</t>
        </is>
      </c>
      <c r="B303" s="1" t="n">
        <v>45933.56163194445</v>
      </c>
      <c r="C303" s="1" t="n">
        <v>46129</v>
      </c>
      <c r="D303" t="inlineStr">
        <is>
          <t>GÄVLEBORGS LÄN</t>
        </is>
      </c>
      <c r="E303" t="inlineStr">
        <is>
          <t>SANDVIKEN</t>
        </is>
      </c>
      <c r="F303" t="inlineStr">
        <is>
          <t>Sveaskog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48268-2025</t>
        </is>
      </c>
      <c r="B304" s="1" t="n">
        <v>45933.57059027778</v>
      </c>
      <c r="C304" s="1" t="n">
        <v>46129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48162-2025</t>
        </is>
      </c>
      <c r="B305" s="1" t="n">
        <v>45933.42680555556</v>
      </c>
      <c r="C305" s="1" t="n">
        <v>46129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27969-2024</t>
        </is>
      </c>
      <c r="B306" s="1" t="n">
        <v>45476.38328703704</v>
      </c>
      <c r="C306" s="1" t="n">
        <v>46129</v>
      </c>
      <c r="D306" t="inlineStr">
        <is>
          <t>GÄVLEBORGS LÄN</t>
        </is>
      </c>
      <c r="E306" t="inlineStr">
        <is>
          <t>SANDVIKEN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28897-2024</t>
        </is>
      </c>
      <c r="B307" s="1" t="n">
        <v>45480.41858796297</v>
      </c>
      <c r="C307" s="1" t="n">
        <v>46129</v>
      </c>
      <c r="D307" t="inlineStr">
        <is>
          <t>GÄVLEBORGS LÄN</t>
        </is>
      </c>
      <c r="E307" t="inlineStr">
        <is>
          <t>SANDVIKEN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34219-2025</t>
        </is>
      </c>
      <c r="B308" s="1" t="n">
        <v>45845.64947916667</v>
      </c>
      <c r="C308" s="1" t="n">
        <v>46129</v>
      </c>
      <c r="D308" t="inlineStr">
        <is>
          <t>GÄVLEBORGS LÄN</t>
        </is>
      </c>
      <c r="E308" t="inlineStr">
        <is>
          <t>SANDVIKEN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48045-2025</t>
        </is>
      </c>
      <c r="B309" s="1" t="n">
        <v>45932.66636574074</v>
      </c>
      <c r="C309" s="1" t="n">
        <v>46129</v>
      </c>
      <c r="D309" t="inlineStr">
        <is>
          <t>GÄVLEBORGS LÄN</t>
        </is>
      </c>
      <c r="E309" t="inlineStr">
        <is>
          <t>SANDVIKEN</t>
        </is>
      </c>
      <c r="F309" t="inlineStr">
        <is>
          <t>Kommuner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48170-2025</t>
        </is>
      </c>
      <c r="B310" s="1" t="n">
        <v>45933.43212962963</v>
      </c>
      <c r="C310" s="1" t="n">
        <v>46129</v>
      </c>
      <c r="D310" t="inlineStr">
        <is>
          <t>GÄVLEBORGS LÄN</t>
        </is>
      </c>
      <c r="E310" t="inlineStr">
        <is>
          <t>SANDVIKEN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58562-2023</t>
        </is>
      </c>
      <c r="B311" s="1" t="n">
        <v>45251.43935185186</v>
      </c>
      <c r="C311" s="1" t="n">
        <v>46129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35184-2022</t>
        </is>
      </c>
      <c r="B312" s="1" t="n">
        <v>44797.63581018519</v>
      </c>
      <c r="C312" s="1" t="n">
        <v>46129</v>
      </c>
      <c r="D312" t="inlineStr">
        <is>
          <t>GÄVLEBORGS LÄN</t>
        </is>
      </c>
      <c r="E312" t="inlineStr">
        <is>
          <t>SANDVIKEN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48263-2025</t>
        </is>
      </c>
      <c r="B313" s="1" t="n">
        <v>45933.56688657407</v>
      </c>
      <c r="C313" s="1" t="n">
        <v>46129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18357-2025</t>
        </is>
      </c>
      <c r="B314" s="1" t="n">
        <v>45762.55353009259</v>
      </c>
      <c r="C314" s="1" t="n">
        <v>46129</v>
      </c>
      <c r="D314" t="inlineStr">
        <is>
          <t>GÄVLEBORGS LÄN</t>
        </is>
      </c>
      <c r="E314" t="inlineStr">
        <is>
          <t>SANDVIKEN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33757-2025</t>
        </is>
      </c>
      <c r="B315" s="1" t="n">
        <v>45842.37846064815</v>
      </c>
      <c r="C315" s="1" t="n">
        <v>46129</v>
      </c>
      <c r="D315" t="inlineStr">
        <is>
          <t>GÄVLEBORGS LÄN</t>
        </is>
      </c>
      <c r="E315" t="inlineStr">
        <is>
          <t>SANDVIKEN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48963-2025</t>
        </is>
      </c>
      <c r="B316" s="1" t="n">
        <v>45936</v>
      </c>
      <c r="C316" s="1" t="n">
        <v>46129</v>
      </c>
      <c r="D316" t="inlineStr">
        <is>
          <t>GÄVLEBORGS LÄN</t>
        </is>
      </c>
      <c r="E316" t="inlineStr">
        <is>
          <t>SANDVIKEN</t>
        </is>
      </c>
      <c r="F316" t="inlineStr">
        <is>
          <t>Bergvik skog väst AB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20780-2021</t>
        </is>
      </c>
      <c r="B317" s="1" t="n">
        <v>44316.61788194445</v>
      </c>
      <c r="C317" s="1" t="n">
        <v>46129</v>
      </c>
      <c r="D317" t="inlineStr">
        <is>
          <t>GÄVLEBORGS LÄN</t>
        </is>
      </c>
      <c r="E317" t="inlineStr">
        <is>
          <t>SANDVIKEN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49021-2025</t>
        </is>
      </c>
      <c r="B318" s="1" t="n">
        <v>45937.61553240741</v>
      </c>
      <c r="C318" s="1" t="n">
        <v>46129</v>
      </c>
      <c r="D318" t="inlineStr">
        <is>
          <t>GÄVLEBORGS LÄN</t>
        </is>
      </c>
      <c r="E318" t="inlineStr">
        <is>
          <t>SANDVIKEN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48761-2025</t>
        </is>
      </c>
      <c r="B319" s="1" t="n">
        <v>45936.77966435185</v>
      </c>
      <c r="C319" s="1" t="n">
        <v>46129</v>
      </c>
      <c r="D319" t="inlineStr">
        <is>
          <t>GÄVLEBORGS LÄN</t>
        </is>
      </c>
      <c r="E319" t="inlineStr">
        <is>
          <t>SANDVIKEN</t>
        </is>
      </c>
      <c r="F319" t="inlineStr">
        <is>
          <t>Sveaskog</t>
        </is>
      </c>
      <c r="G319" t="n">
        <v>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34845-2025</t>
        </is>
      </c>
      <c r="B320" s="1" t="n">
        <v>45849.41206018518</v>
      </c>
      <c r="C320" s="1" t="n">
        <v>46129</v>
      </c>
      <c r="D320" t="inlineStr">
        <is>
          <t>GÄVLEBORGS LÄN</t>
        </is>
      </c>
      <c r="E320" t="inlineStr">
        <is>
          <t>SANDVIKEN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3788-2026</t>
        </is>
      </c>
      <c r="B321" s="1" t="n">
        <v>46043.573125</v>
      </c>
      <c r="C321" s="1" t="n">
        <v>46129</v>
      </c>
      <c r="D321" t="inlineStr">
        <is>
          <t>GÄVLEBORGS LÄN</t>
        </is>
      </c>
      <c r="E321" t="inlineStr">
        <is>
          <t>SANDVIKEN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1392-2024</t>
        </is>
      </c>
      <c r="B322" s="1" t="n">
        <v>45303.57997685186</v>
      </c>
      <c r="C322" s="1" t="n">
        <v>46129</v>
      </c>
      <c r="D322" t="inlineStr">
        <is>
          <t>GÄVLEBORGS LÄN</t>
        </is>
      </c>
      <c r="E322" t="inlineStr">
        <is>
          <t>SANDVIKEN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61298-2025</t>
        </is>
      </c>
      <c r="B323" s="1" t="n">
        <v>46000.79238425926</v>
      </c>
      <c r="C323" s="1" t="n">
        <v>46129</v>
      </c>
      <c r="D323" t="inlineStr">
        <is>
          <t>GÄVLEBORGS LÄN</t>
        </is>
      </c>
      <c r="E323" t="inlineStr">
        <is>
          <t>SANDVIKEN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49446-2025</t>
        </is>
      </c>
      <c r="B324" s="1" t="n">
        <v>45938.92873842592</v>
      </c>
      <c r="C324" s="1" t="n">
        <v>46129</v>
      </c>
      <c r="D324" t="inlineStr">
        <is>
          <t>GÄVLEBORGS LÄN</t>
        </is>
      </c>
      <c r="E324" t="inlineStr">
        <is>
          <t>SANDVIKEN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49454-2025</t>
        </is>
      </c>
      <c r="B325" s="1" t="n">
        <v>45939.23872685185</v>
      </c>
      <c r="C325" s="1" t="n">
        <v>46129</v>
      </c>
      <c r="D325" t="inlineStr">
        <is>
          <t>GÄVLEBORGS LÄN</t>
        </is>
      </c>
      <c r="E325" t="inlineStr">
        <is>
          <t>SANDVIKEN</t>
        </is>
      </c>
      <c r="F325" t="inlineStr">
        <is>
          <t>Sveaskog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49217-2025</t>
        </is>
      </c>
      <c r="B326" s="1" t="n">
        <v>45938</v>
      </c>
      <c r="C326" s="1" t="n">
        <v>46129</v>
      </c>
      <c r="D326" t="inlineStr">
        <is>
          <t>GÄVLEBORGS LÄN</t>
        </is>
      </c>
      <c r="E326" t="inlineStr">
        <is>
          <t>SANDVIKEN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3119-2022</t>
        </is>
      </c>
      <c r="B327" s="1" t="n">
        <v>44582</v>
      </c>
      <c r="C327" s="1" t="n">
        <v>46129</v>
      </c>
      <c r="D327" t="inlineStr">
        <is>
          <t>GÄVLEBORGS LÄN</t>
        </is>
      </c>
      <c r="E327" t="inlineStr">
        <is>
          <t>SANDVIKEN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49042-2025</t>
        </is>
      </c>
      <c r="B328" s="1" t="n">
        <v>45937.63600694444</v>
      </c>
      <c r="C328" s="1" t="n">
        <v>46129</v>
      </c>
      <c r="D328" t="inlineStr">
        <is>
          <t>GÄVLEBORGS LÄN</t>
        </is>
      </c>
      <c r="E328" t="inlineStr">
        <is>
          <t>SANDVIKEN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12419-2025</t>
        </is>
      </c>
      <c r="B329" s="1" t="n">
        <v>45730.45170138889</v>
      </c>
      <c r="C329" s="1" t="n">
        <v>46129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56217-2023</t>
        </is>
      </c>
      <c r="B330" s="1" t="n">
        <v>45240</v>
      </c>
      <c r="C330" s="1" t="n">
        <v>46129</v>
      </c>
      <c r="D330" t="inlineStr">
        <is>
          <t>GÄVLEBORGS LÄN</t>
        </is>
      </c>
      <c r="E330" t="inlineStr">
        <is>
          <t>SANDVIKEN</t>
        </is>
      </c>
      <c r="F330" t="inlineStr">
        <is>
          <t>Sveaskog</t>
        </is>
      </c>
      <c r="G330" t="n">
        <v>10.6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35443-2025</t>
        </is>
      </c>
      <c r="B331" s="1" t="n">
        <v>45855.52385416667</v>
      </c>
      <c r="C331" s="1" t="n">
        <v>46129</v>
      </c>
      <c r="D331" t="inlineStr">
        <is>
          <t>GÄVLEBORGS LÄN</t>
        </is>
      </c>
      <c r="E331" t="inlineStr">
        <is>
          <t>SANDVIKEN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61299-2025</t>
        </is>
      </c>
      <c r="B332" s="1" t="n">
        <v>46000.7947337963</v>
      </c>
      <c r="C332" s="1" t="n">
        <v>46129</v>
      </c>
      <c r="D332" t="inlineStr">
        <is>
          <t>GÄVLEBORGS LÄN</t>
        </is>
      </c>
      <c r="E332" t="inlineStr">
        <is>
          <t>SANDVIKEN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61303-2025</t>
        </is>
      </c>
      <c r="B333" s="1" t="n">
        <v>46000.7984375</v>
      </c>
      <c r="C333" s="1" t="n">
        <v>46129</v>
      </c>
      <c r="D333" t="inlineStr">
        <is>
          <t>GÄVLEBORGS LÄN</t>
        </is>
      </c>
      <c r="E333" t="inlineStr">
        <is>
          <t>SANDVIKEN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49413-2025</t>
        </is>
      </c>
      <c r="B334" s="1" t="n">
        <v>45938.68569444444</v>
      </c>
      <c r="C334" s="1" t="n">
        <v>46129</v>
      </c>
      <c r="D334" t="inlineStr">
        <is>
          <t>GÄVLEBORGS LÄN</t>
        </is>
      </c>
      <c r="E334" t="inlineStr">
        <is>
          <t>SANDVIKEN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58198-2025</t>
        </is>
      </c>
      <c r="B335" s="1" t="n">
        <v>45984.44184027778</v>
      </c>
      <c r="C335" s="1" t="n">
        <v>46129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61293-2025</t>
        </is>
      </c>
      <c r="B336" s="1" t="n">
        <v>46000.7875462963</v>
      </c>
      <c r="C336" s="1" t="n">
        <v>46129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49320-2025</t>
        </is>
      </c>
      <c r="B337" s="1" t="n">
        <v>45938.57288194444</v>
      </c>
      <c r="C337" s="1" t="n">
        <v>46129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36646-2022</t>
        </is>
      </c>
      <c r="B338" s="1" t="n">
        <v>44804.74767361111</v>
      </c>
      <c r="C338" s="1" t="n">
        <v>46129</v>
      </c>
      <c r="D338" t="inlineStr">
        <is>
          <t>GÄVLEBORGS LÄN</t>
        </is>
      </c>
      <c r="E338" t="inlineStr">
        <is>
          <t>SANDVIKEN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39047-2024</t>
        </is>
      </c>
      <c r="B339" s="1" t="n">
        <v>45548</v>
      </c>
      <c r="C339" s="1" t="n">
        <v>46129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12.9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64112-2023</t>
        </is>
      </c>
      <c r="B340" s="1" t="n">
        <v>45279.47818287037</v>
      </c>
      <c r="C340" s="1" t="n">
        <v>46129</v>
      </c>
      <c r="D340" t="inlineStr">
        <is>
          <t>GÄVLEBORGS LÄN</t>
        </is>
      </c>
      <c r="E340" t="inlineStr">
        <is>
          <t>SANDVIKEN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766-2025</t>
        </is>
      </c>
      <c r="B341" s="1" t="n">
        <v>45665.45438657407</v>
      </c>
      <c r="C341" s="1" t="n">
        <v>46129</v>
      </c>
      <c r="D341" t="inlineStr">
        <is>
          <t>GÄVLEBORGS LÄN</t>
        </is>
      </c>
      <c r="E341" t="inlineStr">
        <is>
          <t>SANDVIKEN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50012-2025</t>
        </is>
      </c>
      <c r="B342" s="1" t="n">
        <v>45943.34716435185</v>
      </c>
      <c r="C342" s="1" t="n">
        <v>46129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58804-2025</t>
        </is>
      </c>
      <c r="B343" s="1" t="n">
        <v>45986.96275462963</v>
      </c>
      <c r="C343" s="1" t="n">
        <v>46129</v>
      </c>
      <c r="D343" t="inlineStr">
        <is>
          <t>GÄVLEBORGS LÄN</t>
        </is>
      </c>
      <c r="E343" t="inlineStr">
        <is>
          <t>SANDVIKEN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50665-2025</t>
        </is>
      </c>
      <c r="B344" s="1" t="n">
        <v>45945.69444444445</v>
      </c>
      <c r="C344" s="1" t="n">
        <v>46129</v>
      </c>
      <c r="D344" t="inlineStr">
        <is>
          <t>GÄVLEBORGS LÄN</t>
        </is>
      </c>
      <c r="E344" t="inlineStr">
        <is>
          <t>SANDVIKEN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11406-2023</t>
        </is>
      </c>
      <c r="B345" s="1" t="n">
        <v>44988</v>
      </c>
      <c r="C345" s="1" t="n">
        <v>46129</v>
      </c>
      <c r="D345" t="inlineStr">
        <is>
          <t>GÄVLEBORGS LÄN</t>
        </is>
      </c>
      <c r="E345" t="inlineStr">
        <is>
          <t>SANDVIKEN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35995-2025</t>
        </is>
      </c>
      <c r="B346" s="1" t="n">
        <v>45863.493125</v>
      </c>
      <c r="C346" s="1" t="n">
        <v>46129</v>
      </c>
      <c r="D346" t="inlineStr">
        <is>
          <t>GÄVLEBORGS LÄN</t>
        </is>
      </c>
      <c r="E346" t="inlineStr">
        <is>
          <t>SANDVIKEN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3890-2026</t>
        </is>
      </c>
      <c r="B347" s="1" t="n">
        <v>46043.67476851852</v>
      </c>
      <c r="C347" s="1" t="n">
        <v>46129</v>
      </c>
      <c r="D347" t="inlineStr">
        <is>
          <t>GÄVLEBORGS LÄN</t>
        </is>
      </c>
      <c r="E347" t="inlineStr">
        <is>
          <t>SANDVIKEN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36107-2025</t>
        </is>
      </c>
      <c r="B348" s="1" t="n">
        <v>45866.56145833333</v>
      </c>
      <c r="C348" s="1" t="n">
        <v>46129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50422-2025</t>
        </is>
      </c>
      <c r="B349" s="1" t="n">
        <v>45944.66112268518</v>
      </c>
      <c r="C349" s="1" t="n">
        <v>46129</v>
      </c>
      <c r="D349" t="inlineStr">
        <is>
          <t>GÄVLEBORGS LÄN</t>
        </is>
      </c>
      <c r="E349" t="inlineStr">
        <is>
          <t>SANDVIKEN</t>
        </is>
      </c>
      <c r="F349" t="inlineStr">
        <is>
          <t>Kommuner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47395-2025</t>
        </is>
      </c>
      <c r="B350" s="1" t="n">
        <v>45930.60534722222</v>
      </c>
      <c r="C350" s="1" t="n">
        <v>46129</v>
      </c>
      <c r="D350" t="inlineStr">
        <is>
          <t>GÄVLEBORGS LÄN</t>
        </is>
      </c>
      <c r="E350" t="inlineStr">
        <is>
          <t>SANDVIKEN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47398-2025</t>
        </is>
      </c>
      <c r="B351" s="1" t="n">
        <v>45930.60773148148</v>
      </c>
      <c r="C351" s="1" t="n">
        <v>46129</v>
      </c>
      <c r="D351" t="inlineStr">
        <is>
          <t>GÄVLEBORGS LÄN</t>
        </is>
      </c>
      <c r="E351" t="inlineStr">
        <is>
          <t>SANDVIKEN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36091-2025</t>
        </is>
      </c>
      <c r="B352" s="1" t="n">
        <v>45866.47849537037</v>
      </c>
      <c r="C352" s="1" t="n">
        <v>46129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50552-2025</t>
        </is>
      </c>
      <c r="B353" s="1" t="n">
        <v>45945.52273148148</v>
      </c>
      <c r="C353" s="1" t="n">
        <v>46129</v>
      </c>
      <c r="D353" t="inlineStr">
        <is>
          <t>GÄVLEBORGS LÄN</t>
        </is>
      </c>
      <c r="E353" t="inlineStr">
        <is>
          <t>SANDVIKEN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30718-2023</t>
        </is>
      </c>
      <c r="B354" s="1" t="n">
        <v>45112</v>
      </c>
      <c r="C354" s="1" t="n">
        <v>46129</v>
      </c>
      <c r="D354" t="inlineStr">
        <is>
          <t>GÄVLEBORGS LÄN</t>
        </is>
      </c>
      <c r="E354" t="inlineStr">
        <is>
          <t>SANDVIKEN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35523-2022</t>
        </is>
      </c>
      <c r="B355" s="1" t="n">
        <v>44799</v>
      </c>
      <c r="C355" s="1" t="n">
        <v>46129</v>
      </c>
      <c r="D355" t="inlineStr">
        <is>
          <t>GÄVLEBORGS LÄN</t>
        </is>
      </c>
      <c r="E355" t="inlineStr">
        <is>
          <t>SANDVIKEN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HYPERLINK("https://klasma.github.io/Logging_2181/knärot/A 35523-2022 karta knärot.png", "A 35523-2022")</f>
        <v/>
      </c>
      <c r="V355">
        <f>HYPERLINK("https://klasma.github.io/Logging_2181/klagomål/A 35523-2022 FSC-klagomål.docx", "A 35523-2022")</f>
        <v/>
      </c>
      <c r="W355">
        <f>HYPERLINK("https://klasma.github.io/Logging_2181/klagomålsmail/A 35523-2022 FSC-klagomål mail.docx", "A 35523-2022")</f>
        <v/>
      </c>
      <c r="X355">
        <f>HYPERLINK("https://klasma.github.io/Logging_2181/tillsyn/A 35523-2022 tillsynsbegäran.docx", "A 35523-2022")</f>
        <v/>
      </c>
      <c r="Y355">
        <f>HYPERLINK("https://klasma.github.io/Logging_2181/tillsynsmail/A 35523-2022 tillsynsbegäran mail.docx", "A 35523-2022")</f>
        <v/>
      </c>
    </row>
    <row r="356" ht="15" customHeight="1">
      <c r="A356" t="inlineStr">
        <is>
          <t>A 24366-2025</t>
        </is>
      </c>
      <c r="B356" s="1" t="n">
        <v>45797.6044675926</v>
      </c>
      <c r="C356" s="1" t="n">
        <v>46129</v>
      </c>
      <c r="D356" t="inlineStr">
        <is>
          <t>GÄVLEBORGS LÄN</t>
        </is>
      </c>
      <c r="E356" t="inlineStr">
        <is>
          <t>SANDVIKEN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61020-2025</t>
        </is>
      </c>
      <c r="B357" s="1" t="n">
        <v>45999.86381944444</v>
      </c>
      <c r="C357" s="1" t="n">
        <v>46129</v>
      </c>
      <c r="D357" t="inlineStr">
        <is>
          <t>GÄVLEBORGS LÄN</t>
        </is>
      </c>
      <c r="E357" t="inlineStr">
        <is>
          <t>SANDVIKEN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61022-2025</t>
        </is>
      </c>
      <c r="B358" s="1" t="n">
        <v>45999.86414351852</v>
      </c>
      <c r="C358" s="1" t="n">
        <v>46129</v>
      </c>
      <c r="D358" t="inlineStr">
        <is>
          <t>GÄVLEBORGS LÄN</t>
        </is>
      </c>
      <c r="E358" t="inlineStr">
        <is>
          <t>SANDVIKEN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50851-2025</t>
        </is>
      </c>
      <c r="B359" s="1" t="n">
        <v>45946</v>
      </c>
      <c r="C359" s="1" t="n">
        <v>46129</v>
      </c>
      <c r="D359" t="inlineStr">
        <is>
          <t>GÄVLEBORGS LÄN</t>
        </is>
      </c>
      <c r="E359" t="inlineStr">
        <is>
          <t>SANDVIKEN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36212-2025</t>
        </is>
      </c>
      <c r="B360" s="1" t="n">
        <v>45867.47538194444</v>
      </c>
      <c r="C360" s="1" t="n">
        <v>46129</v>
      </c>
      <c r="D360" t="inlineStr">
        <is>
          <t>GÄVLEBORGS LÄN</t>
        </is>
      </c>
      <c r="E360" t="inlineStr">
        <is>
          <t>SANDVIKEN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48187-2025</t>
        </is>
      </c>
      <c r="B361" s="1" t="n">
        <v>45933.4669212963</v>
      </c>
      <c r="C361" s="1" t="n">
        <v>46129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50833-2025</t>
        </is>
      </c>
      <c r="B362" s="1" t="n">
        <v>45946</v>
      </c>
      <c r="C362" s="1" t="n">
        <v>46129</v>
      </c>
      <c r="D362" t="inlineStr">
        <is>
          <t>GÄVLEBORGS LÄN</t>
        </is>
      </c>
      <c r="E362" t="inlineStr">
        <is>
          <t>SANDVIKEN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36417-2025</t>
        </is>
      </c>
      <c r="B363" s="1" t="n">
        <v>45868.70127314814</v>
      </c>
      <c r="C363" s="1" t="n">
        <v>46129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36417-2025 karta knärot.png", "A 36417-2025")</f>
        <v/>
      </c>
      <c r="V363">
        <f>HYPERLINK("https://klasma.github.io/Logging_2181/klagomål/A 36417-2025 FSC-klagomål.docx", "A 36417-2025")</f>
        <v/>
      </c>
      <c r="W363">
        <f>HYPERLINK("https://klasma.github.io/Logging_2181/klagomålsmail/A 36417-2025 FSC-klagomål mail.docx", "A 36417-2025")</f>
        <v/>
      </c>
      <c r="X363">
        <f>HYPERLINK("https://klasma.github.io/Logging_2181/tillsyn/A 36417-2025 tillsynsbegäran.docx", "A 36417-2025")</f>
        <v/>
      </c>
      <c r="Y363">
        <f>HYPERLINK("https://klasma.github.io/Logging_2181/tillsynsmail/A 36417-2025 tillsynsbegäran mail.docx", "A 36417-2025")</f>
        <v/>
      </c>
    </row>
    <row r="364" ht="15" customHeight="1">
      <c r="A364" t="inlineStr">
        <is>
          <t>A 32849-2022</t>
        </is>
      </c>
      <c r="B364" s="1" t="n">
        <v>44784</v>
      </c>
      <c r="C364" s="1" t="n">
        <v>46129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1213-2025</t>
        </is>
      </c>
      <c r="B365" s="1" t="n">
        <v>45667</v>
      </c>
      <c r="C365" s="1" t="n">
        <v>46129</v>
      </c>
      <c r="D365" t="inlineStr">
        <is>
          <t>GÄVLEBORGS LÄN</t>
        </is>
      </c>
      <c r="E365" t="inlineStr">
        <is>
          <t>SANDVIKEN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36584-2025</t>
        </is>
      </c>
      <c r="B366" s="1" t="n">
        <v>45870.43672453704</v>
      </c>
      <c r="C366" s="1" t="n">
        <v>46129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36732-2025</t>
        </is>
      </c>
      <c r="B367" s="1" t="n">
        <v>45873.50310185185</v>
      </c>
      <c r="C367" s="1" t="n">
        <v>46129</v>
      </c>
      <c r="D367" t="inlineStr">
        <is>
          <t>GÄVLEBORGS LÄN</t>
        </is>
      </c>
      <c r="E367" t="inlineStr">
        <is>
          <t>SANDVIKEN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49415-2025</t>
        </is>
      </c>
      <c r="B368" s="1" t="n">
        <v>45938.68986111111</v>
      </c>
      <c r="C368" s="1" t="n">
        <v>46129</v>
      </c>
      <c r="D368" t="inlineStr">
        <is>
          <t>GÄVLEBORGS LÄN</t>
        </is>
      </c>
      <c r="E368" t="inlineStr">
        <is>
          <t>SANDVIKEN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58885-2023</t>
        </is>
      </c>
      <c r="B369" s="1" t="n">
        <v>45252.47675925926</v>
      </c>
      <c r="C369" s="1" t="n">
        <v>46129</v>
      </c>
      <c r="D369" t="inlineStr">
        <is>
          <t>GÄVLEBORGS LÄN</t>
        </is>
      </c>
      <c r="E369" t="inlineStr">
        <is>
          <t>SANDVIKEN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49370-2025</t>
        </is>
      </c>
      <c r="B370" s="1" t="n">
        <v>45938.63042824074</v>
      </c>
      <c r="C370" s="1" t="n">
        <v>46129</v>
      </c>
      <c r="D370" t="inlineStr">
        <is>
          <t>GÄVLEBORGS LÄN</t>
        </is>
      </c>
      <c r="E370" t="inlineStr">
        <is>
          <t>SANDVIKEN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37367-2024</t>
        </is>
      </c>
      <c r="B371" s="1" t="n">
        <v>45540.56363425926</v>
      </c>
      <c r="C371" s="1" t="n">
        <v>46129</v>
      </c>
      <c r="D371" t="inlineStr">
        <is>
          <t>GÄVLEBORGS LÄN</t>
        </is>
      </c>
      <c r="E371" t="inlineStr">
        <is>
          <t>SANDVIKEN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36793-2025</t>
        </is>
      </c>
      <c r="B372" s="1" t="n">
        <v>45873.64081018518</v>
      </c>
      <c r="C372" s="1" t="n">
        <v>46129</v>
      </c>
      <c r="D372" t="inlineStr">
        <is>
          <t>GÄVLEBORGS LÄN</t>
        </is>
      </c>
      <c r="E372" t="inlineStr">
        <is>
          <t>SANDVIKEN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36795-2025</t>
        </is>
      </c>
      <c r="B373" s="1" t="n">
        <v>45873.64255787037</v>
      </c>
      <c r="C373" s="1" t="n">
        <v>46129</v>
      </c>
      <c r="D373" t="inlineStr">
        <is>
          <t>GÄVLEBORGS LÄN</t>
        </is>
      </c>
      <c r="E373" t="inlineStr">
        <is>
          <t>SANDVIKEN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36693-2025</t>
        </is>
      </c>
      <c r="B374" s="1" t="n">
        <v>45873.43695601852</v>
      </c>
      <c r="C374" s="1" t="n">
        <v>46129</v>
      </c>
      <c r="D374" t="inlineStr">
        <is>
          <t>GÄVLEBORGS LÄN</t>
        </is>
      </c>
      <c r="E374" t="inlineStr">
        <is>
          <t>SANDVIKEN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56150-2023</t>
        </is>
      </c>
      <c r="B375" s="1" t="n">
        <v>45240.604375</v>
      </c>
      <c r="C375" s="1" t="n">
        <v>46129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56958-2022</t>
        </is>
      </c>
      <c r="B376" s="1" t="n">
        <v>44894.66045138889</v>
      </c>
      <c r="C376" s="1" t="n">
        <v>46129</v>
      </c>
      <c r="D376" t="inlineStr">
        <is>
          <t>GÄVLEBORGS LÄN</t>
        </is>
      </c>
      <c r="E376" t="inlineStr">
        <is>
          <t>SANDVIKEN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61301-2025</t>
        </is>
      </c>
      <c r="B377" s="1" t="n">
        <v>46000.79706018518</v>
      </c>
      <c r="C377" s="1" t="n">
        <v>46129</v>
      </c>
      <c r="D377" t="inlineStr">
        <is>
          <t>GÄVLEBORGS LÄN</t>
        </is>
      </c>
      <c r="E377" t="inlineStr">
        <is>
          <t>SANDVIKEN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1162-2024</t>
        </is>
      </c>
      <c r="B378" s="1" t="n">
        <v>45302</v>
      </c>
      <c r="C378" s="1" t="n">
        <v>46129</v>
      </c>
      <c r="D378" t="inlineStr">
        <is>
          <t>GÄVLEBORGS LÄN</t>
        </is>
      </c>
      <c r="E378" t="inlineStr">
        <is>
          <t>SANDVIKEN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48765-2021</t>
        </is>
      </c>
      <c r="B379" s="1" t="n">
        <v>44452.65006944445</v>
      </c>
      <c r="C379" s="1" t="n">
        <v>46129</v>
      </c>
      <c r="D379" t="inlineStr">
        <is>
          <t>GÄVLEBORGS LÄN</t>
        </is>
      </c>
      <c r="E379" t="inlineStr">
        <is>
          <t>SANDVIKEN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61601-2025</t>
        </is>
      </c>
      <c r="B380" s="1" t="n">
        <v>46002.3639699074</v>
      </c>
      <c r="C380" s="1" t="n">
        <v>46129</v>
      </c>
      <c r="D380" t="inlineStr">
        <is>
          <t>GÄVLEBORGS LÄN</t>
        </is>
      </c>
      <c r="E380" t="inlineStr">
        <is>
          <t>SANDVIKEN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52784-2025</t>
        </is>
      </c>
      <c r="B381" s="1" t="n">
        <v>45957.4237037037</v>
      </c>
      <c r="C381" s="1" t="n">
        <v>46129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HYPERLINK("https://klasma.github.io/Logging_2181/knärot/A 52784-2025 karta knärot.png", "A 52784-2025")</f>
        <v/>
      </c>
      <c r="V381">
        <f>HYPERLINK("https://klasma.github.io/Logging_2181/klagomål/A 52784-2025 FSC-klagomål.docx", "A 52784-2025")</f>
        <v/>
      </c>
      <c r="W381">
        <f>HYPERLINK("https://klasma.github.io/Logging_2181/klagomålsmail/A 52784-2025 FSC-klagomål mail.docx", "A 52784-2025")</f>
        <v/>
      </c>
      <c r="X381">
        <f>HYPERLINK("https://klasma.github.io/Logging_2181/tillsyn/A 52784-2025 tillsynsbegäran.docx", "A 52784-2025")</f>
        <v/>
      </c>
      <c r="Y381">
        <f>HYPERLINK("https://klasma.github.io/Logging_2181/tillsynsmail/A 52784-2025 tillsynsbegäran mail.docx", "A 52784-2025")</f>
        <v/>
      </c>
    </row>
    <row r="382" ht="15" customHeight="1">
      <c r="A382" t="inlineStr">
        <is>
          <t>A 52785-2025</t>
        </is>
      </c>
      <c r="B382" s="1" t="n">
        <v>45957.42465277778</v>
      </c>
      <c r="C382" s="1" t="n">
        <v>46129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HYPERLINK("https://klasma.github.io/Logging_2181/knärot/A 52785-2025 karta knärot.png", "A 52785-2025")</f>
        <v/>
      </c>
      <c r="V382">
        <f>HYPERLINK("https://klasma.github.io/Logging_2181/klagomål/A 52785-2025 FSC-klagomål.docx", "A 52785-2025")</f>
        <v/>
      </c>
      <c r="W382">
        <f>HYPERLINK("https://klasma.github.io/Logging_2181/klagomålsmail/A 52785-2025 FSC-klagomål mail.docx", "A 52785-2025")</f>
        <v/>
      </c>
      <c r="X382">
        <f>HYPERLINK("https://klasma.github.io/Logging_2181/tillsyn/A 52785-2025 tillsynsbegäran.docx", "A 52785-2025")</f>
        <v/>
      </c>
      <c r="Y382">
        <f>HYPERLINK("https://klasma.github.io/Logging_2181/tillsynsmail/A 52785-2025 tillsynsbegäran mail.docx", "A 52785-2025")</f>
        <v/>
      </c>
    </row>
    <row r="383" ht="15" customHeight="1">
      <c r="A383" t="inlineStr">
        <is>
          <t>A 52786-2025</t>
        </is>
      </c>
      <c r="B383" s="1" t="n">
        <v>45957.42613425926</v>
      </c>
      <c r="C383" s="1" t="n">
        <v>46129</v>
      </c>
      <c r="D383" t="inlineStr">
        <is>
          <t>GÄVLEBORGS LÄN</t>
        </is>
      </c>
      <c r="E383" t="inlineStr">
        <is>
          <t>SANDVIKEN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HYPERLINK("https://klasma.github.io/Logging_2181/knärot/A 52786-2025 karta knärot.png", "A 52786-2025")</f>
        <v/>
      </c>
      <c r="V383">
        <f>HYPERLINK("https://klasma.github.io/Logging_2181/klagomål/A 52786-2025 FSC-klagomål.docx", "A 52786-2025")</f>
        <v/>
      </c>
      <c r="W383">
        <f>HYPERLINK("https://klasma.github.io/Logging_2181/klagomålsmail/A 52786-2025 FSC-klagomål mail.docx", "A 52786-2025")</f>
        <v/>
      </c>
      <c r="X383">
        <f>HYPERLINK("https://klasma.github.io/Logging_2181/tillsyn/A 52786-2025 tillsynsbegäran.docx", "A 52786-2025")</f>
        <v/>
      </c>
      <c r="Y383">
        <f>HYPERLINK("https://klasma.github.io/Logging_2181/tillsynsmail/A 52786-2025 tillsynsbegäran mail.docx", "A 52786-2025")</f>
        <v/>
      </c>
    </row>
    <row r="384" ht="15" customHeight="1">
      <c r="A384" t="inlineStr">
        <is>
          <t>A 38338-2025</t>
        </is>
      </c>
      <c r="B384" s="1" t="n">
        <v>45883.49430555556</v>
      </c>
      <c r="C384" s="1" t="n">
        <v>46129</v>
      </c>
      <c r="D384" t="inlineStr">
        <is>
          <t>GÄVLEBORGS LÄN</t>
        </is>
      </c>
      <c r="E384" t="inlineStr">
        <is>
          <t>SANDVIKEN</t>
        </is>
      </c>
      <c r="F384" t="inlineStr">
        <is>
          <t>Bergvik skog öst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38337-2025</t>
        </is>
      </c>
      <c r="B385" s="1" t="n">
        <v>45883.49261574074</v>
      </c>
      <c r="C385" s="1" t="n">
        <v>46129</v>
      </c>
      <c r="D385" t="inlineStr">
        <is>
          <t>GÄVLEBORGS LÄN</t>
        </is>
      </c>
      <c r="E385" t="inlineStr">
        <is>
          <t>SANDVIKEN</t>
        </is>
      </c>
      <c r="F385" t="inlineStr">
        <is>
          <t>Bergvik skog öst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14206-2025</t>
        </is>
      </c>
      <c r="B386" s="1" t="n">
        <v>45740.57578703704</v>
      </c>
      <c r="C386" s="1" t="n">
        <v>46129</v>
      </c>
      <c r="D386" t="inlineStr">
        <is>
          <t>GÄVLEBORGS LÄN</t>
        </is>
      </c>
      <c r="E386" t="inlineStr">
        <is>
          <t>SANDVIKEN</t>
        </is>
      </c>
      <c r="F386" t="inlineStr">
        <is>
          <t>Bergvik skog öst AB</t>
        </is>
      </c>
      <c r="G386" t="n">
        <v>11.3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26149-2024</t>
        </is>
      </c>
      <c r="B387" s="1" t="n">
        <v>45468.50820601852</v>
      </c>
      <c r="C387" s="1" t="n">
        <v>46129</v>
      </c>
      <c r="D387" t="inlineStr">
        <is>
          <t>GÄVLEBORGS LÄN</t>
        </is>
      </c>
      <c r="E387" t="inlineStr">
        <is>
          <t>SANDVIKEN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38320-2025</t>
        </is>
      </c>
      <c r="B388" s="1" t="n">
        <v>45883.48733796296</v>
      </c>
      <c r="C388" s="1" t="n">
        <v>46129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öst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38321-2025</t>
        </is>
      </c>
      <c r="B389" s="1" t="n">
        <v>45883.48945601852</v>
      </c>
      <c r="C389" s="1" t="n">
        <v>46129</v>
      </c>
      <c r="D389" t="inlineStr">
        <is>
          <t>GÄVLEBORGS LÄN</t>
        </is>
      </c>
      <c r="E389" t="inlineStr">
        <is>
          <t>SANDVIKEN</t>
        </is>
      </c>
      <c r="F389" t="inlineStr">
        <is>
          <t>Bergvik skog öst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38439-2025</t>
        </is>
      </c>
      <c r="B390" s="1" t="n">
        <v>45883.64783564815</v>
      </c>
      <c r="C390" s="1" t="n">
        <v>46129</v>
      </c>
      <c r="D390" t="inlineStr">
        <is>
          <t>GÄVLEBORGS LÄN</t>
        </is>
      </c>
      <c r="E390" t="inlineStr">
        <is>
          <t>SANDVIKEN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38435-2025</t>
        </is>
      </c>
      <c r="B391" s="1" t="n">
        <v>45883.64231481482</v>
      </c>
      <c r="C391" s="1" t="n">
        <v>46129</v>
      </c>
      <c r="D391" t="inlineStr">
        <is>
          <t>GÄVLEBORGS LÄN</t>
        </is>
      </c>
      <c r="E391" t="inlineStr">
        <is>
          <t>SANDVIKEN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38319-2025</t>
        </is>
      </c>
      <c r="B392" s="1" t="n">
        <v>45883.485</v>
      </c>
      <c r="C392" s="1" t="n">
        <v>46129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öst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38423-2025</t>
        </is>
      </c>
      <c r="B393" s="1" t="n">
        <v>45883.63326388889</v>
      </c>
      <c r="C393" s="1" t="n">
        <v>46129</v>
      </c>
      <c r="D393" t="inlineStr">
        <is>
          <t>GÄVLEBORGS LÄN</t>
        </is>
      </c>
      <c r="E393" t="inlineStr">
        <is>
          <t>SANDVIKEN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25209-2025</t>
        </is>
      </c>
      <c r="B394" s="1" t="n">
        <v>45800.46928240741</v>
      </c>
      <c r="C394" s="1" t="n">
        <v>46129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4933-2026</t>
        </is>
      </c>
      <c r="B395" s="1" t="n">
        <v>46048.87952546297</v>
      </c>
      <c r="C395" s="1" t="n">
        <v>46129</v>
      </c>
      <c r="D395" t="inlineStr">
        <is>
          <t>GÄVLEBORGS LÄN</t>
        </is>
      </c>
      <c r="E395" t="inlineStr">
        <is>
          <t>SANDVIKEN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58200-2025</t>
        </is>
      </c>
      <c r="B396" s="1" t="n">
        <v>45984.44259259259</v>
      </c>
      <c r="C396" s="1" t="n">
        <v>46129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öst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25828-2024</t>
        </is>
      </c>
      <c r="B397" s="1" t="n">
        <v>45467.40458333334</v>
      </c>
      <c r="C397" s="1" t="n">
        <v>46129</v>
      </c>
      <c r="D397" t="inlineStr">
        <is>
          <t>GÄVLEBORGS LÄN</t>
        </is>
      </c>
      <c r="E397" t="inlineStr">
        <is>
          <t>SANDVIKEN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55407-2022</t>
        </is>
      </c>
      <c r="B398" s="1" t="n">
        <v>44887</v>
      </c>
      <c r="C398" s="1" t="n">
        <v>46129</v>
      </c>
      <c r="D398" t="inlineStr">
        <is>
          <t>GÄVLEBORGS LÄN</t>
        </is>
      </c>
      <c r="E398" t="inlineStr">
        <is>
          <t>SANDVIKEN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20934-2021</t>
        </is>
      </c>
      <c r="B399" s="1" t="n">
        <v>44319.48326388889</v>
      </c>
      <c r="C399" s="1" t="n">
        <v>46129</v>
      </c>
      <c r="D399" t="inlineStr">
        <is>
          <t>GÄVLEBORGS LÄN</t>
        </is>
      </c>
      <c r="E399" t="inlineStr">
        <is>
          <t>SANDVIKEN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61694-2021</t>
        </is>
      </c>
      <c r="B400" s="1" t="n">
        <v>44501.58199074074</v>
      </c>
      <c r="C400" s="1" t="n">
        <v>46129</v>
      </c>
      <c r="D400" t="inlineStr">
        <is>
          <t>GÄVLEBORGS LÄN</t>
        </is>
      </c>
      <c r="E400" t="inlineStr">
        <is>
          <t>SANDVIKEN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72997-2021</t>
        </is>
      </c>
      <c r="B401" s="1" t="n">
        <v>44549.87050925926</v>
      </c>
      <c r="C401" s="1" t="n">
        <v>46129</v>
      </c>
      <c r="D401" t="inlineStr">
        <is>
          <t>GÄVLEBORGS LÄN</t>
        </is>
      </c>
      <c r="E401" t="inlineStr">
        <is>
          <t>SANDVIKEN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7032-2025</t>
        </is>
      </c>
      <c r="B402" s="1" t="n">
        <v>45701.63517361111</v>
      </c>
      <c r="C402" s="1" t="n">
        <v>46129</v>
      </c>
      <c r="D402" t="inlineStr">
        <is>
          <t>GÄVLEBORGS LÄN</t>
        </is>
      </c>
      <c r="E402" t="inlineStr">
        <is>
          <t>SANDVIKEN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38215-2023</t>
        </is>
      </c>
      <c r="B403" s="1" t="n">
        <v>45161.53357638889</v>
      </c>
      <c r="C403" s="1" t="n">
        <v>46129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32609-2023</t>
        </is>
      </c>
      <c r="B404" s="1" t="n">
        <v>45121.54181712963</v>
      </c>
      <c r="C404" s="1" t="n">
        <v>46129</v>
      </c>
      <c r="D404" t="inlineStr">
        <is>
          <t>GÄVLEBORGS LÄN</t>
        </is>
      </c>
      <c r="E404" t="inlineStr">
        <is>
          <t>SANDVIKEN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58840-2023</t>
        </is>
      </c>
      <c r="B405" s="1" t="n">
        <v>45252.42072916667</v>
      </c>
      <c r="C405" s="1" t="n">
        <v>46129</v>
      </c>
      <c r="D405" t="inlineStr">
        <is>
          <t>GÄVLEBORGS LÄN</t>
        </is>
      </c>
      <c r="E405" t="inlineStr">
        <is>
          <t>SANDVIKEN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19421-2025</t>
        </is>
      </c>
      <c r="B406" s="1" t="n">
        <v>45769.74990740741</v>
      </c>
      <c r="C406" s="1" t="n">
        <v>46129</v>
      </c>
      <c r="D406" t="inlineStr">
        <is>
          <t>GÄVLEBORGS LÄN</t>
        </is>
      </c>
      <c r="E406" t="inlineStr">
        <is>
          <t>SANDVIKEN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5244-2024</t>
        </is>
      </c>
      <c r="B407" s="1" t="n">
        <v>45330</v>
      </c>
      <c r="C407" s="1" t="n">
        <v>46129</v>
      </c>
      <c r="D407" t="inlineStr">
        <is>
          <t>GÄVLEBORGS LÄN</t>
        </is>
      </c>
      <c r="E407" t="inlineStr">
        <is>
          <t>SANDVIKEN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38845-2025</t>
        </is>
      </c>
      <c r="B408" s="1" t="n">
        <v>45887.54144675926</v>
      </c>
      <c r="C408" s="1" t="n">
        <v>46129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13632-2024</t>
        </is>
      </c>
      <c r="B409" s="1" t="n">
        <v>45390.41961805556</v>
      </c>
      <c r="C409" s="1" t="n">
        <v>46129</v>
      </c>
      <c r="D409" t="inlineStr">
        <is>
          <t>GÄVLEBORGS LÄN</t>
        </is>
      </c>
      <c r="E409" t="inlineStr">
        <is>
          <t>SANDVIKEN</t>
        </is>
      </c>
      <c r="F409" t="inlineStr">
        <is>
          <t>Kyrkan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55595-2025</t>
        </is>
      </c>
      <c r="B410" s="1" t="n">
        <v>45971.71429398148</v>
      </c>
      <c r="C410" s="1" t="n">
        <v>46129</v>
      </c>
      <c r="D410" t="inlineStr">
        <is>
          <t>GÄVLEBORGS LÄN</t>
        </is>
      </c>
      <c r="E410" t="inlineStr">
        <is>
          <t>SANDVIKEN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55355-2025</t>
        </is>
      </c>
      <c r="B411" s="1" t="n">
        <v>45971.3704050926</v>
      </c>
      <c r="C411" s="1" t="n">
        <v>46129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58916-2023</t>
        </is>
      </c>
      <c r="B412" s="1" t="n">
        <v>45252.53457175926</v>
      </c>
      <c r="C412" s="1" t="n">
        <v>46129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7679-2025</t>
        </is>
      </c>
      <c r="B413" s="1" t="n">
        <v>45706.36291666667</v>
      </c>
      <c r="C413" s="1" t="n">
        <v>46129</v>
      </c>
      <c r="D413" t="inlineStr">
        <is>
          <t>GÄVLEBORGS LÄN</t>
        </is>
      </c>
      <c r="E413" t="inlineStr">
        <is>
          <t>SANDVIKEN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38524-2025</t>
        </is>
      </c>
      <c r="B414" s="1" t="n">
        <v>45884.40424768518</v>
      </c>
      <c r="C414" s="1" t="n">
        <v>46129</v>
      </c>
      <c r="D414" t="inlineStr">
        <is>
          <t>GÄVLEBORGS LÄN</t>
        </is>
      </c>
      <c r="E414" t="inlineStr">
        <is>
          <t>SANDVIKEN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245-2025</t>
        </is>
      </c>
      <c r="B415" s="1" t="n">
        <v>45660.41813657407</v>
      </c>
      <c r="C415" s="1" t="n">
        <v>46129</v>
      </c>
      <c r="D415" t="inlineStr">
        <is>
          <t>GÄVLEBORGS LÄN</t>
        </is>
      </c>
      <c r="E415" t="inlineStr">
        <is>
          <t>SANDVIKEN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55099-2025</t>
        </is>
      </c>
      <c r="B416" s="1" t="n">
        <v>45968.34590277778</v>
      </c>
      <c r="C416" s="1" t="n">
        <v>46129</v>
      </c>
      <c r="D416" t="inlineStr">
        <is>
          <t>GÄVLEBORGS LÄN</t>
        </is>
      </c>
      <c r="E416" t="inlineStr">
        <is>
          <t>SANDVIKEN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1675-2025</t>
        </is>
      </c>
      <c r="B417" s="1" t="n">
        <v>45670</v>
      </c>
      <c r="C417" s="1" t="n">
        <v>46129</v>
      </c>
      <c r="D417" t="inlineStr">
        <is>
          <t>GÄVLEBORGS LÄN</t>
        </is>
      </c>
      <c r="E417" t="inlineStr">
        <is>
          <t>SANDVIKEN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6428-2026</t>
        </is>
      </c>
      <c r="B418" s="1" t="n">
        <v>46055.72790509259</v>
      </c>
      <c r="C418" s="1" t="n">
        <v>46129</v>
      </c>
      <c r="D418" t="inlineStr">
        <is>
          <t>GÄVLEBORGS LÄN</t>
        </is>
      </c>
      <c r="E418" t="inlineStr">
        <is>
          <t>SANDVIKEN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63486-2025</t>
        </is>
      </c>
      <c r="B419" s="1" t="n">
        <v>46013.46858796296</v>
      </c>
      <c r="C419" s="1" t="n">
        <v>46129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36203-2025</t>
        </is>
      </c>
      <c r="B420" s="1" t="n">
        <v>45867</v>
      </c>
      <c r="C420" s="1" t="n">
        <v>46129</v>
      </c>
      <c r="D420" t="inlineStr">
        <is>
          <t>GÄVLEBORGS LÄN</t>
        </is>
      </c>
      <c r="E420" t="inlineStr">
        <is>
          <t>SANDVIKEN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57609-2023</t>
        </is>
      </c>
      <c r="B421" s="1" t="n">
        <v>45246.5606712963</v>
      </c>
      <c r="C421" s="1" t="n">
        <v>46129</v>
      </c>
      <c r="D421" t="inlineStr">
        <is>
          <t>GÄVLEBORGS LÄN</t>
        </is>
      </c>
      <c r="E421" t="inlineStr">
        <is>
          <t>SANDVIKEN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28523-2024</t>
        </is>
      </c>
      <c r="B422" s="1" t="n">
        <v>45478.31907407408</v>
      </c>
      <c r="C422" s="1" t="n">
        <v>46129</v>
      </c>
      <c r="D422" t="inlineStr">
        <is>
          <t>GÄVLEBORGS LÄN</t>
        </is>
      </c>
      <c r="E422" t="inlineStr">
        <is>
          <t>SANDVIKEN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23854-2021</t>
        </is>
      </c>
      <c r="B423" s="1" t="n">
        <v>44335</v>
      </c>
      <c r="C423" s="1" t="n">
        <v>46129</v>
      </c>
      <c r="D423" t="inlineStr">
        <is>
          <t>GÄVLEBORGS LÄN</t>
        </is>
      </c>
      <c r="E423" t="inlineStr">
        <is>
          <t>SANDVIKEN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32260-2023</t>
        </is>
      </c>
      <c r="B424" s="1" t="n">
        <v>45120.30417824074</v>
      </c>
      <c r="C424" s="1" t="n">
        <v>46129</v>
      </c>
      <c r="D424" t="inlineStr">
        <is>
          <t>GÄVLEBORGS LÄN</t>
        </is>
      </c>
      <c r="E424" t="inlineStr">
        <is>
          <t>SANDVIKEN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54106-2023</t>
        </is>
      </c>
      <c r="B425" s="1" t="n">
        <v>45232</v>
      </c>
      <c r="C425" s="1" t="n">
        <v>46129</v>
      </c>
      <c r="D425" t="inlineStr">
        <is>
          <t>GÄVLEBORGS LÄN</t>
        </is>
      </c>
      <c r="E425" t="inlineStr">
        <is>
          <t>SANDVIKEN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389-2025</t>
        </is>
      </c>
      <c r="B426" s="1" t="n">
        <v>45662.74996527778</v>
      </c>
      <c r="C426" s="1" t="n">
        <v>46129</v>
      </c>
      <c r="D426" t="inlineStr">
        <is>
          <t>GÄVLEBORGS LÄN</t>
        </is>
      </c>
      <c r="E426" t="inlineStr">
        <is>
          <t>SANDVIKEN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63879-2025</t>
        </is>
      </c>
      <c r="B427" s="1" t="n">
        <v>46020</v>
      </c>
      <c r="C427" s="1" t="n">
        <v>46129</v>
      </c>
      <c r="D427" t="inlineStr">
        <is>
          <t>GÄVLEBORGS LÄN</t>
        </is>
      </c>
      <c r="E427" t="inlineStr">
        <is>
          <t>SANDVIKEN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7924-2026</t>
        </is>
      </c>
      <c r="B428" s="1" t="n">
        <v>46063.39244212963</v>
      </c>
      <c r="C428" s="1" t="n">
        <v>46129</v>
      </c>
      <c r="D428" t="inlineStr">
        <is>
          <t>GÄVLEBORGS LÄN</t>
        </is>
      </c>
      <c r="E428" t="inlineStr">
        <is>
          <t>SANDVIKEN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7911-2026</t>
        </is>
      </c>
      <c r="B429" s="1" t="n">
        <v>46063.37041666666</v>
      </c>
      <c r="C429" s="1" t="n">
        <v>46129</v>
      </c>
      <c r="D429" t="inlineStr">
        <is>
          <t>GÄVLEBORGS LÄN</t>
        </is>
      </c>
      <c r="E429" t="inlineStr">
        <is>
          <t>SANDVIKEN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7622-2026</t>
        </is>
      </c>
      <c r="B430" s="1" t="n">
        <v>46062.34707175926</v>
      </c>
      <c r="C430" s="1" t="n">
        <v>46129</v>
      </c>
      <c r="D430" t="inlineStr">
        <is>
          <t>GÄVLEBORGS LÄN</t>
        </is>
      </c>
      <c r="E430" t="inlineStr">
        <is>
          <t>SANDVIKEN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436-2026</t>
        </is>
      </c>
      <c r="B431" s="1" t="n">
        <v>46021</v>
      </c>
      <c r="C431" s="1" t="n">
        <v>46129</v>
      </c>
      <c r="D431" t="inlineStr">
        <is>
          <t>GÄVLEBORGS LÄN</t>
        </is>
      </c>
      <c r="E431" t="inlineStr">
        <is>
          <t>SANDVIKEN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448-2026</t>
        </is>
      </c>
      <c r="B432" s="1" t="n">
        <v>46021</v>
      </c>
      <c r="C432" s="1" t="n">
        <v>46129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64130-2025</t>
        </is>
      </c>
      <c r="B433" s="1" t="n">
        <v>46021</v>
      </c>
      <c r="C433" s="1" t="n">
        <v>46129</v>
      </c>
      <c r="D433" t="inlineStr">
        <is>
          <t>GÄVLEBORGS LÄN</t>
        </is>
      </c>
      <c r="E433" t="inlineStr">
        <is>
          <t>SANDVIKEN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8100-2026</t>
        </is>
      </c>
      <c r="B434" s="1" t="n">
        <v>46063.72082175926</v>
      </c>
      <c r="C434" s="1" t="n">
        <v>46129</v>
      </c>
      <c r="D434" t="inlineStr">
        <is>
          <t>GÄVLEBORGS LÄN</t>
        </is>
      </c>
      <c r="E434" t="inlineStr">
        <is>
          <t>SANDVIKEN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63880-2025</t>
        </is>
      </c>
      <c r="B435" s="1" t="n">
        <v>46020</v>
      </c>
      <c r="C435" s="1" t="n">
        <v>46129</v>
      </c>
      <c r="D435" t="inlineStr">
        <is>
          <t>GÄVLEBORGS LÄN</t>
        </is>
      </c>
      <c r="E435" t="inlineStr">
        <is>
          <t>SANDVIKEN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7733-2026</t>
        </is>
      </c>
      <c r="B436" s="1" t="n">
        <v>46062.5240625</v>
      </c>
      <c r="C436" s="1" t="n">
        <v>46129</v>
      </c>
      <c r="D436" t="inlineStr">
        <is>
          <t>GÄVLEBORGS LÄN</t>
        </is>
      </c>
      <c r="E436" t="inlineStr">
        <is>
          <t>SANDVIKEN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HYPERLINK("https://klasma.github.io/Logging_2181/knärot/A 7733-2026 karta knärot.png", "A 7733-2026")</f>
        <v/>
      </c>
      <c r="V436">
        <f>HYPERLINK("https://klasma.github.io/Logging_2181/klagomål/A 7733-2026 FSC-klagomål.docx", "A 7733-2026")</f>
        <v/>
      </c>
      <c r="W436">
        <f>HYPERLINK("https://klasma.github.io/Logging_2181/klagomålsmail/A 7733-2026 FSC-klagomål mail.docx", "A 7733-2026")</f>
        <v/>
      </c>
      <c r="X436">
        <f>HYPERLINK("https://klasma.github.io/Logging_2181/tillsyn/A 7733-2026 tillsynsbegäran.docx", "A 7733-2026")</f>
        <v/>
      </c>
      <c r="Y436">
        <f>HYPERLINK("https://klasma.github.io/Logging_2181/tillsynsmail/A 7733-2026 tillsynsbegäran mail.docx", "A 7733-2026")</f>
        <v/>
      </c>
    </row>
    <row r="437" ht="15" customHeight="1">
      <c r="A437" t="inlineStr">
        <is>
          <t>A 17405-2025</t>
        </is>
      </c>
      <c r="B437" s="1" t="n">
        <v>45757.36209490741</v>
      </c>
      <c r="C437" s="1" t="n">
        <v>46129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8952-2026</t>
        </is>
      </c>
      <c r="B438" s="1" t="n">
        <v>46069.39135416667</v>
      </c>
      <c r="C438" s="1" t="n">
        <v>46129</v>
      </c>
      <c r="D438" t="inlineStr">
        <is>
          <t>GÄVLEBORGS LÄN</t>
        </is>
      </c>
      <c r="E438" t="inlineStr">
        <is>
          <t>SANDVIKEN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47651-2023</t>
        </is>
      </c>
      <c r="B439" s="1" t="n">
        <v>45203</v>
      </c>
      <c r="C439" s="1" t="n">
        <v>46129</v>
      </c>
      <c r="D439" t="inlineStr">
        <is>
          <t>GÄVLEBORGS LÄN</t>
        </is>
      </c>
      <c r="E439" t="inlineStr">
        <is>
          <t>SANDVIKEN</t>
        </is>
      </c>
      <c r="F439" t="inlineStr">
        <is>
          <t>Kommuner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153-2026</t>
        </is>
      </c>
      <c r="B440" s="1" t="n">
        <v>46024.68712962963</v>
      </c>
      <c r="C440" s="1" t="n">
        <v>46129</v>
      </c>
      <c r="D440" t="inlineStr">
        <is>
          <t>GÄVLEBORGS LÄN</t>
        </is>
      </c>
      <c r="E440" t="inlineStr">
        <is>
          <t>SANDVIKEN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8940-2026</t>
        </is>
      </c>
      <c r="B441" s="1" t="n">
        <v>46069.36844907407</v>
      </c>
      <c r="C441" s="1" t="n">
        <v>46129</v>
      </c>
      <c r="D441" t="inlineStr">
        <is>
          <t>GÄVLEBORGS LÄN</t>
        </is>
      </c>
      <c r="E441" t="inlineStr">
        <is>
          <t>SANDVIKEN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3679-2022</t>
        </is>
      </c>
      <c r="B442" s="1" t="n">
        <v>44586</v>
      </c>
      <c r="C442" s="1" t="n">
        <v>46129</v>
      </c>
      <c r="D442" t="inlineStr">
        <is>
          <t>GÄVLEBORGS LÄN</t>
        </is>
      </c>
      <c r="E442" t="inlineStr">
        <is>
          <t>SANDVIKEN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450-2026</t>
        </is>
      </c>
      <c r="B443" s="1" t="n">
        <v>46029.35219907408</v>
      </c>
      <c r="C443" s="1" t="n">
        <v>46129</v>
      </c>
      <c r="D443" t="inlineStr">
        <is>
          <t>GÄVLEBORGS LÄN</t>
        </is>
      </c>
      <c r="E443" t="inlineStr">
        <is>
          <t>SANDVIKEN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35783-2024</t>
        </is>
      </c>
      <c r="B444" s="1" t="n">
        <v>45532.61126157407</v>
      </c>
      <c r="C444" s="1" t="n">
        <v>46129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49512-2023</t>
        </is>
      </c>
      <c r="B445" s="1" t="n">
        <v>45211.58351851852</v>
      </c>
      <c r="C445" s="1" t="n">
        <v>46129</v>
      </c>
      <c r="D445" t="inlineStr">
        <is>
          <t>GÄVLEBORGS LÄN</t>
        </is>
      </c>
      <c r="E445" t="inlineStr">
        <is>
          <t>SANDVIKEN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1416-2026</t>
        </is>
      </c>
      <c r="B446" s="1" t="n">
        <v>46031.72472222222</v>
      </c>
      <c r="C446" s="1" t="n">
        <v>46129</v>
      </c>
      <c r="D446" t="inlineStr">
        <is>
          <t>GÄVLEBORGS LÄN</t>
        </is>
      </c>
      <c r="E446" t="inlineStr">
        <is>
          <t>SANDVIKEN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9694-2026</t>
        </is>
      </c>
      <c r="B447" s="1" t="n">
        <v>46072.40773148148</v>
      </c>
      <c r="C447" s="1" t="n">
        <v>46129</v>
      </c>
      <c r="D447" t="inlineStr">
        <is>
          <t>GÄVLEBORGS LÄN</t>
        </is>
      </c>
      <c r="E447" t="inlineStr">
        <is>
          <t>SANDVIKEN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1205-2026</t>
        </is>
      </c>
      <c r="B448" s="1" t="n">
        <v>46031.3815625</v>
      </c>
      <c r="C448" s="1" t="n">
        <v>46129</v>
      </c>
      <c r="D448" t="inlineStr">
        <is>
          <t>GÄVLEBORGS LÄN</t>
        </is>
      </c>
      <c r="E448" t="inlineStr">
        <is>
          <t>SANDVIKEN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1083-2026</t>
        </is>
      </c>
      <c r="B449" s="1" t="n">
        <v>46030</v>
      </c>
      <c r="C449" s="1" t="n">
        <v>46129</v>
      </c>
      <c r="D449" t="inlineStr">
        <is>
          <t>GÄVLEBORGS LÄN</t>
        </is>
      </c>
      <c r="E449" t="inlineStr">
        <is>
          <t>SANDVIKEN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1283-2026</t>
        </is>
      </c>
      <c r="B450" s="1" t="n">
        <v>46031</v>
      </c>
      <c r="C450" s="1" t="n">
        <v>46129</v>
      </c>
      <c r="D450" t="inlineStr">
        <is>
          <t>GÄVLEBORGS LÄN</t>
        </is>
      </c>
      <c r="E450" t="inlineStr">
        <is>
          <t>SANDVIKEN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9790-2026</t>
        </is>
      </c>
      <c r="B451" s="1" t="n">
        <v>46072.59813657407</v>
      </c>
      <c r="C451" s="1" t="n">
        <v>46129</v>
      </c>
      <c r="D451" t="inlineStr">
        <is>
          <t>GÄVLEBORGS LÄN</t>
        </is>
      </c>
      <c r="E451" t="inlineStr">
        <is>
          <t>SANDVIKEN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1145-2026</t>
        </is>
      </c>
      <c r="B452" s="1" t="n">
        <v>46030</v>
      </c>
      <c r="C452" s="1" t="n">
        <v>46129</v>
      </c>
      <c r="D452" t="inlineStr">
        <is>
          <t>GÄVLEBORGS LÄN</t>
        </is>
      </c>
      <c r="E452" t="inlineStr">
        <is>
          <t>SANDVIKEN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1418-2026</t>
        </is>
      </c>
      <c r="B453" s="1" t="n">
        <v>46031.7299537037</v>
      </c>
      <c r="C453" s="1" t="n">
        <v>46129</v>
      </c>
      <c r="D453" t="inlineStr">
        <is>
          <t>GÄVLEBORGS LÄN</t>
        </is>
      </c>
      <c r="E453" t="inlineStr">
        <is>
          <t>SANDVIKEN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1233-2026</t>
        </is>
      </c>
      <c r="B454" s="1" t="n">
        <v>46031.41513888889</v>
      </c>
      <c r="C454" s="1" t="n">
        <v>46129</v>
      </c>
      <c r="D454" t="inlineStr">
        <is>
          <t>GÄVLEBORGS LÄN</t>
        </is>
      </c>
      <c r="E454" t="inlineStr">
        <is>
          <t>SANDVIKEN</t>
        </is>
      </c>
      <c r="G454" t="n">
        <v>20.4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1071-2026</t>
        </is>
      </c>
      <c r="B455" s="1" t="n">
        <v>46030.64684027778</v>
      </c>
      <c r="C455" s="1" t="n">
        <v>46129</v>
      </c>
      <c r="D455" t="inlineStr">
        <is>
          <t>GÄVLEBORGS LÄN</t>
        </is>
      </c>
      <c r="E455" t="inlineStr">
        <is>
          <t>SANDVIKEN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6101-2023</t>
        </is>
      </c>
      <c r="B456" s="1" t="n">
        <v>44964.58362268518</v>
      </c>
      <c r="C456" s="1" t="n">
        <v>46129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2016-2026</t>
        </is>
      </c>
      <c r="B457" s="1" t="n">
        <v>46035</v>
      </c>
      <c r="C457" s="1" t="n">
        <v>46129</v>
      </c>
      <c r="D457" t="inlineStr">
        <is>
          <t>GÄVLEBORGS LÄN</t>
        </is>
      </c>
      <c r="E457" t="inlineStr">
        <is>
          <t>SANDVIKEN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1712-2026</t>
        </is>
      </c>
      <c r="B458" s="1" t="n">
        <v>46034.60353009259</v>
      </c>
      <c r="C458" s="1" t="n">
        <v>46129</v>
      </c>
      <c r="D458" t="inlineStr">
        <is>
          <t>GÄVLEBORGS LÄN</t>
        </is>
      </c>
      <c r="E458" t="inlineStr">
        <is>
          <t>SANDVIKEN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1576-2026</t>
        </is>
      </c>
      <c r="B459" s="1" t="n">
        <v>46034.42168981482</v>
      </c>
      <c r="C459" s="1" t="n">
        <v>46129</v>
      </c>
      <c r="D459" t="inlineStr">
        <is>
          <t>GÄVLEBORGS LÄN</t>
        </is>
      </c>
      <c r="E459" t="inlineStr">
        <is>
          <t>SANDVIKEN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1974-2026</t>
        </is>
      </c>
      <c r="B460" s="1" t="n">
        <v>46035.64958333333</v>
      </c>
      <c r="C460" s="1" t="n">
        <v>46129</v>
      </c>
      <c r="D460" t="inlineStr">
        <is>
          <t>GÄVLEBORGS LÄN</t>
        </is>
      </c>
      <c r="E460" t="inlineStr">
        <is>
          <t>SANDVIKEN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1988-2026</t>
        </is>
      </c>
      <c r="B461" s="1" t="n">
        <v>46035.65846064815</v>
      </c>
      <c r="C461" s="1" t="n">
        <v>46129</v>
      </c>
      <c r="D461" t="inlineStr">
        <is>
          <t>GÄVLEBORGS LÄN</t>
        </is>
      </c>
      <c r="E461" t="inlineStr">
        <is>
          <t>SANDVIKEN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2026-2026</t>
        </is>
      </c>
      <c r="B462" s="1" t="n">
        <v>46035.72614583333</v>
      </c>
      <c r="C462" s="1" t="n">
        <v>46129</v>
      </c>
      <c r="D462" t="inlineStr">
        <is>
          <t>GÄVLEBORGS LÄN</t>
        </is>
      </c>
      <c r="E462" t="inlineStr">
        <is>
          <t>SANDVIKEN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22373-2023</t>
        </is>
      </c>
      <c r="B463" s="1" t="n">
        <v>45070.60813657408</v>
      </c>
      <c r="C463" s="1" t="n">
        <v>46129</v>
      </c>
      <c r="D463" t="inlineStr">
        <is>
          <t>GÄVLEBORGS LÄN</t>
        </is>
      </c>
      <c r="E463" t="inlineStr">
        <is>
          <t>SANDVIKEN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48257-2023</t>
        </is>
      </c>
      <c r="B464" s="1" t="n">
        <v>45205.53430555556</v>
      </c>
      <c r="C464" s="1" t="n">
        <v>46129</v>
      </c>
      <c r="D464" t="inlineStr">
        <is>
          <t>GÄVLEBORGS LÄN</t>
        </is>
      </c>
      <c r="E464" t="inlineStr">
        <is>
          <t>SANDVIKEN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58796-2024</t>
        </is>
      </c>
      <c r="B465" s="1" t="n">
        <v>45636.29079861111</v>
      </c>
      <c r="C465" s="1" t="n">
        <v>46129</v>
      </c>
      <c r="D465" t="inlineStr">
        <is>
          <t>GÄVLEBORGS LÄN</t>
        </is>
      </c>
      <c r="E465" t="inlineStr">
        <is>
          <t>SANDVIKEN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25357-2023</t>
        </is>
      </c>
      <c r="B466" s="1" t="n">
        <v>45087.9609837963</v>
      </c>
      <c r="C466" s="1" t="n">
        <v>46129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1794-2026</t>
        </is>
      </c>
      <c r="B467" s="1" t="n">
        <v>46034</v>
      </c>
      <c r="C467" s="1" t="n">
        <v>46129</v>
      </c>
      <c r="D467" t="inlineStr">
        <is>
          <t>GÄVLEBORGS LÄN</t>
        </is>
      </c>
      <c r="E467" t="inlineStr">
        <is>
          <t>SANDVIKEN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35252-2024</t>
        </is>
      </c>
      <c r="B468" s="1" t="n">
        <v>45530.57136574074</v>
      </c>
      <c r="C468" s="1" t="n">
        <v>46129</v>
      </c>
      <c r="D468" t="inlineStr">
        <is>
          <t>GÄVLEBORGS LÄN</t>
        </is>
      </c>
      <c r="E468" t="inlineStr">
        <is>
          <t>SANDVIKEN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2003-2026</t>
        </is>
      </c>
      <c r="B469" s="1" t="n">
        <v>46035.68834490741</v>
      </c>
      <c r="C469" s="1" t="n">
        <v>46129</v>
      </c>
      <c r="D469" t="inlineStr">
        <is>
          <t>GÄVLEBORGS LÄN</t>
        </is>
      </c>
      <c r="E469" t="inlineStr">
        <is>
          <t>SANDVIKEN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2012-2026</t>
        </is>
      </c>
      <c r="B470" s="1" t="n">
        <v>46035</v>
      </c>
      <c r="C470" s="1" t="n">
        <v>46129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1676-2026</t>
        </is>
      </c>
      <c r="B471" s="1" t="n">
        <v>46034.57221064815</v>
      </c>
      <c r="C471" s="1" t="n">
        <v>46129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1737-2026</t>
        </is>
      </c>
      <c r="B472" s="1" t="n">
        <v>46034.64289351852</v>
      </c>
      <c r="C472" s="1" t="n">
        <v>46129</v>
      </c>
      <c r="D472" t="inlineStr">
        <is>
          <t>GÄVLEBORGS LÄN</t>
        </is>
      </c>
      <c r="E472" t="inlineStr">
        <is>
          <t>SANDVIKEN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2004-2026</t>
        </is>
      </c>
      <c r="B473" s="1" t="n">
        <v>46035.69458333333</v>
      </c>
      <c r="C473" s="1" t="n">
        <v>46129</v>
      </c>
      <c r="D473" t="inlineStr">
        <is>
          <t>GÄVLEBORGS LÄN</t>
        </is>
      </c>
      <c r="E473" t="inlineStr">
        <is>
          <t>SANDVIKEN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32291-2024</t>
        </is>
      </c>
      <c r="B474" s="1" t="n">
        <v>45512.42832175926</v>
      </c>
      <c r="C474" s="1" t="n">
        <v>46129</v>
      </c>
      <c r="D474" t="inlineStr">
        <is>
          <t>GÄVLEBORGS LÄN</t>
        </is>
      </c>
      <c r="E474" t="inlineStr">
        <is>
          <t>SANDVIKEN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2641-2026</t>
        </is>
      </c>
      <c r="B475" s="1" t="n">
        <v>46037.6203587963</v>
      </c>
      <c r="C475" s="1" t="n">
        <v>46129</v>
      </c>
      <c r="D475" t="inlineStr">
        <is>
          <t>GÄVLEBORGS LÄN</t>
        </is>
      </c>
      <c r="E475" t="inlineStr">
        <is>
          <t>SANDVIKEN</t>
        </is>
      </c>
      <c r="G475" t="n">
        <v>8.699999999999999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25479-2023</t>
        </is>
      </c>
      <c r="B476" s="1" t="n">
        <v>45089</v>
      </c>
      <c r="C476" s="1" t="n">
        <v>46129</v>
      </c>
      <c r="D476" t="inlineStr">
        <is>
          <t>GÄVLEBORGS LÄN</t>
        </is>
      </c>
      <c r="E476" t="inlineStr">
        <is>
          <t>SANDVIKEN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24764-2024</t>
        </is>
      </c>
      <c r="B477" s="1" t="n">
        <v>45460.6910300926</v>
      </c>
      <c r="C477" s="1" t="n">
        <v>46129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2094-2026</t>
        </is>
      </c>
      <c r="B478" s="1" t="n">
        <v>46036.36267361111</v>
      </c>
      <c r="C478" s="1" t="n">
        <v>46129</v>
      </c>
      <c r="D478" t="inlineStr">
        <is>
          <t>GÄVLEBORGS LÄN</t>
        </is>
      </c>
      <c r="E478" t="inlineStr">
        <is>
          <t>SANDVIKEN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2238-2026</t>
        </is>
      </c>
      <c r="B479" s="1" t="n">
        <v>46036.53622685185</v>
      </c>
      <c r="C479" s="1" t="n">
        <v>46129</v>
      </c>
      <c r="D479" t="inlineStr">
        <is>
          <t>GÄVLEBORGS LÄN</t>
        </is>
      </c>
      <c r="E479" t="inlineStr">
        <is>
          <t>SANDVIKEN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2708-2026</t>
        </is>
      </c>
      <c r="B480" s="1" t="n">
        <v>46037.71626157407</v>
      </c>
      <c r="C480" s="1" t="n">
        <v>46129</v>
      </c>
      <c r="D480" t="inlineStr">
        <is>
          <t>GÄVLEBORGS LÄN</t>
        </is>
      </c>
      <c r="E480" t="inlineStr">
        <is>
          <t>SANDVIKEN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2126-2026</t>
        </is>
      </c>
      <c r="B481" s="1" t="n">
        <v>46036.38805555556</v>
      </c>
      <c r="C481" s="1" t="n">
        <v>46129</v>
      </c>
      <c r="D481" t="inlineStr">
        <is>
          <t>GÄVLEBORGS LÄN</t>
        </is>
      </c>
      <c r="E481" t="inlineStr">
        <is>
          <t>SANDVIKEN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2250-2026</t>
        </is>
      </c>
      <c r="B482" s="1" t="n">
        <v>46036.55289351852</v>
      </c>
      <c r="C482" s="1" t="n">
        <v>46129</v>
      </c>
      <c r="D482" t="inlineStr">
        <is>
          <t>GÄVLEBORGS LÄN</t>
        </is>
      </c>
      <c r="E482" t="inlineStr">
        <is>
          <t>SANDVIKEN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36671-2023</t>
        </is>
      </c>
      <c r="B483" s="1" t="n">
        <v>45153.58384259259</v>
      </c>
      <c r="C483" s="1" t="n">
        <v>46129</v>
      </c>
      <c r="D483" t="inlineStr">
        <is>
          <t>GÄVLEBORGS LÄN</t>
        </is>
      </c>
      <c r="E483" t="inlineStr">
        <is>
          <t>SANDVIKEN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17436-2025</t>
        </is>
      </c>
      <c r="B484" s="1" t="n">
        <v>45757.42239583333</v>
      </c>
      <c r="C484" s="1" t="n">
        <v>46129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2225-2026</t>
        </is>
      </c>
      <c r="B485" s="1" t="n">
        <v>46036.51623842592</v>
      </c>
      <c r="C485" s="1" t="n">
        <v>46129</v>
      </c>
      <c r="D485" t="inlineStr">
        <is>
          <t>GÄVLEBORGS LÄN</t>
        </is>
      </c>
      <c r="E485" t="inlineStr">
        <is>
          <t>SANDVIKEN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2718-2026</t>
        </is>
      </c>
      <c r="B486" s="1" t="n">
        <v>46037.73811342593</v>
      </c>
      <c r="C486" s="1" t="n">
        <v>46129</v>
      </c>
      <c r="D486" t="inlineStr">
        <is>
          <t>GÄVLEBORGS LÄN</t>
        </is>
      </c>
      <c r="E486" t="inlineStr">
        <is>
          <t>SANDVIKEN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2189-2026</t>
        </is>
      </c>
      <c r="B487" s="1" t="n">
        <v>46036.46646990741</v>
      </c>
      <c r="C487" s="1" t="n">
        <v>46129</v>
      </c>
      <c r="D487" t="inlineStr">
        <is>
          <t>GÄVLEBORGS LÄN</t>
        </is>
      </c>
      <c r="E487" t="inlineStr">
        <is>
          <t>SANDVIKEN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2585-2026</t>
        </is>
      </c>
      <c r="B488" s="1" t="n">
        <v>46037</v>
      </c>
      <c r="C488" s="1" t="n">
        <v>46129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2129-2026</t>
        </is>
      </c>
      <c r="B489" s="1" t="n">
        <v>46036.39043981482</v>
      </c>
      <c r="C489" s="1" t="n">
        <v>46129</v>
      </c>
      <c r="D489" t="inlineStr">
        <is>
          <t>GÄVLEBORGS LÄN</t>
        </is>
      </c>
      <c r="E489" t="inlineStr">
        <is>
          <t>SANDVIKEN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2180-2026</t>
        </is>
      </c>
      <c r="B490" s="1" t="n">
        <v>46036.45912037037</v>
      </c>
      <c r="C490" s="1" t="n">
        <v>46129</v>
      </c>
      <c r="D490" t="inlineStr">
        <is>
          <t>GÄVLEBORGS LÄN</t>
        </is>
      </c>
      <c r="E490" t="inlineStr">
        <is>
          <t>SANDVIKEN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3214-2026</t>
        </is>
      </c>
      <c r="B491" s="1" t="n">
        <v>46041.50125</v>
      </c>
      <c r="C491" s="1" t="n">
        <v>46129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60897-2023</t>
        </is>
      </c>
      <c r="B492" s="1" t="n">
        <v>45261</v>
      </c>
      <c r="C492" s="1" t="n">
        <v>46129</v>
      </c>
      <c r="D492" t="inlineStr">
        <is>
          <t>GÄVLEBORGS LÄN</t>
        </is>
      </c>
      <c r="E492" t="inlineStr">
        <is>
          <t>SANDVIKEN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62047-2022</t>
        </is>
      </c>
      <c r="B493" s="1" t="n">
        <v>44918</v>
      </c>
      <c r="C493" s="1" t="n">
        <v>46129</v>
      </c>
      <c r="D493" t="inlineStr">
        <is>
          <t>GÄVLEBORGS LÄN</t>
        </is>
      </c>
      <c r="E493" t="inlineStr">
        <is>
          <t>SANDVIKEN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45331-2024</t>
        </is>
      </c>
      <c r="B494" s="1" t="n">
        <v>45576.4566087963</v>
      </c>
      <c r="C494" s="1" t="n">
        <v>46129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2792-2026</t>
        </is>
      </c>
      <c r="B495" s="1" t="n">
        <v>46038.39768518518</v>
      </c>
      <c r="C495" s="1" t="n">
        <v>46129</v>
      </c>
      <c r="D495" t="inlineStr">
        <is>
          <t>GÄVLEBORGS LÄN</t>
        </is>
      </c>
      <c r="E495" t="inlineStr">
        <is>
          <t>SANDVIKEN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2730-2026</t>
        </is>
      </c>
      <c r="B496" s="1" t="n">
        <v>46037</v>
      </c>
      <c r="C496" s="1" t="n">
        <v>46129</v>
      </c>
      <c r="D496" t="inlineStr">
        <is>
          <t>GÄVLEBORGS LÄN</t>
        </is>
      </c>
      <c r="E496" t="inlineStr">
        <is>
          <t>SANDVIKEN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1062-2026</t>
        </is>
      </c>
      <c r="B497" s="1" t="n">
        <v>46030</v>
      </c>
      <c r="C497" s="1" t="n">
        <v>46129</v>
      </c>
      <c r="D497" t="inlineStr">
        <is>
          <t>GÄVLEBORGS LÄN</t>
        </is>
      </c>
      <c r="E497" t="inlineStr">
        <is>
          <t>SANDVIKEN</t>
        </is>
      </c>
      <c r="G497" t="n">
        <v>10.2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2905-2026</t>
        </is>
      </c>
      <c r="B498" s="1" t="n">
        <v>46038.55922453704</v>
      </c>
      <c r="C498" s="1" t="n">
        <v>46129</v>
      </c>
      <c r="D498" t="inlineStr">
        <is>
          <t>GÄVLEBORGS LÄN</t>
        </is>
      </c>
      <c r="E498" t="inlineStr">
        <is>
          <t>SANDVIKEN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2940-2026</t>
        </is>
      </c>
      <c r="B499" s="1" t="n">
        <v>46038.58991898148</v>
      </c>
      <c r="C499" s="1" t="n">
        <v>46129</v>
      </c>
      <c r="D499" t="inlineStr">
        <is>
          <t>GÄVLEBORGS LÄN</t>
        </is>
      </c>
      <c r="E499" t="inlineStr">
        <is>
          <t>SANDVIKEN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62642-2023</t>
        </is>
      </c>
      <c r="B500" s="1" t="n">
        <v>45271.42324074074</v>
      </c>
      <c r="C500" s="1" t="n">
        <v>46129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öst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2886-2026</t>
        </is>
      </c>
      <c r="B501" s="1" t="n">
        <v>46038.5428125</v>
      </c>
      <c r="C501" s="1" t="n">
        <v>46129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2796-2026</t>
        </is>
      </c>
      <c r="B502" s="1" t="n">
        <v>46038.40582175926</v>
      </c>
      <c r="C502" s="1" t="n">
        <v>46129</v>
      </c>
      <c r="D502" t="inlineStr">
        <is>
          <t>GÄVLEBORGS LÄN</t>
        </is>
      </c>
      <c r="E502" t="inlineStr">
        <is>
          <t>SANDVIKEN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62056-2022</t>
        </is>
      </c>
      <c r="B503" s="1" t="n">
        <v>44918</v>
      </c>
      <c r="C503" s="1" t="n">
        <v>46129</v>
      </c>
      <c r="D503" t="inlineStr">
        <is>
          <t>GÄVLEBORGS LÄN</t>
        </is>
      </c>
      <c r="E503" t="inlineStr">
        <is>
          <t>SANDVIKEN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3909-2026</t>
        </is>
      </c>
      <c r="B504" s="1" t="n">
        <v>46043.70579861111</v>
      </c>
      <c r="C504" s="1" t="n">
        <v>46129</v>
      </c>
      <c r="D504" t="inlineStr">
        <is>
          <t>GÄVLEBORGS LÄN</t>
        </is>
      </c>
      <c r="E504" t="inlineStr">
        <is>
          <t>SANDVIKEN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3566-2026</t>
        </is>
      </c>
      <c r="B505" s="1" t="n">
        <v>46042.67555555556</v>
      </c>
      <c r="C505" s="1" t="n">
        <v>46129</v>
      </c>
      <c r="D505" t="inlineStr">
        <is>
          <t>GÄVLEBORGS LÄN</t>
        </is>
      </c>
      <c r="E505" t="inlineStr">
        <is>
          <t>SANDVIKEN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11894-2026</t>
        </is>
      </c>
      <c r="B506" s="1" t="n">
        <v>46085.52964120371</v>
      </c>
      <c r="C506" s="1" t="n">
        <v>46129</v>
      </c>
      <c r="D506" t="inlineStr">
        <is>
          <t>GÄVLEBORGS LÄN</t>
        </is>
      </c>
      <c r="E506" t="inlineStr">
        <is>
          <t>SANDVIKEN</t>
        </is>
      </c>
      <c r="G506" t="n">
        <v>8.199999999999999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11899-2026</t>
        </is>
      </c>
      <c r="B507" s="1" t="n">
        <v>46085.53903935185</v>
      </c>
      <c r="C507" s="1" t="n">
        <v>46129</v>
      </c>
      <c r="D507" t="inlineStr">
        <is>
          <t>GÄVLEBORGS LÄN</t>
        </is>
      </c>
      <c r="E507" t="inlineStr">
        <is>
          <t>SANDVIKEN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3581-2026</t>
        </is>
      </c>
      <c r="B508" s="1" t="n">
        <v>46042.72135416666</v>
      </c>
      <c r="C508" s="1" t="n">
        <v>46129</v>
      </c>
      <c r="D508" t="inlineStr">
        <is>
          <t>GÄVLEBORGS LÄN</t>
        </is>
      </c>
      <c r="E508" t="inlineStr">
        <is>
          <t>SANDVIKEN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3616-2026</t>
        </is>
      </c>
      <c r="B509" s="1" t="n">
        <v>46042.95599537037</v>
      </c>
      <c r="C509" s="1" t="n">
        <v>46129</v>
      </c>
      <c r="D509" t="inlineStr">
        <is>
          <t>GÄVLEBORGS LÄN</t>
        </is>
      </c>
      <c r="E509" t="inlineStr">
        <is>
          <t>SANDVIKEN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3803-2026</t>
        </is>
      </c>
      <c r="B510" s="1" t="n">
        <v>46043.583125</v>
      </c>
      <c r="C510" s="1" t="n">
        <v>46129</v>
      </c>
      <c r="D510" t="inlineStr">
        <is>
          <t>GÄVLEBORGS LÄN</t>
        </is>
      </c>
      <c r="E510" t="inlineStr">
        <is>
          <t>SANDVIKEN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58182-2023</t>
        </is>
      </c>
      <c r="B511" s="1" t="n">
        <v>45245</v>
      </c>
      <c r="C511" s="1" t="n">
        <v>46129</v>
      </c>
      <c r="D511" t="inlineStr">
        <is>
          <t>GÄVLEBORGS LÄN</t>
        </is>
      </c>
      <c r="E511" t="inlineStr">
        <is>
          <t>SANDVIKEN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3507-2026</t>
        </is>
      </c>
      <c r="B512" s="1" t="n">
        <v>46042.58122685185</v>
      </c>
      <c r="C512" s="1" t="n">
        <v>46129</v>
      </c>
      <c r="D512" t="inlineStr">
        <is>
          <t>GÄVLEBORGS LÄN</t>
        </is>
      </c>
      <c r="E512" t="inlineStr">
        <is>
          <t>SANDVIKEN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3656-2026</t>
        </is>
      </c>
      <c r="B513" s="1" t="n">
        <v>46043.37753472223</v>
      </c>
      <c r="C513" s="1" t="n">
        <v>46129</v>
      </c>
      <c r="D513" t="inlineStr">
        <is>
          <t>GÄVLEBORGS LÄN</t>
        </is>
      </c>
      <c r="E513" t="inlineStr">
        <is>
          <t>SANDVIKEN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15674-2024</t>
        </is>
      </c>
      <c r="B514" s="1" t="n">
        <v>45404.40354166667</v>
      </c>
      <c r="C514" s="1" t="n">
        <v>46129</v>
      </c>
      <c r="D514" t="inlineStr">
        <is>
          <t>GÄVLEBORGS LÄN</t>
        </is>
      </c>
      <c r="E514" t="inlineStr">
        <is>
          <t>SANDVIKEN</t>
        </is>
      </c>
      <c r="F514" t="inlineStr">
        <is>
          <t>Bergvik skog öst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3617-2026</t>
        </is>
      </c>
      <c r="B515" s="1" t="n">
        <v>46042.95703703703</v>
      </c>
      <c r="C515" s="1" t="n">
        <v>46129</v>
      </c>
      <c r="D515" t="inlineStr">
        <is>
          <t>GÄVLEBORGS LÄN</t>
        </is>
      </c>
      <c r="E515" t="inlineStr">
        <is>
          <t>SANDVIKEN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3635-2026</t>
        </is>
      </c>
      <c r="B516" s="1" t="n">
        <v>46043</v>
      </c>
      <c r="C516" s="1" t="n">
        <v>46129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3523-2026</t>
        </is>
      </c>
      <c r="B517" s="1" t="n">
        <v>46042.60207175926</v>
      </c>
      <c r="C517" s="1" t="n">
        <v>46129</v>
      </c>
      <c r="D517" t="inlineStr">
        <is>
          <t>GÄVLEBORGS LÄN</t>
        </is>
      </c>
      <c r="E517" t="inlineStr">
        <is>
          <t>SANDVIKEN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1144-2026</t>
        </is>
      </c>
      <c r="B518" s="1" t="n">
        <v>46030</v>
      </c>
      <c r="C518" s="1" t="n">
        <v>46129</v>
      </c>
      <c r="D518" t="inlineStr">
        <is>
          <t>GÄVLEBORGS LÄN</t>
        </is>
      </c>
      <c r="E518" t="inlineStr">
        <is>
          <t>SANDVIKEN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12120-2026</t>
        </is>
      </c>
      <c r="B519" s="1" t="n">
        <v>46086.54597222222</v>
      </c>
      <c r="C519" s="1" t="n">
        <v>46129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öst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12067-2026</t>
        </is>
      </c>
      <c r="B520" s="1" t="n">
        <v>46086.41123842593</v>
      </c>
      <c r="C520" s="1" t="n">
        <v>46129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22042-2023</t>
        </is>
      </c>
      <c r="B521" s="1" t="n">
        <v>45069</v>
      </c>
      <c r="C521" s="1" t="n">
        <v>46129</v>
      </c>
      <c r="D521" t="inlineStr">
        <is>
          <t>GÄVLEBORGS LÄN</t>
        </is>
      </c>
      <c r="E521" t="inlineStr">
        <is>
          <t>SANDVIKEN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1037-2025</t>
        </is>
      </c>
      <c r="B522" s="1" t="n">
        <v>45666.53684027777</v>
      </c>
      <c r="C522" s="1" t="n">
        <v>46129</v>
      </c>
      <c r="D522" t="inlineStr">
        <is>
          <t>GÄVLEBORGS LÄN</t>
        </is>
      </c>
      <c r="E522" t="inlineStr">
        <is>
          <t>SANDVIKEN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12293-2026</t>
        </is>
      </c>
      <c r="B523" s="1" t="n">
        <v>46087.55553240741</v>
      </c>
      <c r="C523" s="1" t="n">
        <v>46129</v>
      </c>
      <c r="D523" t="inlineStr">
        <is>
          <t>GÄVLEBORGS LÄN</t>
        </is>
      </c>
      <c r="E523" t="inlineStr">
        <is>
          <t>SANDVIKEN</t>
        </is>
      </c>
      <c r="F523" t="inlineStr">
        <is>
          <t>Kommuner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4481-2026</t>
        </is>
      </c>
      <c r="B524" s="1" t="n">
        <v>46045</v>
      </c>
      <c r="C524" s="1" t="n">
        <v>46129</v>
      </c>
      <c r="D524" t="inlineStr">
        <is>
          <t>GÄVLEBORGS LÄN</t>
        </is>
      </c>
      <c r="E524" t="inlineStr">
        <is>
          <t>SANDVIKEN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4488-2026</t>
        </is>
      </c>
      <c r="B525" s="1" t="n">
        <v>46045</v>
      </c>
      <c r="C525" s="1" t="n">
        <v>46129</v>
      </c>
      <c r="D525" t="inlineStr">
        <is>
          <t>GÄVLEBORGS LÄN</t>
        </is>
      </c>
      <c r="E525" t="inlineStr">
        <is>
          <t>SANDVIKEN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4495-2026</t>
        </is>
      </c>
      <c r="B526" s="1" t="n">
        <v>46045</v>
      </c>
      <c r="C526" s="1" t="n">
        <v>46129</v>
      </c>
      <c r="D526" t="inlineStr">
        <is>
          <t>GÄVLEBORGS LÄN</t>
        </is>
      </c>
      <c r="E526" t="inlineStr">
        <is>
          <t>SANDVIKEN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12248-2026</t>
        </is>
      </c>
      <c r="B527" s="1" t="n">
        <v>46087.44497685185</v>
      </c>
      <c r="C527" s="1" t="n">
        <v>46129</v>
      </c>
      <c r="D527" t="inlineStr">
        <is>
          <t>GÄVLEBORGS LÄN</t>
        </is>
      </c>
      <c r="E527" t="inlineStr">
        <is>
          <t>SANDVIKEN</t>
        </is>
      </c>
      <c r="F527" t="inlineStr">
        <is>
          <t>Kommuner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12149-2026</t>
        </is>
      </c>
      <c r="B528" s="1" t="n">
        <v>46086.58795138889</v>
      </c>
      <c r="C528" s="1" t="n">
        <v>46129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12317-2026</t>
        </is>
      </c>
      <c r="B529" s="1" t="n">
        <v>46087.59810185185</v>
      </c>
      <c r="C529" s="1" t="n">
        <v>46129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27.2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16980-2025</t>
        </is>
      </c>
      <c r="B530" s="1" t="n">
        <v>45755.47873842593</v>
      </c>
      <c r="C530" s="1" t="n">
        <v>46129</v>
      </c>
      <c r="D530" t="inlineStr">
        <is>
          <t>GÄVLEBORGS LÄN</t>
        </is>
      </c>
      <c r="E530" t="inlineStr">
        <is>
          <t>SANDVIKEN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3991-2026</t>
        </is>
      </c>
      <c r="B531" s="1" t="n">
        <v>46044.38246527778</v>
      </c>
      <c r="C531" s="1" t="n">
        <v>46129</v>
      </c>
      <c r="D531" t="inlineStr">
        <is>
          <t>GÄVLEBORGS LÄN</t>
        </is>
      </c>
      <c r="E531" t="inlineStr">
        <is>
          <t>SANDVIKEN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4503-2026</t>
        </is>
      </c>
      <c r="B532" s="1" t="n">
        <v>46045</v>
      </c>
      <c r="C532" s="1" t="n">
        <v>46129</v>
      </c>
      <c r="D532" t="inlineStr">
        <is>
          <t>GÄVLEBORGS LÄN</t>
        </is>
      </c>
      <c r="E532" t="inlineStr">
        <is>
          <t>SANDVIKEN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4096-2026</t>
        </is>
      </c>
      <c r="B533" s="1" t="n">
        <v>46044.56945601852</v>
      </c>
      <c r="C533" s="1" t="n">
        <v>46129</v>
      </c>
      <c r="D533" t="inlineStr">
        <is>
          <t>GÄVLEBORGS LÄN</t>
        </is>
      </c>
      <c r="E533" t="inlineStr">
        <is>
          <t>SANDVIKEN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12115-2026</t>
        </is>
      </c>
      <c r="B534" s="1" t="n">
        <v>46086.54162037037</v>
      </c>
      <c r="C534" s="1" t="n">
        <v>46129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4115-2026</t>
        </is>
      </c>
      <c r="B535" s="1" t="n">
        <v>46044</v>
      </c>
      <c r="C535" s="1" t="n">
        <v>46129</v>
      </c>
      <c r="D535" t="inlineStr">
        <is>
          <t>GÄVLEBORGS LÄN</t>
        </is>
      </c>
      <c r="E535" t="inlineStr">
        <is>
          <t>SANDVIKEN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4035-2026</t>
        </is>
      </c>
      <c r="B536" s="1" t="n">
        <v>46044</v>
      </c>
      <c r="C536" s="1" t="n">
        <v>46129</v>
      </c>
      <c r="D536" t="inlineStr">
        <is>
          <t>GÄVLEBORGS LÄN</t>
        </is>
      </c>
      <c r="E536" t="inlineStr">
        <is>
          <t>SANDVIKEN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17498-2024</t>
        </is>
      </c>
      <c r="B537" s="1" t="n">
        <v>45415</v>
      </c>
      <c r="C537" s="1" t="n">
        <v>46129</v>
      </c>
      <c r="D537" t="inlineStr">
        <is>
          <t>GÄVLEBORGS LÄN</t>
        </is>
      </c>
      <c r="E537" t="inlineStr">
        <is>
          <t>SANDVIKEN</t>
        </is>
      </c>
      <c r="F537" t="inlineStr">
        <is>
          <t>Kommuner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4358-2026</t>
        </is>
      </c>
      <c r="B538" s="1" t="n">
        <v>46045.53990740741</v>
      </c>
      <c r="C538" s="1" t="n">
        <v>46129</v>
      </c>
      <c r="D538" t="inlineStr">
        <is>
          <t>GÄVLEBORGS LÄN</t>
        </is>
      </c>
      <c r="E538" t="inlineStr">
        <is>
          <t>SANDVIKEN</t>
        </is>
      </c>
      <c r="F538" t="inlineStr">
        <is>
          <t>Kommuner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11756-2023</t>
        </is>
      </c>
      <c r="B539" s="1" t="n">
        <v>44994</v>
      </c>
      <c r="C539" s="1" t="n">
        <v>46129</v>
      </c>
      <c r="D539" t="inlineStr">
        <is>
          <t>GÄVLEBORGS LÄN</t>
        </is>
      </c>
      <c r="E539" t="inlineStr">
        <is>
          <t>SANDVIKEN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11764-2023</t>
        </is>
      </c>
      <c r="B540" s="1" t="n">
        <v>44994.62415509259</v>
      </c>
      <c r="C540" s="1" t="n">
        <v>46129</v>
      </c>
      <c r="D540" t="inlineStr">
        <is>
          <t>GÄVLEBORGS LÄN</t>
        </is>
      </c>
      <c r="E540" t="inlineStr">
        <is>
          <t>SANDVIKEN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4301-2026</t>
        </is>
      </c>
      <c r="B541" s="1" t="n">
        <v>46045.4258449074</v>
      </c>
      <c r="C541" s="1" t="n">
        <v>46129</v>
      </c>
      <c r="D541" t="inlineStr">
        <is>
          <t>GÄVLEBORGS LÄN</t>
        </is>
      </c>
      <c r="E541" t="inlineStr">
        <is>
          <t>SANDVIKEN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4483-2026</t>
        </is>
      </c>
      <c r="B542" s="1" t="n">
        <v>46045</v>
      </c>
      <c r="C542" s="1" t="n">
        <v>46129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4504-2026</t>
        </is>
      </c>
      <c r="B543" s="1" t="n">
        <v>46045</v>
      </c>
      <c r="C543" s="1" t="n">
        <v>46129</v>
      </c>
      <c r="D543" t="inlineStr">
        <is>
          <t>GÄVLEBORGS LÄN</t>
        </is>
      </c>
      <c r="E543" t="inlineStr">
        <is>
          <t>SANDVIKEN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4506-2026</t>
        </is>
      </c>
      <c r="B544" s="1" t="n">
        <v>46045</v>
      </c>
      <c r="C544" s="1" t="n">
        <v>46129</v>
      </c>
      <c r="D544" t="inlineStr">
        <is>
          <t>GÄVLEBORGS LÄN</t>
        </is>
      </c>
      <c r="E544" t="inlineStr">
        <is>
          <t>SANDVIKEN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3082-2026</t>
        </is>
      </c>
      <c r="B545" s="1" t="n">
        <v>46040</v>
      </c>
      <c r="C545" s="1" t="n">
        <v>46129</v>
      </c>
      <c r="D545" t="inlineStr">
        <is>
          <t>GÄVLEBORGS LÄN</t>
        </is>
      </c>
      <c r="E545" t="inlineStr">
        <is>
          <t>SANDVIKEN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4350-2026</t>
        </is>
      </c>
      <c r="B546" s="1" t="n">
        <v>46045.52701388889</v>
      </c>
      <c r="C546" s="1" t="n">
        <v>46129</v>
      </c>
      <c r="D546" t="inlineStr">
        <is>
          <t>GÄVLEBORGS LÄN</t>
        </is>
      </c>
      <c r="E546" t="inlineStr">
        <is>
          <t>SANDVIKEN</t>
        </is>
      </c>
      <c r="F546" t="inlineStr">
        <is>
          <t>Kommuner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3717-2026</t>
        </is>
      </c>
      <c r="B547" s="1" t="n">
        <v>46043</v>
      </c>
      <c r="C547" s="1" t="n">
        <v>46129</v>
      </c>
      <c r="D547" t="inlineStr">
        <is>
          <t>GÄVLEBORGS LÄN</t>
        </is>
      </c>
      <c r="E547" t="inlineStr">
        <is>
          <t>SANDVIKEN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12237-2026</t>
        </is>
      </c>
      <c r="B548" s="1" t="n">
        <v>46087.41761574074</v>
      </c>
      <c r="C548" s="1" t="n">
        <v>46129</v>
      </c>
      <c r="D548" t="inlineStr">
        <is>
          <t>GÄVLEBORGS LÄN</t>
        </is>
      </c>
      <c r="E548" t="inlineStr">
        <is>
          <t>SANDVIKEN</t>
        </is>
      </c>
      <c r="F548" t="inlineStr">
        <is>
          <t>Kommuner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4375-2026</t>
        </is>
      </c>
      <c r="B549" s="1" t="n">
        <v>46045.553125</v>
      </c>
      <c r="C549" s="1" t="n">
        <v>46129</v>
      </c>
      <c r="D549" t="inlineStr">
        <is>
          <t>GÄVLEBORGS LÄN</t>
        </is>
      </c>
      <c r="E549" t="inlineStr">
        <is>
          <t>SANDVIKEN</t>
        </is>
      </c>
      <c r="F549" t="inlineStr">
        <is>
          <t>Kommuner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17256-2024</t>
        </is>
      </c>
      <c r="B550" s="1" t="n">
        <v>45414.41319444445</v>
      </c>
      <c r="C550" s="1" t="n">
        <v>46129</v>
      </c>
      <c r="D550" t="inlineStr">
        <is>
          <t>GÄVLEBORGS LÄN</t>
        </is>
      </c>
      <c r="E550" t="inlineStr">
        <is>
          <t>SANDVIKEN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61858-2024</t>
        </is>
      </c>
      <c r="B551" s="1" t="n">
        <v>45649.75841435185</v>
      </c>
      <c r="C551" s="1" t="n">
        <v>46129</v>
      </c>
      <c r="D551" t="inlineStr">
        <is>
          <t>GÄVLEBORGS LÄN</t>
        </is>
      </c>
      <c r="E551" t="inlineStr">
        <is>
          <t>SANDVIKEN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4324-2026</t>
        </is>
      </c>
      <c r="B552" s="1" t="n">
        <v>46045.45677083333</v>
      </c>
      <c r="C552" s="1" t="n">
        <v>46129</v>
      </c>
      <c r="D552" t="inlineStr">
        <is>
          <t>GÄVLEBORGS LÄN</t>
        </is>
      </c>
      <c r="E552" t="inlineStr">
        <is>
          <t>SANDVIKEN</t>
        </is>
      </c>
      <c r="F552" t="inlineStr">
        <is>
          <t>Kommuner</t>
        </is>
      </c>
      <c r="G552" t="n">
        <v>11.2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4489-2026</t>
        </is>
      </c>
      <c r="B553" s="1" t="n">
        <v>46045.71328703704</v>
      </c>
      <c r="C553" s="1" t="n">
        <v>46129</v>
      </c>
      <c r="D553" t="inlineStr">
        <is>
          <t>GÄVLEBORGS LÄN</t>
        </is>
      </c>
      <c r="E553" t="inlineStr">
        <is>
          <t>SANDVIKEN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4494-2026</t>
        </is>
      </c>
      <c r="B554" s="1" t="n">
        <v>46045</v>
      </c>
      <c r="C554" s="1" t="n">
        <v>46129</v>
      </c>
      <c r="D554" t="inlineStr">
        <is>
          <t>GÄVLEBORGS LÄN</t>
        </is>
      </c>
      <c r="E554" t="inlineStr">
        <is>
          <t>SANDVIKEN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4498-2026</t>
        </is>
      </c>
      <c r="B555" s="1" t="n">
        <v>46045</v>
      </c>
      <c r="C555" s="1" t="n">
        <v>46129</v>
      </c>
      <c r="D555" t="inlineStr">
        <is>
          <t>GÄVLEBORGS LÄN</t>
        </is>
      </c>
      <c r="E555" t="inlineStr">
        <is>
          <t>SANDVIKEN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61167-2022</t>
        </is>
      </c>
      <c r="B556" s="1" t="n">
        <v>44915.48208333334</v>
      </c>
      <c r="C556" s="1" t="n">
        <v>46129</v>
      </c>
      <c r="D556" t="inlineStr">
        <is>
          <t>GÄVLEBORGS LÄN</t>
        </is>
      </c>
      <c r="E556" t="inlineStr">
        <is>
          <t>SANDVIKEN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60700-2023</t>
        </is>
      </c>
      <c r="B557" s="1" t="n">
        <v>45260.50872685185</v>
      </c>
      <c r="C557" s="1" t="n">
        <v>46129</v>
      </c>
      <c r="D557" t="inlineStr">
        <is>
          <t>GÄVLEBORGS LÄN</t>
        </is>
      </c>
      <c r="E557" t="inlineStr">
        <is>
          <t>SANDVIKEN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4486-2026</t>
        </is>
      </c>
      <c r="B558" s="1" t="n">
        <v>46045</v>
      </c>
      <c r="C558" s="1" t="n">
        <v>46129</v>
      </c>
      <c r="D558" t="inlineStr">
        <is>
          <t>GÄVLEBORGS LÄN</t>
        </is>
      </c>
      <c r="E558" t="inlineStr">
        <is>
          <t>SANDVIKEN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6951-2024</t>
        </is>
      </c>
      <c r="B559" s="1" t="n">
        <v>45343.43699074074</v>
      </c>
      <c r="C559" s="1" t="n">
        <v>46129</v>
      </c>
      <c r="D559" t="inlineStr">
        <is>
          <t>GÄVLEBORGS LÄN</t>
        </is>
      </c>
      <c r="E559" t="inlineStr">
        <is>
          <t>SANDVIKEN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39340-2024</t>
        </is>
      </c>
      <c r="B560" s="1" t="n">
        <v>45551.44383101852</v>
      </c>
      <c r="C560" s="1" t="n">
        <v>46129</v>
      </c>
      <c r="D560" t="inlineStr">
        <is>
          <t>GÄVLEBORGS LÄN</t>
        </is>
      </c>
      <c r="E560" t="inlineStr">
        <is>
          <t>SANDVIKEN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4882-2026</t>
        </is>
      </c>
      <c r="B561" s="1" t="n">
        <v>46048.65760416666</v>
      </c>
      <c r="C561" s="1" t="n">
        <v>46129</v>
      </c>
      <c r="D561" t="inlineStr">
        <is>
          <t>GÄVLEBORGS LÄN</t>
        </is>
      </c>
      <c r="E561" t="inlineStr">
        <is>
          <t>SANDVIKEN</t>
        </is>
      </c>
      <c r="F561" t="inlineStr">
        <is>
          <t>Kommuner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12631-2026</t>
        </is>
      </c>
      <c r="B562" s="1" t="n">
        <v>46091.45103009259</v>
      </c>
      <c r="C562" s="1" t="n">
        <v>46129</v>
      </c>
      <c r="D562" t="inlineStr">
        <is>
          <t>GÄVLEBORGS LÄN</t>
        </is>
      </c>
      <c r="E562" t="inlineStr">
        <is>
          <t>SANDVIKEN</t>
        </is>
      </c>
      <c r="F562" t="inlineStr">
        <is>
          <t>Kommuner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12641-2026</t>
        </is>
      </c>
      <c r="B563" s="1" t="n">
        <v>46091.46641203704</v>
      </c>
      <c r="C563" s="1" t="n">
        <v>46129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12681-2026</t>
        </is>
      </c>
      <c r="B564" s="1" t="n">
        <v>46091.55365740741</v>
      </c>
      <c r="C564" s="1" t="n">
        <v>46129</v>
      </c>
      <c r="D564" t="inlineStr">
        <is>
          <t>GÄVLEBORGS LÄN</t>
        </is>
      </c>
      <c r="E564" t="inlineStr">
        <is>
          <t>SANDVIKEN</t>
        </is>
      </c>
      <c r="F564" t="inlineStr">
        <is>
          <t>Kommuner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2731-2026</t>
        </is>
      </c>
      <c r="B565" s="1" t="n">
        <v>46037</v>
      </c>
      <c r="C565" s="1" t="n">
        <v>46129</v>
      </c>
      <c r="D565" t="inlineStr">
        <is>
          <t>GÄVLEBORGS LÄN</t>
        </is>
      </c>
      <c r="E565" t="inlineStr">
        <is>
          <t>SANDVIKEN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12739-2026</t>
        </is>
      </c>
      <c r="B566" s="1" t="n">
        <v>46091.64519675926</v>
      </c>
      <c r="C566" s="1" t="n">
        <v>46129</v>
      </c>
      <c r="D566" t="inlineStr">
        <is>
          <t>GÄVLEBORGS LÄN</t>
        </is>
      </c>
      <c r="E566" t="inlineStr">
        <is>
          <t>SANDVIKEN</t>
        </is>
      </c>
      <c r="F566" t="inlineStr">
        <is>
          <t>Kommuner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12732-2026</t>
        </is>
      </c>
      <c r="B567" s="1" t="n">
        <v>46091.63121527778</v>
      </c>
      <c r="C567" s="1" t="n">
        <v>46129</v>
      </c>
      <c r="D567" t="inlineStr">
        <is>
          <t>GÄVLEBORGS LÄN</t>
        </is>
      </c>
      <c r="E567" t="inlineStr">
        <is>
          <t>SANDVIKEN</t>
        </is>
      </c>
      <c r="F567" t="inlineStr">
        <is>
          <t>Naturvårdsverket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23200-2024</t>
        </is>
      </c>
      <c r="B568" s="1" t="n">
        <v>45451.93958333333</v>
      </c>
      <c r="C568" s="1" t="n">
        <v>46129</v>
      </c>
      <c r="D568" t="inlineStr">
        <is>
          <t>GÄVLEBORGS LÄN</t>
        </is>
      </c>
      <c r="E568" t="inlineStr">
        <is>
          <t>SANDVIKEN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12675-2026</t>
        </is>
      </c>
      <c r="B569" s="1" t="n">
        <v>46091.54353009259</v>
      </c>
      <c r="C569" s="1" t="n">
        <v>46129</v>
      </c>
      <c r="D569" t="inlineStr">
        <is>
          <t>GÄVLEBORGS LÄN</t>
        </is>
      </c>
      <c r="E569" t="inlineStr">
        <is>
          <t>SANDVIKEN</t>
        </is>
      </c>
      <c r="F569" t="inlineStr">
        <is>
          <t>Naturvårdsverket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12710-2026</t>
        </is>
      </c>
      <c r="B570" s="1" t="n">
        <v>46091.58599537037</v>
      </c>
      <c r="C570" s="1" t="n">
        <v>46129</v>
      </c>
      <c r="D570" t="inlineStr">
        <is>
          <t>GÄVLEBORGS LÄN</t>
        </is>
      </c>
      <c r="E570" t="inlineStr">
        <is>
          <t>SANDVIKEN</t>
        </is>
      </c>
      <c r="F570" t="inlineStr">
        <is>
          <t>Kommuner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5181-2026</t>
        </is>
      </c>
      <c r="B571" s="1" t="n">
        <v>46049.65337962963</v>
      </c>
      <c r="C571" s="1" t="n">
        <v>46129</v>
      </c>
      <c r="D571" t="inlineStr">
        <is>
          <t>GÄVLEBORGS LÄN</t>
        </is>
      </c>
      <c r="E571" t="inlineStr">
        <is>
          <t>SANDVIKEN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4848-2026</t>
        </is>
      </c>
      <c r="B572" s="1" t="n">
        <v>46048.62207175926</v>
      </c>
      <c r="C572" s="1" t="n">
        <v>46129</v>
      </c>
      <c r="D572" t="inlineStr">
        <is>
          <t>GÄVLEBORGS LÄN</t>
        </is>
      </c>
      <c r="E572" t="inlineStr">
        <is>
          <t>SANDVIKEN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4512-2026</t>
        </is>
      </c>
      <c r="B573" s="1" t="n">
        <v>46045.8167824074</v>
      </c>
      <c r="C573" s="1" t="n">
        <v>46129</v>
      </c>
      <c r="D573" t="inlineStr">
        <is>
          <t>GÄVLEBORGS LÄN</t>
        </is>
      </c>
      <c r="E573" t="inlineStr">
        <is>
          <t>SANDVIKEN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4800-2026</t>
        </is>
      </c>
      <c r="B574" s="1" t="n">
        <v>46048.57528935185</v>
      </c>
      <c r="C574" s="1" t="n">
        <v>46129</v>
      </c>
      <c r="D574" t="inlineStr">
        <is>
          <t>GÄVLEBORGS LÄN</t>
        </is>
      </c>
      <c r="E574" t="inlineStr">
        <is>
          <t>SANDVIKEN</t>
        </is>
      </c>
      <c r="F574" t="inlineStr">
        <is>
          <t>Kommuner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12725-2026</t>
        </is>
      </c>
      <c r="B575" s="1" t="n">
        <v>46091.61737268518</v>
      </c>
      <c r="C575" s="1" t="n">
        <v>46129</v>
      </c>
      <c r="D575" t="inlineStr">
        <is>
          <t>GÄVLEBORGS LÄN</t>
        </is>
      </c>
      <c r="E575" t="inlineStr">
        <is>
          <t>SANDVIKEN</t>
        </is>
      </c>
      <c r="F575" t="inlineStr">
        <is>
          <t>Kommuner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12672-2026</t>
        </is>
      </c>
      <c r="B576" s="1" t="n">
        <v>46091.53582175926</v>
      </c>
      <c r="C576" s="1" t="n">
        <v>46129</v>
      </c>
      <c r="D576" t="inlineStr">
        <is>
          <t>GÄVLEBORGS LÄN</t>
        </is>
      </c>
      <c r="E576" t="inlineStr">
        <is>
          <t>SANDVIKEN</t>
        </is>
      </c>
      <c r="F576" t="inlineStr">
        <is>
          <t>Naturvårdsverket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4540-2026</t>
        </is>
      </c>
      <c r="B577" s="1" t="n">
        <v>46046.94585648148</v>
      </c>
      <c r="C577" s="1" t="n">
        <v>46129</v>
      </c>
      <c r="D577" t="inlineStr">
        <is>
          <t>GÄVLEBORGS LÄN</t>
        </is>
      </c>
      <c r="E577" t="inlineStr">
        <is>
          <t>SANDVIKEN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12426-2026</t>
        </is>
      </c>
      <c r="B578" s="1" t="n">
        <v>46090.45471064815</v>
      </c>
      <c r="C578" s="1" t="n">
        <v>46129</v>
      </c>
      <c r="D578" t="inlineStr">
        <is>
          <t>GÄVLEBORGS LÄN</t>
        </is>
      </c>
      <c r="E578" t="inlineStr">
        <is>
          <t>SANDVIKEN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12433-2026</t>
        </is>
      </c>
      <c r="B579" s="1" t="n">
        <v>46090.46303240741</v>
      </c>
      <c r="C579" s="1" t="n">
        <v>46129</v>
      </c>
      <c r="D579" t="inlineStr">
        <is>
          <t>GÄVLEBORGS LÄN</t>
        </is>
      </c>
      <c r="E579" t="inlineStr">
        <is>
          <t>SANDVIKEN</t>
        </is>
      </c>
      <c r="F579" t="inlineStr">
        <is>
          <t>Kommuner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12427-2026</t>
        </is>
      </c>
      <c r="B580" s="1" t="n">
        <v>46090.45672453703</v>
      </c>
      <c r="C580" s="1" t="n">
        <v>46129</v>
      </c>
      <c r="D580" t="inlineStr">
        <is>
          <t>GÄVLEBORGS LÄN</t>
        </is>
      </c>
      <c r="E580" t="inlineStr">
        <is>
          <t>SANDVIKEN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12481-2026</t>
        </is>
      </c>
      <c r="B581" s="1" t="n">
        <v>46090.56285879629</v>
      </c>
      <c r="C581" s="1" t="n">
        <v>46129</v>
      </c>
      <c r="D581" t="inlineStr">
        <is>
          <t>GÄVLEBORGS LÄN</t>
        </is>
      </c>
      <c r="E581" t="inlineStr">
        <is>
          <t>SANDVIKEN</t>
        </is>
      </c>
      <c r="F581" t="inlineStr">
        <is>
          <t>Kommuner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12727-2026</t>
        </is>
      </c>
      <c r="B582" s="1" t="n">
        <v>46091.62217592593</v>
      </c>
      <c r="C582" s="1" t="n">
        <v>46129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12382-2026</t>
        </is>
      </c>
      <c r="B583" s="1" t="n">
        <v>46090.36371527778</v>
      </c>
      <c r="C583" s="1" t="n">
        <v>46129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öst AB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4539-2026</t>
        </is>
      </c>
      <c r="B584" s="1" t="n">
        <v>46046.94458333333</v>
      </c>
      <c r="C584" s="1" t="n">
        <v>46129</v>
      </c>
      <c r="D584" t="inlineStr">
        <is>
          <t>GÄVLEBORGS LÄN</t>
        </is>
      </c>
      <c r="E584" t="inlineStr">
        <is>
          <t>SANDVIKEN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12417-2025</t>
        </is>
      </c>
      <c r="B585" s="1" t="n">
        <v>45730.44833333333</v>
      </c>
      <c r="C585" s="1" t="n">
        <v>46129</v>
      </c>
      <c r="D585" t="inlineStr">
        <is>
          <t>GÄVLEBORGS LÄN</t>
        </is>
      </c>
      <c r="E585" t="inlineStr">
        <is>
          <t>SANDVIKEN</t>
        </is>
      </c>
      <c r="F585" t="inlineStr">
        <is>
          <t>Bergvik skog öst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12418-2025</t>
        </is>
      </c>
      <c r="B586" s="1" t="n">
        <v>45730.4502662037</v>
      </c>
      <c r="C586" s="1" t="n">
        <v>46129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4768-2026</t>
        </is>
      </c>
      <c r="B587" s="1" t="n">
        <v>46048.5430787037</v>
      </c>
      <c r="C587" s="1" t="n">
        <v>46129</v>
      </c>
      <c r="D587" t="inlineStr">
        <is>
          <t>GÄVLEBORGS LÄN</t>
        </is>
      </c>
      <c r="E587" t="inlineStr">
        <is>
          <t>SANDVIKEN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4857-2026</t>
        </is>
      </c>
      <c r="B588" s="1" t="n">
        <v>46048.63556712963</v>
      </c>
      <c r="C588" s="1" t="n">
        <v>46129</v>
      </c>
      <c r="D588" t="inlineStr">
        <is>
          <t>GÄVLEBORGS LÄN</t>
        </is>
      </c>
      <c r="E588" t="inlineStr">
        <is>
          <t>SANDVIKEN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4893-2026</t>
        </is>
      </c>
      <c r="B589" s="1" t="n">
        <v>46048.6746412037</v>
      </c>
      <c r="C589" s="1" t="n">
        <v>46129</v>
      </c>
      <c r="D589" t="inlineStr">
        <is>
          <t>GÄVLEBORGS LÄN</t>
        </is>
      </c>
      <c r="E589" t="inlineStr">
        <is>
          <t>SANDVIKEN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28163-2023</t>
        </is>
      </c>
      <c r="B590" s="1" t="n">
        <v>45096</v>
      </c>
      <c r="C590" s="1" t="n">
        <v>46129</v>
      </c>
      <c r="D590" t="inlineStr">
        <is>
          <t>GÄVLEBORGS LÄN</t>
        </is>
      </c>
      <c r="E590" t="inlineStr">
        <is>
          <t>SANDVIKEN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12734-2026</t>
        </is>
      </c>
      <c r="B591" s="1" t="n">
        <v>46091.63355324074</v>
      </c>
      <c r="C591" s="1" t="n">
        <v>46129</v>
      </c>
      <c r="D591" t="inlineStr">
        <is>
          <t>GÄVLEBORGS LÄN</t>
        </is>
      </c>
      <c r="E591" t="inlineStr">
        <is>
          <t>SANDVIKEN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4513-2026</t>
        </is>
      </c>
      <c r="B592" s="1" t="n">
        <v>46045.81793981481</v>
      </c>
      <c r="C592" s="1" t="n">
        <v>46129</v>
      </c>
      <c r="D592" t="inlineStr">
        <is>
          <t>GÄVLEBORGS LÄN</t>
        </is>
      </c>
      <c r="E592" t="inlineStr">
        <is>
          <t>SANDVIKEN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12847-2026</t>
        </is>
      </c>
      <c r="B593" s="1" t="n">
        <v>46092.45949074074</v>
      </c>
      <c r="C593" s="1" t="n">
        <v>46129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5567-2026</t>
        </is>
      </c>
      <c r="B594" s="1" t="n">
        <v>46050.86637731481</v>
      </c>
      <c r="C594" s="1" t="n">
        <v>46129</v>
      </c>
      <c r="D594" t="inlineStr">
        <is>
          <t>GÄVLEBORGS LÄN</t>
        </is>
      </c>
      <c r="E594" t="inlineStr">
        <is>
          <t>SANDVIKEN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60891-2023</t>
        </is>
      </c>
      <c r="B595" s="1" t="n">
        <v>45261.34476851852</v>
      </c>
      <c r="C595" s="1" t="n">
        <v>46129</v>
      </c>
      <c r="D595" t="inlineStr">
        <is>
          <t>GÄVLEBORGS LÄN</t>
        </is>
      </c>
      <c r="E595" t="inlineStr">
        <is>
          <t>SANDVIKEN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5247-2026</t>
        </is>
      </c>
      <c r="B596" s="1" t="n">
        <v>46049.89538194444</v>
      </c>
      <c r="C596" s="1" t="n">
        <v>46129</v>
      </c>
      <c r="D596" t="inlineStr">
        <is>
          <t>GÄVLEBORGS LÄN</t>
        </is>
      </c>
      <c r="E596" t="inlineStr">
        <is>
          <t>SANDVIKEN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12857-2026</t>
        </is>
      </c>
      <c r="B597" s="1" t="n">
        <v>46092.48184027777</v>
      </c>
      <c r="C597" s="1" t="n">
        <v>46129</v>
      </c>
      <c r="D597" t="inlineStr">
        <is>
          <t>GÄVLEBORGS LÄN</t>
        </is>
      </c>
      <c r="E597" t="inlineStr">
        <is>
          <t>SANDVIKEN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37-2024</t>
        </is>
      </c>
      <c r="B598" s="1" t="n">
        <v>45293</v>
      </c>
      <c r="C598" s="1" t="n">
        <v>46129</v>
      </c>
      <c r="D598" t="inlineStr">
        <is>
          <t>GÄVLEBORGS LÄN</t>
        </is>
      </c>
      <c r="E598" t="inlineStr">
        <is>
          <t>SANDVIKEN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39-2024</t>
        </is>
      </c>
      <c r="B599" s="1" t="n">
        <v>45293.50021990741</v>
      </c>
      <c r="C599" s="1" t="n">
        <v>46129</v>
      </c>
      <c r="D599" t="inlineStr">
        <is>
          <t>GÄVLEBORGS LÄN</t>
        </is>
      </c>
      <c r="E599" t="inlineStr">
        <is>
          <t>SANDVIKEN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7825-2026</t>
        </is>
      </c>
      <c r="B600" s="1" t="n">
        <v>46062.63797453704</v>
      </c>
      <c r="C600" s="1" t="n">
        <v>46129</v>
      </c>
      <c r="D600" t="inlineStr">
        <is>
          <t>GÄVLEBORGS LÄN</t>
        </is>
      </c>
      <c r="E600" t="inlineStr">
        <is>
          <t>SANDVIKEN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5543-2026</t>
        </is>
      </c>
      <c r="B601" s="1" t="n">
        <v>46050.68386574074</v>
      </c>
      <c r="C601" s="1" t="n">
        <v>46129</v>
      </c>
      <c r="D601" t="inlineStr">
        <is>
          <t>GÄVLEBORGS LÄN</t>
        </is>
      </c>
      <c r="E601" t="inlineStr">
        <is>
          <t>SANDVIKEN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5246-2026</t>
        </is>
      </c>
      <c r="B602" s="1" t="n">
        <v>46049.89357638889</v>
      </c>
      <c r="C602" s="1" t="n">
        <v>46129</v>
      </c>
      <c r="D602" t="inlineStr">
        <is>
          <t>GÄVLEBORGS LÄN</t>
        </is>
      </c>
      <c r="E602" t="inlineStr">
        <is>
          <t>SANDVIKEN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5257-2026</t>
        </is>
      </c>
      <c r="B603" s="1" t="n">
        <v>46050.29393518518</v>
      </c>
      <c r="C603" s="1" t="n">
        <v>46129</v>
      </c>
      <c r="D603" t="inlineStr">
        <is>
          <t>GÄVLEBORGS LÄN</t>
        </is>
      </c>
      <c r="E603" t="inlineStr">
        <is>
          <t>SANDVIKEN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5547-2026</t>
        </is>
      </c>
      <c r="B604" s="1" t="n">
        <v>46050.70633101852</v>
      </c>
      <c r="C604" s="1" t="n">
        <v>46129</v>
      </c>
      <c r="D604" t="inlineStr">
        <is>
          <t>GÄVLEBORGS LÄN</t>
        </is>
      </c>
      <c r="E604" t="inlineStr">
        <is>
          <t>SANDVIKEN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5552-2026</t>
        </is>
      </c>
      <c r="B605" s="1" t="n">
        <v>46050</v>
      </c>
      <c r="C605" s="1" t="n">
        <v>46129</v>
      </c>
      <c r="D605" t="inlineStr">
        <is>
          <t>GÄVLEBORGS LÄN</t>
        </is>
      </c>
      <c r="E605" t="inlineStr">
        <is>
          <t>SANDVIKEN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5558-2026</t>
        </is>
      </c>
      <c r="B606" s="1" t="n">
        <v>46050.78326388889</v>
      </c>
      <c r="C606" s="1" t="n">
        <v>46129</v>
      </c>
      <c r="D606" t="inlineStr">
        <is>
          <t>GÄVLEBORGS LÄN</t>
        </is>
      </c>
      <c r="E606" t="inlineStr">
        <is>
          <t>SANDVIKEN</t>
        </is>
      </c>
      <c r="F606" t="inlineStr">
        <is>
          <t>Kyrkan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12893-2026</t>
        </is>
      </c>
      <c r="B607" s="1" t="n">
        <v>46092.55746527778</v>
      </c>
      <c r="C607" s="1" t="n">
        <v>46129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12891-2026</t>
        </is>
      </c>
      <c r="B608" s="1" t="n">
        <v>46092.55533564815</v>
      </c>
      <c r="C608" s="1" t="n">
        <v>46129</v>
      </c>
      <c r="D608" t="inlineStr">
        <is>
          <t>GÄVLEBORGS LÄN</t>
        </is>
      </c>
      <c r="E608" t="inlineStr">
        <is>
          <t>SANDVIKEN</t>
        </is>
      </c>
      <c r="F608" t="inlineStr">
        <is>
          <t>Naturvårdsverket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47895-2023</t>
        </is>
      </c>
      <c r="B609" s="1" t="n">
        <v>45204.49018518518</v>
      </c>
      <c r="C609" s="1" t="n">
        <v>46129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5574-2026</t>
        </is>
      </c>
      <c r="B610" s="1" t="n">
        <v>46051.26423611111</v>
      </c>
      <c r="C610" s="1" t="n">
        <v>46129</v>
      </c>
      <c r="D610" t="inlineStr">
        <is>
          <t>GÄVLEBORGS LÄN</t>
        </is>
      </c>
      <c r="E610" t="inlineStr">
        <is>
          <t>SANDVIKEN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12826-2026</t>
        </is>
      </c>
      <c r="B611" s="1" t="n">
        <v>46092.41623842593</v>
      </c>
      <c r="C611" s="1" t="n">
        <v>46129</v>
      </c>
      <c r="D611" t="inlineStr">
        <is>
          <t>GÄVLEBORGS LÄN</t>
        </is>
      </c>
      <c r="E611" t="inlineStr">
        <is>
          <t>SANDVIKEN</t>
        </is>
      </c>
      <c r="F611" t="inlineStr">
        <is>
          <t>Naturvårdsverket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4498-2024</t>
        </is>
      </c>
      <c r="B612" s="1" t="n">
        <v>45327.61053240741</v>
      </c>
      <c r="C612" s="1" t="n">
        <v>46129</v>
      </c>
      <c r="D612" t="inlineStr">
        <is>
          <t>GÄVLEBORGS LÄN</t>
        </is>
      </c>
      <c r="E612" t="inlineStr">
        <is>
          <t>SANDVIKEN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13245-2026</t>
        </is>
      </c>
      <c r="B613" s="1" t="n">
        <v>46093.65199074074</v>
      </c>
      <c r="C613" s="1" t="n">
        <v>46129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5755-2026</t>
        </is>
      </c>
      <c r="B614" s="1" t="n">
        <v>46051.60847222222</v>
      </c>
      <c r="C614" s="1" t="n">
        <v>46129</v>
      </c>
      <c r="D614" t="inlineStr">
        <is>
          <t>GÄVLEBORGS LÄN</t>
        </is>
      </c>
      <c r="E614" t="inlineStr">
        <is>
          <t>SANDVIKEN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13258-2026</t>
        </is>
      </c>
      <c r="B615" s="1" t="n">
        <v>46093.66875</v>
      </c>
      <c r="C615" s="1" t="n">
        <v>46129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13223-2026</t>
        </is>
      </c>
      <c r="B616" s="1" t="n">
        <v>46093.62607638889</v>
      </c>
      <c r="C616" s="1" t="n">
        <v>46129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6274-2026</t>
        </is>
      </c>
      <c r="B617" s="1" t="n">
        <v>46055.50892361111</v>
      </c>
      <c r="C617" s="1" t="n">
        <v>46129</v>
      </c>
      <c r="D617" t="inlineStr">
        <is>
          <t>GÄVLEBORGS LÄN</t>
        </is>
      </c>
      <c r="E617" t="inlineStr">
        <is>
          <t>SANDVIKEN</t>
        </is>
      </c>
      <c r="F617" t="inlineStr">
        <is>
          <t>Kommuner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6793-2026</t>
        </is>
      </c>
      <c r="B618" s="1" t="n">
        <v>46055</v>
      </c>
      <c r="C618" s="1" t="n">
        <v>46129</v>
      </c>
      <c r="D618" t="inlineStr">
        <is>
          <t>GÄVLEBORGS LÄN</t>
        </is>
      </c>
      <c r="E618" t="inlineStr">
        <is>
          <t>SANDVIKEN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1064-2026</t>
        </is>
      </c>
      <c r="B619" s="1" t="n">
        <v>46030</v>
      </c>
      <c r="C619" s="1" t="n">
        <v>46129</v>
      </c>
      <c r="D619" t="inlineStr">
        <is>
          <t>GÄVLEBORGS LÄN</t>
        </is>
      </c>
      <c r="E619" t="inlineStr">
        <is>
          <t>SANDVIKEN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13138-2026</t>
        </is>
      </c>
      <c r="B620" s="1" t="n">
        <v>46093</v>
      </c>
      <c r="C620" s="1" t="n">
        <v>46129</v>
      </c>
      <c r="D620" t="inlineStr">
        <is>
          <t>GÄVLEBORGS LÄN</t>
        </is>
      </c>
      <c r="E620" t="inlineStr">
        <is>
          <t>SANDVIKEN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13416-2026</t>
        </is>
      </c>
      <c r="B621" s="1" t="n">
        <v>46094.47206018519</v>
      </c>
      <c r="C621" s="1" t="n">
        <v>46129</v>
      </c>
      <c r="D621" t="inlineStr">
        <is>
          <t>GÄVLEBORGS LÄN</t>
        </is>
      </c>
      <c r="E621" t="inlineStr">
        <is>
          <t>SANDVIKEN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13581-2026</t>
        </is>
      </c>
      <c r="B622" s="1" t="n">
        <v>46095.7706712963</v>
      </c>
      <c r="C622" s="1" t="n">
        <v>46129</v>
      </c>
      <c r="D622" t="inlineStr">
        <is>
          <t>GÄVLEBORGS LÄN</t>
        </is>
      </c>
      <c r="E622" t="inlineStr">
        <is>
          <t>SANDVIKEN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13563-2026</t>
        </is>
      </c>
      <c r="B623" s="1" t="n">
        <v>46094.79508101852</v>
      </c>
      <c r="C623" s="1" t="n">
        <v>46129</v>
      </c>
      <c r="D623" t="inlineStr">
        <is>
          <t>GÄVLEBORGS LÄN</t>
        </is>
      </c>
      <c r="E623" t="inlineStr">
        <is>
          <t>SANDVIKEN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13576-2026</t>
        </is>
      </c>
      <c r="B624" s="1" t="n">
        <v>46095.75118055556</v>
      </c>
      <c r="C624" s="1" t="n">
        <v>46129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6311-2026</t>
        </is>
      </c>
      <c r="B625" s="1" t="n">
        <v>46055.57746527778</v>
      </c>
      <c r="C625" s="1" t="n">
        <v>46129</v>
      </c>
      <c r="D625" t="inlineStr">
        <is>
          <t>GÄVLEBORGS LÄN</t>
        </is>
      </c>
      <c r="E625" t="inlineStr">
        <is>
          <t>SANDVIKEN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61166-2022</t>
        </is>
      </c>
      <c r="B626" s="1" t="n">
        <v>44915.47952546296</v>
      </c>
      <c r="C626" s="1" t="n">
        <v>46129</v>
      </c>
      <c r="D626" t="inlineStr">
        <is>
          <t>GÄVLEBORGS LÄN</t>
        </is>
      </c>
      <c r="E626" t="inlineStr">
        <is>
          <t>SANDVIKEN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5964-2026</t>
        </is>
      </c>
      <c r="B627" s="1" t="n">
        <v>46052.51173611111</v>
      </c>
      <c r="C627" s="1" t="n">
        <v>46129</v>
      </c>
      <c r="D627" t="inlineStr">
        <is>
          <t>GÄVLEBORGS LÄN</t>
        </is>
      </c>
      <c r="E627" t="inlineStr">
        <is>
          <t>SANDVIKEN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6352-2026</t>
        </is>
      </c>
      <c r="B628" s="1" t="n">
        <v>46055.61150462963</v>
      </c>
      <c r="C628" s="1" t="n">
        <v>46129</v>
      </c>
      <c r="D628" t="inlineStr">
        <is>
          <t>GÄVLEBORGS LÄN</t>
        </is>
      </c>
      <c r="E628" t="inlineStr">
        <is>
          <t>SANDVIKEN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6357-2026</t>
        </is>
      </c>
      <c r="B629" s="1" t="n">
        <v>46055</v>
      </c>
      <c r="C629" s="1" t="n">
        <v>46129</v>
      </c>
      <c r="D629" t="inlineStr">
        <is>
          <t>GÄVLEBORGS LÄN</t>
        </is>
      </c>
      <c r="E629" t="inlineStr">
        <is>
          <t>SANDVIKEN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1417-2026</t>
        </is>
      </c>
      <c r="B630" s="1" t="n">
        <v>46031.72833333333</v>
      </c>
      <c r="C630" s="1" t="n">
        <v>46129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6078-2026</t>
        </is>
      </c>
      <c r="B631" s="1" t="n">
        <v>46052.66981481481</v>
      </c>
      <c r="C631" s="1" t="n">
        <v>46129</v>
      </c>
      <c r="D631" t="inlineStr">
        <is>
          <t>GÄVLEBORGS LÄN</t>
        </is>
      </c>
      <c r="E631" t="inlineStr">
        <is>
          <t>SANDVIKEN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6079-2026</t>
        </is>
      </c>
      <c r="B632" s="1" t="n">
        <v>46052.67086805555</v>
      </c>
      <c r="C632" s="1" t="n">
        <v>46129</v>
      </c>
      <c r="D632" t="inlineStr">
        <is>
          <t>GÄVLEBORGS LÄN</t>
        </is>
      </c>
      <c r="E632" t="inlineStr">
        <is>
          <t>SANDVIKEN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6101-2026</t>
        </is>
      </c>
      <c r="B633" s="1" t="n">
        <v>46052.84206018518</v>
      </c>
      <c r="C633" s="1" t="n">
        <v>46129</v>
      </c>
      <c r="D633" t="inlineStr">
        <is>
          <t>GÄVLEBORGS LÄN</t>
        </is>
      </c>
      <c r="E633" t="inlineStr">
        <is>
          <t>SANDVIKEN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5992-2026</t>
        </is>
      </c>
      <c r="B634" s="1" t="n">
        <v>46052.56912037037</v>
      </c>
      <c r="C634" s="1" t="n">
        <v>46129</v>
      </c>
      <c r="D634" t="inlineStr">
        <is>
          <t>GÄVLEBORGS LÄN</t>
        </is>
      </c>
      <c r="E634" t="inlineStr">
        <is>
          <t>SANDVIKEN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6014-2026</t>
        </is>
      </c>
      <c r="B635" s="1" t="n">
        <v>46052.59991898148</v>
      </c>
      <c r="C635" s="1" t="n">
        <v>46129</v>
      </c>
      <c r="D635" t="inlineStr">
        <is>
          <t>GÄVLEBORGS LÄN</t>
        </is>
      </c>
      <c r="E635" t="inlineStr">
        <is>
          <t>SANDVIKEN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13577-2026</t>
        </is>
      </c>
      <c r="B636" s="1" t="n">
        <v>46095.75635416667</v>
      </c>
      <c r="C636" s="1" t="n">
        <v>46129</v>
      </c>
      <c r="D636" t="inlineStr">
        <is>
          <t>GÄVLEBORGS LÄN</t>
        </is>
      </c>
      <c r="E636" t="inlineStr">
        <is>
          <t>SANDVIKEN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13580-2026</t>
        </is>
      </c>
      <c r="B637" s="1" t="n">
        <v>46095.76854166666</v>
      </c>
      <c r="C637" s="1" t="n">
        <v>46129</v>
      </c>
      <c r="D637" t="inlineStr">
        <is>
          <t>GÄVLEBORGS LÄN</t>
        </is>
      </c>
      <c r="E637" t="inlineStr">
        <is>
          <t>SANDVIKEN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13586-2026</t>
        </is>
      </c>
      <c r="B638" s="1" t="n">
        <v>46095.78555555556</v>
      </c>
      <c r="C638" s="1" t="n">
        <v>46129</v>
      </c>
      <c r="D638" t="inlineStr">
        <is>
          <t>GÄVLEBORGS LÄN</t>
        </is>
      </c>
      <c r="E638" t="inlineStr">
        <is>
          <t>SANDVIKEN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13431-2026</t>
        </is>
      </c>
      <c r="B639" s="1" t="n">
        <v>46094.48584490741</v>
      </c>
      <c r="C639" s="1" t="n">
        <v>46129</v>
      </c>
      <c r="D639" t="inlineStr">
        <is>
          <t>GÄVLEBORGS LÄN</t>
        </is>
      </c>
      <c r="E639" t="inlineStr">
        <is>
          <t>SANDVIKEN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17411-2025</t>
        </is>
      </c>
      <c r="B640" s="1" t="n">
        <v>45757.37238425926</v>
      </c>
      <c r="C640" s="1" t="n">
        <v>46129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13605-2026</t>
        </is>
      </c>
      <c r="B641" s="1" t="n">
        <v>46097.3280787037</v>
      </c>
      <c r="C641" s="1" t="n">
        <v>46129</v>
      </c>
      <c r="D641" t="inlineStr">
        <is>
          <t>GÄVLEBORGS LÄN</t>
        </is>
      </c>
      <c r="E641" t="inlineStr">
        <is>
          <t>SANDVIKEN</t>
        </is>
      </c>
      <c r="F641" t="inlineStr">
        <is>
          <t>Kommuner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3833-2024</t>
        </is>
      </c>
      <c r="B642" s="1" t="n">
        <v>45321</v>
      </c>
      <c r="C642" s="1" t="n">
        <v>46129</v>
      </c>
      <c r="D642" t="inlineStr">
        <is>
          <t>GÄVLEBORGS LÄN</t>
        </is>
      </c>
      <c r="E642" t="inlineStr">
        <is>
          <t>SANDVIKEN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13584-2026</t>
        </is>
      </c>
      <c r="B643" s="1" t="n">
        <v>46095.78130787037</v>
      </c>
      <c r="C643" s="1" t="n">
        <v>46129</v>
      </c>
      <c r="D643" t="inlineStr">
        <is>
          <t>GÄVLEBORGS LÄN</t>
        </is>
      </c>
      <c r="E643" t="inlineStr">
        <is>
          <t>SANDVIKEN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13585-2026</t>
        </is>
      </c>
      <c r="B644" s="1" t="n">
        <v>46095.78416666666</v>
      </c>
      <c r="C644" s="1" t="n">
        <v>46129</v>
      </c>
      <c r="D644" t="inlineStr">
        <is>
          <t>GÄVLEBORGS LÄN</t>
        </is>
      </c>
      <c r="E644" t="inlineStr">
        <is>
          <t>SANDVIKEN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6263-2026</t>
        </is>
      </c>
      <c r="B645" s="1" t="n">
        <v>46055.48414351852</v>
      </c>
      <c r="C645" s="1" t="n">
        <v>46129</v>
      </c>
      <c r="D645" t="inlineStr">
        <is>
          <t>GÄVLEBORGS LÄN</t>
        </is>
      </c>
      <c r="E645" t="inlineStr">
        <is>
          <t>SANDVIKEN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62459-2023</t>
        </is>
      </c>
      <c r="B646" s="1" t="n">
        <v>45268.51590277778</v>
      </c>
      <c r="C646" s="1" t="n">
        <v>46129</v>
      </c>
      <c r="D646" t="inlineStr">
        <is>
          <t>GÄVLEBORGS LÄN</t>
        </is>
      </c>
      <c r="E646" t="inlineStr">
        <is>
          <t>SANDVIKEN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6426-2026</t>
        </is>
      </c>
      <c r="B647" s="1" t="n">
        <v>46055.71621527777</v>
      </c>
      <c r="C647" s="1" t="n">
        <v>46129</v>
      </c>
      <c r="D647" t="inlineStr">
        <is>
          <t>GÄVLEBORGS LÄN</t>
        </is>
      </c>
      <c r="E647" t="inlineStr">
        <is>
          <t>SANDVIKEN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13645-2026</t>
        </is>
      </c>
      <c r="B648" s="1" t="n">
        <v>46097.42291666667</v>
      </c>
      <c r="C648" s="1" t="n">
        <v>46129</v>
      </c>
      <c r="D648" t="inlineStr">
        <is>
          <t>GÄVLEBORGS LÄN</t>
        </is>
      </c>
      <c r="E648" t="inlineStr">
        <is>
          <t>SANDVIKEN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13642-2026</t>
        </is>
      </c>
      <c r="B649" s="1" t="n">
        <v>46097.41203703704</v>
      </c>
      <c r="C649" s="1" t="n">
        <v>46129</v>
      </c>
      <c r="D649" t="inlineStr">
        <is>
          <t>GÄVLEBORGS LÄN</t>
        </is>
      </c>
      <c r="E649" t="inlineStr">
        <is>
          <t>SANDVIKEN</t>
        </is>
      </c>
      <c r="F649" t="inlineStr">
        <is>
          <t>Kommuner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5986-2026</t>
        </is>
      </c>
      <c r="B650" s="1" t="n">
        <v>46052.56048611111</v>
      </c>
      <c r="C650" s="1" t="n">
        <v>46129</v>
      </c>
      <c r="D650" t="inlineStr">
        <is>
          <t>GÄVLEBORGS LÄN</t>
        </is>
      </c>
      <c r="E650" t="inlineStr">
        <is>
          <t>SANDVIKEN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6100-2026</t>
        </is>
      </c>
      <c r="B651" s="1" t="n">
        <v>46052.84039351852</v>
      </c>
      <c r="C651" s="1" t="n">
        <v>46129</v>
      </c>
      <c r="D651" t="inlineStr">
        <is>
          <t>GÄVLEBORGS LÄN</t>
        </is>
      </c>
      <c r="E651" t="inlineStr">
        <is>
          <t>SANDVIKEN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13707-2026</t>
        </is>
      </c>
      <c r="B652" s="1" t="n">
        <v>46097.57493055556</v>
      </c>
      <c r="C652" s="1" t="n">
        <v>46129</v>
      </c>
      <c r="D652" t="inlineStr">
        <is>
          <t>GÄVLEBORGS LÄN</t>
        </is>
      </c>
      <c r="E652" t="inlineStr">
        <is>
          <t>SANDVIKEN</t>
        </is>
      </c>
      <c r="F652" t="inlineStr">
        <is>
          <t>Kommuner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13582-2026</t>
        </is>
      </c>
      <c r="B653" s="1" t="n">
        <v>46095.77765046297</v>
      </c>
      <c r="C653" s="1" t="n">
        <v>46129</v>
      </c>
      <c r="D653" t="inlineStr">
        <is>
          <t>GÄVLEBORGS LÄN</t>
        </is>
      </c>
      <c r="E653" t="inlineStr">
        <is>
          <t>SANDVIKEN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13583-2026</t>
        </is>
      </c>
      <c r="B654" s="1" t="n">
        <v>46095.77950231481</v>
      </c>
      <c r="C654" s="1" t="n">
        <v>46129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5932-2026</t>
        </is>
      </c>
      <c r="B655" s="1" t="n">
        <v>46052.47049768519</v>
      </c>
      <c r="C655" s="1" t="n">
        <v>46129</v>
      </c>
      <c r="D655" t="inlineStr">
        <is>
          <t>GÄVLEBORGS LÄN</t>
        </is>
      </c>
      <c r="E655" t="inlineStr">
        <is>
          <t>SANDVIKEN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6227-2026</t>
        </is>
      </c>
      <c r="B656" s="1" t="n">
        <v>46055.44311342593</v>
      </c>
      <c r="C656" s="1" t="n">
        <v>46129</v>
      </c>
      <c r="D656" t="inlineStr">
        <is>
          <t>GÄVLEBORGS LÄN</t>
        </is>
      </c>
      <c r="E656" t="inlineStr">
        <is>
          <t>SANDVIKEN</t>
        </is>
      </c>
      <c r="F656" t="inlineStr">
        <is>
          <t>Kommuner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5960-2026</t>
        </is>
      </c>
      <c r="B657" s="1" t="n">
        <v>46052.50662037037</v>
      </c>
      <c r="C657" s="1" t="n">
        <v>46129</v>
      </c>
      <c r="D657" t="inlineStr">
        <is>
          <t>GÄVLEBORGS LÄN</t>
        </is>
      </c>
      <c r="E657" t="inlineStr">
        <is>
          <t>SANDVIKEN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13727-2026</t>
        </is>
      </c>
      <c r="B658" s="1" t="n">
        <v>46097.61710648148</v>
      </c>
      <c r="C658" s="1" t="n">
        <v>46129</v>
      </c>
      <c r="D658" t="inlineStr">
        <is>
          <t>GÄVLEBORGS LÄN</t>
        </is>
      </c>
      <c r="E658" t="inlineStr">
        <is>
          <t>SANDVIKEN</t>
        </is>
      </c>
      <c r="F658" t="inlineStr">
        <is>
          <t>Kommuner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6481-2026</t>
        </is>
      </c>
      <c r="B659" s="1" t="n">
        <v>46056</v>
      </c>
      <c r="C659" s="1" t="n">
        <v>46129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6495-2026</t>
        </is>
      </c>
      <c r="B660" s="1" t="n">
        <v>46056.36020833333</v>
      </c>
      <c r="C660" s="1" t="n">
        <v>46129</v>
      </c>
      <c r="D660" t="inlineStr">
        <is>
          <t>GÄVLEBORGS LÄN</t>
        </is>
      </c>
      <c r="E660" t="inlineStr">
        <is>
          <t>SANDVIKEN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6651-2026</t>
        </is>
      </c>
      <c r="B661" s="1" t="n">
        <v>46056</v>
      </c>
      <c r="C661" s="1" t="n">
        <v>46129</v>
      </c>
      <c r="D661" t="inlineStr">
        <is>
          <t>GÄVLEBORGS LÄN</t>
        </is>
      </c>
      <c r="E661" t="inlineStr">
        <is>
          <t>SANDVIKEN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6478-2026</t>
        </is>
      </c>
      <c r="B662" s="1" t="n">
        <v>46056.33429398148</v>
      </c>
      <c r="C662" s="1" t="n">
        <v>46129</v>
      </c>
      <c r="D662" t="inlineStr">
        <is>
          <t>GÄVLEBORGS LÄN</t>
        </is>
      </c>
      <c r="E662" t="inlineStr">
        <is>
          <t>SANDVIKEN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6498-2026</t>
        </is>
      </c>
      <c r="B663" s="1" t="n">
        <v>46056.36636574074</v>
      </c>
      <c r="C663" s="1" t="n">
        <v>46129</v>
      </c>
      <c r="D663" t="inlineStr">
        <is>
          <t>GÄVLEBORGS LÄN</t>
        </is>
      </c>
      <c r="E663" t="inlineStr">
        <is>
          <t>SANDVIKEN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12704-2026</t>
        </is>
      </c>
      <c r="B664" s="1" t="n">
        <v>46091</v>
      </c>
      <c r="C664" s="1" t="n">
        <v>46129</v>
      </c>
      <c r="D664" t="inlineStr">
        <is>
          <t>GÄVLEBORGS LÄN</t>
        </is>
      </c>
      <c r="E664" t="inlineStr">
        <is>
          <t>SANDVIKEN</t>
        </is>
      </c>
      <c r="F664" t="inlineStr">
        <is>
          <t>Sveaskog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14263-2026</t>
        </is>
      </c>
      <c r="B665" s="1" t="n">
        <v>46099.63784722222</v>
      </c>
      <c r="C665" s="1" t="n">
        <v>46129</v>
      </c>
      <c r="D665" t="inlineStr">
        <is>
          <t>GÄVLEBORGS LÄN</t>
        </is>
      </c>
      <c r="E665" t="inlineStr">
        <is>
          <t>SANDVIKEN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6956-2026</t>
        </is>
      </c>
      <c r="B666" s="1" t="n">
        <v>46057</v>
      </c>
      <c r="C666" s="1" t="n">
        <v>46129</v>
      </c>
      <c r="D666" t="inlineStr">
        <is>
          <t>GÄVLEBORGS LÄN</t>
        </is>
      </c>
      <c r="E666" t="inlineStr">
        <is>
          <t>SANDVIKEN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7051-2026</t>
        </is>
      </c>
      <c r="B667" s="1" t="n">
        <v>46057</v>
      </c>
      <c r="C667" s="1" t="n">
        <v>46129</v>
      </c>
      <c r="D667" t="inlineStr">
        <is>
          <t>GÄVLEBORGS LÄN</t>
        </is>
      </c>
      <c r="E667" t="inlineStr">
        <is>
          <t>SANDVIKEN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13133-2026</t>
        </is>
      </c>
      <c r="B668" s="1" t="n">
        <v>46093</v>
      </c>
      <c r="C668" s="1" t="n">
        <v>46129</v>
      </c>
      <c r="D668" t="inlineStr">
        <is>
          <t>GÄVLEBORGS LÄN</t>
        </is>
      </c>
      <c r="E668" t="inlineStr">
        <is>
          <t>SANDVIKEN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36660-2023</t>
        </is>
      </c>
      <c r="B669" s="1" t="n">
        <v>45153.57439814815</v>
      </c>
      <c r="C669" s="1" t="n">
        <v>46129</v>
      </c>
      <c r="D669" t="inlineStr">
        <is>
          <t>GÄVLEBORGS LÄN</t>
        </is>
      </c>
      <c r="E669" t="inlineStr">
        <is>
          <t>SANDVIKEN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13966-2026</t>
        </is>
      </c>
      <c r="B670" s="1" t="n">
        <v>46098.57547453704</v>
      </c>
      <c r="C670" s="1" t="n">
        <v>46129</v>
      </c>
      <c r="D670" t="inlineStr">
        <is>
          <t>GÄVLEBORGS LÄN</t>
        </is>
      </c>
      <c r="E670" t="inlineStr">
        <is>
          <t>SANDVIKEN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7009-2026</t>
        </is>
      </c>
      <c r="B671" s="1" t="n">
        <v>46057.63962962963</v>
      </c>
      <c r="C671" s="1" t="n">
        <v>46129</v>
      </c>
      <c r="D671" t="inlineStr">
        <is>
          <t>GÄVLEBORGS LÄN</t>
        </is>
      </c>
      <c r="E671" t="inlineStr">
        <is>
          <t>SANDVIKEN</t>
        </is>
      </c>
      <c r="F671" t="inlineStr">
        <is>
          <t>Naturvårdsverket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6972-2026</t>
        </is>
      </c>
      <c r="B672" s="1" t="n">
        <v>46057.59275462963</v>
      </c>
      <c r="C672" s="1" t="n">
        <v>46129</v>
      </c>
      <c r="D672" t="inlineStr">
        <is>
          <t>GÄVLEBORGS LÄN</t>
        </is>
      </c>
      <c r="E672" t="inlineStr">
        <is>
          <t>SANDVIKEN</t>
        </is>
      </c>
      <c r="F672" t="inlineStr">
        <is>
          <t>Naturvårdsverket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5949-2026</t>
        </is>
      </c>
      <c r="B673" s="1" t="n">
        <v>46052</v>
      </c>
      <c r="C673" s="1" t="n">
        <v>46129</v>
      </c>
      <c r="D673" t="inlineStr">
        <is>
          <t>GÄVLEBORGS LÄN</t>
        </is>
      </c>
      <c r="E673" t="inlineStr">
        <is>
          <t>SANDVIKEN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13866-2026</t>
        </is>
      </c>
      <c r="B674" s="1" t="n">
        <v>46098.4172337963</v>
      </c>
      <c r="C674" s="1" t="n">
        <v>46129</v>
      </c>
      <c r="D674" t="inlineStr">
        <is>
          <t>GÄVLEBORGS LÄN</t>
        </is>
      </c>
      <c r="E674" t="inlineStr">
        <is>
          <t>SANDVIKEN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23289-2024</t>
        </is>
      </c>
      <c r="B675" s="1" t="n">
        <v>45453.42105324074</v>
      </c>
      <c r="C675" s="1" t="n">
        <v>46129</v>
      </c>
      <c r="D675" t="inlineStr">
        <is>
          <t>GÄVLEBORGS LÄN</t>
        </is>
      </c>
      <c r="E675" t="inlineStr">
        <is>
          <t>SANDVIKEN</t>
        </is>
      </c>
      <c r="F675" t="inlineStr">
        <is>
          <t>Kyrkan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3694-2026</t>
        </is>
      </c>
      <c r="B676" s="1" t="n">
        <v>46043</v>
      </c>
      <c r="C676" s="1" t="n">
        <v>46129</v>
      </c>
      <c r="D676" t="inlineStr">
        <is>
          <t>GÄVLEBORGS LÄN</t>
        </is>
      </c>
      <c r="E676" t="inlineStr">
        <is>
          <t>SANDVIKEN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14219-2026</t>
        </is>
      </c>
      <c r="B677" s="1" t="n">
        <v>46099.57086805555</v>
      </c>
      <c r="C677" s="1" t="n">
        <v>46129</v>
      </c>
      <c r="D677" t="inlineStr">
        <is>
          <t>GÄVLEBORGS LÄN</t>
        </is>
      </c>
      <c r="E677" t="inlineStr">
        <is>
          <t>SANDVIKEN</t>
        </is>
      </c>
      <c r="F677" t="inlineStr">
        <is>
          <t>Bergvik skog öst AB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14237-2026</t>
        </is>
      </c>
      <c r="B678" s="1" t="n">
        <v>46099.59840277778</v>
      </c>
      <c r="C678" s="1" t="n">
        <v>46129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6576-2026</t>
        </is>
      </c>
      <c r="B679" s="1" t="n">
        <v>46056.4489699074</v>
      </c>
      <c r="C679" s="1" t="n">
        <v>46129</v>
      </c>
      <c r="D679" t="inlineStr">
        <is>
          <t>GÄVLEBORGS LÄN</t>
        </is>
      </c>
      <c r="E679" t="inlineStr">
        <is>
          <t>SANDVIKEN</t>
        </is>
      </c>
      <c r="F679" t="inlineStr">
        <is>
          <t>Kommuner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6471-2026</t>
        </is>
      </c>
      <c r="B680" s="1" t="n">
        <v>46056.32709490741</v>
      </c>
      <c r="C680" s="1" t="n">
        <v>46129</v>
      </c>
      <c r="D680" t="inlineStr">
        <is>
          <t>GÄVLEBORGS LÄN</t>
        </is>
      </c>
      <c r="E680" t="inlineStr">
        <is>
          <t>SANDVIKEN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6480-2026</t>
        </is>
      </c>
      <c r="B681" s="1" t="n">
        <v>46056.33554398148</v>
      </c>
      <c r="C681" s="1" t="n">
        <v>46129</v>
      </c>
      <c r="D681" t="inlineStr">
        <is>
          <t>GÄVLEBORGS LÄN</t>
        </is>
      </c>
      <c r="E681" t="inlineStr">
        <is>
          <t>SANDVIKEN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49209-2024</t>
        </is>
      </c>
      <c r="B682" s="1" t="n">
        <v>45595.37880787037</v>
      </c>
      <c r="C682" s="1" t="n">
        <v>46129</v>
      </c>
      <c r="D682" t="inlineStr">
        <is>
          <t>GÄVLEBORGS LÄN</t>
        </is>
      </c>
      <c r="E682" t="inlineStr">
        <is>
          <t>SANDVIKEN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6555-2026</t>
        </is>
      </c>
      <c r="B683" s="1" t="n">
        <v>46056.4308912037</v>
      </c>
      <c r="C683" s="1" t="n">
        <v>46129</v>
      </c>
      <c r="D683" t="inlineStr">
        <is>
          <t>GÄVLEBORGS LÄN</t>
        </is>
      </c>
      <c r="E683" t="inlineStr">
        <is>
          <t>SANDVIKEN</t>
        </is>
      </c>
      <c r="F683" t="inlineStr">
        <is>
          <t>Kommuner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14240-2026</t>
        </is>
      </c>
      <c r="B684" s="1" t="n">
        <v>46099.6</v>
      </c>
      <c r="C684" s="1" t="n">
        <v>46129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3690-2026</t>
        </is>
      </c>
      <c r="B685" s="1" t="n">
        <v>46043</v>
      </c>
      <c r="C685" s="1" t="n">
        <v>46129</v>
      </c>
      <c r="D685" t="inlineStr">
        <is>
          <t>GÄVLEBORGS LÄN</t>
        </is>
      </c>
      <c r="E685" t="inlineStr">
        <is>
          <t>SANDVIKEN</t>
        </is>
      </c>
      <c r="G685" t="n">
        <v>10.2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6108-2026</t>
        </is>
      </c>
      <c r="B686" s="1" t="n">
        <v>46053.2815162037</v>
      </c>
      <c r="C686" s="1" t="n">
        <v>46129</v>
      </c>
      <c r="D686" t="inlineStr">
        <is>
          <t>GÄVLEBORGS LÄN</t>
        </is>
      </c>
      <c r="E686" t="inlineStr">
        <is>
          <t>SANDVIKEN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14257-2026</t>
        </is>
      </c>
      <c r="B687" s="1" t="n">
        <v>46099.62912037037</v>
      </c>
      <c r="C687" s="1" t="n">
        <v>46129</v>
      </c>
      <c r="D687" t="inlineStr">
        <is>
          <t>GÄVLEBORGS LÄN</t>
        </is>
      </c>
      <c r="E687" t="inlineStr">
        <is>
          <t>SANDVIKEN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14192-2026</t>
        </is>
      </c>
      <c r="B688" s="1" t="n">
        <v>46099.53229166667</v>
      </c>
      <c r="C688" s="1" t="n">
        <v>46129</v>
      </c>
      <c r="D688" t="inlineStr">
        <is>
          <t>GÄVLEBORGS LÄN</t>
        </is>
      </c>
      <c r="E688" t="inlineStr">
        <is>
          <t>SANDVIKEN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14649-2026</t>
        </is>
      </c>
      <c r="B689" s="1" t="n">
        <v>46101.42608796297</v>
      </c>
      <c r="C689" s="1" t="n">
        <v>46129</v>
      </c>
      <c r="D689" t="inlineStr">
        <is>
          <t>GÄVLEBORGS LÄN</t>
        </is>
      </c>
      <c r="E689" t="inlineStr">
        <is>
          <t>SANDVIKEN</t>
        </is>
      </c>
      <c r="F689" t="inlineStr">
        <is>
          <t>Kommuner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14663-2026</t>
        </is>
      </c>
      <c r="B690" s="1" t="n">
        <v>46101.44621527778</v>
      </c>
      <c r="C690" s="1" t="n">
        <v>46129</v>
      </c>
      <c r="D690" t="inlineStr">
        <is>
          <t>GÄVLEBORGS LÄN</t>
        </is>
      </c>
      <c r="E690" t="inlineStr">
        <is>
          <t>SANDVIKEN</t>
        </is>
      </c>
      <c r="F690" t="inlineStr">
        <is>
          <t>Kommuner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45989-2023</t>
        </is>
      </c>
      <c r="B691" s="1" t="n">
        <v>45196.31804398148</v>
      </c>
      <c r="C691" s="1" t="n">
        <v>46129</v>
      </c>
      <c r="D691" t="inlineStr">
        <is>
          <t>GÄVLEBORGS LÄN</t>
        </is>
      </c>
      <c r="E691" t="inlineStr">
        <is>
          <t>SANDVIKEN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14327-2026</t>
        </is>
      </c>
      <c r="B692" s="1" t="n">
        <v>46100.275625</v>
      </c>
      <c r="C692" s="1" t="n">
        <v>46129</v>
      </c>
      <c r="D692" t="inlineStr">
        <is>
          <t>GÄVLEBORGS LÄN</t>
        </is>
      </c>
      <c r="E692" t="inlineStr">
        <is>
          <t>SANDVIKEN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14330-2026</t>
        </is>
      </c>
      <c r="B693" s="1" t="n">
        <v>46100.28140046296</v>
      </c>
      <c r="C693" s="1" t="n">
        <v>46129</v>
      </c>
      <c r="D693" t="inlineStr">
        <is>
          <t>GÄVLEBORGS LÄN</t>
        </is>
      </c>
      <c r="E693" t="inlineStr">
        <is>
          <t>SANDVIKEN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7346-2026</t>
        </is>
      </c>
      <c r="B694" s="1" t="n">
        <v>46058.90762731482</v>
      </c>
      <c r="C694" s="1" t="n">
        <v>46129</v>
      </c>
      <c r="D694" t="inlineStr">
        <is>
          <t>GÄVLEBORGS LÄN</t>
        </is>
      </c>
      <c r="E694" t="inlineStr">
        <is>
          <t>SANDVIKEN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7347-2026</t>
        </is>
      </c>
      <c r="B695" s="1" t="n">
        <v>46058.90876157407</v>
      </c>
      <c r="C695" s="1" t="n">
        <v>46129</v>
      </c>
      <c r="D695" t="inlineStr">
        <is>
          <t>GÄVLEBORGS LÄN</t>
        </is>
      </c>
      <c r="E695" t="inlineStr">
        <is>
          <t>SANDVIKEN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7348-2026</t>
        </is>
      </c>
      <c r="B696" s="1" t="n">
        <v>46058.9102199074</v>
      </c>
      <c r="C696" s="1" t="n">
        <v>46129</v>
      </c>
      <c r="D696" t="inlineStr">
        <is>
          <t>GÄVLEBORGS LÄN</t>
        </is>
      </c>
      <c r="E696" t="inlineStr">
        <is>
          <t>SANDVIKEN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7119-2026</t>
        </is>
      </c>
      <c r="B697" s="1" t="n">
        <v>46058.37984953704</v>
      </c>
      <c r="C697" s="1" t="n">
        <v>46129</v>
      </c>
      <c r="D697" t="inlineStr">
        <is>
          <t>GÄVLEBORGS LÄN</t>
        </is>
      </c>
      <c r="E697" t="inlineStr">
        <is>
          <t>SANDVIKEN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14676-2026</t>
        </is>
      </c>
      <c r="B698" s="1" t="n">
        <v>46101.47144675926</v>
      </c>
      <c r="C698" s="1" t="n">
        <v>46129</v>
      </c>
      <c r="D698" t="inlineStr">
        <is>
          <t>GÄVLEBORGS LÄN</t>
        </is>
      </c>
      <c r="E698" t="inlineStr">
        <is>
          <t>SANDVIKEN</t>
        </is>
      </c>
      <c r="F698" t="inlineStr">
        <is>
          <t>Kommuner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13467-2026</t>
        </is>
      </c>
      <c r="B699" s="1" t="n">
        <v>46094</v>
      </c>
      <c r="C699" s="1" t="n">
        <v>46129</v>
      </c>
      <c r="D699" t="inlineStr">
        <is>
          <t>GÄVLEBORGS LÄN</t>
        </is>
      </c>
      <c r="E699" t="inlineStr">
        <is>
          <t>SANDVIKEN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12696-2026</t>
        </is>
      </c>
      <c r="B700" s="1" t="n">
        <v>46091</v>
      </c>
      <c r="C700" s="1" t="n">
        <v>46129</v>
      </c>
      <c r="D700" t="inlineStr">
        <is>
          <t>GÄVLEBORGS LÄN</t>
        </is>
      </c>
      <c r="E700" t="inlineStr">
        <is>
          <t>SANDVIKEN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65098-2023</t>
        </is>
      </c>
      <c r="B701" s="1" t="n">
        <v>45288.41835648148</v>
      </c>
      <c r="C701" s="1" t="n">
        <v>46129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35185-2022</t>
        </is>
      </c>
      <c r="B702" s="1" t="n">
        <v>44797.63806712963</v>
      </c>
      <c r="C702" s="1" t="n">
        <v>46129</v>
      </c>
      <c r="D702" t="inlineStr">
        <is>
          <t>GÄVLEBORGS LÄN</t>
        </is>
      </c>
      <c r="E702" t="inlineStr">
        <is>
          <t>SANDVIKEN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7096-2026</t>
        </is>
      </c>
      <c r="B703" s="1" t="n">
        <v>46058.35065972222</v>
      </c>
      <c r="C703" s="1" t="n">
        <v>46129</v>
      </c>
      <c r="D703" t="inlineStr">
        <is>
          <t>GÄVLEBORGS LÄN</t>
        </is>
      </c>
      <c r="E703" t="inlineStr">
        <is>
          <t>SANDVIKEN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61052-2024</t>
        </is>
      </c>
      <c r="B704" s="1" t="n">
        <v>45645.48365740741</v>
      </c>
      <c r="C704" s="1" t="n">
        <v>46129</v>
      </c>
      <c r="D704" t="inlineStr">
        <is>
          <t>GÄVLEBORGS LÄN</t>
        </is>
      </c>
      <c r="E704" t="inlineStr">
        <is>
          <t>SANDVIKEN</t>
        </is>
      </c>
      <c r="F704" t="inlineStr">
        <is>
          <t>Naturvårdsverket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7343-2026</t>
        </is>
      </c>
      <c r="B705" s="1" t="n">
        <v>46058.89818287037</v>
      </c>
      <c r="C705" s="1" t="n">
        <v>46129</v>
      </c>
      <c r="D705" t="inlineStr">
        <is>
          <t>GÄVLEBORGS LÄN</t>
        </is>
      </c>
      <c r="E705" t="inlineStr">
        <is>
          <t>SANDVIKEN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7350-2026</t>
        </is>
      </c>
      <c r="B706" s="1" t="n">
        <v>46058</v>
      </c>
      <c r="C706" s="1" t="n">
        <v>46129</v>
      </c>
      <c r="D706" t="inlineStr">
        <is>
          <t>GÄVLEBORGS LÄN</t>
        </is>
      </c>
      <c r="E706" t="inlineStr">
        <is>
          <t>SANDVIKEN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7500-2026</t>
        </is>
      </c>
      <c r="B707" s="1" t="n">
        <v>46059.55956018518</v>
      </c>
      <c r="C707" s="1" t="n">
        <v>46129</v>
      </c>
      <c r="D707" t="inlineStr">
        <is>
          <t>GÄVLEBORGS LÄN</t>
        </is>
      </c>
      <c r="E707" t="inlineStr">
        <is>
          <t>SANDVIKEN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7502-2026</t>
        </is>
      </c>
      <c r="B708" s="1" t="n">
        <v>46059.56504629629</v>
      </c>
      <c r="C708" s="1" t="n">
        <v>46129</v>
      </c>
      <c r="D708" t="inlineStr">
        <is>
          <t>GÄVLEBORGS LÄN</t>
        </is>
      </c>
      <c r="E708" t="inlineStr">
        <is>
          <t>SANDVIKEN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52785-2023</t>
        </is>
      </c>
      <c r="B709" s="1" t="n">
        <v>45226.34331018518</v>
      </c>
      <c r="C709" s="1" t="n">
        <v>46129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7352-2026</t>
        </is>
      </c>
      <c r="B710" s="1" t="n">
        <v>46058</v>
      </c>
      <c r="C710" s="1" t="n">
        <v>46129</v>
      </c>
      <c r="D710" t="inlineStr">
        <is>
          <t>GÄVLEBORGS LÄN</t>
        </is>
      </c>
      <c r="E710" t="inlineStr">
        <is>
          <t>SANDVIKEN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7360-2026</t>
        </is>
      </c>
      <c r="B711" s="1" t="n">
        <v>46058.7768287037</v>
      </c>
      <c r="C711" s="1" t="n">
        <v>46129</v>
      </c>
      <c r="D711" t="inlineStr">
        <is>
          <t>GÄVLEBORGS LÄN</t>
        </is>
      </c>
      <c r="E711" t="inlineStr">
        <is>
          <t>SANDVIKEN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15351-2025</t>
        </is>
      </c>
      <c r="B712" s="1" t="n">
        <v>45747.38331018519</v>
      </c>
      <c r="C712" s="1" t="n">
        <v>46129</v>
      </c>
      <c r="D712" t="inlineStr">
        <is>
          <t>GÄVLEBORGS LÄN</t>
        </is>
      </c>
      <c r="E712" t="inlineStr">
        <is>
          <t>SANDVIKEN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13108-2026</t>
        </is>
      </c>
      <c r="B713" s="1" t="n">
        <v>46093.4255324074</v>
      </c>
      <c r="C713" s="1" t="n">
        <v>46129</v>
      </c>
      <c r="D713" t="inlineStr">
        <is>
          <t>GÄVLEBORGS LÄN</t>
        </is>
      </c>
      <c r="E713" t="inlineStr">
        <is>
          <t>SANDVIKEN</t>
        </is>
      </c>
      <c r="G713" t="n">
        <v>22.5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7349-2026</t>
        </is>
      </c>
      <c r="B714" s="1" t="n">
        <v>46058</v>
      </c>
      <c r="C714" s="1" t="n">
        <v>46129</v>
      </c>
      <c r="D714" t="inlineStr">
        <is>
          <t>GÄVLEBORGS LÄN</t>
        </is>
      </c>
      <c r="E714" t="inlineStr">
        <is>
          <t>SANDVIKEN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14044-2026</t>
        </is>
      </c>
      <c r="B715" s="1" t="n">
        <v>46098</v>
      </c>
      <c r="C715" s="1" t="n">
        <v>46129</v>
      </c>
      <c r="D715" t="inlineStr">
        <is>
          <t>GÄVLEBORGS LÄN</t>
        </is>
      </c>
      <c r="E715" t="inlineStr">
        <is>
          <t>SANDVIKEN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14331-2026</t>
        </is>
      </c>
      <c r="B716" s="1" t="n">
        <v>46100.28875</v>
      </c>
      <c r="C716" s="1" t="n">
        <v>46129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14334-2026</t>
        </is>
      </c>
      <c r="B717" s="1" t="n">
        <v>46100.30134259259</v>
      </c>
      <c r="C717" s="1" t="n">
        <v>46129</v>
      </c>
      <c r="D717" t="inlineStr">
        <is>
          <t>GÄVLEBORGS LÄN</t>
        </is>
      </c>
      <c r="E717" t="inlineStr">
        <is>
          <t>SANDVIKEN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14144-2025</t>
        </is>
      </c>
      <c r="B718" s="1" t="n">
        <v>45740.48634259259</v>
      </c>
      <c r="C718" s="1" t="n">
        <v>46129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7038-2025</t>
        </is>
      </c>
      <c r="B719" s="1" t="n">
        <v>45701.63686342593</v>
      </c>
      <c r="C719" s="1" t="n">
        <v>46129</v>
      </c>
      <c r="D719" t="inlineStr">
        <is>
          <t>GÄVLEBORGS LÄN</t>
        </is>
      </c>
      <c r="E719" t="inlineStr">
        <is>
          <t>SANDVIKEN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7344-2026</t>
        </is>
      </c>
      <c r="B720" s="1" t="n">
        <v>46058.90265046297</v>
      </c>
      <c r="C720" s="1" t="n">
        <v>46129</v>
      </c>
      <c r="D720" t="inlineStr">
        <is>
          <t>GÄVLEBORGS LÄN</t>
        </is>
      </c>
      <c r="E720" t="inlineStr">
        <is>
          <t>SANDVIKEN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7345-2026</t>
        </is>
      </c>
      <c r="B721" s="1" t="n">
        <v>46058.90559027778</v>
      </c>
      <c r="C721" s="1" t="n">
        <v>46129</v>
      </c>
      <c r="D721" t="inlineStr">
        <is>
          <t>GÄVLEBORGS LÄN</t>
        </is>
      </c>
      <c r="E721" t="inlineStr">
        <is>
          <t>SANDVIKEN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7351-2026</t>
        </is>
      </c>
      <c r="B722" s="1" t="n">
        <v>46058</v>
      </c>
      <c r="C722" s="1" t="n">
        <v>46129</v>
      </c>
      <c r="D722" t="inlineStr">
        <is>
          <t>GÄVLEBORGS LÄN</t>
        </is>
      </c>
      <c r="E722" t="inlineStr">
        <is>
          <t>SANDVIKEN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7549-2026</t>
        </is>
      </c>
      <c r="B723" s="1" t="n">
        <v>46059.67913194445</v>
      </c>
      <c r="C723" s="1" t="n">
        <v>46129</v>
      </c>
      <c r="D723" t="inlineStr">
        <is>
          <t>GÄVLEBORGS LÄN</t>
        </is>
      </c>
      <c r="E723" t="inlineStr">
        <is>
          <t>SANDVIKEN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7393-2026</t>
        </is>
      </c>
      <c r="B724" s="1" t="n">
        <v>46059.36969907407</v>
      </c>
      <c r="C724" s="1" t="n">
        <v>46129</v>
      </c>
      <c r="D724" t="inlineStr">
        <is>
          <t>GÄVLEBORGS LÄN</t>
        </is>
      </c>
      <c r="E724" t="inlineStr">
        <is>
          <t>SANDVIKEN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22275-2024</t>
        </is>
      </c>
      <c r="B725" s="1" t="n">
        <v>45446.54258101852</v>
      </c>
      <c r="C725" s="1" t="n">
        <v>46129</v>
      </c>
      <c r="D725" t="inlineStr">
        <is>
          <t>GÄVLEBORGS LÄN</t>
        </is>
      </c>
      <c r="E725" t="inlineStr">
        <is>
          <t>SANDVIKEN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14720-2026</t>
        </is>
      </c>
      <c r="B726" s="1" t="n">
        <v>46101.5657175926</v>
      </c>
      <c r="C726" s="1" t="n">
        <v>46129</v>
      </c>
      <c r="D726" t="inlineStr">
        <is>
          <t>GÄVLEBORGS LÄN</t>
        </is>
      </c>
      <c r="E726" t="inlineStr">
        <is>
          <t>SANDVIKEN</t>
        </is>
      </c>
      <c r="F726" t="inlineStr">
        <is>
          <t>Kommuner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7073-2026</t>
        </is>
      </c>
      <c r="B727" s="1" t="n">
        <v>46058.32569444444</v>
      </c>
      <c r="C727" s="1" t="n">
        <v>46129</v>
      </c>
      <c r="D727" t="inlineStr">
        <is>
          <t>GÄVLEBORGS LÄN</t>
        </is>
      </c>
      <c r="E727" t="inlineStr">
        <is>
          <t>SANDVIKEN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7171-2026</t>
        </is>
      </c>
      <c r="B728" s="1" t="n">
        <v>46058.46019675926</v>
      </c>
      <c r="C728" s="1" t="n">
        <v>46129</v>
      </c>
      <c r="D728" t="inlineStr">
        <is>
          <t>GÄVLEBORGS LÄN</t>
        </is>
      </c>
      <c r="E728" t="inlineStr">
        <is>
          <t>SANDVIKEN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7334-2026</t>
        </is>
      </c>
      <c r="B729" s="1" t="n">
        <v>46058</v>
      </c>
      <c r="C729" s="1" t="n">
        <v>46129</v>
      </c>
      <c r="D729" t="inlineStr">
        <is>
          <t>GÄVLEBORGS LÄN</t>
        </is>
      </c>
      <c r="E729" t="inlineStr">
        <is>
          <t>SANDVIKEN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7335-2026</t>
        </is>
      </c>
      <c r="B730" s="1" t="n">
        <v>46058</v>
      </c>
      <c r="C730" s="1" t="n">
        <v>46129</v>
      </c>
      <c r="D730" t="inlineStr">
        <is>
          <t>GÄVLEBORGS LÄN</t>
        </is>
      </c>
      <c r="E730" t="inlineStr">
        <is>
          <t>SANDVIKEN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7342-2026</t>
        </is>
      </c>
      <c r="B731" s="1" t="n">
        <v>46058.8941087963</v>
      </c>
      <c r="C731" s="1" t="n">
        <v>46129</v>
      </c>
      <c r="D731" t="inlineStr">
        <is>
          <t>GÄVLEBORGS LÄN</t>
        </is>
      </c>
      <c r="E731" t="inlineStr">
        <is>
          <t>SANDVIKEN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71995-2021</t>
        </is>
      </c>
      <c r="B732" s="1" t="n">
        <v>44544.38899305555</v>
      </c>
      <c r="C732" s="1" t="n">
        <v>46129</v>
      </c>
      <c r="D732" t="inlineStr">
        <is>
          <t>GÄVLEBORGS LÄN</t>
        </is>
      </c>
      <c r="E732" t="inlineStr">
        <is>
          <t>SANDVIKEN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38570-2023</t>
        </is>
      </c>
      <c r="B733" s="1" t="n">
        <v>45162</v>
      </c>
      <c r="C733" s="1" t="n">
        <v>46129</v>
      </c>
      <c r="D733" t="inlineStr">
        <is>
          <t>GÄVLEBORGS LÄN</t>
        </is>
      </c>
      <c r="E733" t="inlineStr">
        <is>
          <t>SANDVIKEN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7890-2026</t>
        </is>
      </c>
      <c r="B734" s="1" t="n">
        <v>46063</v>
      </c>
      <c r="C734" s="1" t="n">
        <v>46129</v>
      </c>
      <c r="D734" t="inlineStr">
        <is>
          <t>GÄVLEBORGS LÄN</t>
        </is>
      </c>
      <c r="E734" t="inlineStr">
        <is>
          <t>SANDVIKEN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15166-2026</t>
        </is>
      </c>
      <c r="B735" s="1" t="n">
        <v>46105.43546296296</v>
      </c>
      <c r="C735" s="1" t="n">
        <v>46129</v>
      </c>
      <c r="D735" t="inlineStr">
        <is>
          <t>GÄVLEBORGS LÄN</t>
        </is>
      </c>
      <c r="E735" t="inlineStr">
        <is>
          <t>SANDVIKEN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7885-2026</t>
        </is>
      </c>
      <c r="B736" s="1" t="n">
        <v>46063</v>
      </c>
      <c r="C736" s="1" t="n">
        <v>46129</v>
      </c>
      <c r="D736" t="inlineStr">
        <is>
          <t>GÄVLEBORGS LÄN</t>
        </is>
      </c>
      <c r="E736" t="inlineStr">
        <is>
          <t>SANDVIKEN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7886-2026</t>
        </is>
      </c>
      <c r="B737" s="1" t="n">
        <v>46063</v>
      </c>
      <c r="C737" s="1" t="n">
        <v>46129</v>
      </c>
      <c r="D737" t="inlineStr">
        <is>
          <t>GÄVLEBORGS LÄN</t>
        </is>
      </c>
      <c r="E737" t="inlineStr">
        <is>
          <t>SANDVIKEN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2290-2026</t>
        </is>
      </c>
      <c r="B738" s="1" t="n">
        <v>46036</v>
      </c>
      <c r="C738" s="1" t="n">
        <v>46129</v>
      </c>
      <c r="D738" t="inlineStr">
        <is>
          <t>GÄVLEBORGS LÄN</t>
        </is>
      </c>
      <c r="E738" t="inlineStr">
        <is>
          <t>SANDVIKEN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15364-2026</t>
        </is>
      </c>
      <c r="B739" s="1" t="n">
        <v>46105.73252314814</v>
      </c>
      <c r="C739" s="1" t="n">
        <v>46129</v>
      </c>
      <c r="D739" t="inlineStr">
        <is>
          <t>GÄVLEBORGS LÄN</t>
        </is>
      </c>
      <c r="E739" t="inlineStr">
        <is>
          <t>SANDVIKEN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11397-2023</t>
        </is>
      </c>
      <c r="B740" s="1" t="n">
        <v>44988</v>
      </c>
      <c r="C740" s="1" t="n">
        <v>46129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13409-2026</t>
        </is>
      </c>
      <c r="B741" s="1" t="n">
        <v>46094</v>
      </c>
      <c r="C741" s="1" t="n">
        <v>46129</v>
      </c>
      <c r="D741" t="inlineStr">
        <is>
          <t>GÄVLEBORGS LÄN</t>
        </is>
      </c>
      <c r="E741" t="inlineStr">
        <is>
          <t>SANDVIKEN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7599-2026</t>
        </is>
      </c>
      <c r="B742" s="1" t="n">
        <v>46061</v>
      </c>
      <c r="C742" s="1" t="n">
        <v>46129</v>
      </c>
      <c r="D742" t="inlineStr">
        <is>
          <t>GÄVLEBORGS LÄN</t>
        </is>
      </c>
      <c r="E742" t="inlineStr">
        <is>
          <t>SANDVIKEN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48799-2023</t>
        </is>
      </c>
      <c r="B743" s="1" t="n">
        <v>45209.25542824074</v>
      </c>
      <c r="C743" s="1" t="n">
        <v>46129</v>
      </c>
      <c r="D743" t="inlineStr">
        <is>
          <t>GÄVLEBORGS LÄN</t>
        </is>
      </c>
      <c r="E743" t="inlineStr">
        <is>
          <t>SANDVIKEN</t>
        </is>
      </c>
      <c r="F743" t="inlineStr">
        <is>
          <t>Bergvik skog öst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7725-2026</t>
        </is>
      </c>
      <c r="B744" s="1" t="n">
        <v>46062.49981481482</v>
      </c>
      <c r="C744" s="1" t="n">
        <v>46129</v>
      </c>
      <c r="D744" t="inlineStr">
        <is>
          <t>GÄVLEBORGS LÄN</t>
        </is>
      </c>
      <c r="E744" t="inlineStr">
        <is>
          <t>SANDVIKEN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7910-2026</t>
        </is>
      </c>
      <c r="B745" s="1" t="n">
        <v>46063.3653587963</v>
      </c>
      <c r="C745" s="1" t="n">
        <v>46129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8379-2025</t>
        </is>
      </c>
      <c r="B746" s="1" t="n">
        <v>45709.33609953704</v>
      </c>
      <c r="C746" s="1" t="n">
        <v>46129</v>
      </c>
      <c r="D746" t="inlineStr">
        <is>
          <t>GÄVLEBORGS LÄN</t>
        </is>
      </c>
      <c r="E746" t="inlineStr">
        <is>
          <t>SANDVIKEN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7898-2026</t>
        </is>
      </c>
      <c r="B747" s="1" t="n">
        <v>46063.34471064815</v>
      </c>
      <c r="C747" s="1" t="n">
        <v>46129</v>
      </c>
      <c r="D747" t="inlineStr">
        <is>
          <t>GÄVLEBORGS LÄN</t>
        </is>
      </c>
      <c r="E747" t="inlineStr">
        <is>
          <t>SANDVIKEN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7906-2026</t>
        </is>
      </c>
      <c r="B748" s="1" t="n">
        <v>46063.35641203704</v>
      </c>
      <c r="C748" s="1" t="n">
        <v>46129</v>
      </c>
      <c r="D748" t="inlineStr">
        <is>
          <t>GÄVLEBORGS LÄN</t>
        </is>
      </c>
      <c r="E748" t="inlineStr">
        <is>
          <t>SANDVIKEN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15000-2026</t>
        </is>
      </c>
      <c r="B749" s="1" t="n">
        <v>46104.5984375</v>
      </c>
      <c r="C749" s="1" t="n">
        <v>46129</v>
      </c>
      <c r="D749" t="inlineStr">
        <is>
          <t>GÄVLEBORGS LÄN</t>
        </is>
      </c>
      <c r="E749" t="inlineStr">
        <is>
          <t>SANDVIKEN</t>
        </is>
      </c>
      <c r="F749" t="inlineStr">
        <is>
          <t>Kommuner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15118-2026</t>
        </is>
      </c>
      <c r="B750" s="1" t="n">
        <v>46105.36506944444</v>
      </c>
      <c r="C750" s="1" t="n">
        <v>46129</v>
      </c>
      <c r="D750" t="inlineStr">
        <is>
          <t>GÄVLEBORGS LÄN</t>
        </is>
      </c>
      <c r="E750" t="inlineStr">
        <is>
          <t>SANDVIKEN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15131-2026</t>
        </is>
      </c>
      <c r="B751" s="1" t="n">
        <v>46105.37657407407</v>
      </c>
      <c r="C751" s="1" t="n">
        <v>46129</v>
      </c>
      <c r="D751" t="inlineStr">
        <is>
          <t>GÄVLEBORGS LÄN</t>
        </is>
      </c>
      <c r="E751" t="inlineStr">
        <is>
          <t>SANDVIKEN</t>
        </is>
      </c>
      <c r="F751" t="inlineStr">
        <is>
          <t>Sveaskog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15159-2026</t>
        </is>
      </c>
      <c r="B752" s="1" t="n">
        <v>46105.42491898148</v>
      </c>
      <c r="C752" s="1" t="n">
        <v>46129</v>
      </c>
      <c r="D752" t="inlineStr">
        <is>
          <t>GÄVLEBORGS LÄN</t>
        </is>
      </c>
      <c r="E752" t="inlineStr">
        <is>
          <t>SANDVIKEN</t>
        </is>
      </c>
      <c r="F752" t="inlineStr">
        <is>
          <t>Sveaskog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7914-2026</t>
        </is>
      </c>
      <c r="B753" s="1" t="n">
        <v>46063.37728009259</v>
      </c>
      <c r="C753" s="1" t="n">
        <v>46129</v>
      </c>
      <c r="D753" t="inlineStr">
        <is>
          <t>GÄVLEBORGS LÄN</t>
        </is>
      </c>
      <c r="E753" t="inlineStr">
        <is>
          <t>SANDVIKEN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8093-2026</t>
        </is>
      </c>
      <c r="B754" s="1" t="n">
        <v>46063</v>
      </c>
      <c r="C754" s="1" t="n">
        <v>46129</v>
      </c>
      <c r="D754" t="inlineStr">
        <is>
          <t>GÄVLEBORGS LÄN</t>
        </is>
      </c>
      <c r="E754" t="inlineStr">
        <is>
          <t>SANDVIKEN</t>
        </is>
      </c>
      <c r="G754" t="n">
        <v>9.6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37741-2023</t>
        </is>
      </c>
      <c r="B755" s="1" t="n">
        <v>45159.62744212963</v>
      </c>
      <c r="C755" s="1" t="n">
        <v>46129</v>
      </c>
      <c r="D755" t="inlineStr">
        <is>
          <t>GÄVLEBORGS LÄN</t>
        </is>
      </c>
      <c r="E755" t="inlineStr">
        <is>
          <t>SANDVIKEN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42930-2023</t>
        </is>
      </c>
      <c r="B756" s="1" t="n">
        <v>45177</v>
      </c>
      <c r="C756" s="1" t="n">
        <v>46129</v>
      </c>
      <c r="D756" t="inlineStr">
        <is>
          <t>GÄVLEBORGS LÄN</t>
        </is>
      </c>
      <c r="E756" t="inlineStr">
        <is>
          <t>SANDVIKEN</t>
        </is>
      </c>
      <c r="F756" t="inlineStr">
        <is>
          <t>Bergvik skog väst AB</t>
        </is>
      </c>
      <c r="G756" t="n">
        <v>20.6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7982-2026</t>
        </is>
      </c>
      <c r="B757" s="1" t="n">
        <v>46063</v>
      </c>
      <c r="C757" s="1" t="n">
        <v>46129</v>
      </c>
      <c r="D757" t="inlineStr">
        <is>
          <t>GÄVLEBORGS LÄN</t>
        </is>
      </c>
      <c r="E757" t="inlineStr">
        <is>
          <t>SANDVIKEN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7876-2026</t>
        </is>
      </c>
      <c r="B758" s="1" t="n">
        <v>46063.25381944444</v>
      </c>
      <c r="C758" s="1" t="n">
        <v>46129</v>
      </c>
      <c r="D758" t="inlineStr">
        <is>
          <t>GÄVLEBORGS LÄN</t>
        </is>
      </c>
      <c r="E758" t="inlineStr">
        <is>
          <t>SANDVIKEN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7877-2026</t>
        </is>
      </c>
      <c r="B759" s="1" t="n">
        <v>46063.25568287037</v>
      </c>
      <c r="C759" s="1" t="n">
        <v>46129</v>
      </c>
      <c r="D759" t="inlineStr">
        <is>
          <t>GÄVLEBORGS LÄN</t>
        </is>
      </c>
      <c r="E759" t="inlineStr">
        <is>
          <t>SANDVIKEN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3442-2023</t>
        </is>
      </c>
      <c r="B760" s="1" t="n">
        <v>44949.60355324074</v>
      </c>
      <c r="C760" s="1" t="n">
        <v>46129</v>
      </c>
      <c r="D760" t="inlineStr">
        <is>
          <t>GÄVLEBORGS LÄN</t>
        </is>
      </c>
      <c r="E760" t="inlineStr">
        <is>
          <t>SANDVIKEN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7888-2026</t>
        </is>
      </c>
      <c r="B761" s="1" t="n">
        <v>46063</v>
      </c>
      <c r="C761" s="1" t="n">
        <v>46129</v>
      </c>
      <c r="D761" t="inlineStr">
        <is>
          <t>GÄVLEBORGS LÄN</t>
        </is>
      </c>
      <c r="E761" t="inlineStr">
        <is>
          <t>SANDVIKEN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15144-2026</t>
        </is>
      </c>
      <c r="B762" s="1" t="n">
        <v>46105.40099537037</v>
      </c>
      <c r="C762" s="1" t="n">
        <v>46129</v>
      </c>
      <c r="D762" t="inlineStr">
        <is>
          <t>GÄVLEBORGS LÄN</t>
        </is>
      </c>
      <c r="E762" t="inlineStr">
        <is>
          <t>SANDVIKEN</t>
        </is>
      </c>
      <c r="F762" t="inlineStr">
        <is>
          <t>Sveaskog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7892-2026</t>
        </is>
      </c>
      <c r="B763" s="1" t="n">
        <v>46063.31511574074</v>
      </c>
      <c r="C763" s="1" t="n">
        <v>46129</v>
      </c>
      <c r="D763" t="inlineStr">
        <is>
          <t>GÄVLEBORGS LÄN</t>
        </is>
      </c>
      <c r="E763" t="inlineStr">
        <is>
          <t>SANDVIKEN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14119-2026</t>
        </is>
      </c>
      <c r="B764" s="1" t="n">
        <v>46099</v>
      </c>
      <c r="C764" s="1" t="n">
        <v>46129</v>
      </c>
      <c r="D764" t="inlineStr">
        <is>
          <t>GÄVLEBORGS LÄN</t>
        </is>
      </c>
      <c r="E764" t="inlineStr">
        <is>
          <t>SANDVIKEN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7694-2026</t>
        </is>
      </c>
      <c r="B765" s="1" t="n">
        <v>46062</v>
      </c>
      <c r="C765" s="1" t="n">
        <v>46129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8295-2026</t>
        </is>
      </c>
      <c r="B766" s="1" t="n">
        <v>46063</v>
      </c>
      <c r="C766" s="1" t="n">
        <v>46129</v>
      </c>
      <c r="D766" t="inlineStr">
        <is>
          <t>GÄVLEBORGS LÄN</t>
        </is>
      </c>
      <c r="E766" t="inlineStr">
        <is>
          <t>SANDVIKEN</t>
        </is>
      </c>
      <c r="F766" t="inlineStr">
        <is>
          <t>Bergvik skog väst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14423-2026</t>
        </is>
      </c>
      <c r="B767" s="1" t="n">
        <v>46100</v>
      </c>
      <c r="C767" s="1" t="n">
        <v>46129</v>
      </c>
      <c r="D767" t="inlineStr">
        <is>
          <t>GÄVLEBORGS LÄN</t>
        </is>
      </c>
      <c r="E767" t="inlineStr">
        <is>
          <t>SANDVIKEN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8611-2026</t>
        </is>
      </c>
      <c r="B768" s="1" t="n">
        <v>46065</v>
      </c>
      <c r="C768" s="1" t="n">
        <v>46129</v>
      </c>
      <c r="D768" t="inlineStr">
        <is>
          <t>GÄVLEBORGS LÄN</t>
        </is>
      </c>
      <c r="E768" t="inlineStr">
        <is>
          <t>SANDVIKEN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15780-2026</t>
        </is>
      </c>
      <c r="B769" s="1" t="n">
        <v>46107.45846064815</v>
      </c>
      <c r="C769" s="1" t="n">
        <v>46129</v>
      </c>
      <c r="D769" t="inlineStr">
        <is>
          <t>GÄVLEBORGS LÄN</t>
        </is>
      </c>
      <c r="E769" t="inlineStr">
        <is>
          <t>SANDVIKEN</t>
        </is>
      </c>
      <c r="F769" t="inlineStr">
        <is>
          <t>Kommuner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15787-2026</t>
        </is>
      </c>
      <c r="B770" s="1" t="n">
        <v>46107.47407407407</v>
      </c>
      <c r="C770" s="1" t="n">
        <v>46129</v>
      </c>
      <c r="D770" t="inlineStr">
        <is>
          <t>GÄVLEBORGS LÄN</t>
        </is>
      </c>
      <c r="E770" t="inlineStr">
        <is>
          <t>SANDVIKEN</t>
        </is>
      </c>
      <c r="F770" t="inlineStr">
        <is>
          <t>Sveaskog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14910-2026</t>
        </is>
      </c>
      <c r="B771" s="1" t="n">
        <v>46104</v>
      </c>
      <c r="C771" s="1" t="n">
        <v>46129</v>
      </c>
      <c r="D771" t="inlineStr">
        <is>
          <t>GÄVLEBORGS LÄN</t>
        </is>
      </c>
      <c r="E771" t="inlineStr">
        <is>
          <t>SANDVIKEN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8573-2026</t>
        </is>
      </c>
      <c r="B772" s="1" t="n">
        <v>46065</v>
      </c>
      <c r="C772" s="1" t="n">
        <v>46129</v>
      </c>
      <c r="D772" t="inlineStr">
        <is>
          <t>GÄVLEBORGS LÄN</t>
        </is>
      </c>
      <c r="E772" t="inlineStr">
        <is>
          <t>SANDVIKEN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8603-2026</t>
        </is>
      </c>
      <c r="B773" s="1" t="n">
        <v>46065</v>
      </c>
      <c r="C773" s="1" t="n">
        <v>46129</v>
      </c>
      <c r="D773" t="inlineStr">
        <is>
          <t>GÄVLEBORGS LÄN</t>
        </is>
      </c>
      <c r="E773" t="inlineStr">
        <is>
          <t>SANDVIKEN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8605-2026</t>
        </is>
      </c>
      <c r="B774" s="1" t="n">
        <v>46065</v>
      </c>
      <c r="C774" s="1" t="n">
        <v>46129</v>
      </c>
      <c r="D774" t="inlineStr">
        <is>
          <t>GÄVLEBORGS LÄN</t>
        </is>
      </c>
      <c r="E774" t="inlineStr">
        <is>
          <t>SANDVIKEN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8612-2026</t>
        </is>
      </c>
      <c r="B775" s="1" t="n">
        <v>46065</v>
      </c>
      <c r="C775" s="1" t="n">
        <v>46129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8608-2026</t>
        </is>
      </c>
      <c r="B776" s="1" t="n">
        <v>46065</v>
      </c>
      <c r="C776" s="1" t="n">
        <v>46129</v>
      </c>
      <c r="D776" t="inlineStr">
        <is>
          <t>GÄVLEBORGS LÄN</t>
        </is>
      </c>
      <c r="E776" t="inlineStr">
        <is>
          <t>SANDVIKEN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31317-2023</t>
        </is>
      </c>
      <c r="B777" s="1" t="n">
        <v>45103</v>
      </c>
      <c r="C777" s="1" t="n">
        <v>46129</v>
      </c>
      <c r="D777" t="inlineStr">
        <is>
          <t>GÄVLEBORGS LÄN</t>
        </is>
      </c>
      <c r="E777" t="inlineStr">
        <is>
          <t>SANDVIKEN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8210-2026</t>
        </is>
      </c>
      <c r="B778" s="1" t="n">
        <v>46064</v>
      </c>
      <c r="C778" s="1" t="n">
        <v>46129</v>
      </c>
      <c r="D778" t="inlineStr">
        <is>
          <t>GÄVLEBORGS LÄN</t>
        </is>
      </c>
      <c r="E778" t="inlineStr">
        <is>
          <t>SANDVIKEN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8363-2026</t>
        </is>
      </c>
      <c r="B779" s="1" t="n">
        <v>46064.68269675926</v>
      </c>
      <c r="C779" s="1" t="n">
        <v>46129</v>
      </c>
      <c r="D779" t="inlineStr">
        <is>
          <t>GÄVLEBORGS LÄN</t>
        </is>
      </c>
      <c r="E779" t="inlineStr">
        <is>
          <t>SANDVIKEN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8600-2026</t>
        </is>
      </c>
      <c r="B780" s="1" t="n">
        <v>46065</v>
      </c>
      <c r="C780" s="1" t="n">
        <v>46129</v>
      </c>
      <c r="D780" t="inlineStr">
        <is>
          <t>GÄVLEBORGS LÄN</t>
        </is>
      </c>
      <c r="E780" t="inlineStr">
        <is>
          <t>SANDVIKEN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8574-2026</t>
        </is>
      </c>
      <c r="B781" s="1" t="n">
        <v>46065.69568287037</v>
      </c>
      <c r="C781" s="1" t="n">
        <v>46129</v>
      </c>
      <c r="D781" t="inlineStr">
        <is>
          <t>GÄVLEBORGS LÄN</t>
        </is>
      </c>
      <c r="E781" t="inlineStr">
        <is>
          <t>SANDVIKEN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8583-2026</t>
        </is>
      </c>
      <c r="B782" s="1" t="n">
        <v>46065.72215277778</v>
      </c>
      <c r="C782" s="1" t="n">
        <v>46129</v>
      </c>
      <c r="D782" t="inlineStr">
        <is>
          <t>GÄVLEBORGS LÄN</t>
        </is>
      </c>
      <c r="E782" t="inlineStr">
        <is>
          <t>SANDVIKEN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8606-2026</t>
        </is>
      </c>
      <c r="B783" s="1" t="n">
        <v>46065</v>
      </c>
      <c r="C783" s="1" t="n">
        <v>46129</v>
      </c>
      <c r="D783" t="inlineStr">
        <is>
          <t>GÄVLEBORGS LÄN</t>
        </is>
      </c>
      <c r="E783" t="inlineStr">
        <is>
          <t>SANDVIKEN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15769-2026</t>
        </is>
      </c>
      <c r="B784" s="1" t="n">
        <v>46107.44686342592</v>
      </c>
      <c r="C784" s="1" t="n">
        <v>46129</v>
      </c>
      <c r="D784" t="inlineStr">
        <is>
          <t>GÄVLEBORGS LÄN</t>
        </is>
      </c>
      <c r="E784" t="inlineStr">
        <is>
          <t>SANDVIKEN</t>
        </is>
      </c>
      <c r="F784" t="inlineStr">
        <is>
          <t>Bergvik skog öst AB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15770-2026</t>
        </is>
      </c>
      <c r="B785" s="1" t="n">
        <v>46107.44710648148</v>
      </c>
      <c r="C785" s="1" t="n">
        <v>46129</v>
      </c>
      <c r="D785" t="inlineStr">
        <is>
          <t>GÄVLEBORGS LÄN</t>
        </is>
      </c>
      <c r="E785" t="inlineStr">
        <is>
          <t>SANDVIKEN</t>
        </is>
      </c>
      <c r="F785" t="inlineStr">
        <is>
          <t>Bergvik skog öst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15124-2022</t>
        </is>
      </c>
      <c r="B786" s="1" t="n">
        <v>44658</v>
      </c>
      <c r="C786" s="1" t="n">
        <v>46129</v>
      </c>
      <c r="D786" t="inlineStr">
        <is>
          <t>GÄVLEBORGS LÄN</t>
        </is>
      </c>
      <c r="E786" t="inlineStr">
        <is>
          <t>SANDVIKEN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14867-2026</t>
        </is>
      </c>
      <c r="B787" s="1" t="n">
        <v>46104</v>
      </c>
      <c r="C787" s="1" t="n">
        <v>46129</v>
      </c>
      <c r="D787" t="inlineStr">
        <is>
          <t>GÄVLEBORGS LÄN</t>
        </is>
      </c>
      <c r="E787" t="inlineStr">
        <is>
          <t>SANDVIKEN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10893-2025</t>
        </is>
      </c>
      <c r="B788" s="1" t="n">
        <v>45722.67835648148</v>
      </c>
      <c r="C788" s="1" t="n">
        <v>46129</v>
      </c>
      <c r="D788" t="inlineStr">
        <is>
          <t>GÄVLEBORGS LÄN</t>
        </is>
      </c>
      <c r="E788" t="inlineStr">
        <is>
          <t>SANDVIKEN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10895-2025</t>
        </is>
      </c>
      <c r="B789" s="1" t="n">
        <v>45722.68167824074</v>
      </c>
      <c r="C789" s="1" t="n">
        <v>46129</v>
      </c>
      <c r="D789" t="inlineStr">
        <is>
          <t>GÄVLEBORGS LÄN</t>
        </is>
      </c>
      <c r="E789" t="inlineStr">
        <is>
          <t>SANDVIKEN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14280-2025</t>
        </is>
      </c>
      <c r="B790" s="1" t="n">
        <v>45740.65372685185</v>
      </c>
      <c r="C790" s="1" t="n">
        <v>46129</v>
      </c>
      <c r="D790" t="inlineStr">
        <is>
          <t>GÄVLEBORGS LÄN</t>
        </is>
      </c>
      <c r="E790" t="inlineStr">
        <is>
          <t>SANDVIKEN</t>
        </is>
      </c>
      <c r="F790" t="inlineStr">
        <is>
          <t>Bergvik skog öst AB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15778-2026</t>
        </is>
      </c>
      <c r="B791" s="1" t="n">
        <v>46107.45637731482</v>
      </c>
      <c r="C791" s="1" t="n">
        <v>46129</v>
      </c>
      <c r="D791" t="inlineStr">
        <is>
          <t>GÄVLEBORGS LÄN</t>
        </is>
      </c>
      <c r="E791" t="inlineStr">
        <is>
          <t>SANDVIKEN</t>
        </is>
      </c>
      <c r="F791" t="inlineStr">
        <is>
          <t>Kommuner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54443-2024</t>
        </is>
      </c>
      <c r="B792" s="1" t="n">
        <v>45617.51553240741</v>
      </c>
      <c r="C792" s="1" t="n">
        <v>46129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15855-2026</t>
        </is>
      </c>
      <c r="B793" s="1" t="n">
        <v>46107.575</v>
      </c>
      <c r="C793" s="1" t="n">
        <v>46129</v>
      </c>
      <c r="D793" t="inlineStr">
        <is>
          <t>GÄVLEBORGS LÄN</t>
        </is>
      </c>
      <c r="E793" t="inlineStr">
        <is>
          <t>SANDVIKEN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36656-2024</t>
        </is>
      </c>
      <c r="B794" s="1" t="n">
        <v>45537.61835648148</v>
      </c>
      <c r="C794" s="1" t="n">
        <v>46129</v>
      </c>
      <c r="D794" t="inlineStr">
        <is>
          <t>GÄVLEBORGS LÄN</t>
        </is>
      </c>
      <c r="E794" t="inlineStr">
        <is>
          <t>SANDVIKEN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15861-2026</t>
        </is>
      </c>
      <c r="B795" s="1" t="n">
        <v>46107.58108796296</v>
      </c>
      <c r="C795" s="1" t="n">
        <v>46129</v>
      </c>
      <c r="D795" t="inlineStr">
        <is>
          <t>GÄVLEBORGS LÄN</t>
        </is>
      </c>
      <c r="E795" t="inlineStr">
        <is>
          <t>SANDVIKEN</t>
        </is>
      </c>
      <c r="F795" t="inlineStr">
        <is>
          <t>Kommuner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8570-2026</t>
        </is>
      </c>
      <c r="B796" s="1" t="n">
        <v>46065</v>
      </c>
      <c r="C796" s="1" t="n">
        <v>46129</v>
      </c>
      <c r="D796" t="inlineStr">
        <is>
          <t>GÄVLEBORGS LÄN</t>
        </is>
      </c>
      <c r="E796" t="inlineStr">
        <is>
          <t>SANDVIKEN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12450-2026</t>
        </is>
      </c>
      <c r="B797" s="1" t="n">
        <v>46090.49958333333</v>
      </c>
      <c r="C797" s="1" t="n">
        <v>46129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14322-2026</t>
        </is>
      </c>
      <c r="B798" s="1" t="n">
        <v>46099</v>
      </c>
      <c r="C798" s="1" t="n">
        <v>46129</v>
      </c>
      <c r="D798" t="inlineStr">
        <is>
          <t>GÄVLEBORGS LÄN</t>
        </is>
      </c>
      <c r="E798" t="inlineStr">
        <is>
          <t>SANDVIKEN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15960-2026</t>
        </is>
      </c>
      <c r="B799" s="1" t="n">
        <v>46108.31765046297</v>
      </c>
      <c r="C799" s="1" t="n">
        <v>46129</v>
      </c>
      <c r="D799" t="inlineStr">
        <is>
          <t>GÄVLEBORGS LÄN</t>
        </is>
      </c>
      <c r="E799" t="inlineStr">
        <is>
          <t>SANDVIKEN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867-2026</t>
        </is>
      </c>
      <c r="B800" s="1" t="n">
        <v>46030</v>
      </c>
      <c r="C800" s="1" t="n">
        <v>46129</v>
      </c>
      <c r="D800" t="inlineStr">
        <is>
          <t>GÄVLEBORGS LÄN</t>
        </is>
      </c>
      <c r="E800" t="inlineStr">
        <is>
          <t>SANDVIKEN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16159-2026</t>
        </is>
      </c>
      <c r="B801" s="1" t="n">
        <v>46109.41443287037</v>
      </c>
      <c r="C801" s="1" t="n">
        <v>46129</v>
      </c>
      <c r="D801" t="inlineStr">
        <is>
          <t>GÄVLEBORGS LÄN</t>
        </is>
      </c>
      <c r="E801" t="inlineStr">
        <is>
          <t>SANDVIKEN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16242-2026</t>
        </is>
      </c>
      <c r="B802" s="1" t="n">
        <v>46111.45827546297</v>
      </c>
      <c r="C802" s="1" t="n">
        <v>46129</v>
      </c>
      <c r="D802" t="inlineStr">
        <is>
          <t>GÄVLEBORGS LÄN</t>
        </is>
      </c>
      <c r="E802" t="inlineStr">
        <is>
          <t>SANDVIKEN</t>
        </is>
      </c>
      <c r="F802" t="inlineStr">
        <is>
          <t>Kommuner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9093-2026</t>
        </is>
      </c>
      <c r="B803" s="1" t="n">
        <v>46069.6334375</v>
      </c>
      <c r="C803" s="1" t="n">
        <v>46129</v>
      </c>
      <c r="D803" t="inlineStr">
        <is>
          <t>GÄVLEBORGS LÄN</t>
        </is>
      </c>
      <c r="E803" t="inlineStr">
        <is>
          <t>SANDVIKEN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12478-2026</t>
        </is>
      </c>
      <c r="B804" s="1" t="n">
        <v>46090.55686342593</v>
      </c>
      <c r="C804" s="1" t="n">
        <v>46129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1039-2025</t>
        </is>
      </c>
      <c r="B805" s="1" t="n">
        <v>45666.54069444445</v>
      </c>
      <c r="C805" s="1" t="n">
        <v>46129</v>
      </c>
      <c r="D805" t="inlineStr">
        <is>
          <t>GÄVLEBORGS LÄN</t>
        </is>
      </c>
      <c r="E805" t="inlineStr">
        <is>
          <t>SANDVIKEN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8719-2026</t>
        </is>
      </c>
      <c r="B806" s="1" t="n">
        <v>46066.48733796296</v>
      </c>
      <c r="C806" s="1" t="n">
        <v>46129</v>
      </c>
      <c r="D806" t="inlineStr">
        <is>
          <t>GÄVLEBORGS LÄN</t>
        </is>
      </c>
      <c r="E806" t="inlineStr">
        <is>
          <t>SANDVIKEN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9142-2026</t>
        </is>
      </c>
      <c r="B807" s="1" t="n">
        <v>46069</v>
      </c>
      <c r="C807" s="1" t="n">
        <v>46129</v>
      </c>
      <c r="D807" t="inlineStr">
        <is>
          <t>GÄVLEBORGS LÄN</t>
        </is>
      </c>
      <c r="E807" t="inlineStr">
        <is>
          <t>SANDVIKEN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9136-2026</t>
        </is>
      </c>
      <c r="B808" s="1" t="n">
        <v>46069</v>
      </c>
      <c r="C808" s="1" t="n">
        <v>46129</v>
      </c>
      <c r="D808" t="inlineStr">
        <is>
          <t>GÄVLEBORGS LÄN</t>
        </is>
      </c>
      <c r="E808" t="inlineStr">
        <is>
          <t>SANDVIKEN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14323-2026</t>
        </is>
      </c>
      <c r="B809" s="1" t="n">
        <v>46099</v>
      </c>
      <c r="C809" s="1" t="n">
        <v>46129</v>
      </c>
      <c r="D809" t="inlineStr">
        <is>
          <t>GÄVLEBORGS LÄN</t>
        </is>
      </c>
      <c r="E809" t="inlineStr">
        <is>
          <t>SANDVIKEN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12586-2026</t>
        </is>
      </c>
      <c r="B810" s="1" t="n">
        <v>46090.69107638889</v>
      </c>
      <c r="C810" s="1" t="n">
        <v>46129</v>
      </c>
      <c r="D810" t="inlineStr">
        <is>
          <t>GÄVLEBORGS LÄN</t>
        </is>
      </c>
      <c r="E810" t="inlineStr">
        <is>
          <t>SANDVIKEN</t>
        </is>
      </c>
      <c r="F810" t="inlineStr">
        <is>
          <t>Bergvik skog öst AB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14094-2026</t>
        </is>
      </c>
      <c r="B811" s="1" t="n">
        <v>46099.38949074074</v>
      </c>
      <c r="C811" s="1" t="n">
        <v>46129</v>
      </c>
      <c r="D811" t="inlineStr">
        <is>
          <t>GÄVLEBORGS LÄN</t>
        </is>
      </c>
      <c r="E811" t="inlineStr">
        <is>
          <t>SANDVIKEN</t>
        </is>
      </c>
      <c r="F811" t="inlineStr">
        <is>
          <t>Bergvik skog öst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7624-2023</t>
        </is>
      </c>
      <c r="B812" s="1" t="n">
        <v>44972</v>
      </c>
      <c r="C812" s="1" t="n">
        <v>46129</v>
      </c>
      <c r="D812" t="inlineStr">
        <is>
          <t>GÄVLEBORGS LÄN</t>
        </is>
      </c>
      <c r="E812" t="inlineStr">
        <is>
          <t>SANDVIKEN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49706-2023</t>
        </is>
      </c>
      <c r="B813" s="1" t="n">
        <v>45212.40984953703</v>
      </c>
      <c r="C813" s="1" t="n">
        <v>46129</v>
      </c>
      <c r="D813" t="inlineStr">
        <is>
          <t>GÄVLEBORGS LÄN</t>
        </is>
      </c>
      <c r="E813" t="inlineStr">
        <is>
          <t>SANDVIKEN</t>
        </is>
      </c>
      <c r="F813" t="inlineStr">
        <is>
          <t>Sveaskog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14092-2026</t>
        </is>
      </c>
      <c r="B814" s="1" t="n">
        <v>46099.38835648148</v>
      </c>
      <c r="C814" s="1" t="n">
        <v>46129</v>
      </c>
      <c r="D814" t="inlineStr">
        <is>
          <t>GÄVLEBORGS LÄN</t>
        </is>
      </c>
      <c r="E814" t="inlineStr">
        <is>
          <t>SANDVIKEN</t>
        </is>
      </c>
      <c r="F814" t="inlineStr">
        <is>
          <t>Bergvik skog öst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14093-2026</t>
        </is>
      </c>
      <c r="B815" s="1" t="n">
        <v>46099.38862268518</v>
      </c>
      <c r="C815" s="1" t="n">
        <v>46129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12587-2026</t>
        </is>
      </c>
      <c r="B816" s="1" t="n">
        <v>46090.69148148148</v>
      </c>
      <c r="C816" s="1" t="n">
        <v>46129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öst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16060-2026</t>
        </is>
      </c>
      <c r="B817" s="1" t="n">
        <v>46108.49391203704</v>
      </c>
      <c r="C817" s="1" t="n">
        <v>46129</v>
      </c>
      <c r="D817" t="inlineStr">
        <is>
          <t>GÄVLEBORGS LÄN</t>
        </is>
      </c>
      <c r="E817" t="inlineStr">
        <is>
          <t>SANDVIKEN</t>
        </is>
      </c>
      <c r="F817" t="inlineStr">
        <is>
          <t>Kommuner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16102-2026</t>
        </is>
      </c>
      <c r="B818" s="1" t="n">
        <v>46108.59034722222</v>
      </c>
      <c r="C818" s="1" t="n">
        <v>46129</v>
      </c>
      <c r="D818" t="inlineStr">
        <is>
          <t>GÄVLEBORGS LÄN</t>
        </is>
      </c>
      <c r="E818" t="inlineStr">
        <is>
          <t>SANDVIKEN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8604-2026</t>
        </is>
      </c>
      <c r="B819" s="1" t="n">
        <v>46065</v>
      </c>
      <c r="C819" s="1" t="n">
        <v>46129</v>
      </c>
      <c r="D819" t="inlineStr">
        <is>
          <t>GÄVLEBORGS LÄN</t>
        </is>
      </c>
      <c r="E819" t="inlineStr">
        <is>
          <t>SANDVIKEN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16018-2026</t>
        </is>
      </c>
      <c r="B820" s="1" t="n">
        <v>46108.44466435185</v>
      </c>
      <c r="C820" s="1" t="n">
        <v>46129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16019-2026</t>
        </is>
      </c>
      <c r="B821" s="1" t="n">
        <v>46108.44509259259</v>
      </c>
      <c r="C821" s="1" t="n">
        <v>46129</v>
      </c>
      <c r="D821" t="inlineStr">
        <is>
          <t>GÄVLEBORGS LÄN</t>
        </is>
      </c>
      <c r="E821" t="inlineStr">
        <is>
          <t>SANDVIKEN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8756-2026</t>
        </is>
      </c>
      <c r="B822" s="1" t="n">
        <v>46066.55061342593</v>
      </c>
      <c r="C822" s="1" t="n">
        <v>46129</v>
      </c>
      <c r="D822" t="inlineStr">
        <is>
          <t>GÄVLEBORGS LÄN</t>
        </is>
      </c>
      <c r="E822" t="inlineStr">
        <is>
          <t>SANDVIKEN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8713-2026</t>
        </is>
      </c>
      <c r="B823" s="1" t="n">
        <v>46066.48263888889</v>
      </c>
      <c r="C823" s="1" t="n">
        <v>46129</v>
      </c>
      <c r="D823" t="inlineStr">
        <is>
          <t>GÄVLEBORGS LÄN</t>
        </is>
      </c>
      <c r="E823" t="inlineStr">
        <is>
          <t>SANDVIKEN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12776-2026</t>
        </is>
      </c>
      <c r="B824" s="1" t="n">
        <v>46091.70989583333</v>
      </c>
      <c r="C824" s="1" t="n">
        <v>46129</v>
      </c>
      <c r="D824" t="inlineStr">
        <is>
          <t>GÄVLEBORGS LÄN</t>
        </is>
      </c>
      <c r="E824" t="inlineStr">
        <is>
          <t>SANDVIKEN</t>
        </is>
      </c>
      <c r="F824" t="inlineStr">
        <is>
          <t>Naturvårdsverket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8706-2026</t>
        </is>
      </c>
      <c r="B825" s="1" t="n">
        <v>46066.47238425926</v>
      </c>
      <c r="C825" s="1" t="n">
        <v>46129</v>
      </c>
      <c r="D825" t="inlineStr">
        <is>
          <t>GÄVLEBORGS LÄN</t>
        </is>
      </c>
      <c r="E825" t="inlineStr">
        <is>
          <t>SANDVIKEN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16328-2026</t>
        </is>
      </c>
      <c r="B826" s="1" t="n">
        <v>46111.56672453704</v>
      </c>
      <c r="C826" s="1" t="n">
        <v>46129</v>
      </c>
      <c r="D826" t="inlineStr">
        <is>
          <t>GÄVLEBORGS LÄN</t>
        </is>
      </c>
      <c r="E826" t="inlineStr">
        <is>
          <t>SANDVIKEN</t>
        </is>
      </c>
      <c r="F826" t="inlineStr">
        <is>
          <t>Kommuner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3731-2024</t>
        </is>
      </c>
      <c r="B827" s="1" t="n">
        <v>45321.48737268519</v>
      </c>
      <c r="C827" s="1" t="n">
        <v>46129</v>
      </c>
      <c r="D827" t="inlineStr">
        <is>
          <t>GÄVLEBORGS LÄN</t>
        </is>
      </c>
      <c r="E827" t="inlineStr">
        <is>
          <t>SANDVIKEN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10575-2025</t>
        </is>
      </c>
      <c r="B828" s="1" t="n">
        <v>45721.54357638889</v>
      </c>
      <c r="C828" s="1" t="n">
        <v>46129</v>
      </c>
      <c r="D828" t="inlineStr">
        <is>
          <t>GÄVLEBORGS LÄN</t>
        </is>
      </c>
      <c r="E828" t="inlineStr">
        <is>
          <t>SANDVIKEN</t>
        </is>
      </c>
      <c r="F828" t="inlineStr">
        <is>
          <t>Sveaskog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10577-2025</t>
        </is>
      </c>
      <c r="B829" s="1" t="n">
        <v>45721.54620370371</v>
      </c>
      <c r="C829" s="1" t="n">
        <v>46129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10580-2025</t>
        </is>
      </c>
      <c r="B830" s="1" t="n">
        <v>45721.54834490741</v>
      </c>
      <c r="C830" s="1" t="n">
        <v>46129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9143-2026</t>
        </is>
      </c>
      <c r="B831" s="1" t="n">
        <v>46069</v>
      </c>
      <c r="C831" s="1" t="n">
        <v>46129</v>
      </c>
      <c r="D831" t="inlineStr">
        <is>
          <t>GÄVLEBORGS LÄN</t>
        </is>
      </c>
      <c r="E831" t="inlineStr">
        <is>
          <t>SANDVIKEN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16099-2026</t>
        </is>
      </c>
      <c r="B832" s="1" t="n">
        <v>46108.5819212963</v>
      </c>
      <c r="C832" s="1" t="n">
        <v>46129</v>
      </c>
      <c r="D832" t="inlineStr">
        <is>
          <t>GÄVLEBORGS LÄN</t>
        </is>
      </c>
      <c r="E832" t="inlineStr">
        <is>
          <t>SANDVIKEN</t>
        </is>
      </c>
      <c r="F832" t="inlineStr">
        <is>
          <t>Kommuner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16270-2026</t>
        </is>
      </c>
      <c r="B833" s="1" t="n">
        <v>46111.48707175926</v>
      </c>
      <c r="C833" s="1" t="n">
        <v>46129</v>
      </c>
      <c r="D833" t="inlineStr">
        <is>
          <t>GÄVLEBORGS LÄN</t>
        </is>
      </c>
      <c r="E833" t="inlineStr">
        <is>
          <t>SANDVIKEN</t>
        </is>
      </c>
      <c r="F833" t="inlineStr">
        <is>
          <t>Kommuner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9267-2026</t>
        </is>
      </c>
      <c r="B834" s="1" t="n">
        <v>46069</v>
      </c>
      <c r="C834" s="1" t="n">
        <v>46129</v>
      </c>
      <c r="D834" t="inlineStr">
        <is>
          <t>GÄVLEBORGS LÄN</t>
        </is>
      </c>
      <c r="E834" t="inlineStr">
        <is>
          <t>SANDVIKEN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1060-2026</t>
        </is>
      </c>
      <c r="B835" s="1" t="n">
        <v>46030</v>
      </c>
      <c r="C835" s="1" t="n">
        <v>46129</v>
      </c>
      <c r="D835" t="inlineStr">
        <is>
          <t>GÄVLEBORGS LÄN</t>
        </is>
      </c>
      <c r="E835" t="inlineStr">
        <is>
          <t>SANDVIKEN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16381-2026</t>
        </is>
      </c>
      <c r="B836" s="1" t="n">
        <v>46111.62233796297</v>
      </c>
      <c r="C836" s="1" t="n">
        <v>46129</v>
      </c>
      <c r="D836" t="inlineStr">
        <is>
          <t>GÄVLEBORGS LÄN</t>
        </is>
      </c>
      <c r="E836" t="inlineStr">
        <is>
          <t>SANDVIKEN</t>
        </is>
      </c>
      <c r="F836" t="inlineStr">
        <is>
          <t>Kommuner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16012-2026</t>
        </is>
      </c>
      <c r="B837" s="1" t="n">
        <v>46108.42440972223</v>
      </c>
      <c r="C837" s="1" t="n">
        <v>46129</v>
      </c>
      <c r="D837" t="inlineStr">
        <is>
          <t>GÄVLEBORGS LÄN</t>
        </is>
      </c>
      <c r="E837" t="inlineStr">
        <is>
          <t>SANDVIKEN</t>
        </is>
      </c>
      <c r="F837" t="inlineStr">
        <is>
          <t>Kommuner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16558-2026</t>
        </is>
      </c>
      <c r="B838" s="1" t="n">
        <v>46112.5528125</v>
      </c>
      <c r="C838" s="1" t="n">
        <v>46129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16567-2026</t>
        </is>
      </c>
      <c r="B839" s="1" t="n">
        <v>46112.5583912037</v>
      </c>
      <c r="C839" s="1" t="n">
        <v>46129</v>
      </c>
      <c r="D839" t="inlineStr">
        <is>
          <t>GÄVLEBORGS LÄN</t>
        </is>
      </c>
      <c r="E839" t="inlineStr">
        <is>
          <t>SANDVIKEN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16569-2026</t>
        </is>
      </c>
      <c r="B840" s="1" t="n">
        <v>46112.56074074074</v>
      </c>
      <c r="C840" s="1" t="n">
        <v>46129</v>
      </c>
      <c r="D840" t="inlineStr">
        <is>
          <t>GÄVLEBORGS LÄN</t>
        </is>
      </c>
      <c r="E840" t="inlineStr">
        <is>
          <t>SANDVIKEN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9472-2026</t>
        </is>
      </c>
      <c r="B841" s="1" t="n">
        <v>46071.51751157407</v>
      </c>
      <c r="C841" s="1" t="n">
        <v>46129</v>
      </c>
      <c r="D841" t="inlineStr">
        <is>
          <t>GÄVLEBORGS LÄN</t>
        </is>
      </c>
      <c r="E841" t="inlineStr">
        <is>
          <t>SANDVIKEN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9140-2026</t>
        </is>
      </c>
      <c r="B842" s="1" t="n">
        <v>46069.92490740741</v>
      </c>
      <c r="C842" s="1" t="n">
        <v>46129</v>
      </c>
      <c r="D842" t="inlineStr">
        <is>
          <t>GÄVLEBORGS LÄN</t>
        </is>
      </c>
      <c r="E842" t="inlineStr">
        <is>
          <t>SANDVIKEN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9145-2026</t>
        </is>
      </c>
      <c r="B843" s="1" t="n">
        <v>46070</v>
      </c>
      <c r="C843" s="1" t="n">
        <v>46129</v>
      </c>
      <c r="D843" t="inlineStr">
        <is>
          <t>GÄVLEBORGS LÄN</t>
        </is>
      </c>
      <c r="E843" t="inlineStr">
        <is>
          <t>SANDVIKEN</t>
        </is>
      </c>
      <c r="F843" t="inlineStr">
        <is>
          <t>Sveaskog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9347-2026</t>
        </is>
      </c>
      <c r="B844" s="1" t="n">
        <v>46070</v>
      </c>
      <c r="C844" s="1" t="n">
        <v>46129</v>
      </c>
      <c r="D844" t="inlineStr">
        <is>
          <t>GÄVLEBORGS LÄN</t>
        </is>
      </c>
      <c r="E844" t="inlineStr">
        <is>
          <t>SANDVIKEN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9603-2026</t>
        </is>
      </c>
      <c r="B845" s="1" t="n">
        <v>46071</v>
      </c>
      <c r="C845" s="1" t="n">
        <v>46129</v>
      </c>
      <c r="D845" t="inlineStr">
        <is>
          <t>GÄVLEBORGS LÄN</t>
        </is>
      </c>
      <c r="E845" t="inlineStr">
        <is>
          <t>SANDVIKEN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23162-2023</t>
        </is>
      </c>
      <c r="B846" s="1" t="n">
        <v>45075</v>
      </c>
      <c r="C846" s="1" t="n">
        <v>46129</v>
      </c>
      <c r="D846" t="inlineStr">
        <is>
          <t>GÄVLEBORGS LÄN</t>
        </is>
      </c>
      <c r="E846" t="inlineStr">
        <is>
          <t>SANDVIKEN</t>
        </is>
      </c>
      <c r="F846" t="inlineStr">
        <is>
          <t>Bergvik skog öst AB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9246-2026</t>
        </is>
      </c>
      <c r="B847" s="1" t="n">
        <v>46070.49</v>
      </c>
      <c r="C847" s="1" t="n">
        <v>46129</v>
      </c>
      <c r="D847" t="inlineStr">
        <is>
          <t>GÄVLEBORGS LÄN</t>
        </is>
      </c>
      <c r="E847" t="inlineStr">
        <is>
          <t>SANDVIKEN</t>
        </is>
      </c>
      <c r="F847" t="inlineStr">
        <is>
          <t>Kommuner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29296-2024</t>
        </is>
      </c>
      <c r="B848" s="1" t="n">
        <v>45483.33774305556</v>
      </c>
      <c r="C848" s="1" t="n">
        <v>46129</v>
      </c>
      <c r="D848" t="inlineStr">
        <is>
          <t>GÄVLEBORGS LÄN</t>
        </is>
      </c>
      <c r="E848" t="inlineStr">
        <is>
          <t>SANDVIKEN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9480-2026</t>
        </is>
      </c>
      <c r="B849" s="1" t="n">
        <v>46071.52795138889</v>
      </c>
      <c r="C849" s="1" t="n">
        <v>46129</v>
      </c>
      <c r="D849" t="inlineStr">
        <is>
          <t>GÄVLEBORGS LÄN</t>
        </is>
      </c>
      <c r="E849" t="inlineStr">
        <is>
          <t>SANDVIKEN</t>
        </is>
      </c>
      <c r="F849" t="inlineStr">
        <is>
          <t>Naturvårdsverket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9252-2026</t>
        </is>
      </c>
      <c r="B850" s="1" t="n">
        <v>46070.50712962963</v>
      </c>
      <c r="C850" s="1" t="n">
        <v>46129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9349-2026</t>
        </is>
      </c>
      <c r="B851" s="1" t="n">
        <v>46070</v>
      </c>
      <c r="C851" s="1" t="n">
        <v>46129</v>
      </c>
      <c r="D851" t="inlineStr">
        <is>
          <t>GÄVLEBORGS LÄN</t>
        </is>
      </c>
      <c r="E851" t="inlineStr">
        <is>
          <t>SANDVIKEN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9601-2026</t>
        </is>
      </c>
      <c r="B852" s="1" t="n">
        <v>46071</v>
      </c>
      <c r="C852" s="1" t="n">
        <v>46129</v>
      </c>
      <c r="D852" t="inlineStr">
        <is>
          <t>GÄVLEBORGS LÄN</t>
        </is>
      </c>
      <c r="E852" t="inlineStr">
        <is>
          <t>SANDVIKEN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9137-2026</t>
        </is>
      </c>
      <c r="B853" s="1" t="n">
        <v>46069.92002314814</v>
      </c>
      <c r="C853" s="1" t="n">
        <v>46129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9139-2026</t>
        </is>
      </c>
      <c r="B854" s="1" t="n">
        <v>46069.92164351852</v>
      </c>
      <c r="C854" s="1" t="n">
        <v>46129</v>
      </c>
      <c r="D854" t="inlineStr">
        <is>
          <t>GÄVLEBORGS LÄN</t>
        </is>
      </c>
      <c r="E854" t="inlineStr">
        <is>
          <t>SANDVIKEN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14332-2026</t>
        </is>
      </c>
      <c r="B855" s="1" t="n">
        <v>46100</v>
      </c>
      <c r="C855" s="1" t="n">
        <v>46129</v>
      </c>
      <c r="D855" t="inlineStr">
        <is>
          <t>GÄVLEBORGS LÄN</t>
        </is>
      </c>
      <c r="E855" t="inlineStr">
        <is>
          <t>SANDVIKEN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9478-2026</t>
        </is>
      </c>
      <c r="B856" s="1" t="n">
        <v>46071</v>
      </c>
      <c r="C856" s="1" t="n">
        <v>46129</v>
      </c>
      <c r="D856" t="inlineStr">
        <is>
          <t>GÄVLEBORGS LÄN</t>
        </is>
      </c>
      <c r="E856" t="inlineStr">
        <is>
          <t>SANDVIKEN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16563-2026</t>
        </is>
      </c>
      <c r="B857" s="1" t="n">
        <v>46112.55568287037</v>
      </c>
      <c r="C857" s="1" t="n">
        <v>46129</v>
      </c>
      <c r="D857" t="inlineStr">
        <is>
          <t>GÄVLEBORGS LÄN</t>
        </is>
      </c>
      <c r="E857" t="inlineStr">
        <is>
          <t>SANDVIKEN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16694-2026</t>
        </is>
      </c>
      <c r="B858" s="1" t="n">
        <v>46112.85015046296</v>
      </c>
      <c r="C858" s="1" t="n">
        <v>46129</v>
      </c>
      <c r="D858" t="inlineStr">
        <is>
          <t>GÄVLEBORGS LÄN</t>
        </is>
      </c>
      <c r="E858" t="inlineStr">
        <is>
          <t>SANDVIKEN</t>
        </is>
      </c>
      <c r="F858" t="inlineStr">
        <is>
          <t>Sveaskog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9141-2026</t>
        </is>
      </c>
      <c r="B859" s="1" t="n">
        <v>46069.92771990741</v>
      </c>
      <c r="C859" s="1" t="n">
        <v>46129</v>
      </c>
      <c r="D859" t="inlineStr">
        <is>
          <t>GÄVLEBORGS LÄN</t>
        </is>
      </c>
      <c r="E859" t="inlineStr">
        <is>
          <t>SANDVIKEN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10020-2026</t>
        </is>
      </c>
      <c r="B860" s="1" t="n">
        <v>46073</v>
      </c>
      <c r="C860" s="1" t="n">
        <v>46129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10022-2026</t>
        </is>
      </c>
      <c r="B861" s="1" t="n">
        <v>46073.58239583333</v>
      </c>
      <c r="C861" s="1" t="n">
        <v>46129</v>
      </c>
      <c r="D861" t="inlineStr">
        <is>
          <t>GÄVLEBORGS LÄN</t>
        </is>
      </c>
      <c r="E861" t="inlineStr">
        <is>
          <t>SANDVIKEN</t>
        </is>
      </c>
      <c r="F861" t="inlineStr">
        <is>
          <t>Sveaskog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10024-2026</t>
        </is>
      </c>
      <c r="B862" s="1" t="n">
        <v>46073.58351851852</v>
      </c>
      <c r="C862" s="1" t="n">
        <v>46129</v>
      </c>
      <c r="D862" t="inlineStr">
        <is>
          <t>GÄVLEBORGS LÄN</t>
        </is>
      </c>
      <c r="E862" t="inlineStr">
        <is>
          <t>SANDVIKEN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9862-2026</t>
        </is>
      </c>
      <c r="B863" s="1" t="n">
        <v>46072.96069444445</v>
      </c>
      <c r="C863" s="1" t="n">
        <v>46129</v>
      </c>
      <c r="D863" t="inlineStr">
        <is>
          <t>GÄVLEBORGS LÄN</t>
        </is>
      </c>
      <c r="E863" t="inlineStr">
        <is>
          <t>SANDVIKEN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10025-2026</t>
        </is>
      </c>
      <c r="B864" s="1" t="n">
        <v>46073</v>
      </c>
      <c r="C864" s="1" t="n">
        <v>46129</v>
      </c>
      <c r="D864" t="inlineStr">
        <is>
          <t>GÄVLEBORGS LÄN</t>
        </is>
      </c>
      <c r="E864" t="inlineStr">
        <is>
          <t>SANDVIKEN</t>
        </is>
      </c>
      <c r="F864" t="inlineStr">
        <is>
          <t>Kommuner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9861-2026</t>
        </is>
      </c>
      <c r="B865" s="1" t="n">
        <v>46072.95856481481</v>
      </c>
      <c r="C865" s="1" t="n">
        <v>46129</v>
      </c>
      <c r="D865" t="inlineStr">
        <is>
          <t>GÄVLEBORGS LÄN</t>
        </is>
      </c>
      <c r="E865" t="inlineStr">
        <is>
          <t>SANDVIKEN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43090-2023</t>
        </is>
      </c>
      <c r="B866" s="1" t="n">
        <v>45182.90457175926</v>
      </c>
      <c r="C866" s="1" t="n">
        <v>46129</v>
      </c>
      <c r="D866" t="inlineStr">
        <is>
          <t>GÄVLEBORGS LÄN</t>
        </is>
      </c>
      <c r="E866" t="inlineStr">
        <is>
          <t>SANDVIKEN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17171-2026</t>
        </is>
      </c>
      <c r="B867" s="1" t="n">
        <v>46115.76376157408</v>
      </c>
      <c r="C867" s="1" t="n">
        <v>46129</v>
      </c>
      <c r="D867" t="inlineStr">
        <is>
          <t>GÄVLEBORGS LÄN</t>
        </is>
      </c>
      <c r="E867" t="inlineStr">
        <is>
          <t>SANDVIKEN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17174-2026</t>
        </is>
      </c>
      <c r="B868" s="1" t="n">
        <v>46115.86236111111</v>
      </c>
      <c r="C868" s="1" t="n">
        <v>46129</v>
      </c>
      <c r="D868" t="inlineStr">
        <is>
          <t>GÄVLEBORGS LÄN</t>
        </is>
      </c>
      <c r="E868" t="inlineStr">
        <is>
          <t>SANDVIKEN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9978-2026</t>
        </is>
      </c>
      <c r="B869" s="1" t="n">
        <v>46073.53269675926</v>
      </c>
      <c r="C869" s="1" t="n">
        <v>46129</v>
      </c>
      <c r="D869" t="inlineStr">
        <is>
          <t>GÄVLEBORGS LÄN</t>
        </is>
      </c>
      <c r="E869" t="inlineStr">
        <is>
          <t>SANDVIKEN</t>
        </is>
      </c>
      <c r="F869" t="inlineStr">
        <is>
          <t>Sveaskog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10075-2026</t>
        </is>
      </c>
      <c r="B870" s="1" t="n">
        <v>46073</v>
      </c>
      <c r="C870" s="1" t="n">
        <v>46129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9651-2026</t>
        </is>
      </c>
      <c r="B871" s="1" t="n">
        <v>46072.35738425926</v>
      </c>
      <c r="C871" s="1" t="n">
        <v>46129</v>
      </c>
      <c r="D871" t="inlineStr">
        <is>
          <t>GÄVLEBORGS LÄN</t>
        </is>
      </c>
      <c r="E871" t="inlineStr">
        <is>
          <t>SANDVIKEN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17175-2026</t>
        </is>
      </c>
      <c r="B872" s="1" t="n">
        <v>46115.86550925926</v>
      </c>
      <c r="C872" s="1" t="n">
        <v>46129</v>
      </c>
      <c r="D872" t="inlineStr">
        <is>
          <t>GÄVLEBORGS LÄN</t>
        </is>
      </c>
      <c r="E872" t="inlineStr">
        <is>
          <t>SANDVIKEN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16958-2026</t>
        </is>
      </c>
      <c r="B873" s="1" t="n">
        <v>46114.34172453704</v>
      </c>
      <c r="C873" s="1" t="n">
        <v>46129</v>
      </c>
      <c r="D873" t="inlineStr">
        <is>
          <t>GÄVLEBORGS LÄN</t>
        </is>
      </c>
      <c r="E873" t="inlineStr">
        <is>
          <t>SANDVIKEN</t>
        </is>
      </c>
      <c r="G873" t="n">
        <v>10.3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9953-2026</t>
        </is>
      </c>
      <c r="B874" s="1" t="n">
        <v>46073</v>
      </c>
      <c r="C874" s="1" t="n">
        <v>46129</v>
      </c>
      <c r="D874" t="inlineStr">
        <is>
          <t>GÄVLEBORGS LÄN</t>
        </is>
      </c>
      <c r="E874" t="inlineStr">
        <is>
          <t>SANDVIKEN</t>
        </is>
      </c>
      <c r="F874" t="inlineStr">
        <is>
          <t>Sveaskog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17164-2026</t>
        </is>
      </c>
      <c r="B875" s="1" t="n">
        <v>46115.6984375</v>
      </c>
      <c r="C875" s="1" t="n">
        <v>46129</v>
      </c>
      <c r="D875" t="inlineStr">
        <is>
          <t>GÄVLEBORGS LÄN</t>
        </is>
      </c>
      <c r="E875" t="inlineStr">
        <is>
          <t>SANDVIKEN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17169-2026</t>
        </is>
      </c>
      <c r="B876" s="1" t="n">
        <v>46115.75788194445</v>
      </c>
      <c r="C876" s="1" t="n">
        <v>46129</v>
      </c>
      <c r="D876" t="inlineStr">
        <is>
          <t>GÄVLEBORGS LÄN</t>
        </is>
      </c>
      <c r="E876" t="inlineStr">
        <is>
          <t>SANDVIKEN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17172-2026</t>
        </is>
      </c>
      <c r="B877" s="1" t="n">
        <v>46115.76804398148</v>
      </c>
      <c r="C877" s="1" t="n">
        <v>46129</v>
      </c>
      <c r="D877" t="inlineStr">
        <is>
          <t>GÄVLEBORGS LÄN</t>
        </is>
      </c>
      <c r="E877" t="inlineStr">
        <is>
          <t>SANDVIKEN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17173-2026</t>
        </is>
      </c>
      <c r="B878" s="1" t="n">
        <v>46115.76929398148</v>
      </c>
      <c r="C878" s="1" t="n">
        <v>46129</v>
      </c>
      <c r="D878" t="inlineStr">
        <is>
          <t>GÄVLEBORGS LÄN</t>
        </is>
      </c>
      <c r="E878" t="inlineStr">
        <is>
          <t>SANDVIKEN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17176-2026</t>
        </is>
      </c>
      <c r="B879" s="1" t="n">
        <v>46115.86738425926</v>
      </c>
      <c r="C879" s="1" t="n">
        <v>46129</v>
      </c>
      <c r="D879" t="inlineStr">
        <is>
          <t>GÄVLEBORGS LÄN</t>
        </is>
      </c>
      <c r="E879" t="inlineStr">
        <is>
          <t>SANDVIKEN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45102-2022</t>
        </is>
      </c>
      <c r="B880" s="1" t="n">
        <v>44843.47506944444</v>
      </c>
      <c r="C880" s="1" t="n">
        <v>46129</v>
      </c>
      <c r="D880" t="inlineStr">
        <is>
          <t>GÄVLEBORGS LÄN</t>
        </is>
      </c>
      <c r="E880" t="inlineStr">
        <is>
          <t>SANDVIKEN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9903-2026</t>
        </is>
      </c>
      <c r="B881" s="1" t="n">
        <v>46073.40578703704</v>
      </c>
      <c r="C881" s="1" t="n">
        <v>46129</v>
      </c>
      <c r="D881" t="inlineStr">
        <is>
          <t>GÄVLEBORGS LÄN</t>
        </is>
      </c>
      <c r="E881" t="inlineStr">
        <is>
          <t>SANDVIKEN</t>
        </is>
      </c>
      <c r="F881" t="inlineStr">
        <is>
          <t>Kommuner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10034-2026</t>
        </is>
      </c>
      <c r="B882" s="1" t="n">
        <v>46073</v>
      </c>
      <c r="C882" s="1" t="n">
        <v>46129</v>
      </c>
      <c r="D882" t="inlineStr">
        <is>
          <t>GÄVLEBORGS LÄN</t>
        </is>
      </c>
      <c r="E882" t="inlineStr">
        <is>
          <t>SANDVIKEN</t>
        </is>
      </c>
      <c r="F882" t="inlineStr">
        <is>
          <t>Sveaskog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9910-2026</t>
        </is>
      </c>
      <c r="B883" s="1" t="n">
        <v>46073.41920138889</v>
      </c>
      <c r="C883" s="1" t="n">
        <v>46129</v>
      </c>
      <c r="D883" t="inlineStr">
        <is>
          <t>GÄVLEBORGS LÄN</t>
        </is>
      </c>
      <c r="E883" t="inlineStr">
        <is>
          <t>SANDVIKEN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9653-2026</t>
        </is>
      </c>
      <c r="B884" s="1" t="n">
        <v>46072.36167824074</v>
      </c>
      <c r="C884" s="1" t="n">
        <v>46129</v>
      </c>
      <c r="D884" t="inlineStr">
        <is>
          <t>GÄVLEBORGS LÄN</t>
        </is>
      </c>
      <c r="E884" t="inlineStr">
        <is>
          <t>SANDVIKEN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9718-2026</t>
        </is>
      </c>
      <c r="B885" s="1" t="n">
        <v>46072.44950231481</v>
      </c>
      <c r="C885" s="1" t="n">
        <v>46129</v>
      </c>
      <c r="D885" t="inlineStr">
        <is>
          <t>GÄVLEBORGS LÄN</t>
        </is>
      </c>
      <c r="E885" t="inlineStr">
        <is>
          <t>SANDVIKEN</t>
        </is>
      </c>
      <c r="F885" t="inlineStr">
        <is>
          <t>Kommuner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9714-2026</t>
        </is>
      </c>
      <c r="B886" s="1" t="n">
        <v>46072.44634259259</v>
      </c>
      <c r="C886" s="1" t="n">
        <v>46129</v>
      </c>
      <c r="D886" t="inlineStr">
        <is>
          <t>GÄVLEBORGS LÄN</t>
        </is>
      </c>
      <c r="E886" t="inlineStr">
        <is>
          <t>SANDVIKEN</t>
        </is>
      </c>
      <c r="F886" t="inlineStr">
        <is>
          <t>Naturvårdsverket</t>
        </is>
      </c>
      <c r="G886" t="n">
        <v>19.5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16955-2026</t>
        </is>
      </c>
      <c r="B887" s="1" t="n">
        <v>46114.32001157408</v>
      </c>
      <c r="C887" s="1" t="n">
        <v>46129</v>
      </c>
      <c r="D887" t="inlineStr">
        <is>
          <t>GÄVLEBORGS LÄN</t>
        </is>
      </c>
      <c r="E887" t="inlineStr">
        <is>
          <t>SANDVIKEN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9629-2026</t>
        </is>
      </c>
      <c r="B888" s="1" t="n">
        <v>46072.34410879629</v>
      </c>
      <c r="C888" s="1" t="n">
        <v>46129</v>
      </c>
      <c r="D888" t="inlineStr">
        <is>
          <t>GÄVLEBORGS LÄN</t>
        </is>
      </c>
      <c r="E888" t="inlineStr">
        <is>
          <t>SANDVIKEN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4502-2024</t>
        </is>
      </c>
      <c r="B889" s="1" t="n">
        <v>45327</v>
      </c>
      <c r="C889" s="1" t="n">
        <v>46129</v>
      </c>
      <c r="D889" t="inlineStr">
        <is>
          <t>GÄVLEBORGS LÄN</t>
        </is>
      </c>
      <c r="E889" t="inlineStr">
        <is>
          <t>SANDVIKEN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17163-2026</t>
        </is>
      </c>
      <c r="B890" s="1" t="n">
        <v>46115.69540509259</v>
      </c>
      <c r="C890" s="1" t="n">
        <v>46129</v>
      </c>
      <c r="D890" t="inlineStr">
        <is>
          <t>GÄVLEBORGS LÄN</t>
        </is>
      </c>
      <c r="E890" t="inlineStr">
        <is>
          <t>SANDVIKEN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17360-2026</t>
        </is>
      </c>
      <c r="B891" s="1" t="n">
        <v>46119.68850694445</v>
      </c>
      <c r="C891" s="1" t="n">
        <v>46129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17361-2026</t>
        </is>
      </c>
      <c r="B892" s="1" t="n">
        <v>46119.68877314815</v>
      </c>
      <c r="C892" s="1" t="n">
        <v>46129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17364-2026</t>
        </is>
      </c>
      <c r="B893" s="1" t="n">
        <v>46119.69024305556</v>
      </c>
      <c r="C893" s="1" t="n">
        <v>46129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10600-2026</t>
        </is>
      </c>
      <c r="B894" s="1" t="n">
        <v>46077.74506944444</v>
      </c>
      <c r="C894" s="1" t="n">
        <v>46129</v>
      </c>
      <c r="D894" t="inlineStr">
        <is>
          <t>GÄVLEBORGS LÄN</t>
        </is>
      </c>
      <c r="E894" t="inlineStr">
        <is>
          <t>SANDVIKEN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10176-2026</t>
        </is>
      </c>
      <c r="B895" s="1" t="n">
        <v>46076.42652777778</v>
      </c>
      <c r="C895" s="1" t="n">
        <v>46129</v>
      </c>
      <c r="D895" t="inlineStr">
        <is>
          <t>GÄVLEBORGS LÄN</t>
        </is>
      </c>
      <c r="E895" t="inlineStr">
        <is>
          <t>SANDVIKEN</t>
        </is>
      </c>
      <c r="F895" t="inlineStr">
        <is>
          <t>Kommuner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17473-2026</t>
        </is>
      </c>
      <c r="B896" s="1" t="n">
        <v>46120.51909722222</v>
      </c>
      <c r="C896" s="1" t="n">
        <v>46129</v>
      </c>
      <c r="D896" t="inlineStr">
        <is>
          <t>GÄVLEBORGS LÄN</t>
        </is>
      </c>
      <c r="E896" t="inlineStr">
        <is>
          <t>SANDVIKEN</t>
        </is>
      </c>
      <c r="F896" t="inlineStr">
        <is>
          <t>Sveaskog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13552-2026</t>
        </is>
      </c>
      <c r="B897" s="1" t="n">
        <v>46094</v>
      </c>
      <c r="C897" s="1" t="n">
        <v>46129</v>
      </c>
      <c r="D897" t="inlineStr">
        <is>
          <t>GÄVLEBORGS LÄN</t>
        </is>
      </c>
      <c r="E897" t="inlineStr">
        <is>
          <t>SANDVIKEN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13557-2026</t>
        </is>
      </c>
      <c r="B898" s="1" t="n">
        <v>46094</v>
      </c>
      <c r="C898" s="1" t="n">
        <v>46129</v>
      </c>
      <c r="D898" t="inlineStr">
        <is>
          <t>GÄVLEBORGS LÄN</t>
        </is>
      </c>
      <c r="E898" t="inlineStr">
        <is>
          <t>SANDVIKEN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17179-2026</t>
        </is>
      </c>
      <c r="B899" s="1" t="n">
        <v>46116.68177083333</v>
      </c>
      <c r="C899" s="1" t="n">
        <v>46129</v>
      </c>
      <c r="D899" t="inlineStr">
        <is>
          <t>GÄVLEBORGS LÄN</t>
        </is>
      </c>
      <c r="E899" t="inlineStr">
        <is>
          <t>SANDVIKEN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10107-2026</t>
        </is>
      </c>
      <c r="B900" s="1" t="n">
        <v>46074.55253472222</v>
      </c>
      <c r="C900" s="1" t="n">
        <v>46129</v>
      </c>
      <c r="D900" t="inlineStr">
        <is>
          <t>GÄVLEBORGS LÄN</t>
        </is>
      </c>
      <c r="E900" t="inlineStr">
        <is>
          <t>SANDVIKEN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17365-2026</t>
        </is>
      </c>
      <c r="B901" s="1" t="n">
        <v>46119.69060185185</v>
      </c>
      <c r="C901" s="1" t="n">
        <v>46129</v>
      </c>
      <c r="D901" t="inlineStr">
        <is>
          <t>GÄVLEBORGS LÄN</t>
        </is>
      </c>
      <c r="E901" t="inlineStr">
        <is>
          <t>SANDVIKEN</t>
        </is>
      </c>
      <c r="F901" t="inlineStr">
        <is>
          <t>Bergvik skog öst AB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14999-2026</t>
        </is>
      </c>
      <c r="B902" s="1" t="n">
        <v>46104</v>
      </c>
      <c r="C902" s="1" t="n">
        <v>46129</v>
      </c>
      <c r="D902" t="inlineStr">
        <is>
          <t>GÄVLEBORGS LÄN</t>
        </is>
      </c>
      <c r="E902" t="inlineStr">
        <is>
          <t>SANDVIKEN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17359-2026</t>
        </is>
      </c>
      <c r="B903" s="1" t="n">
        <v>46119.68824074074</v>
      </c>
      <c r="C903" s="1" t="n">
        <v>46129</v>
      </c>
      <c r="D903" t="inlineStr">
        <is>
          <t>GÄVLEBORGS LÄN</t>
        </is>
      </c>
      <c r="E903" t="inlineStr">
        <is>
          <t>SANDVIKEN</t>
        </is>
      </c>
      <c r="F903" t="inlineStr">
        <is>
          <t>Bergvik skog öst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17363-2026</t>
        </is>
      </c>
      <c r="B904" s="1" t="n">
        <v>46119.6890162037</v>
      </c>
      <c r="C904" s="1" t="n">
        <v>46129</v>
      </c>
      <c r="D904" t="inlineStr">
        <is>
          <t>GÄVLEBORGS LÄN</t>
        </is>
      </c>
      <c r="E904" t="inlineStr">
        <is>
          <t>SANDVIKEN</t>
        </is>
      </c>
      <c r="F904" t="inlineStr">
        <is>
          <t>Bergvik skog öst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17165-2026</t>
        </is>
      </c>
      <c r="B905" s="1" t="n">
        <v>46115.71430555556</v>
      </c>
      <c r="C905" s="1" t="n">
        <v>46129</v>
      </c>
      <c r="D905" t="inlineStr">
        <is>
          <t>GÄVLEBORGS LÄN</t>
        </is>
      </c>
      <c r="E905" t="inlineStr">
        <is>
          <t>SANDVIKEN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17166-2026</t>
        </is>
      </c>
      <c r="B906" s="1" t="n">
        <v>46115.71600694444</v>
      </c>
      <c r="C906" s="1" t="n">
        <v>46129</v>
      </c>
      <c r="D906" t="inlineStr">
        <is>
          <t>GÄVLEBORGS LÄN</t>
        </is>
      </c>
      <c r="E906" t="inlineStr">
        <is>
          <t>SANDVIKEN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17183-2026</t>
        </is>
      </c>
      <c r="B907" s="1" t="n">
        <v>46116.69542824074</v>
      </c>
      <c r="C907" s="1" t="n">
        <v>46129</v>
      </c>
      <c r="D907" t="inlineStr">
        <is>
          <t>GÄVLEBORGS LÄN</t>
        </is>
      </c>
      <c r="E907" t="inlineStr">
        <is>
          <t>SANDVIKEN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37697-2022</t>
        </is>
      </c>
      <c r="B908" s="1" t="n">
        <v>44810.51233796297</v>
      </c>
      <c r="C908" s="1" t="n">
        <v>46129</v>
      </c>
      <c r="D908" t="inlineStr">
        <is>
          <t>GÄVLEBORGS LÄN</t>
        </is>
      </c>
      <c r="E908" t="inlineStr">
        <is>
          <t>SANDVIKEN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10346-2026</t>
        </is>
      </c>
      <c r="B909" s="1" t="n">
        <v>46076</v>
      </c>
      <c r="C909" s="1" t="n">
        <v>46129</v>
      </c>
      <c r="D909" t="inlineStr">
        <is>
          <t>GÄVLEBORGS LÄN</t>
        </is>
      </c>
      <c r="E909" t="inlineStr">
        <is>
          <t>SANDVIKEN</t>
        </is>
      </c>
      <c r="F909" t="inlineStr">
        <is>
          <t>Kommuner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17366-2026</t>
        </is>
      </c>
      <c r="B910" s="1" t="n">
        <v>46119.69097222222</v>
      </c>
      <c r="C910" s="1" t="n">
        <v>46129</v>
      </c>
      <c r="D910" t="inlineStr">
        <is>
          <t>GÄVLEBORGS LÄN</t>
        </is>
      </c>
      <c r="E910" t="inlineStr">
        <is>
          <t>SANDVIKEN</t>
        </is>
      </c>
      <c r="F910" t="inlineStr">
        <is>
          <t>Bergvik skog öst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1360-2026</t>
        </is>
      </c>
      <c r="B911" s="1" t="n">
        <v>46031</v>
      </c>
      <c r="C911" s="1" t="n">
        <v>46129</v>
      </c>
      <c r="D911" t="inlineStr">
        <is>
          <t>GÄVLEBORGS LÄN</t>
        </is>
      </c>
      <c r="E911" t="inlineStr">
        <is>
          <t>SANDVIKEN</t>
        </is>
      </c>
      <c r="G911" t="n">
        <v>11.2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10260-2026</t>
        </is>
      </c>
      <c r="B912" s="1" t="n">
        <v>46076.57008101852</v>
      </c>
      <c r="C912" s="1" t="n">
        <v>46129</v>
      </c>
      <c r="D912" t="inlineStr">
        <is>
          <t>GÄVLEBORGS LÄN</t>
        </is>
      </c>
      <c r="E912" t="inlineStr">
        <is>
          <t>SANDVIKEN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6167-2025</t>
        </is>
      </c>
      <c r="B913" s="1" t="n">
        <v>45698.42238425926</v>
      </c>
      <c r="C913" s="1" t="n">
        <v>46129</v>
      </c>
      <c r="D913" t="inlineStr">
        <is>
          <t>GÄVLEBORGS LÄN</t>
        </is>
      </c>
      <c r="E913" t="inlineStr">
        <is>
          <t>SANDVIKEN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10780-2026</t>
        </is>
      </c>
      <c r="B914" s="1" t="n">
        <v>46078</v>
      </c>
      <c r="C914" s="1" t="n">
        <v>46129</v>
      </c>
      <c r="D914" t="inlineStr">
        <is>
          <t>GÄVLEBORGS LÄN</t>
        </is>
      </c>
      <c r="E914" t="inlineStr">
        <is>
          <t>SANDVIKEN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10114-2026</t>
        </is>
      </c>
      <c r="B915" s="1" t="n">
        <v>46074.83458333334</v>
      </c>
      <c r="C915" s="1" t="n">
        <v>46129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15458-2026</t>
        </is>
      </c>
      <c r="B916" s="1" t="n">
        <v>46106</v>
      </c>
      <c r="C916" s="1" t="n">
        <v>46129</v>
      </c>
      <c r="D916" t="inlineStr">
        <is>
          <t>GÄVLEBORGS LÄN</t>
        </is>
      </c>
      <c r="E916" t="inlineStr">
        <is>
          <t>SANDVIKEN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13551-2026</t>
        </is>
      </c>
      <c r="B917" s="1" t="n">
        <v>46094</v>
      </c>
      <c r="C917" s="1" t="n">
        <v>46129</v>
      </c>
      <c r="D917" t="inlineStr">
        <is>
          <t>GÄVLEBORGS LÄN</t>
        </is>
      </c>
      <c r="E917" t="inlineStr">
        <is>
          <t>SANDVIKEN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17177-2026</t>
        </is>
      </c>
      <c r="B918" s="1" t="n">
        <v>46115.87587962963</v>
      </c>
      <c r="C918" s="1" t="n">
        <v>46129</v>
      </c>
      <c r="D918" t="inlineStr">
        <is>
          <t>GÄVLEBORGS LÄN</t>
        </is>
      </c>
      <c r="E918" t="inlineStr">
        <is>
          <t>SANDVIKEN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17181-2026</t>
        </is>
      </c>
      <c r="B919" s="1" t="n">
        <v>46116.69282407407</v>
      </c>
      <c r="C919" s="1" t="n">
        <v>46129</v>
      </c>
      <c r="D919" t="inlineStr">
        <is>
          <t>GÄVLEBORGS LÄN</t>
        </is>
      </c>
      <c r="E919" t="inlineStr">
        <is>
          <t>SANDVIKEN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17182-2026</t>
        </is>
      </c>
      <c r="B920" s="1" t="n">
        <v>46116.69391203704</v>
      </c>
      <c r="C920" s="1" t="n">
        <v>46129</v>
      </c>
      <c r="D920" t="inlineStr">
        <is>
          <t>GÄVLEBORGS LÄN</t>
        </is>
      </c>
      <c r="E920" t="inlineStr">
        <is>
          <t>SANDVIKEN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49211-2023</t>
        </is>
      </c>
      <c r="B921" s="1" t="n">
        <v>45210.60303240741</v>
      </c>
      <c r="C921" s="1" t="n">
        <v>46129</v>
      </c>
      <c r="D921" t="inlineStr">
        <is>
          <t>GÄVLEBORGS LÄN</t>
        </is>
      </c>
      <c r="E921" t="inlineStr">
        <is>
          <t>SANDVIKEN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61537-2023</t>
        </is>
      </c>
      <c r="B922" s="1" t="n">
        <v>45265.37725694444</v>
      </c>
      <c r="C922" s="1" t="n">
        <v>46129</v>
      </c>
      <c r="D922" t="inlineStr">
        <is>
          <t>GÄVLEBORGS LÄN</t>
        </is>
      </c>
      <c r="E922" t="inlineStr">
        <is>
          <t>SANDVIKEN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1372-2026</t>
        </is>
      </c>
      <c r="B923" s="1" t="n">
        <v>46031</v>
      </c>
      <c r="C923" s="1" t="n">
        <v>46129</v>
      </c>
      <c r="D923" t="inlineStr">
        <is>
          <t>GÄVLEBORGS LÄN</t>
        </is>
      </c>
      <c r="E923" t="inlineStr">
        <is>
          <t>SANDVIKEN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17180-2026</t>
        </is>
      </c>
      <c r="B924" s="1" t="n">
        <v>46116.68623842593</v>
      </c>
      <c r="C924" s="1" t="n">
        <v>46129</v>
      </c>
      <c r="D924" t="inlineStr">
        <is>
          <t>GÄVLEBORGS LÄN</t>
        </is>
      </c>
      <c r="E924" t="inlineStr">
        <is>
          <t>SANDVIKEN</t>
        </is>
      </c>
      <c r="G924" t="n">
        <v>8.9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13564-2026</t>
        </is>
      </c>
      <c r="B925" s="1" t="n">
        <v>46094</v>
      </c>
      <c r="C925" s="1" t="n">
        <v>46129</v>
      </c>
      <c r="D925" t="inlineStr">
        <is>
          <t>GÄVLEBORGS LÄN</t>
        </is>
      </c>
      <c r="E925" t="inlineStr">
        <is>
          <t>SANDVIKEN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10808-2026</t>
        </is>
      </c>
      <c r="B926" s="1" t="n">
        <v>46078</v>
      </c>
      <c r="C926" s="1" t="n">
        <v>46129</v>
      </c>
      <c r="D926" t="inlineStr">
        <is>
          <t>GÄVLEBORGS LÄN</t>
        </is>
      </c>
      <c r="E926" t="inlineStr">
        <is>
          <t>SANDVIKEN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12208-2026</t>
        </is>
      </c>
      <c r="B927" s="1" t="n">
        <v>46087</v>
      </c>
      <c r="C927" s="1" t="n">
        <v>46129</v>
      </c>
      <c r="D927" t="inlineStr">
        <is>
          <t>GÄVLEBORGS LÄN</t>
        </is>
      </c>
      <c r="E927" t="inlineStr">
        <is>
          <t>SANDVIKEN</t>
        </is>
      </c>
      <c r="G927" t="n">
        <v>9.4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3748-2022</t>
        </is>
      </c>
      <c r="B928" s="1" t="n">
        <v>44586.71274305556</v>
      </c>
      <c r="C928" s="1" t="n">
        <v>46129</v>
      </c>
      <c r="D928" t="inlineStr">
        <is>
          <t>GÄVLEBORGS LÄN</t>
        </is>
      </c>
      <c r="E928" t="inlineStr">
        <is>
          <t>SANDVIKEN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1562-2026</t>
        </is>
      </c>
      <c r="B929" s="1" t="n">
        <v>46034</v>
      </c>
      <c r="C929" s="1" t="n">
        <v>46129</v>
      </c>
      <c r="D929" t="inlineStr">
        <is>
          <t>GÄVLEBORGS LÄN</t>
        </is>
      </c>
      <c r="E929" t="inlineStr">
        <is>
          <t>SANDVIKEN</t>
        </is>
      </c>
      <c r="G929" t="n">
        <v>9.300000000000001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15237-2026</t>
        </is>
      </c>
      <c r="B930" s="1" t="n">
        <v>46105</v>
      </c>
      <c r="C930" s="1" t="n">
        <v>46129</v>
      </c>
      <c r="D930" t="inlineStr">
        <is>
          <t>GÄVLEBORGS LÄN</t>
        </is>
      </c>
      <c r="E930" t="inlineStr">
        <is>
          <t>SANDVIKEN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15113-2026</t>
        </is>
      </c>
      <c r="B931" s="1" t="n">
        <v>46105</v>
      </c>
      <c r="C931" s="1" t="n">
        <v>46129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11089-2026</t>
        </is>
      </c>
      <c r="B932" s="1" t="n">
        <v>46079.62960648148</v>
      </c>
      <c r="C932" s="1" t="n">
        <v>46129</v>
      </c>
      <c r="D932" t="inlineStr">
        <is>
          <t>GÄVLEBORGS LÄN</t>
        </is>
      </c>
      <c r="E932" t="inlineStr">
        <is>
          <t>SANDVIKEN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17617-2026</t>
        </is>
      </c>
      <c r="B933" s="1" t="n">
        <v>46121.465625</v>
      </c>
      <c r="C933" s="1" t="n">
        <v>46129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11191-2026</t>
        </is>
      </c>
      <c r="B934" s="1" t="n">
        <v>46080.41828703704</v>
      </c>
      <c r="C934" s="1" t="n">
        <v>46129</v>
      </c>
      <c r="D934" t="inlineStr">
        <is>
          <t>GÄVLEBORGS LÄN</t>
        </is>
      </c>
      <c r="E934" t="inlineStr">
        <is>
          <t>SANDVIKEN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11260-2026</t>
        </is>
      </c>
      <c r="B935" s="1" t="n">
        <v>46080.55755787037</v>
      </c>
      <c r="C935" s="1" t="n">
        <v>46129</v>
      </c>
      <c r="D935" t="inlineStr">
        <is>
          <t>GÄVLEBORGS LÄN</t>
        </is>
      </c>
      <c r="E935" t="inlineStr">
        <is>
          <t>SANDVIKEN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58911-2023</t>
        </is>
      </c>
      <c r="B936" s="1" t="n">
        <v>45250</v>
      </c>
      <c r="C936" s="1" t="n">
        <v>46129</v>
      </c>
      <c r="D936" t="inlineStr">
        <is>
          <t>GÄVLEBORGS LÄN</t>
        </is>
      </c>
      <c r="E936" t="inlineStr">
        <is>
          <t>SANDVIKEN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13560-2026</t>
        </is>
      </c>
      <c r="B937" s="1" t="n">
        <v>46094</v>
      </c>
      <c r="C937" s="1" t="n">
        <v>46129</v>
      </c>
      <c r="D937" t="inlineStr">
        <is>
          <t>GÄVLEBORGS LÄN</t>
        </is>
      </c>
      <c r="E937" t="inlineStr">
        <is>
          <t>SANDVIKEN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2257-2026</t>
        </is>
      </c>
      <c r="B938" s="1" t="n">
        <v>46036</v>
      </c>
      <c r="C938" s="1" t="n">
        <v>46129</v>
      </c>
      <c r="D938" t="inlineStr">
        <is>
          <t>GÄVLEBORGS LÄN</t>
        </is>
      </c>
      <c r="E938" t="inlineStr">
        <is>
          <t>SANDVIKEN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15148-2026</t>
        </is>
      </c>
      <c r="B939" s="1" t="n">
        <v>46105</v>
      </c>
      <c r="C939" s="1" t="n">
        <v>46129</v>
      </c>
      <c r="D939" t="inlineStr">
        <is>
          <t>GÄVLEBORGS LÄN</t>
        </is>
      </c>
      <c r="E939" t="inlineStr">
        <is>
          <t>SANDVIKEN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2024-2026</t>
        </is>
      </c>
      <c r="B940" s="1" t="n">
        <v>46035</v>
      </c>
      <c r="C940" s="1" t="n">
        <v>46129</v>
      </c>
      <c r="D940" t="inlineStr">
        <is>
          <t>GÄVLEBORGS LÄN</t>
        </is>
      </c>
      <c r="E940" t="inlineStr">
        <is>
          <t>SANDVIKEN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17859-2026</t>
        </is>
      </c>
      <c r="B941" s="1" t="n">
        <v>46122.4953587963</v>
      </c>
      <c r="C941" s="1" t="n">
        <v>46129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11150-2026</t>
        </is>
      </c>
      <c r="B942" s="1" t="n">
        <v>46080.29954861111</v>
      </c>
      <c r="C942" s="1" t="n">
        <v>46129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11205-2026</t>
        </is>
      </c>
      <c r="B943" s="1" t="n">
        <v>46080</v>
      </c>
      <c r="C943" s="1" t="n">
        <v>46129</v>
      </c>
      <c r="D943" t="inlineStr">
        <is>
          <t>GÄVLEBORGS LÄN</t>
        </is>
      </c>
      <c r="E943" t="inlineStr">
        <is>
          <t>SANDVIKEN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30714-2023</t>
        </is>
      </c>
      <c r="B944" s="1" t="n">
        <v>45112</v>
      </c>
      <c r="C944" s="1" t="n">
        <v>46129</v>
      </c>
      <c r="D944" t="inlineStr">
        <is>
          <t>GÄVLEBORGS LÄN</t>
        </is>
      </c>
      <c r="E944" t="inlineStr">
        <is>
          <t>SANDVIKEN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17596-2026</t>
        </is>
      </c>
      <c r="B945" s="1" t="n">
        <v>46121.41936342593</v>
      </c>
      <c r="C945" s="1" t="n">
        <v>46129</v>
      </c>
      <c r="D945" t="inlineStr">
        <is>
          <t>GÄVLEBORGS LÄN</t>
        </is>
      </c>
      <c r="E945" t="inlineStr">
        <is>
          <t>SANDVIKEN</t>
        </is>
      </c>
      <c r="F945" t="inlineStr">
        <is>
          <t>Bergvik skog öst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1978-2026</t>
        </is>
      </c>
      <c r="B946" s="1" t="n">
        <v>46035</v>
      </c>
      <c r="C946" s="1" t="n">
        <v>46129</v>
      </c>
      <c r="D946" t="inlineStr">
        <is>
          <t>GÄVLEBORGS LÄN</t>
        </is>
      </c>
      <c r="E946" t="inlineStr">
        <is>
          <t>SANDVIKEN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1997-2026</t>
        </is>
      </c>
      <c r="B947" s="1" t="n">
        <v>46035</v>
      </c>
      <c r="C947" s="1" t="n">
        <v>46129</v>
      </c>
      <c r="D947" t="inlineStr">
        <is>
          <t>GÄVLEBORGS LÄN</t>
        </is>
      </c>
      <c r="E947" t="inlineStr">
        <is>
          <t>SANDVIKEN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5945-2026</t>
        </is>
      </c>
      <c r="B948" s="1" t="n">
        <v>46052</v>
      </c>
      <c r="C948" s="1" t="n">
        <v>46129</v>
      </c>
      <c r="D948" t="inlineStr">
        <is>
          <t>GÄVLEBORGS LÄN</t>
        </is>
      </c>
      <c r="E948" t="inlineStr">
        <is>
          <t>SANDVIKEN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17626-2026</t>
        </is>
      </c>
      <c r="B949" s="1" t="n">
        <v>46121.47202546296</v>
      </c>
      <c r="C949" s="1" t="n">
        <v>46129</v>
      </c>
      <c r="D949" t="inlineStr">
        <is>
          <t>GÄVLEBORGS LÄN</t>
        </is>
      </c>
      <c r="E949" t="inlineStr">
        <is>
          <t>SANDVIKEN</t>
        </is>
      </c>
      <c r="F949" t="inlineStr">
        <is>
          <t>Bergvik skog öst AB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15121-2026</t>
        </is>
      </c>
      <c r="B950" s="1" t="n">
        <v>46105</v>
      </c>
      <c r="C950" s="1" t="n">
        <v>46129</v>
      </c>
      <c r="D950" t="inlineStr">
        <is>
          <t>GÄVLEBORGS LÄN</t>
        </is>
      </c>
      <c r="E950" t="inlineStr">
        <is>
          <t>SANDVIKEN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17627-2026</t>
        </is>
      </c>
      <c r="B951" s="1" t="n">
        <v>46121.47318287037</v>
      </c>
      <c r="C951" s="1" t="n">
        <v>46129</v>
      </c>
      <c r="D951" t="inlineStr">
        <is>
          <t>GÄVLEBORGS LÄN</t>
        </is>
      </c>
      <c r="E951" t="inlineStr">
        <is>
          <t>SANDVIKEN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11213-2026</t>
        </is>
      </c>
      <c r="B952" s="1" t="n">
        <v>46080.46483796297</v>
      </c>
      <c r="C952" s="1" t="n">
        <v>46129</v>
      </c>
      <c r="D952" t="inlineStr">
        <is>
          <t>GÄVLEBORGS LÄN</t>
        </is>
      </c>
      <c r="E952" t="inlineStr">
        <is>
          <t>SANDVIKEN</t>
        </is>
      </c>
      <c r="G952" t="n">
        <v>14.5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11254-2026</t>
        </is>
      </c>
      <c r="B953" s="1" t="n">
        <v>46080</v>
      </c>
      <c r="C953" s="1" t="n">
        <v>46129</v>
      </c>
      <c r="D953" t="inlineStr">
        <is>
          <t>GÄVLEBORGS LÄN</t>
        </is>
      </c>
      <c r="E953" t="inlineStr">
        <is>
          <t>SANDVIKEN</t>
        </is>
      </c>
      <c r="G953" t="n">
        <v>12.1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11709-2026</t>
        </is>
      </c>
      <c r="B954" s="1" t="n">
        <v>46084.62069444444</v>
      </c>
      <c r="C954" s="1" t="n">
        <v>46129</v>
      </c>
      <c r="D954" t="inlineStr">
        <is>
          <t>GÄVLEBORGS LÄN</t>
        </is>
      </c>
      <c r="E954" t="inlineStr">
        <is>
          <t>SANDVIKEN</t>
        </is>
      </c>
      <c r="F954" t="inlineStr">
        <is>
          <t>Kommuner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16106-2026</t>
        </is>
      </c>
      <c r="B955" s="1" t="n">
        <v>46108</v>
      </c>
      <c r="C955" s="1" t="n">
        <v>46129</v>
      </c>
      <c r="D955" t="inlineStr">
        <is>
          <t>GÄVLEBORGS LÄN</t>
        </is>
      </c>
      <c r="E955" t="inlineStr">
        <is>
          <t>SANDVIKEN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18224-2026</t>
        </is>
      </c>
      <c r="B956" s="1" t="n">
        <v>46126.31796296296</v>
      </c>
      <c r="C956" s="1" t="n">
        <v>46129</v>
      </c>
      <c r="D956" t="inlineStr">
        <is>
          <t>GÄVLEBORGS LÄN</t>
        </is>
      </c>
      <c r="E956" t="inlineStr">
        <is>
          <t>SANDVIKEN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2251-2026</t>
        </is>
      </c>
      <c r="B957" s="1" t="n">
        <v>46036</v>
      </c>
      <c r="C957" s="1" t="n">
        <v>46129</v>
      </c>
      <c r="D957" t="inlineStr">
        <is>
          <t>GÄVLEBORGS LÄN</t>
        </is>
      </c>
      <c r="E957" t="inlineStr">
        <is>
          <t>SANDVIKEN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56148-2024</t>
        </is>
      </c>
      <c r="B958" s="1" t="n">
        <v>45624.51108796296</v>
      </c>
      <c r="C958" s="1" t="n">
        <v>46129</v>
      </c>
      <c r="D958" t="inlineStr">
        <is>
          <t>GÄVLEBORGS LÄN</t>
        </is>
      </c>
      <c r="E958" t="inlineStr">
        <is>
          <t>SANDVIKEN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15340-2026</t>
        </is>
      </c>
      <c r="B959" s="1" t="n">
        <v>46105</v>
      </c>
      <c r="C959" s="1" t="n">
        <v>46129</v>
      </c>
      <c r="D959" t="inlineStr">
        <is>
          <t>GÄVLEBORGS LÄN</t>
        </is>
      </c>
      <c r="E959" t="inlineStr">
        <is>
          <t>SANDVIKEN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11779-2026</t>
        </is>
      </c>
      <c r="B960" s="1" t="n">
        <v>46084</v>
      </c>
      <c r="C960" s="1" t="n">
        <v>46129</v>
      </c>
      <c r="D960" t="inlineStr">
        <is>
          <t>GÄVLEBORGS LÄN</t>
        </is>
      </c>
      <c r="E960" t="inlineStr">
        <is>
          <t>SANDVIKEN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11707-2026</t>
        </is>
      </c>
      <c r="B961" s="1" t="n">
        <v>46084.61798611111</v>
      </c>
      <c r="C961" s="1" t="n">
        <v>46129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18395-2026</t>
        </is>
      </c>
      <c r="B962" s="1" t="n">
        <v>46126.65879629629</v>
      </c>
      <c r="C962" s="1" t="n">
        <v>46129</v>
      </c>
      <c r="D962" t="inlineStr">
        <is>
          <t>GÄVLEBORGS LÄN</t>
        </is>
      </c>
      <c r="E962" t="inlineStr">
        <is>
          <t>SANDVIKEN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2627-2026</t>
        </is>
      </c>
      <c r="B963" s="1" t="n">
        <v>46037</v>
      </c>
      <c r="C963" s="1" t="n">
        <v>46129</v>
      </c>
      <c r="D963" t="inlineStr">
        <is>
          <t>GÄVLEBORGS LÄN</t>
        </is>
      </c>
      <c r="E963" t="inlineStr">
        <is>
          <t>SANDVIKEN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11725-2026</t>
        </is>
      </c>
      <c r="B964" s="1" t="n">
        <v>46084.63327546296</v>
      </c>
      <c r="C964" s="1" t="n">
        <v>46129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63309-2023</t>
        </is>
      </c>
      <c r="B965" s="1" t="n">
        <v>45274.3437037037</v>
      </c>
      <c r="C965" s="1" t="n">
        <v>46129</v>
      </c>
      <c r="D965" t="inlineStr">
        <is>
          <t>GÄVLEBORGS LÄN</t>
        </is>
      </c>
      <c r="E965" t="inlineStr">
        <is>
          <t>SANDVIKEN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11726-2026</t>
        </is>
      </c>
      <c r="B966" s="1" t="n">
        <v>46084.63476851852</v>
      </c>
      <c r="C966" s="1" t="n">
        <v>46129</v>
      </c>
      <c r="D966" t="inlineStr">
        <is>
          <t>GÄVLEBORGS LÄN</t>
        </is>
      </c>
      <c r="E966" t="inlineStr">
        <is>
          <t>SANDVIKEN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11731-2026</t>
        </is>
      </c>
      <c r="B967" s="1" t="n">
        <v>46084.63625</v>
      </c>
      <c r="C967" s="1" t="n">
        <v>46129</v>
      </c>
      <c r="D967" t="inlineStr">
        <is>
          <t>GÄVLEBORGS LÄN</t>
        </is>
      </c>
      <c r="E967" t="inlineStr">
        <is>
          <t>SANDVIKEN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18268-2026</t>
        </is>
      </c>
      <c r="B968" s="1" t="n">
        <v>46126.37920138889</v>
      </c>
      <c r="C968" s="1" t="n">
        <v>46129</v>
      </c>
      <c r="D968" t="inlineStr">
        <is>
          <t>GÄVLEBORGS LÄN</t>
        </is>
      </c>
      <c r="E968" t="inlineStr">
        <is>
          <t>SANDVIKEN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11494-2026</t>
        </is>
      </c>
      <c r="B969" s="1" t="n">
        <v>46083</v>
      </c>
      <c r="C969" s="1" t="n">
        <v>46129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11781-2026</t>
        </is>
      </c>
      <c r="B970" s="1" t="n">
        <v>46084</v>
      </c>
      <c r="C970" s="1" t="n">
        <v>46129</v>
      </c>
      <c r="D970" t="inlineStr">
        <is>
          <t>GÄVLEBORGS LÄN</t>
        </is>
      </c>
      <c r="E970" t="inlineStr">
        <is>
          <t>SANDVIKEN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11784-2026</t>
        </is>
      </c>
      <c r="B971" s="1" t="n">
        <v>46084</v>
      </c>
      <c r="C971" s="1" t="n">
        <v>46129</v>
      </c>
      <c r="D971" t="inlineStr">
        <is>
          <t>GÄVLEBORGS LÄN</t>
        </is>
      </c>
      <c r="E971" t="inlineStr">
        <is>
          <t>SANDVIKEN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15454-2026</t>
        </is>
      </c>
      <c r="B972" s="1" t="n">
        <v>46106</v>
      </c>
      <c r="C972" s="1" t="n">
        <v>46129</v>
      </c>
      <c r="D972" t="inlineStr">
        <is>
          <t>GÄVLEBORGS LÄN</t>
        </is>
      </c>
      <c r="E972" t="inlineStr">
        <is>
          <t>SANDVIKEN</t>
        </is>
      </c>
      <c r="G972" t="n">
        <v>15.1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17818-2025</t>
        </is>
      </c>
      <c r="B973" s="1" t="n">
        <v>45758.56565972222</v>
      </c>
      <c r="C973" s="1" t="n">
        <v>46129</v>
      </c>
      <c r="D973" t="inlineStr">
        <is>
          <t>GÄVLEBORGS LÄN</t>
        </is>
      </c>
      <c r="E973" t="inlineStr">
        <is>
          <t>SANDVIKEN</t>
        </is>
      </c>
      <c r="F973" t="inlineStr">
        <is>
          <t>Sveaskog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18274-2026</t>
        </is>
      </c>
      <c r="B974" s="1" t="n">
        <v>46126.39256944445</v>
      </c>
      <c r="C974" s="1" t="n">
        <v>46129</v>
      </c>
      <c r="D974" t="inlineStr">
        <is>
          <t>GÄVLEBORGS LÄN</t>
        </is>
      </c>
      <c r="E974" t="inlineStr">
        <is>
          <t>SANDVIKEN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13558-2026</t>
        </is>
      </c>
      <c r="B975" s="1" t="n">
        <v>46094</v>
      </c>
      <c r="C975" s="1" t="n">
        <v>46129</v>
      </c>
      <c r="D975" t="inlineStr">
        <is>
          <t>GÄVLEBORGS LÄN</t>
        </is>
      </c>
      <c r="E975" t="inlineStr">
        <is>
          <t>SANDVIKEN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27987-2024</t>
        </is>
      </c>
      <c r="B976" s="1" t="n">
        <v>45476.4246875</v>
      </c>
      <c r="C976" s="1" t="n">
        <v>46129</v>
      </c>
      <c r="D976" t="inlineStr">
        <is>
          <t>GÄVLEBORGS LÄN</t>
        </is>
      </c>
      <c r="E976" t="inlineStr">
        <is>
          <t>SANDVIKEN</t>
        </is>
      </c>
      <c r="F976" t="inlineStr">
        <is>
          <t>Kommuner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18225-2026</t>
        </is>
      </c>
      <c r="B977" s="1" t="n">
        <v>46126.31960648148</v>
      </c>
      <c r="C977" s="1" t="n">
        <v>46129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2712-2026</t>
        </is>
      </c>
      <c r="B978" s="1" t="n">
        <v>46037</v>
      </c>
      <c r="C978" s="1" t="n">
        <v>46129</v>
      </c>
      <c r="D978" t="inlineStr">
        <is>
          <t>GÄVLEBORGS LÄN</t>
        </is>
      </c>
      <c r="E978" t="inlineStr">
        <is>
          <t>SANDVIKEN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18218-2026</t>
        </is>
      </c>
      <c r="B979" s="1" t="n">
        <v>46126.3049537037</v>
      </c>
      <c r="C979" s="1" t="n">
        <v>46129</v>
      </c>
      <c r="D979" t="inlineStr">
        <is>
          <t>GÄVLEBORGS LÄN</t>
        </is>
      </c>
      <c r="E979" t="inlineStr">
        <is>
          <t>SANDVIKEN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11786-2026</t>
        </is>
      </c>
      <c r="B980" s="1" t="n">
        <v>46084</v>
      </c>
      <c r="C980" s="1" t="n">
        <v>46129</v>
      </c>
      <c r="D980" t="inlineStr">
        <is>
          <t>GÄVLEBORGS LÄN</t>
        </is>
      </c>
      <c r="E980" t="inlineStr">
        <is>
          <t>SANDVIKEN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18219-2026</t>
        </is>
      </c>
      <c r="B981" s="1" t="n">
        <v>46126.3068287037</v>
      </c>
      <c r="C981" s="1" t="n">
        <v>46129</v>
      </c>
      <c r="D981" t="inlineStr">
        <is>
          <t>GÄVLEBORGS LÄN</t>
        </is>
      </c>
      <c r="E981" t="inlineStr">
        <is>
          <t>SANDVIKEN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12656-2026</t>
        </is>
      </c>
      <c r="B982" s="1" t="n">
        <v>46091.49052083334</v>
      </c>
      <c r="C982" s="1" t="n">
        <v>46129</v>
      </c>
      <c r="D982" t="inlineStr">
        <is>
          <t>GÄVLEBORGS LÄN</t>
        </is>
      </c>
      <c r="E982" t="inlineStr">
        <is>
          <t>SANDVIKEN</t>
        </is>
      </c>
      <c r="F982" t="inlineStr">
        <is>
          <t>Naturvårdsverket</t>
        </is>
      </c>
      <c r="G982" t="n">
        <v>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12064-2026</t>
        </is>
      </c>
      <c r="B983" s="1" t="n">
        <v>46086.38915509259</v>
      </c>
      <c r="C983" s="1" t="n">
        <v>46129</v>
      </c>
      <c r="D983" t="inlineStr">
        <is>
          <t>GÄVLEBORGS LÄN</t>
        </is>
      </c>
      <c r="E983" t="inlineStr">
        <is>
          <t>SANDVIKEN</t>
        </is>
      </c>
      <c r="F983" t="inlineStr">
        <is>
          <t>Bergvik skog öst AB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12154-2026</t>
        </is>
      </c>
      <c r="B984" s="1" t="n">
        <v>46086.6046412037</v>
      </c>
      <c r="C984" s="1" t="n">
        <v>46129</v>
      </c>
      <c r="D984" t="inlineStr">
        <is>
          <t>GÄVLEBORGS LÄN</t>
        </is>
      </c>
      <c r="E984" t="inlineStr">
        <is>
          <t>SANDVIKEN</t>
        </is>
      </c>
      <c r="F984" t="inlineStr">
        <is>
          <t>Sveaskog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11914-2026</t>
        </is>
      </c>
      <c r="B985" s="1" t="n">
        <v>46085.55413194445</v>
      </c>
      <c r="C985" s="1" t="n">
        <v>46129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12166-2026</t>
        </is>
      </c>
      <c r="B986" s="1" t="n">
        <v>46086.63702546297</v>
      </c>
      <c r="C986" s="1" t="n">
        <v>46129</v>
      </c>
      <c r="D986" t="inlineStr">
        <is>
          <t>GÄVLEBORGS LÄN</t>
        </is>
      </c>
      <c r="E986" t="inlineStr">
        <is>
          <t>SANDVIKEN</t>
        </is>
      </c>
      <c r="F986" t="inlineStr">
        <is>
          <t>Bergvik skog öst AB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12040-2026</t>
        </is>
      </c>
      <c r="B987" s="1" t="n">
        <v>46086</v>
      </c>
      <c r="C987" s="1" t="n">
        <v>46129</v>
      </c>
      <c r="D987" t="inlineStr">
        <is>
          <t>GÄVLEBORGS LÄN</t>
        </is>
      </c>
      <c r="E987" t="inlineStr">
        <is>
          <t>SANDVIKEN</t>
        </is>
      </c>
      <c r="F987" t="inlineStr">
        <is>
          <t>Naturvårdsverket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15529-2026</t>
        </is>
      </c>
      <c r="B988" s="1" t="n">
        <v>46106</v>
      </c>
      <c r="C988" s="1" t="n">
        <v>46129</v>
      </c>
      <c r="D988" t="inlineStr">
        <is>
          <t>GÄVLEBORGS LÄN</t>
        </is>
      </c>
      <c r="E988" t="inlineStr">
        <is>
          <t>SANDVIKEN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12132-2026</t>
        </is>
      </c>
      <c r="B989" s="1" t="n">
        <v>46086.55339120371</v>
      </c>
      <c r="C989" s="1" t="n">
        <v>46129</v>
      </c>
      <c r="D989" t="inlineStr">
        <is>
          <t>GÄVLEBORGS LÄN</t>
        </is>
      </c>
      <c r="E989" t="inlineStr">
        <is>
          <t>SANDVIKEN</t>
        </is>
      </c>
      <c r="F989" t="inlineStr">
        <is>
          <t>Bergvik skog öst AB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12189-2026</t>
        </is>
      </c>
      <c r="B990" s="1" t="n">
        <v>46086</v>
      </c>
      <c r="C990" s="1" t="n">
        <v>46129</v>
      </c>
      <c r="D990" t="inlineStr">
        <is>
          <t>GÄVLEBORGS LÄN</t>
        </is>
      </c>
      <c r="E990" t="inlineStr">
        <is>
          <t>SANDVIKEN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12191-2026</t>
        </is>
      </c>
      <c r="B991" s="1" t="n">
        <v>46086</v>
      </c>
      <c r="C991" s="1" t="n">
        <v>46129</v>
      </c>
      <c r="D991" t="inlineStr">
        <is>
          <t>GÄVLEBORGS LÄN</t>
        </is>
      </c>
      <c r="E991" t="inlineStr">
        <is>
          <t>SANDVIKEN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11940-2026</t>
        </is>
      </c>
      <c r="B992" s="1" t="n">
        <v>46085</v>
      </c>
      <c r="C992" s="1" t="n">
        <v>46129</v>
      </c>
      <c r="D992" t="inlineStr">
        <is>
          <t>GÄVLEBORGS LÄN</t>
        </is>
      </c>
      <c r="E992" t="inlineStr">
        <is>
          <t>SANDVIKEN</t>
        </is>
      </c>
      <c r="F992" t="inlineStr">
        <is>
          <t>Naturvårdsverket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12182-2026</t>
        </is>
      </c>
      <c r="B993" s="1" t="n">
        <v>46086</v>
      </c>
      <c r="C993" s="1" t="n">
        <v>46129</v>
      </c>
      <c r="D993" t="inlineStr">
        <is>
          <t>GÄVLEBORGS LÄN</t>
        </is>
      </c>
      <c r="E993" t="inlineStr">
        <is>
          <t>SANDVIKEN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45221-2021</t>
        </is>
      </c>
      <c r="B994" s="1" t="n">
        <v>44439.57211805556</v>
      </c>
      <c r="C994" s="1" t="n">
        <v>46129</v>
      </c>
      <c r="D994" t="inlineStr">
        <is>
          <t>GÄVLEBORGS LÄN</t>
        </is>
      </c>
      <c r="E994" t="inlineStr">
        <is>
          <t>SANDVIKEN</t>
        </is>
      </c>
      <c r="F994" t="inlineStr">
        <is>
          <t>Bergvik skog öst AB</t>
        </is>
      </c>
      <c r="G994" t="n">
        <v>7.6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12146-2026</t>
        </is>
      </c>
      <c r="B995" s="1" t="n">
        <v>46086.58116898148</v>
      </c>
      <c r="C995" s="1" t="n">
        <v>46129</v>
      </c>
      <c r="D995" t="inlineStr">
        <is>
          <t>GÄVLEBORGS LÄN</t>
        </is>
      </c>
      <c r="E995" t="inlineStr">
        <is>
          <t>SANDVIKEN</t>
        </is>
      </c>
      <c r="F995" t="inlineStr">
        <is>
          <t>Bergvik skog öst AB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12148-2026</t>
        </is>
      </c>
      <c r="B996" s="1" t="n">
        <v>46086.58787037037</v>
      </c>
      <c r="C996" s="1" t="n">
        <v>46129</v>
      </c>
      <c r="D996" t="inlineStr">
        <is>
          <t>GÄVLEBORGS LÄN</t>
        </is>
      </c>
      <c r="E996" t="inlineStr">
        <is>
          <t>SANDVIKEN</t>
        </is>
      </c>
      <c r="F996" t="inlineStr">
        <is>
          <t>Sveaskog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11806-2026</t>
        </is>
      </c>
      <c r="B997" s="1" t="n">
        <v>46085</v>
      </c>
      <c r="C997" s="1" t="n">
        <v>46129</v>
      </c>
      <c r="D997" t="inlineStr">
        <is>
          <t>GÄVLEBORGS LÄN</t>
        </is>
      </c>
      <c r="E997" t="inlineStr">
        <is>
          <t>SANDVIKEN</t>
        </is>
      </c>
      <c r="F997" t="inlineStr">
        <is>
          <t>Bergvik skog öst AB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12113-2026</t>
        </is>
      </c>
      <c r="B998" s="1" t="n">
        <v>46086.54077546296</v>
      </c>
      <c r="C998" s="1" t="n">
        <v>46129</v>
      </c>
      <c r="D998" t="inlineStr">
        <is>
          <t>GÄVLEBORGS LÄN</t>
        </is>
      </c>
      <c r="E998" t="inlineStr">
        <is>
          <t>SANDVIKEN</t>
        </is>
      </c>
      <c r="F998" t="inlineStr">
        <is>
          <t>Bergvik skog öst AB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12477-2026</t>
        </is>
      </c>
      <c r="B999" s="1" t="n">
        <v>46090.55655092592</v>
      </c>
      <c r="C999" s="1" t="n">
        <v>46129</v>
      </c>
      <c r="D999" t="inlineStr">
        <is>
          <t>GÄVLEBORGS LÄN</t>
        </is>
      </c>
      <c r="E999" t="inlineStr">
        <is>
          <t>SANDVIKEN</t>
        </is>
      </c>
      <c r="F999" t="inlineStr">
        <is>
          <t>Bergvik skog öst AB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11976-2026</t>
        </is>
      </c>
      <c r="B1000" s="1" t="n">
        <v>46085</v>
      </c>
      <c r="C1000" s="1" t="n">
        <v>46129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Naturvårdsverket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11859-2026</t>
        </is>
      </c>
      <c r="B1001" s="1" t="n">
        <v>46085.47145833333</v>
      </c>
      <c r="C1001" s="1" t="n">
        <v>46129</v>
      </c>
      <c r="D1001" t="inlineStr">
        <is>
          <t>GÄVLEBORGS LÄN</t>
        </is>
      </c>
      <c r="E1001" t="inlineStr">
        <is>
          <t>SANDVIKEN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10127-2025</t>
        </is>
      </c>
      <c r="B1002" s="1" t="n">
        <v>45719</v>
      </c>
      <c r="C1002" s="1" t="n">
        <v>46129</v>
      </c>
      <c r="D1002" t="inlineStr">
        <is>
          <t>GÄVLEBORGS LÄN</t>
        </is>
      </c>
      <c r="E1002" t="inlineStr">
        <is>
          <t>SANDVIKEN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4169-2026</t>
        </is>
      </c>
      <c r="B1003" s="1" t="n">
        <v>46044</v>
      </c>
      <c r="C1003" s="1" t="n">
        <v>46129</v>
      </c>
      <c r="D1003" t="inlineStr">
        <is>
          <t>GÄVLEBORGS LÄN</t>
        </is>
      </c>
      <c r="E1003" t="inlineStr">
        <is>
          <t>SANDVIKEN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955-2026</t>
        </is>
      </c>
      <c r="B1004" s="1" t="n">
        <v>46030</v>
      </c>
      <c r="C1004" s="1" t="n">
        <v>46129</v>
      </c>
      <c r="D1004" t="inlineStr">
        <is>
          <t>GÄVLEBORGS LÄN</t>
        </is>
      </c>
      <c r="E1004" t="inlineStr">
        <is>
          <t>SANDVIKEN</t>
        </is>
      </c>
      <c r="G1004" t="n">
        <v>14.2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11829-2026</t>
        </is>
      </c>
      <c r="B1005" s="1" t="n">
        <v>46085.42278935185</v>
      </c>
      <c r="C1005" s="1" t="n">
        <v>46129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Kommuner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11904-2026</t>
        </is>
      </c>
      <c r="B1006" s="1" t="n">
        <v>46085</v>
      </c>
      <c r="C1006" s="1" t="n">
        <v>46129</v>
      </c>
      <c r="D1006" t="inlineStr">
        <is>
          <t>GÄVLEBORGS LÄN</t>
        </is>
      </c>
      <c r="E1006" t="inlineStr">
        <is>
          <t>SANDVIKEN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11905-2026</t>
        </is>
      </c>
      <c r="B1007" s="1" t="n">
        <v>46085</v>
      </c>
      <c r="C1007" s="1" t="n">
        <v>46129</v>
      </c>
      <c r="D1007" t="inlineStr">
        <is>
          <t>GÄVLEBORGS LÄN</t>
        </is>
      </c>
      <c r="E1007" t="inlineStr">
        <is>
          <t>SANDVIKEN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11800-2026</t>
        </is>
      </c>
      <c r="B1008" s="1" t="n">
        <v>46085</v>
      </c>
      <c r="C1008" s="1" t="n">
        <v>46129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Naturvårdsverket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11802-2026</t>
        </is>
      </c>
      <c r="B1009" s="1" t="n">
        <v>46085</v>
      </c>
      <c r="C1009" s="1" t="n">
        <v>46129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Naturvårdsverket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18749-2026</t>
        </is>
      </c>
      <c r="B1010" s="1" t="n">
        <v>46128.54074074074</v>
      </c>
      <c r="C1010" s="1" t="n">
        <v>46129</v>
      </c>
      <c r="D1010" t="inlineStr">
        <is>
          <t>GÄVLEBORGS LÄN</t>
        </is>
      </c>
      <c r="E1010" t="inlineStr">
        <is>
          <t>SANDVIKEN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18752-2026</t>
        </is>
      </c>
      <c r="B1011" s="1" t="n">
        <v>46128.54453703704</v>
      </c>
      <c r="C1011" s="1" t="n">
        <v>46129</v>
      </c>
      <c r="D1011" t="inlineStr">
        <is>
          <t>GÄVLEBORGS LÄN</t>
        </is>
      </c>
      <c r="E1011" t="inlineStr">
        <is>
          <t>SANDVIKEN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11907-2026</t>
        </is>
      </c>
      <c r="B1012" s="1" t="n">
        <v>46085</v>
      </c>
      <c r="C1012" s="1" t="n">
        <v>46129</v>
      </c>
      <c r="D1012" t="inlineStr">
        <is>
          <t>GÄVLEBORGS LÄN</t>
        </is>
      </c>
      <c r="E1012" t="inlineStr">
        <is>
          <t>SANDVIKEN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11913-2026</t>
        </is>
      </c>
      <c r="B1013" s="1" t="n">
        <v>46085.55284722222</v>
      </c>
      <c r="C1013" s="1" t="n">
        <v>46129</v>
      </c>
      <c r="D1013" t="inlineStr">
        <is>
          <t>GÄVLEBORGS LÄN</t>
        </is>
      </c>
      <c r="E1013" t="inlineStr">
        <is>
          <t>SANDVIKEN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17930-2026</t>
        </is>
      </c>
      <c r="B1014" s="1" t="n">
        <v>46122</v>
      </c>
      <c r="C1014" s="1" t="n">
        <v>46129</v>
      </c>
      <c r="D1014" t="inlineStr">
        <is>
          <t>GÄVLEBORGS LÄN</t>
        </is>
      </c>
      <c r="E1014" t="inlineStr">
        <is>
          <t>SANDVIKEN</t>
        </is>
      </c>
      <c r="F1014" t="inlineStr">
        <is>
          <t>Kommuner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38175-2022</t>
        </is>
      </c>
      <c r="B1015" s="1" t="n">
        <v>44812</v>
      </c>
      <c r="C1015" s="1" t="n">
        <v>46129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12089-2026</t>
        </is>
      </c>
      <c r="B1016" s="1" t="n">
        <v>46086</v>
      </c>
      <c r="C1016" s="1" t="n">
        <v>46129</v>
      </c>
      <c r="D1016" t="inlineStr">
        <is>
          <t>GÄVLEBORGS LÄN</t>
        </is>
      </c>
      <c r="E1016" t="inlineStr">
        <is>
          <t>SANDVIKEN</t>
        </is>
      </c>
      <c r="G1016" t="n">
        <v>6.9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12091-2026</t>
        </is>
      </c>
      <c r="B1017" s="1" t="n">
        <v>46086</v>
      </c>
      <c r="C1017" s="1" t="n">
        <v>46129</v>
      </c>
      <c r="D1017" t="inlineStr">
        <is>
          <t>GÄVLEBORGS LÄN</t>
        </is>
      </c>
      <c r="E1017" t="inlineStr">
        <is>
          <t>SANDVIKEN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12099-2026</t>
        </is>
      </c>
      <c r="B1018" s="1" t="n">
        <v>46086.4814699074</v>
      </c>
      <c r="C1018" s="1" t="n">
        <v>46129</v>
      </c>
      <c r="D1018" t="inlineStr">
        <is>
          <t>GÄVLEBORGS LÄN</t>
        </is>
      </c>
      <c r="E1018" t="inlineStr">
        <is>
          <t>SANDVIKEN</t>
        </is>
      </c>
      <c r="F1018" t="inlineStr">
        <is>
          <t>Bergvik skog öst AB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11902-2026</t>
        </is>
      </c>
      <c r="B1019" s="1" t="n">
        <v>46085</v>
      </c>
      <c r="C1019" s="1" t="n">
        <v>46129</v>
      </c>
      <c r="D1019" t="inlineStr">
        <is>
          <t>GÄVLEBORGS LÄN</t>
        </is>
      </c>
      <c r="E1019" t="inlineStr">
        <is>
          <t>SANDVIKEN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11984-2026</t>
        </is>
      </c>
      <c r="B1020" s="1" t="n">
        <v>46085.65010416666</v>
      </c>
      <c r="C1020" s="1" t="n">
        <v>46129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Kommuner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18811-2026</t>
        </is>
      </c>
      <c r="B1021" s="1" t="n">
        <v>46128.64285879629</v>
      </c>
      <c r="C1021" s="1" t="n">
        <v>46129</v>
      </c>
      <c r="D1021" t="inlineStr">
        <is>
          <t>GÄVLEBORGS LÄN</t>
        </is>
      </c>
      <c r="E1021" t="inlineStr">
        <is>
          <t>SANDVIKEN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12136-2026</t>
        </is>
      </c>
      <c r="B1022" s="1" t="n">
        <v>46086.55986111111</v>
      </c>
      <c r="C1022" s="1" t="n">
        <v>46129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12153-2026</t>
        </is>
      </c>
      <c r="B1023" s="1" t="n">
        <v>46086.60361111111</v>
      </c>
      <c r="C1023" s="1" t="n">
        <v>46129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Sveaskog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12192-2026</t>
        </is>
      </c>
      <c r="B1024" s="1" t="n">
        <v>46086</v>
      </c>
      <c r="C1024" s="1" t="n">
        <v>46129</v>
      </c>
      <c r="D1024" t="inlineStr">
        <is>
          <t>GÄVLEBORGS LÄN</t>
        </is>
      </c>
      <c r="E1024" t="inlineStr">
        <is>
          <t>SANDVIKEN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12193-2026</t>
        </is>
      </c>
      <c r="B1025" s="1" t="n">
        <v>46086</v>
      </c>
      <c r="C1025" s="1" t="n">
        <v>46129</v>
      </c>
      <c r="D1025" t="inlineStr">
        <is>
          <t>GÄVLEBORGS LÄN</t>
        </is>
      </c>
      <c r="E1025" t="inlineStr">
        <is>
          <t>SANDVIKEN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45279-2023</t>
        </is>
      </c>
      <c r="B1026" s="1" t="n">
        <v>45191</v>
      </c>
      <c r="C1026" s="1" t="n">
        <v>46129</v>
      </c>
      <c r="D1026" t="inlineStr">
        <is>
          <t>GÄVLEBORGS LÄN</t>
        </is>
      </c>
      <c r="E1026" t="inlineStr">
        <is>
          <t>SANDVIKEN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12081-2026</t>
        </is>
      </c>
      <c r="B1027" s="1" t="n">
        <v>46086.44820601852</v>
      </c>
      <c r="C1027" s="1" t="n">
        <v>46129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Bergvik skog öst AB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18750-2026</t>
        </is>
      </c>
      <c r="B1028" s="1" t="n">
        <v>46128.54174768519</v>
      </c>
      <c r="C1028" s="1" t="n">
        <v>46129</v>
      </c>
      <c r="D1028" t="inlineStr">
        <is>
          <t>GÄVLEBORGS LÄN</t>
        </is>
      </c>
      <c r="E1028" t="inlineStr">
        <is>
          <t>SANDVIKEN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11961-2026</t>
        </is>
      </c>
      <c r="B1029" s="1" t="n">
        <v>46085</v>
      </c>
      <c r="C1029" s="1" t="n">
        <v>46129</v>
      </c>
      <c r="D1029" t="inlineStr">
        <is>
          <t>GÄVLEBORGS LÄN</t>
        </is>
      </c>
      <c r="E1029" t="inlineStr">
        <is>
          <t>SANDVIKEN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12062-2026</t>
        </is>
      </c>
      <c r="B1030" s="1" t="n">
        <v>46086.38887731481</v>
      </c>
      <c r="C1030" s="1" t="n">
        <v>46129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18656-2026</t>
        </is>
      </c>
      <c r="B1031" s="1" t="n">
        <v>46128.35042824074</v>
      </c>
      <c r="C1031" s="1" t="n">
        <v>46129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Sveaskog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42869-2024</t>
        </is>
      </c>
      <c r="B1032" s="1" t="n">
        <v>45566.66402777778</v>
      </c>
      <c r="C1032" s="1" t="n">
        <v>46129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Sveaskog</t>
        </is>
      </c>
      <c r="G1032" t="n">
        <v>6.9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11980-2026</t>
        </is>
      </c>
      <c r="B1033" s="1" t="n">
        <v>46085.63982638889</v>
      </c>
      <c r="C1033" s="1" t="n">
        <v>46129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Bergvik skog öst AB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12098-2026</t>
        </is>
      </c>
      <c r="B1034" s="1" t="n">
        <v>46086.48109953704</v>
      </c>
      <c r="C1034" s="1" t="n">
        <v>46129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Bergvik skog öst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11897-2024</t>
        </is>
      </c>
      <c r="B1035" s="1" t="n">
        <v>45376.54525462963</v>
      </c>
      <c r="C1035" s="1" t="n">
        <v>46129</v>
      </c>
      <c r="D1035" t="inlineStr">
        <is>
          <t>GÄVLEBORGS LÄN</t>
        </is>
      </c>
      <c r="E1035" t="inlineStr">
        <is>
          <t>SANDVIKEN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11898-2026</t>
        </is>
      </c>
      <c r="B1036" s="1" t="n">
        <v>46085.53741898148</v>
      </c>
      <c r="C1036" s="1" t="n">
        <v>46129</v>
      </c>
      <c r="D1036" t="inlineStr">
        <is>
          <t>GÄVLEBORGS LÄN</t>
        </is>
      </c>
      <c r="E1036" t="inlineStr">
        <is>
          <t>SANDVIKEN</t>
        </is>
      </c>
      <c r="F1036" t="inlineStr">
        <is>
          <t>Bergvik skog öst AB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11911-2026</t>
        </is>
      </c>
      <c r="B1037" s="1" t="n">
        <v>46085.55052083333</v>
      </c>
      <c r="C1037" s="1" t="n">
        <v>46129</v>
      </c>
      <c r="D1037" t="inlineStr">
        <is>
          <t>GÄVLEBORGS LÄN</t>
        </is>
      </c>
      <c r="E1037" t="inlineStr">
        <is>
          <t>SANDVIKEN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12079-2026</t>
        </is>
      </c>
      <c r="B1038" s="1" t="n">
        <v>46086.44234953704</v>
      </c>
      <c r="C1038" s="1" t="n">
        <v>46129</v>
      </c>
      <c r="D1038" t="inlineStr">
        <is>
          <t>GÄVLEBORGS LÄN</t>
        </is>
      </c>
      <c r="E1038" t="inlineStr">
        <is>
          <t>SANDVIKEN</t>
        </is>
      </c>
      <c r="F1038" t="inlineStr">
        <is>
          <t>Bergvik skog öst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23217-2023</t>
        </is>
      </c>
      <c r="B1039" s="1" t="n">
        <v>45075</v>
      </c>
      <c r="C1039" s="1" t="n">
        <v>46129</v>
      </c>
      <c r="D1039" t="inlineStr">
        <is>
          <t>GÄVLEBORGS LÄN</t>
        </is>
      </c>
      <c r="E1039" t="inlineStr">
        <is>
          <t>SANDVIKEN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8698-2024</t>
        </is>
      </c>
      <c r="B1040" s="1" t="n">
        <v>45356.37516203704</v>
      </c>
      <c r="C1040" s="1" t="n">
        <v>46129</v>
      </c>
      <c r="D1040" t="inlineStr">
        <is>
          <t>GÄVLEBORGS LÄN</t>
        </is>
      </c>
      <c r="E1040" t="inlineStr">
        <is>
          <t>SANDVIKEN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42069-2024</t>
        </is>
      </c>
      <c r="B1041" s="1" t="n">
        <v>45562.27895833334</v>
      </c>
      <c r="C1041" s="1" t="n">
        <v>46129</v>
      </c>
      <c r="D1041" t="inlineStr">
        <is>
          <t>GÄVLEBORGS LÄN</t>
        </is>
      </c>
      <c r="E1041" t="inlineStr">
        <is>
          <t>SANDVIKEN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22070-2023</t>
        </is>
      </c>
      <c r="B1042" s="1" t="n">
        <v>45069</v>
      </c>
      <c r="C1042" s="1" t="n">
        <v>46129</v>
      </c>
      <c r="D1042" t="inlineStr">
        <is>
          <t>GÄVLEBORGS LÄN</t>
        </is>
      </c>
      <c r="E1042" t="inlineStr">
        <is>
          <t>SANDVIKEN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23085-2023</t>
        </is>
      </c>
      <c r="B1043" s="1" t="n">
        <v>45075</v>
      </c>
      <c r="C1043" s="1" t="n">
        <v>46129</v>
      </c>
      <c r="D1043" t="inlineStr">
        <is>
          <t>GÄVLEBORGS LÄN</t>
        </is>
      </c>
      <c r="E1043" t="inlineStr">
        <is>
          <t>SANDVIKEN</t>
        </is>
      </c>
      <c r="G1043" t="n">
        <v>8.300000000000001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36833-2022</t>
        </is>
      </c>
      <c r="B1044" s="1" t="n">
        <v>44805.569375</v>
      </c>
      <c r="C1044" s="1" t="n">
        <v>46129</v>
      </c>
      <c r="D1044" t="inlineStr">
        <is>
          <t>GÄVLEBORGS LÄN</t>
        </is>
      </c>
      <c r="E1044" t="inlineStr">
        <is>
          <t>SANDVIKEN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57302-2024</t>
        </is>
      </c>
      <c r="B1045" s="1" t="n">
        <v>45629.60164351852</v>
      </c>
      <c r="C1045" s="1" t="n">
        <v>46129</v>
      </c>
      <c r="D1045" t="inlineStr">
        <is>
          <t>GÄVLEBORGS LÄN</t>
        </is>
      </c>
      <c r="E1045" t="inlineStr">
        <is>
          <t>SANDVIKEN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28063-2023</t>
        </is>
      </c>
      <c r="B1046" s="1" t="n">
        <v>45099.36172453704</v>
      </c>
      <c r="C1046" s="1" t="n">
        <v>46129</v>
      </c>
      <c r="D1046" t="inlineStr">
        <is>
          <t>GÄVLEBORGS LÄN</t>
        </is>
      </c>
      <c r="E1046" t="inlineStr">
        <is>
          <t>SANDVIKEN</t>
        </is>
      </c>
      <c r="G1046" t="n">
        <v>8.1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59738-2022</t>
        </is>
      </c>
      <c r="B1047" s="1" t="n">
        <v>44908</v>
      </c>
      <c r="C1047" s="1" t="n">
        <v>46129</v>
      </c>
      <c r="D1047" t="inlineStr">
        <is>
          <t>GÄVLEBORGS LÄN</t>
        </is>
      </c>
      <c r="E1047" t="inlineStr">
        <is>
          <t>SANDVIKEN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12629-2025</t>
        </is>
      </c>
      <c r="B1048" s="1" t="n">
        <v>45733.369375</v>
      </c>
      <c r="C1048" s="1" t="n">
        <v>46129</v>
      </c>
      <c r="D1048" t="inlineStr">
        <is>
          <t>GÄVLEBORGS LÄN</t>
        </is>
      </c>
      <c r="E1048" t="inlineStr">
        <is>
          <t>SANDVIKEN</t>
        </is>
      </c>
      <c r="F1048" t="inlineStr">
        <is>
          <t>Bergvik skog öst AB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56017-2023</t>
        </is>
      </c>
      <c r="B1049" s="1" t="n">
        <v>45240</v>
      </c>
      <c r="C1049" s="1" t="n">
        <v>46129</v>
      </c>
      <c r="D1049" t="inlineStr">
        <is>
          <t>GÄVLEBORGS LÄN</t>
        </is>
      </c>
      <c r="E1049" t="inlineStr">
        <is>
          <t>SANDVIKEN</t>
        </is>
      </c>
      <c r="F1049" t="inlineStr">
        <is>
          <t>Sveaskog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59661-2024</t>
        </is>
      </c>
      <c r="B1050" s="1" t="n">
        <v>45639.36412037037</v>
      </c>
      <c r="C1050" s="1" t="n">
        <v>46129</v>
      </c>
      <c r="D1050" t="inlineStr">
        <is>
          <t>GÄVLEBORGS LÄN</t>
        </is>
      </c>
      <c r="E1050" t="inlineStr">
        <is>
          <t>SANDVIKEN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55106-2024</t>
        </is>
      </c>
      <c r="B1051" s="1" t="n">
        <v>45621</v>
      </c>
      <c r="C1051" s="1" t="n">
        <v>46129</v>
      </c>
      <c r="D1051" t="inlineStr">
        <is>
          <t>GÄVLEBORGS LÄN</t>
        </is>
      </c>
      <c r="E1051" t="inlineStr">
        <is>
          <t>SANDVIKEN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3456-2024</t>
        </is>
      </c>
      <c r="B1052" s="1" t="n">
        <v>45320.39416666667</v>
      </c>
      <c r="C1052" s="1" t="n">
        <v>46129</v>
      </c>
      <c r="D1052" t="inlineStr">
        <is>
          <t>GÄVLEBORGS LÄN</t>
        </is>
      </c>
      <c r="E1052" t="inlineStr">
        <is>
          <t>SANDVIKEN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23758-2024</t>
        </is>
      </c>
      <c r="B1053" s="1" t="n">
        <v>45455.35325231482</v>
      </c>
      <c r="C1053" s="1" t="n">
        <v>46129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Kyrkan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26355-2021</t>
        </is>
      </c>
      <c r="B1054" s="1" t="n">
        <v>44347</v>
      </c>
      <c r="C1054" s="1" t="n">
        <v>46129</v>
      </c>
      <c r="D1054" t="inlineStr">
        <is>
          <t>GÄVLEBORGS LÄN</t>
        </is>
      </c>
      <c r="E1054" t="inlineStr">
        <is>
          <t>SANDVIKEN</t>
        </is>
      </c>
      <c r="F1054" t="inlineStr">
        <is>
          <t>Bergvik skog väst AB</t>
        </is>
      </c>
      <c r="G1054" t="n">
        <v>10.1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46879-2024</t>
        </is>
      </c>
      <c r="B1055" s="1" t="n">
        <v>45583</v>
      </c>
      <c r="C1055" s="1" t="n">
        <v>46129</v>
      </c>
      <c r="D1055" t="inlineStr">
        <is>
          <t>GÄVLEBORGS LÄN</t>
        </is>
      </c>
      <c r="E1055" t="inlineStr">
        <is>
          <t>SANDVIKEN</t>
        </is>
      </c>
      <c r="F1055" t="inlineStr">
        <is>
          <t>Sveaskog</t>
        </is>
      </c>
      <c r="G1055" t="n">
        <v>11.3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11778-2024</t>
        </is>
      </c>
      <c r="B1056" s="1" t="n">
        <v>45374.42484953703</v>
      </c>
      <c r="C1056" s="1" t="n">
        <v>46129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47710-2022</t>
        </is>
      </c>
      <c r="B1057" s="1" t="n">
        <v>44854</v>
      </c>
      <c r="C1057" s="1" t="n">
        <v>46129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48300-2023</t>
        </is>
      </c>
      <c r="B1058" s="1" t="n">
        <v>45205.57335648148</v>
      </c>
      <c r="C1058" s="1" t="n">
        <v>46129</v>
      </c>
      <c r="D1058" t="inlineStr">
        <is>
          <t>GÄVLEBORGS LÄN</t>
        </is>
      </c>
      <c r="E1058" t="inlineStr">
        <is>
          <t>SANDVIKEN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10578-2025</t>
        </is>
      </c>
      <c r="B1059" s="1" t="n">
        <v>45721.54731481482</v>
      </c>
      <c r="C1059" s="1" t="n">
        <v>46129</v>
      </c>
      <c r="D1059" t="inlineStr">
        <is>
          <t>GÄVLEBORGS LÄN</t>
        </is>
      </c>
      <c r="E1059" t="inlineStr">
        <is>
          <t>SANDVIKEN</t>
        </is>
      </c>
      <c r="F1059" t="inlineStr">
        <is>
          <t>Sveaskog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44101-2023</t>
        </is>
      </c>
      <c r="B1060" s="1" t="n">
        <v>45188.43148148148</v>
      </c>
      <c r="C1060" s="1" t="n">
        <v>46129</v>
      </c>
      <c r="D1060" t="inlineStr">
        <is>
          <t>GÄVLEBORGS LÄN</t>
        </is>
      </c>
      <c r="E1060" t="inlineStr">
        <is>
          <t>SANDVIKEN</t>
        </is>
      </c>
      <c r="F1060" t="inlineStr">
        <is>
          <t>Bergvik skog öst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61822-2024</t>
        </is>
      </c>
      <c r="B1061" s="1" t="n">
        <v>45649</v>
      </c>
      <c r="C1061" s="1" t="n">
        <v>46129</v>
      </c>
      <c r="D1061" t="inlineStr">
        <is>
          <t>GÄVLEBORGS LÄN</t>
        </is>
      </c>
      <c r="E1061" t="inlineStr">
        <is>
          <t>SANDVIKEN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53861-2024</t>
        </is>
      </c>
      <c r="B1062" s="1" t="n">
        <v>45615.64052083333</v>
      </c>
      <c r="C1062" s="1" t="n">
        <v>46129</v>
      </c>
      <c r="D1062" t="inlineStr">
        <is>
          <t>GÄVLEBORGS LÄN</t>
        </is>
      </c>
      <c r="E1062" t="inlineStr">
        <is>
          <t>SANDVIKEN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29297-2024</t>
        </is>
      </c>
      <c r="B1063" s="1" t="n">
        <v>45483.33927083333</v>
      </c>
      <c r="C1063" s="1" t="n">
        <v>46129</v>
      </c>
      <c r="D1063" t="inlineStr">
        <is>
          <t>GÄVLEBORGS LÄN</t>
        </is>
      </c>
      <c r="E1063" t="inlineStr">
        <is>
          <t>SANDVIKEN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53007-2023</t>
        </is>
      </c>
      <c r="B1064" s="1" t="n">
        <v>45226</v>
      </c>
      <c r="C1064" s="1" t="n">
        <v>46129</v>
      </c>
      <c r="D1064" t="inlineStr">
        <is>
          <t>GÄVLEBORGS LÄN</t>
        </is>
      </c>
      <c r="E1064" t="inlineStr">
        <is>
          <t>SANDVIKEN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39566-2022</t>
        </is>
      </c>
      <c r="B1065" s="1" t="n">
        <v>44818.57881944445</v>
      </c>
      <c r="C1065" s="1" t="n">
        <v>46129</v>
      </c>
      <c r="D1065" t="inlineStr">
        <is>
          <t>GÄVLEBORGS LÄN</t>
        </is>
      </c>
      <c r="E1065" t="inlineStr">
        <is>
          <t>SANDVIKEN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28206-2024</t>
        </is>
      </c>
      <c r="B1066" s="1" t="n">
        <v>45477.34099537037</v>
      </c>
      <c r="C1066" s="1" t="n">
        <v>46129</v>
      </c>
      <c r="D1066" t="inlineStr">
        <is>
          <t>GÄVLEBORGS LÄN</t>
        </is>
      </c>
      <c r="E1066" t="inlineStr">
        <is>
          <t>SANDVIKEN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11385-2023</t>
        </is>
      </c>
      <c r="B1067" s="1" t="n">
        <v>44988</v>
      </c>
      <c r="C1067" s="1" t="n">
        <v>46129</v>
      </c>
      <c r="D1067" t="inlineStr">
        <is>
          <t>GÄVLEBORGS LÄN</t>
        </is>
      </c>
      <c r="E1067" t="inlineStr">
        <is>
          <t>SANDVIKEN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52932-2022</t>
        </is>
      </c>
      <c r="B1068" s="1" t="n">
        <v>44875.62975694444</v>
      </c>
      <c r="C1068" s="1" t="n">
        <v>46129</v>
      </c>
      <c r="D1068" t="inlineStr">
        <is>
          <t>GÄVLEBORGS LÄN</t>
        </is>
      </c>
      <c r="E1068" t="inlineStr">
        <is>
          <t>SANDVIKEN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30721-2023</t>
        </is>
      </c>
      <c r="B1069" s="1" t="n">
        <v>45112</v>
      </c>
      <c r="C1069" s="1" t="n">
        <v>46129</v>
      </c>
      <c r="D1069" t="inlineStr">
        <is>
          <t>GÄVLEBORGS LÄN</t>
        </is>
      </c>
      <c r="E1069" t="inlineStr">
        <is>
          <t>SANDVIKEN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34946-2022</t>
        </is>
      </c>
      <c r="B1070" s="1" t="n">
        <v>44796</v>
      </c>
      <c r="C1070" s="1" t="n">
        <v>46129</v>
      </c>
      <c r="D1070" t="inlineStr">
        <is>
          <t>GÄVLEBORGS LÄN</t>
        </is>
      </c>
      <c r="E1070" t="inlineStr">
        <is>
          <t>SANDVIKEN</t>
        </is>
      </c>
      <c r="F1070" t="inlineStr">
        <is>
          <t>Bergvik skog öst AB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38200-2024</t>
        </is>
      </c>
      <c r="B1071" s="1" t="n">
        <v>45545</v>
      </c>
      <c r="C1071" s="1" t="n">
        <v>46129</v>
      </c>
      <c r="D1071" t="inlineStr">
        <is>
          <t>GÄVLEBORGS LÄN</t>
        </is>
      </c>
      <c r="E1071" t="inlineStr">
        <is>
          <t>SANDVIKEN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22238-2023</t>
        </is>
      </c>
      <c r="B1072" s="1" t="n">
        <v>45070.28346064815</v>
      </c>
      <c r="C1072" s="1" t="n">
        <v>46129</v>
      </c>
      <c r="D1072" t="inlineStr">
        <is>
          <t>GÄVLEBORGS LÄN</t>
        </is>
      </c>
      <c r="E1072" t="inlineStr">
        <is>
          <t>SANDVIKEN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7616-2025</t>
        </is>
      </c>
      <c r="B1073" s="1" t="n">
        <v>45705</v>
      </c>
      <c r="C1073" s="1" t="n">
        <v>46129</v>
      </c>
      <c r="D1073" t="inlineStr">
        <is>
          <t>GÄVLEBORGS LÄN</t>
        </is>
      </c>
      <c r="E1073" t="inlineStr">
        <is>
          <t>SANDVIKEN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59616-2023</t>
        </is>
      </c>
      <c r="B1074" s="1" t="n">
        <v>45254.65175925926</v>
      </c>
      <c r="C1074" s="1" t="n">
        <v>46129</v>
      </c>
      <c r="D1074" t="inlineStr">
        <is>
          <t>GÄVLEBORGS LÄN</t>
        </is>
      </c>
      <c r="E1074" t="inlineStr">
        <is>
          <t>SANDVIKEN</t>
        </is>
      </c>
      <c r="F1074" t="inlineStr">
        <is>
          <t>Sveaskog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4461-2023</t>
        </is>
      </c>
      <c r="B1075" s="1" t="n">
        <v>44956</v>
      </c>
      <c r="C1075" s="1" t="n">
        <v>46129</v>
      </c>
      <c r="D1075" t="inlineStr">
        <is>
          <t>GÄVLEBORGS LÄN</t>
        </is>
      </c>
      <c r="E1075" t="inlineStr">
        <is>
          <t>SANDVIKEN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716-2024</t>
        </is>
      </c>
      <c r="B1076" s="1" t="n">
        <v>45300</v>
      </c>
      <c r="C1076" s="1" t="n">
        <v>46129</v>
      </c>
      <c r="D1076" t="inlineStr">
        <is>
          <t>GÄVLEBORGS LÄN</t>
        </is>
      </c>
      <c r="E1076" t="inlineStr">
        <is>
          <t>SANDVIKEN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64801-2023</t>
        </is>
      </c>
      <c r="B1077" s="1" t="n">
        <v>45282.39997685186</v>
      </c>
      <c r="C1077" s="1" t="n">
        <v>46129</v>
      </c>
      <c r="D1077" t="inlineStr">
        <is>
          <t>GÄVLEBORGS LÄN</t>
        </is>
      </c>
      <c r="E1077" t="inlineStr">
        <is>
          <t>SANDVIKEN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30953-2024</t>
        </is>
      </c>
      <c r="B1078" s="1" t="n">
        <v>45499.41650462963</v>
      </c>
      <c r="C1078" s="1" t="n">
        <v>46129</v>
      </c>
      <c r="D1078" t="inlineStr">
        <is>
          <t>GÄVLEBORGS LÄN</t>
        </is>
      </c>
      <c r="E1078" t="inlineStr">
        <is>
          <t>SANDVIKEN</t>
        </is>
      </c>
      <c r="G1078" t="n">
        <v>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50701-2024</t>
        </is>
      </c>
      <c r="B1079" s="1" t="n">
        <v>45602.36033564815</v>
      </c>
      <c r="C1079" s="1" t="n">
        <v>46129</v>
      </c>
      <c r="D1079" t="inlineStr">
        <is>
          <t>GÄVLEBORGS LÄN</t>
        </is>
      </c>
      <c r="E1079" t="inlineStr">
        <is>
          <t>SANDVIKEN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50765-2024</t>
        </is>
      </c>
      <c r="B1080" s="1" t="n">
        <v>45602.4396875</v>
      </c>
      <c r="C1080" s="1" t="n">
        <v>46129</v>
      </c>
      <c r="D1080" t="inlineStr">
        <is>
          <t>GÄVLEBORGS LÄN</t>
        </is>
      </c>
      <c r="E1080" t="inlineStr">
        <is>
          <t>SANDVIKEN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58363-2022</t>
        </is>
      </c>
      <c r="B1081" s="1" t="n">
        <v>44901</v>
      </c>
      <c r="C1081" s="1" t="n">
        <v>46129</v>
      </c>
      <c r="D1081" t="inlineStr">
        <is>
          <t>GÄVLEBORGS LÄN</t>
        </is>
      </c>
      <c r="E1081" t="inlineStr">
        <is>
          <t>SANDVIKEN</t>
        </is>
      </c>
      <c r="G1081" t="n">
        <v>7.3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58983-2023</t>
        </is>
      </c>
      <c r="B1082" s="1" t="n">
        <v>45252</v>
      </c>
      <c r="C1082" s="1" t="n">
        <v>46129</v>
      </c>
      <c r="D1082" t="inlineStr">
        <is>
          <t>GÄVLEBORGS LÄN</t>
        </is>
      </c>
      <c r="E1082" t="inlineStr">
        <is>
          <t>SANDVIKEN</t>
        </is>
      </c>
      <c r="F1082" t="inlineStr">
        <is>
          <t>Bergvik skog öst AB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24465-2023</t>
        </is>
      </c>
      <c r="B1083" s="1" t="n">
        <v>45082.5808912037</v>
      </c>
      <c r="C1083" s="1" t="n">
        <v>46129</v>
      </c>
      <c r="D1083" t="inlineStr">
        <is>
          <t>GÄVLEBORGS LÄN</t>
        </is>
      </c>
      <c r="E1083" t="inlineStr">
        <is>
          <t>SANDVIKEN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2290-2025</t>
        </is>
      </c>
      <c r="B1084" s="1" t="n">
        <v>45673</v>
      </c>
      <c r="C1084" s="1" t="n">
        <v>46129</v>
      </c>
      <c r="D1084" t="inlineStr">
        <is>
          <t>GÄVLEBORGS LÄN</t>
        </is>
      </c>
      <c r="E1084" t="inlineStr">
        <is>
          <t>SANDVIKEN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16820-2025</t>
        </is>
      </c>
      <c r="B1085" s="1" t="n">
        <v>45754.64225694445</v>
      </c>
      <c r="C1085" s="1" t="n">
        <v>46129</v>
      </c>
      <c r="D1085" t="inlineStr">
        <is>
          <t>GÄVLEBORGS LÄN</t>
        </is>
      </c>
      <c r="E1085" t="inlineStr">
        <is>
          <t>SANDVIKEN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1372-2025</t>
        </is>
      </c>
      <c r="B1086" s="1" t="n">
        <v>45667.64702546296</v>
      </c>
      <c r="C1086" s="1" t="n">
        <v>46129</v>
      </c>
      <c r="D1086" t="inlineStr">
        <is>
          <t>GÄVLEBORGS LÄN</t>
        </is>
      </c>
      <c r="E1086" t="inlineStr">
        <is>
          <t>SANDVIKEN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1418-2025</t>
        </is>
      </c>
      <c r="B1087" s="1" t="n">
        <v>45668.41842592593</v>
      </c>
      <c r="C1087" s="1" t="n">
        <v>46129</v>
      </c>
      <c r="D1087" t="inlineStr">
        <is>
          <t>GÄVLEBORGS LÄN</t>
        </is>
      </c>
      <c r="E1087" t="inlineStr">
        <is>
          <t>SANDVIKEN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43716-2023</t>
        </is>
      </c>
      <c r="B1088" s="1" t="n">
        <v>45187</v>
      </c>
      <c r="C1088" s="1" t="n">
        <v>46129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  <c r="U1088">
        <f>HYPERLINK("https://klasma.github.io/Logging_2181/knärot/A 43716-2023 karta knärot.png", "A 43716-2023")</f>
        <v/>
      </c>
      <c r="V1088">
        <f>HYPERLINK("https://klasma.github.io/Logging_2181/klagomål/A 43716-2023 FSC-klagomål.docx", "A 43716-2023")</f>
        <v/>
      </c>
      <c r="W1088">
        <f>HYPERLINK("https://klasma.github.io/Logging_2181/klagomålsmail/A 43716-2023 FSC-klagomål mail.docx", "A 43716-2023")</f>
        <v/>
      </c>
      <c r="X1088">
        <f>HYPERLINK("https://klasma.github.io/Logging_2181/tillsyn/A 43716-2023 tillsynsbegäran.docx", "A 43716-2023")</f>
        <v/>
      </c>
      <c r="Y1088">
        <f>HYPERLINK("https://klasma.github.io/Logging_2181/tillsynsmail/A 43716-2023 tillsynsbegäran mail.docx", "A 43716-2023")</f>
        <v/>
      </c>
    </row>
    <row r="1089" ht="15" customHeight="1">
      <c r="A1089" t="inlineStr">
        <is>
          <t>A 60908-2022</t>
        </is>
      </c>
      <c r="B1089" s="1" t="n">
        <v>44914</v>
      </c>
      <c r="C1089" s="1" t="n">
        <v>46129</v>
      </c>
      <c r="D1089" t="inlineStr">
        <is>
          <t>GÄVLEBORGS LÄN</t>
        </is>
      </c>
      <c r="E1089" t="inlineStr">
        <is>
          <t>SANDVIKEN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33487-2024</t>
        </is>
      </c>
      <c r="B1090" s="1" t="n">
        <v>45519.61461805556</v>
      </c>
      <c r="C1090" s="1" t="n">
        <v>46129</v>
      </c>
      <c r="D1090" t="inlineStr">
        <is>
          <t>GÄVLEBORGS LÄN</t>
        </is>
      </c>
      <c r="E1090" t="inlineStr">
        <is>
          <t>SANDVIKEN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59841-2023</t>
        </is>
      </c>
      <c r="B1091" s="1" t="n">
        <v>45257.56163194445</v>
      </c>
      <c r="C1091" s="1" t="n">
        <v>46129</v>
      </c>
      <c r="D1091" t="inlineStr">
        <is>
          <t>GÄVLEBORGS LÄN</t>
        </is>
      </c>
      <c r="E1091" t="inlineStr">
        <is>
          <t>SANDVIKEN</t>
        </is>
      </c>
      <c r="F1091" t="inlineStr">
        <is>
          <t>Bergvik skog öst AB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4783-2025</t>
        </is>
      </c>
      <c r="B1092" s="1" t="n">
        <v>45688.52892361111</v>
      </c>
      <c r="C1092" s="1" t="n">
        <v>46129</v>
      </c>
      <c r="D1092" t="inlineStr">
        <is>
          <t>GÄVLEBORGS LÄN</t>
        </is>
      </c>
      <c r="E1092" t="inlineStr">
        <is>
          <t>SANDVIKEN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27006-2023</t>
        </is>
      </c>
      <c r="B1093" s="1" t="n">
        <v>45094</v>
      </c>
      <c r="C1093" s="1" t="n">
        <v>46129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9.5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46177-2022</t>
        </is>
      </c>
      <c r="B1094" s="1" t="n">
        <v>44847.49043981481</v>
      </c>
      <c r="C1094" s="1" t="n">
        <v>46129</v>
      </c>
      <c r="D1094" t="inlineStr">
        <is>
          <t>GÄVLEBORGS LÄN</t>
        </is>
      </c>
      <c r="E1094" t="inlineStr">
        <is>
          <t>SANDVIKEN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19346-2023</t>
        </is>
      </c>
      <c r="B1095" s="1" t="n">
        <v>45049.58680555555</v>
      </c>
      <c r="C1095" s="1" t="n">
        <v>46129</v>
      </c>
      <c r="D1095" t="inlineStr">
        <is>
          <t>GÄVLEBORGS LÄN</t>
        </is>
      </c>
      <c r="E1095" t="inlineStr">
        <is>
          <t>SANDVIKEN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61363-2023</t>
        </is>
      </c>
      <c r="B1096" s="1" t="n">
        <v>45264.61790509259</v>
      </c>
      <c r="C1096" s="1" t="n">
        <v>46129</v>
      </c>
      <c r="D1096" t="inlineStr">
        <is>
          <t>GÄVLEBORGS LÄN</t>
        </is>
      </c>
      <c r="E1096" t="inlineStr">
        <is>
          <t>SANDVIKEN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55539-2023</t>
        </is>
      </c>
      <c r="B1097" s="1" t="n">
        <v>45238.60041666667</v>
      </c>
      <c r="C1097" s="1" t="n">
        <v>46129</v>
      </c>
      <c r="D1097" t="inlineStr">
        <is>
          <t>GÄVLEBORGS LÄN</t>
        </is>
      </c>
      <c r="E1097" t="inlineStr">
        <is>
          <t>SANDVIKEN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8380-2025</t>
        </is>
      </c>
      <c r="B1098" s="1" t="n">
        <v>45709</v>
      </c>
      <c r="C1098" s="1" t="n">
        <v>46129</v>
      </c>
      <c r="D1098" t="inlineStr">
        <is>
          <t>GÄVLEBORGS LÄN</t>
        </is>
      </c>
      <c r="E1098" t="inlineStr">
        <is>
          <t>SANDVIKEN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46482-2023</t>
        </is>
      </c>
      <c r="B1099" s="1" t="n">
        <v>45197.63974537037</v>
      </c>
      <c r="C1099" s="1" t="n">
        <v>46129</v>
      </c>
      <c r="D1099" t="inlineStr">
        <is>
          <t>GÄVLEBORGS LÄN</t>
        </is>
      </c>
      <c r="E1099" t="inlineStr">
        <is>
          <t>SANDVIKEN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50797-2023</t>
        </is>
      </c>
      <c r="B1100" s="1" t="n">
        <v>45217.65972222222</v>
      </c>
      <c r="C1100" s="1" t="n">
        <v>46129</v>
      </c>
      <c r="D1100" t="inlineStr">
        <is>
          <t>GÄVLEBORGS LÄN</t>
        </is>
      </c>
      <c r="E1100" t="inlineStr">
        <is>
          <t>SANDVIKEN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139-2022</t>
        </is>
      </c>
      <c r="B1101" s="1" t="n">
        <v>44564.57825231482</v>
      </c>
      <c r="C1101" s="1" t="n">
        <v>46129</v>
      </c>
      <c r="D1101" t="inlineStr">
        <is>
          <t>GÄVLEBORGS LÄN</t>
        </is>
      </c>
      <c r="E1101" t="inlineStr">
        <is>
          <t>SANDVIKEN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4384-2023</t>
        </is>
      </c>
      <c r="B1102" s="1" t="n">
        <v>44955</v>
      </c>
      <c r="C1102" s="1" t="n">
        <v>46129</v>
      </c>
      <c r="D1102" t="inlineStr">
        <is>
          <t>GÄVLEBORGS LÄN</t>
        </is>
      </c>
      <c r="E1102" t="inlineStr">
        <is>
          <t>SANDVIKEN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50299-2024</t>
        </is>
      </c>
      <c r="B1103" s="1" t="n">
        <v>45600.62952546297</v>
      </c>
      <c r="C1103" s="1" t="n">
        <v>46129</v>
      </c>
      <c r="D1103" t="inlineStr">
        <is>
          <t>GÄVLEBORGS LÄN</t>
        </is>
      </c>
      <c r="E1103" t="inlineStr">
        <is>
          <t>SANDVIKEN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49533-2024</t>
        </is>
      </c>
      <c r="B1104" s="1" t="n">
        <v>45596.42138888889</v>
      </c>
      <c r="C1104" s="1" t="n">
        <v>46129</v>
      </c>
      <c r="D1104" t="inlineStr">
        <is>
          <t>GÄVLEBORGS LÄN</t>
        </is>
      </c>
      <c r="E1104" t="inlineStr">
        <is>
          <t>SANDVIKEN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7699-2025</t>
        </is>
      </c>
      <c r="B1105" s="1" t="n">
        <v>45706</v>
      </c>
      <c r="C1105" s="1" t="n">
        <v>46129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Kommuner</t>
        </is>
      </c>
      <c r="G1105" t="n">
        <v>8.199999999999999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73331-2021</t>
        </is>
      </c>
      <c r="B1106" s="1" t="n">
        <v>44551.36337962963</v>
      </c>
      <c r="C1106" s="1" t="n">
        <v>46129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58885-2024</t>
        </is>
      </c>
      <c r="B1107" s="1" t="n">
        <v>45636.45076388889</v>
      </c>
      <c r="C1107" s="1" t="n">
        <v>46129</v>
      </c>
      <c r="D1107" t="inlineStr">
        <is>
          <t>GÄVLEBORGS LÄN</t>
        </is>
      </c>
      <c r="E1107" t="inlineStr">
        <is>
          <t>SANDVIKEN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41790-2024</t>
        </is>
      </c>
      <c r="B1108" s="1" t="n">
        <v>45561.35392361111</v>
      </c>
      <c r="C1108" s="1" t="n">
        <v>46129</v>
      </c>
      <c r="D1108" t="inlineStr">
        <is>
          <t>GÄVLEBORGS LÄN</t>
        </is>
      </c>
      <c r="E1108" t="inlineStr">
        <is>
          <t>SANDVIKEN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21456-2023</t>
        </is>
      </c>
      <c r="B1109" s="1" t="n">
        <v>45063.45789351852</v>
      </c>
      <c r="C1109" s="1" t="n">
        <v>46129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Kommuner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50704-2024</t>
        </is>
      </c>
      <c r="B1110" s="1" t="n">
        <v>45602.36324074074</v>
      </c>
      <c r="C1110" s="1" t="n">
        <v>46129</v>
      </c>
      <c r="D1110" t="inlineStr">
        <is>
          <t>GÄVLEBORGS LÄN</t>
        </is>
      </c>
      <c r="E1110" t="inlineStr">
        <is>
          <t>SANDVIKEN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15788-2025</t>
        </is>
      </c>
      <c r="B1111" s="1" t="n">
        <v>45748.62546296296</v>
      </c>
      <c r="C1111" s="1" t="n">
        <v>46129</v>
      </c>
      <c r="D1111" t="inlineStr">
        <is>
          <t>GÄVLEBORGS LÄN</t>
        </is>
      </c>
      <c r="E1111" t="inlineStr">
        <is>
          <t>SANDVIKEN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50900-2024</t>
        </is>
      </c>
      <c r="B1112" s="1" t="n">
        <v>45602.68607638889</v>
      </c>
      <c r="C1112" s="1" t="n">
        <v>46129</v>
      </c>
      <c r="D1112" t="inlineStr">
        <is>
          <t>GÄVLEBORGS LÄN</t>
        </is>
      </c>
      <c r="E1112" t="inlineStr">
        <is>
          <t>SANDVIKEN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58797-2024</t>
        </is>
      </c>
      <c r="B1113" s="1" t="n">
        <v>45636.29861111111</v>
      </c>
      <c r="C1113" s="1" t="n">
        <v>46129</v>
      </c>
      <c r="D1113" t="inlineStr">
        <is>
          <t>GÄVLEBORGS LÄN</t>
        </is>
      </c>
      <c r="E1113" t="inlineStr">
        <is>
          <t>SANDVIKEN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24992-2023</t>
        </is>
      </c>
      <c r="B1114" s="1" t="n">
        <v>45085.64475694444</v>
      </c>
      <c r="C1114" s="1" t="n">
        <v>46129</v>
      </c>
      <c r="D1114" t="inlineStr">
        <is>
          <t>GÄVLEBORGS LÄN</t>
        </is>
      </c>
      <c r="E1114" t="inlineStr">
        <is>
          <t>SANDVIKEN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17159-2025</t>
        </is>
      </c>
      <c r="B1115" s="1" t="n">
        <v>45756.34729166667</v>
      </c>
      <c r="C1115" s="1" t="n">
        <v>46129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7056-2025</t>
        </is>
      </c>
      <c r="B1116" s="1" t="n">
        <v>45701.65290509259</v>
      </c>
      <c r="C1116" s="1" t="n">
        <v>46129</v>
      </c>
      <c r="D1116" t="inlineStr">
        <is>
          <t>GÄVLEBORGS LÄN</t>
        </is>
      </c>
      <c r="E1116" t="inlineStr">
        <is>
          <t>SANDVIKEN</t>
        </is>
      </c>
      <c r="G1116" t="n">
        <v>6.4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6765-2025</t>
        </is>
      </c>
      <c r="B1117" s="1" t="n">
        <v>45700.63459490741</v>
      </c>
      <c r="C1117" s="1" t="n">
        <v>46129</v>
      </c>
      <c r="D1117" t="inlineStr">
        <is>
          <t>GÄVLEBORGS LÄN</t>
        </is>
      </c>
      <c r="E1117" t="inlineStr">
        <is>
          <t>SANDVIKEN</t>
        </is>
      </c>
      <c r="G1117" t="n">
        <v>7.1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34312-2021</t>
        </is>
      </c>
      <c r="B1118" s="1" t="n">
        <v>44379</v>
      </c>
      <c r="C1118" s="1" t="n">
        <v>46129</v>
      </c>
      <c r="D1118" t="inlineStr">
        <is>
          <t>GÄVLEBORGS LÄN</t>
        </is>
      </c>
      <c r="E1118" t="inlineStr">
        <is>
          <t>SANDVIKEN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47889-2022</t>
        </is>
      </c>
      <c r="B1119" s="1" t="n">
        <v>44855</v>
      </c>
      <c r="C1119" s="1" t="n">
        <v>46129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Sveaskog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29972-2022</t>
        </is>
      </c>
      <c r="B1120" s="1" t="n">
        <v>44756.68119212963</v>
      </c>
      <c r="C1120" s="1" t="n">
        <v>46129</v>
      </c>
      <c r="D1120" t="inlineStr">
        <is>
          <t>GÄVLEBORGS LÄN</t>
        </is>
      </c>
      <c r="E1120" t="inlineStr">
        <is>
          <t>SANDVIKEN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16385-2023</t>
        </is>
      </c>
      <c r="B1121" s="1" t="n">
        <v>45022</v>
      </c>
      <c r="C1121" s="1" t="n">
        <v>46129</v>
      </c>
      <c r="D1121" t="inlineStr">
        <is>
          <t>GÄVLEBORGS LÄN</t>
        </is>
      </c>
      <c r="E1121" t="inlineStr">
        <is>
          <t>SANDVIKEN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25544-2024</t>
        </is>
      </c>
      <c r="B1122" s="1" t="n">
        <v>45463</v>
      </c>
      <c r="C1122" s="1" t="n">
        <v>46129</v>
      </c>
      <c r="D1122" t="inlineStr">
        <is>
          <t>GÄVLEBORGS LÄN</t>
        </is>
      </c>
      <c r="E1122" t="inlineStr">
        <is>
          <t>SANDVIKEN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15347-2025</t>
        </is>
      </c>
      <c r="B1123" s="1" t="n">
        <v>45747.38072916667</v>
      </c>
      <c r="C1123" s="1" t="n">
        <v>46129</v>
      </c>
      <c r="D1123" t="inlineStr">
        <is>
          <t>GÄVLEBORGS LÄN</t>
        </is>
      </c>
      <c r="E1123" t="inlineStr">
        <is>
          <t>SANDVIKEN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37641-2024</t>
        </is>
      </c>
      <c r="B1124" s="1" t="n">
        <v>45541</v>
      </c>
      <c r="C1124" s="1" t="n">
        <v>46129</v>
      </c>
      <c r="D1124" t="inlineStr">
        <is>
          <t>GÄVLEBORGS LÄN</t>
        </is>
      </c>
      <c r="E1124" t="inlineStr">
        <is>
          <t>SANDVIKEN</t>
        </is>
      </c>
      <c r="F1124" t="inlineStr">
        <is>
          <t>Sveaskog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37643-2024</t>
        </is>
      </c>
      <c r="B1125" s="1" t="n">
        <v>45541</v>
      </c>
      <c r="C1125" s="1" t="n">
        <v>46129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1408-2024</t>
        </is>
      </c>
      <c r="B1126" s="1" t="n">
        <v>45303.60203703704</v>
      </c>
      <c r="C1126" s="1" t="n">
        <v>46129</v>
      </c>
      <c r="D1126" t="inlineStr">
        <is>
          <t>GÄVLEBORGS LÄN</t>
        </is>
      </c>
      <c r="E1126" t="inlineStr">
        <is>
          <t>SANDVIKEN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40745-2024</t>
        </is>
      </c>
      <c r="B1127" s="1" t="n">
        <v>45558.45087962963</v>
      </c>
      <c r="C1127" s="1" t="n">
        <v>46129</v>
      </c>
      <c r="D1127" t="inlineStr">
        <is>
          <t>GÄVLEBORGS LÄN</t>
        </is>
      </c>
      <c r="E1127" t="inlineStr">
        <is>
          <t>SANDVIKEN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10894-2025</t>
        </is>
      </c>
      <c r="B1128" s="1" t="n">
        <v>45722.68009259259</v>
      </c>
      <c r="C1128" s="1" t="n">
        <v>46129</v>
      </c>
      <c r="D1128" t="inlineStr">
        <is>
          <t>GÄVLEBORGS LÄN</t>
        </is>
      </c>
      <c r="E1128" t="inlineStr">
        <is>
          <t>SANDVIKEN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3899-2022</t>
        </is>
      </c>
      <c r="B1129" s="1" t="n">
        <v>44587</v>
      </c>
      <c r="C1129" s="1" t="n">
        <v>46129</v>
      </c>
      <c r="D1129" t="inlineStr">
        <is>
          <t>GÄVLEBORGS LÄN</t>
        </is>
      </c>
      <c r="E1129" t="inlineStr">
        <is>
          <t>SANDVIKEN</t>
        </is>
      </c>
      <c r="F1129" t="inlineStr">
        <is>
          <t>Kyrkan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4511-2024</t>
        </is>
      </c>
      <c r="B1130" s="1" t="n">
        <v>45327.6296412037</v>
      </c>
      <c r="C1130" s="1" t="n">
        <v>46129</v>
      </c>
      <c r="D1130" t="inlineStr">
        <is>
          <t>GÄVLEBORGS LÄN</t>
        </is>
      </c>
      <c r="E1130" t="inlineStr">
        <is>
          <t>SANDVIKEN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34242-2021</t>
        </is>
      </c>
      <c r="B1131" s="1" t="n">
        <v>44379.5612962963</v>
      </c>
      <c r="C1131" s="1" t="n">
        <v>46129</v>
      </c>
      <c r="D1131" t="inlineStr">
        <is>
          <t>GÄVLEBORGS LÄN</t>
        </is>
      </c>
      <c r="E1131" t="inlineStr">
        <is>
          <t>SANDVIKEN</t>
        </is>
      </c>
      <c r="F1131" t="inlineStr">
        <is>
          <t>Bergvik skog öst AB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6998-2022</t>
        </is>
      </c>
      <c r="B1132" s="1" t="n">
        <v>44603</v>
      </c>
      <c r="C1132" s="1" t="n">
        <v>46129</v>
      </c>
      <c r="D1132" t="inlineStr">
        <is>
          <t>GÄVLEBORGS LÄN</t>
        </is>
      </c>
      <c r="E1132" t="inlineStr">
        <is>
          <t>SANDVIKEN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19269-2025</t>
        </is>
      </c>
      <c r="B1133" s="1" t="n">
        <v>45769.51464120371</v>
      </c>
      <c r="C1133" s="1" t="n">
        <v>46129</v>
      </c>
      <c r="D1133" t="inlineStr">
        <is>
          <t>GÄVLEBORGS LÄN</t>
        </is>
      </c>
      <c r="E1133" t="inlineStr">
        <is>
          <t>SANDVIKEN</t>
        </is>
      </c>
      <c r="G1133" t="n">
        <v>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11967-2025</t>
        </is>
      </c>
      <c r="B1134" s="1" t="n">
        <v>45728</v>
      </c>
      <c r="C1134" s="1" t="n">
        <v>46129</v>
      </c>
      <c r="D1134" t="inlineStr">
        <is>
          <t>GÄVLEBORGS LÄN</t>
        </is>
      </c>
      <c r="E1134" t="inlineStr">
        <is>
          <t>SANDVIKEN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15671-2024</t>
        </is>
      </c>
      <c r="B1135" s="1" t="n">
        <v>45404</v>
      </c>
      <c r="C1135" s="1" t="n">
        <v>46129</v>
      </c>
      <c r="D1135" t="inlineStr">
        <is>
          <t>GÄVLEBORGS LÄN</t>
        </is>
      </c>
      <c r="E1135" t="inlineStr">
        <is>
          <t>SANDVIKEN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48435-2024</t>
        </is>
      </c>
      <c r="B1136" s="1" t="n">
        <v>45590.66225694444</v>
      </c>
      <c r="C1136" s="1" t="n">
        <v>46129</v>
      </c>
      <c r="D1136" t="inlineStr">
        <is>
          <t>GÄVLEBORGS LÄN</t>
        </is>
      </c>
      <c r="E1136" t="inlineStr">
        <is>
          <t>SANDVIKEN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970-2025</t>
        </is>
      </c>
      <c r="B1137" s="1" t="n">
        <v>45666.39425925926</v>
      </c>
      <c r="C1137" s="1" t="n">
        <v>46129</v>
      </c>
      <c r="D1137" t="inlineStr">
        <is>
          <t>GÄVLEBORGS LÄN</t>
        </is>
      </c>
      <c r="E1137" t="inlineStr">
        <is>
          <t>SANDVIKEN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2131-2025</t>
        </is>
      </c>
      <c r="B1138" s="1" t="n">
        <v>45672.65636574074</v>
      </c>
      <c r="C1138" s="1" t="n">
        <v>46129</v>
      </c>
      <c r="D1138" t="inlineStr">
        <is>
          <t>GÄVLEBORGS LÄN</t>
        </is>
      </c>
      <c r="E1138" t="inlineStr">
        <is>
          <t>SANDVIKEN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3285-2025</t>
        </is>
      </c>
      <c r="B1139" s="1" t="n">
        <v>45679.6203125</v>
      </c>
      <c r="C1139" s="1" t="n">
        <v>46129</v>
      </c>
      <c r="D1139" t="inlineStr">
        <is>
          <t>GÄVLEBORGS LÄN</t>
        </is>
      </c>
      <c r="E1139" t="inlineStr">
        <is>
          <t>SANDVIKEN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49518-2023</t>
        </is>
      </c>
      <c r="B1140" s="1" t="n">
        <v>45211.58746527778</v>
      </c>
      <c r="C1140" s="1" t="n">
        <v>46129</v>
      </c>
      <c r="D1140" t="inlineStr">
        <is>
          <t>GÄVLEBORGS LÄN</t>
        </is>
      </c>
      <c r="E1140" t="inlineStr">
        <is>
          <t>SANDVIKEN</t>
        </is>
      </c>
      <c r="G1140" t="n">
        <v>7.4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549-2022</t>
        </is>
      </c>
      <c r="B1141" s="1" t="n">
        <v>44566.65258101852</v>
      </c>
      <c r="C1141" s="1" t="n">
        <v>46129</v>
      </c>
      <c r="D1141" t="inlineStr">
        <is>
          <t>GÄVLEBORGS LÄN</t>
        </is>
      </c>
      <c r="E1141" t="inlineStr">
        <is>
          <t>SANDVIKEN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36656-2023</t>
        </is>
      </c>
      <c r="B1142" s="1" t="n">
        <v>45153.56925925926</v>
      </c>
      <c r="C1142" s="1" t="n">
        <v>46129</v>
      </c>
      <c r="D1142" t="inlineStr">
        <is>
          <t>GÄVLEBORGS LÄN</t>
        </is>
      </c>
      <c r="E1142" t="inlineStr">
        <is>
          <t>SANDVIKEN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16258-2023</t>
        </is>
      </c>
      <c r="B1143" s="1" t="n">
        <v>45022</v>
      </c>
      <c r="C1143" s="1" t="n">
        <v>46129</v>
      </c>
      <c r="D1143" t="inlineStr">
        <is>
          <t>GÄVLEBORGS LÄN</t>
        </is>
      </c>
      <c r="E1143" t="inlineStr">
        <is>
          <t>SANDVIKEN</t>
        </is>
      </c>
      <c r="F1143" t="inlineStr">
        <is>
          <t>Bergvik skog väst AB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20873-2025</t>
        </is>
      </c>
      <c r="B1144" s="1" t="n">
        <v>45777.34825231481</v>
      </c>
      <c r="C1144" s="1" t="n">
        <v>46129</v>
      </c>
      <c r="D1144" t="inlineStr">
        <is>
          <t>GÄVLEBORGS LÄN</t>
        </is>
      </c>
      <c r="E1144" t="inlineStr">
        <is>
          <t>SANDVIKEN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21178-2025</t>
        </is>
      </c>
      <c r="B1145" s="1" t="n">
        <v>45779.42856481481</v>
      </c>
      <c r="C1145" s="1" t="n">
        <v>46129</v>
      </c>
      <c r="D1145" t="inlineStr">
        <is>
          <t>GÄVLEBORGS LÄN</t>
        </is>
      </c>
      <c r="E1145" t="inlineStr">
        <is>
          <t>SANDVIKEN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21182-2025</t>
        </is>
      </c>
      <c r="B1146" s="1" t="n">
        <v>45779.4387037037</v>
      </c>
      <c r="C1146" s="1" t="n">
        <v>46129</v>
      </c>
      <c r="D1146" t="inlineStr">
        <is>
          <t>GÄVLEBORGS LÄN</t>
        </is>
      </c>
      <c r="E1146" t="inlineStr">
        <is>
          <t>SANDVIKEN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21798-2025</t>
        </is>
      </c>
      <c r="B1147" s="1" t="n">
        <v>45783.6865625</v>
      </c>
      <c r="C1147" s="1" t="n">
        <v>46129</v>
      </c>
      <c r="D1147" t="inlineStr">
        <is>
          <t>GÄVLEBORGS LÄN</t>
        </is>
      </c>
      <c r="E1147" t="inlineStr">
        <is>
          <t>SANDVIKEN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37459-2024</t>
        </is>
      </c>
      <c r="B1148" s="1" t="n">
        <v>45540.71594907407</v>
      </c>
      <c r="C1148" s="1" t="n">
        <v>46129</v>
      </c>
      <c r="D1148" t="inlineStr">
        <is>
          <t>GÄVLEBORGS LÄN</t>
        </is>
      </c>
      <c r="E1148" t="inlineStr">
        <is>
          <t>SANDVIKEN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48319-2023</t>
        </is>
      </c>
      <c r="B1149" s="1" t="n">
        <v>45205.59666666666</v>
      </c>
      <c r="C1149" s="1" t="n">
        <v>46129</v>
      </c>
      <c r="D1149" t="inlineStr">
        <is>
          <t>GÄVLEBORGS LÄN</t>
        </is>
      </c>
      <c r="E1149" t="inlineStr">
        <is>
          <t>SANDVIKEN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55446-2024</t>
        </is>
      </c>
      <c r="B1150" s="1" t="n">
        <v>45622.41663194444</v>
      </c>
      <c r="C1150" s="1" t="n">
        <v>46129</v>
      </c>
      <c r="D1150" t="inlineStr">
        <is>
          <t>GÄVLEBORGS LÄN</t>
        </is>
      </c>
      <c r="E1150" t="inlineStr">
        <is>
          <t>SANDVIKEN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3256-2025</t>
        </is>
      </c>
      <c r="B1151" s="1" t="n">
        <v>45679.55258101852</v>
      </c>
      <c r="C1151" s="1" t="n">
        <v>46129</v>
      </c>
      <c r="D1151" t="inlineStr">
        <is>
          <t>GÄVLEBORGS LÄN</t>
        </is>
      </c>
      <c r="E1151" t="inlineStr">
        <is>
          <t>SANDVIKEN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40460-2024</t>
        </is>
      </c>
      <c r="B1152" s="1" t="n">
        <v>45555.50784722222</v>
      </c>
      <c r="C1152" s="1" t="n">
        <v>46129</v>
      </c>
      <c r="D1152" t="inlineStr">
        <is>
          <t>GÄVLEBORGS LÄN</t>
        </is>
      </c>
      <c r="E1152" t="inlineStr">
        <is>
          <t>SANDVIKEN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41284-2023</t>
        </is>
      </c>
      <c r="B1153" s="1" t="n">
        <v>45174</v>
      </c>
      <c r="C1153" s="1" t="n">
        <v>46129</v>
      </c>
      <c r="D1153" t="inlineStr">
        <is>
          <t>GÄVLEBORGS LÄN</t>
        </is>
      </c>
      <c r="E1153" t="inlineStr">
        <is>
          <t>SANDVIKEN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69521-2021</t>
        </is>
      </c>
      <c r="B1154" s="1" t="n">
        <v>44531.86046296296</v>
      </c>
      <c r="C1154" s="1" t="n">
        <v>46129</v>
      </c>
      <c r="D1154" t="inlineStr">
        <is>
          <t>GÄVLEBORGS LÄN</t>
        </is>
      </c>
      <c r="E1154" t="inlineStr">
        <is>
          <t>SANDVIKEN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2026-04-17T10:30:41Z</dcterms:created>
  <dcterms:modified xmlns:dcterms="http://purl.org/dc/terms/" xmlns:xsi="http://www.w3.org/2001/XMLSchema-instance" xsi:type="dcterms:W3CDTF">2026-04-17T10:30:42Z</dcterms:modified>
</cp:coreProperties>
</file>