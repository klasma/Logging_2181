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45670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45670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45670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45670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45670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45670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45670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45670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45670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45670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45670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45670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45670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45670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45670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45670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45670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59065-2020</t>
        </is>
      </c>
      <c r="B19" s="1" t="n">
        <v>44147</v>
      </c>
      <c r="C19" s="1" t="n">
        <v>45670</v>
      </c>
      <c r="D19" t="inlineStr">
        <is>
          <t>GÄVLEBORGS LÄN</t>
        </is>
      </c>
      <c r="E19" t="inlineStr">
        <is>
          <t>SANDVIKEN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HYPERLINK("https://klasma.github.io/Logging_2181/artfynd/A 59065-2020 artfynd.xlsx", "A 59065-2020")</f>
        <v/>
      </c>
      <c r="T19">
        <f>HYPERLINK("https://klasma.github.io/Logging_2181/kartor/A 59065-2020 karta.png", "A 59065-2020")</f>
        <v/>
      </c>
      <c r="V19">
        <f>HYPERLINK("https://klasma.github.io/Logging_2181/klagomål/A 59065-2020 FSC-klagomål.docx", "A 59065-2020")</f>
        <v/>
      </c>
      <c r="W19">
        <f>HYPERLINK("https://klasma.github.io/Logging_2181/klagomålsmail/A 59065-2020 FSC-klagomål mail.docx", "A 59065-2020")</f>
        <v/>
      </c>
      <c r="X19">
        <f>HYPERLINK("https://klasma.github.io/Logging_2181/tillsyn/A 59065-2020 tillsynsbegäran.docx", "A 59065-2020")</f>
        <v/>
      </c>
      <c r="Y19">
        <f>HYPERLINK("https://klasma.github.io/Logging_2181/tillsynsmail/A 59065-2020 tillsynsbegäran mail.docx", "A 59065-2020")</f>
        <v/>
      </c>
      <c r="Z19">
        <f>HYPERLINK("https://klasma.github.io/Logging_2181/fåglar/A 59065-2020 prioriterade fågelarter.docx", "A 59065-2020")</f>
        <v/>
      </c>
    </row>
    <row r="20" ht="15" customHeight="1">
      <c r="A20" t="inlineStr">
        <is>
          <t>A 48805-2021</t>
        </is>
      </c>
      <c r="B20" s="1" t="n">
        <v>44452</v>
      </c>
      <c r="C20" s="1" t="n">
        <v>45670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48805-2021 artfynd.xlsx", "A 48805-2021")</f>
        <v/>
      </c>
      <c r="T20">
        <f>HYPERLINK("https://klasma.github.io/Logging_2181/kartor/A 48805-2021 karta.png", "A 48805-2021")</f>
        <v/>
      </c>
      <c r="U20">
        <f>HYPERLINK("https://klasma.github.io/Logging_2181/knärot/A 48805-2021 karta knärot.png", "A 48805-2021")</f>
        <v/>
      </c>
      <c r="V20">
        <f>HYPERLINK("https://klasma.github.io/Logging_2181/klagomål/A 48805-2021 FSC-klagomål.docx", "A 48805-2021")</f>
        <v/>
      </c>
      <c r="W20">
        <f>HYPERLINK("https://klasma.github.io/Logging_2181/klagomålsmail/A 48805-2021 FSC-klagomål mail.docx", "A 48805-2021")</f>
        <v/>
      </c>
      <c r="X20">
        <f>HYPERLINK("https://klasma.github.io/Logging_2181/tillsyn/A 48805-2021 tillsynsbegäran.docx", "A 48805-2021")</f>
        <v/>
      </c>
      <c r="Y20">
        <f>HYPERLINK("https://klasma.github.io/Logging_2181/tillsynsmail/A 48805-2021 tillsynsbegäran mail.docx", "A 48805-2021")</f>
        <v/>
      </c>
    </row>
    <row r="21" ht="15" customHeight="1">
      <c r="A21" t="inlineStr">
        <is>
          <t>A 63033-2021</t>
        </is>
      </c>
      <c r="B21" s="1" t="n">
        <v>44505</v>
      </c>
      <c r="C21" s="1" t="n">
        <v>45670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6942-2022</t>
        </is>
      </c>
      <c r="B22" s="1" t="n">
        <v>44603</v>
      </c>
      <c r="C22" s="1" t="n">
        <v>45670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Törnskata</t>
        </is>
      </c>
      <c r="S22">
        <f>HYPERLINK("https://klasma.github.io/Logging_2181/artfynd/A 6942-2022 artfynd.xlsx", "A 6942-2022")</f>
        <v/>
      </c>
      <c r="T22">
        <f>HYPERLINK("https://klasma.github.io/Logging_2181/kartor/A 6942-2022 karta.png", "A 6942-2022")</f>
        <v/>
      </c>
      <c r="V22">
        <f>HYPERLINK("https://klasma.github.io/Logging_2181/klagomål/A 6942-2022 FSC-klagomål.docx", "A 6942-2022")</f>
        <v/>
      </c>
      <c r="W22">
        <f>HYPERLINK("https://klasma.github.io/Logging_2181/klagomålsmail/A 6942-2022 FSC-klagomål mail.docx", "A 6942-2022")</f>
        <v/>
      </c>
      <c r="X22">
        <f>HYPERLINK("https://klasma.github.io/Logging_2181/tillsyn/A 6942-2022 tillsynsbegäran.docx", "A 6942-2022")</f>
        <v/>
      </c>
      <c r="Y22">
        <f>HYPERLINK("https://klasma.github.io/Logging_2181/tillsynsmail/A 6942-2022 tillsynsbegäran mail.docx", "A 6942-2022")</f>
        <v/>
      </c>
      <c r="Z22">
        <f>HYPERLINK("https://klasma.github.io/Logging_2181/fåglar/A 6942-2022 prioriterade fågelarter.docx", "A 6942-2022")</f>
        <v/>
      </c>
    </row>
    <row r="23" ht="15" customHeight="1">
      <c r="A23" t="inlineStr">
        <is>
          <t>A 15729-2022</t>
        </is>
      </c>
      <c r="B23" s="1" t="n">
        <v>44663</v>
      </c>
      <c r="C23" s="1" t="n">
        <v>45670</v>
      </c>
      <c r="D23" t="inlineStr">
        <is>
          <t>GÄVLEBORGS LÄN</t>
        </is>
      </c>
      <c r="E23" t="inlineStr">
        <is>
          <t>SANDVIKEN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15729-2022 artfynd.xlsx", "A 15729-2022")</f>
        <v/>
      </c>
      <c r="T23">
        <f>HYPERLINK("https://klasma.github.io/Logging_2181/kartor/A 15729-2022 karta.png", "A 15729-2022")</f>
        <v/>
      </c>
      <c r="U23">
        <f>HYPERLINK("https://klasma.github.io/Logging_2181/knärot/A 15729-2022 karta knärot.png", "A 15729-2022")</f>
        <v/>
      </c>
      <c r="V23">
        <f>HYPERLINK("https://klasma.github.io/Logging_2181/klagomål/A 15729-2022 FSC-klagomål.docx", "A 15729-2022")</f>
        <v/>
      </c>
      <c r="W23">
        <f>HYPERLINK("https://klasma.github.io/Logging_2181/klagomålsmail/A 15729-2022 FSC-klagomål mail.docx", "A 15729-2022")</f>
        <v/>
      </c>
      <c r="X23">
        <f>HYPERLINK("https://klasma.github.io/Logging_2181/tillsyn/A 15729-2022 tillsynsbegäran.docx", "A 15729-2022")</f>
        <v/>
      </c>
      <c r="Y23">
        <f>HYPERLINK("https://klasma.github.io/Logging_2181/tillsynsmail/A 15729-2022 tillsynsbegäran mail.docx", "A 15729-2022")</f>
        <v/>
      </c>
    </row>
    <row r="24" ht="15" customHeight="1">
      <c r="A24" t="inlineStr">
        <is>
          <t>A 24698-2022</t>
        </is>
      </c>
      <c r="B24" s="1" t="n">
        <v>44727</v>
      </c>
      <c r="C24" s="1" t="n">
        <v>45670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HYPERLINK("https://klasma.github.io/Logging_2181/artfynd/A 24698-2022 artfynd.xlsx", "A 24698-2022")</f>
        <v/>
      </c>
      <c r="T24">
        <f>HYPERLINK("https://klasma.github.io/Logging_2181/kartor/A 24698-2022 karta.png", "A 24698-2022")</f>
        <v/>
      </c>
      <c r="V24">
        <f>HYPERLINK("https://klasma.github.io/Logging_2181/klagomål/A 24698-2022 FSC-klagomål.docx", "A 24698-2022")</f>
        <v/>
      </c>
      <c r="W24">
        <f>HYPERLINK("https://klasma.github.io/Logging_2181/klagomålsmail/A 24698-2022 FSC-klagomål mail.docx", "A 24698-2022")</f>
        <v/>
      </c>
      <c r="X24">
        <f>HYPERLINK("https://klasma.github.io/Logging_2181/tillsyn/A 24698-2022 tillsynsbegäran.docx", "A 24698-2022")</f>
        <v/>
      </c>
      <c r="Y24">
        <f>HYPERLINK("https://klasma.github.io/Logging_2181/tillsynsmail/A 24698-2022 tillsynsbegäran mail.docx", "A 24698-2022")</f>
        <v/>
      </c>
    </row>
    <row r="25" ht="15" customHeight="1">
      <c r="A25" t="inlineStr">
        <is>
          <t>A 25688-2022</t>
        </is>
      </c>
      <c r="B25" s="1" t="n">
        <v>44733</v>
      </c>
      <c r="C25" s="1" t="n">
        <v>45670</v>
      </c>
      <c r="D25" t="inlineStr">
        <is>
          <t>GÄVLEBORGS LÄN</t>
        </is>
      </c>
      <c r="E25" t="inlineStr">
        <is>
          <t>SANDVIKEN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25688-2022 artfynd.xlsx", "A 25688-2022")</f>
        <v/>
      </c>
      <c r="T25">
        <f>HYPERLINK("https://klasma.github.io/Logging_2181/kartor/A 25688-2022 karta.png", "A 25688-2022")</f>
        <v/>
      </c>
      <c r="V25">
        <f>HYPERLINK("https://klasma.github.io/Logging_2181/klagomål/A 25688-2022 FSC-klagomål.docx", "A 25688-2022")</f>
        <v/>
      </c>
      <c r="W25">
        <f>HYPERLINK("https://klasma.github.io/Logging_2181/klagomålsmail/A 25688-2022 FSC-klagomål mail.docx", "A 25688-2022")</f>
        <v/>
      </c>
      <c r="X25">
        <f>HYPERLINK("https://klasma.github.io/Logging_2181/tillsyn/A 25688-2022 tillsynsbegäran.docx", "A 25688-2022")</f>
        <v/>
      </c>
      <c r="Y25">
        <f>HYPERLINK("https://klasma.github.io/Logging_2181/tillsynsmail/A 25688-2022 tillsynsbegäran mail.docx", "A 25688-2022")</f>
        <v/>
      </c>
    </row>
    <row r="26" ht="15" customHeight="1">
      <c r="A26" t="inlineStr">
        <is>
          <t>A 27966-2022</t>
        </is>
      </c>
      <c r="B26" s="1" t="n">
        <v>44744</v>
      </c>
      <c r="C26" s="1" t="n">
        <v>45670</v>
      </c>
      <c r="D26" t="inlineStr">
        <is>
          <t>GÄVLEBORGS LÄN</t>
        </is>
      </c>
      <c r="E26" t="inlineStr">
        <is>
          <t>SANDVIKEN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HYPERLINK("https://klasma.github.io/Logging_2181/artfynd/A 27966-2022 artfynd.xlsx", "A 27966-2022")</f>
        <v/>
      </c>
      <c r="T26">
        <f>HYPERLINK("https://klasma.github.io/Logging_2181/kartor/A 27966-2022 karta.png", "A 27966-2022")</f>
        <v/>
      </c>
      <c r="V26">
        <f>HYPERLINK("https://klasma.github.io/Logging_2181/klagomål/A 27966-2022 FSC-klagomål.docx", "A 27966-2022")</f>
        <v/>
      </c>
      <c r="W26">
        <f>HYPERLINK("https://klasma.github.io/Logging_2181/klagomålsmail/A 27966-2022 FSC-klagomål mail.docx", "A 27966-2022")</f>
        <v/>
      </c>
      <c r="X26">
        <f>HYPERLINK("https://klasma.github.io/Logging_2181/tillsyn/A 27966-2022 tillsynsbegäran.docx", "A 27966-2022")</f>
        <v/>
      </c>
      <c r="Y26">
        <f>HYPERLINK("https://klasma.github.io/Logging_2181/tillsynsmail/A 27966-2022 tillsynsbegäran mail.docx", "A 27966-2022")</f>
        <v/>
      </c>
    </row>
    <row r="27" ht="15" customHeight="1">
      <c r="A27" t="inlineStr">
        <is>
          <t>A 29671-2022</t>
        </is>
      </c>
      <c r="B27" s="1" t="n">
        <v>44754</v>
      </c>
      <c r="C27" s="1" t="n">
        <v>45670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29671-2022 artfynd.xlsx", "A 29671-2022")</f>
        <v/>
      </c>
      <c r="T27">
        <f>HYPERLINK("https://klasma.github.io/Logging_2181/kartor/A 29671-2022 karta.png", "A 29671-2022")</f>
        <v/>
      </c>
      <c r="V27">
        <f>HYPERLINK("https://klasma.github.io/Logging_2181/klagomål/A 29671-2022 FSC-klagomål.docx", "A 29671-2022")</f>
        <v/>
      </c>
      <c r="W27">
        <f>HYPERLINK("https://klasma.github.io/Logging_2181/klagomålsmail/A 29671-2022 FSC-klagomål mail.docx", "A 29671-2022")</f>
        <v/>
      </c>
      <c r="X27">
        <f>HYPERLINK("https://klasma.github.io/Logging_2181/tillsyn/A 29671-2022 tillsynsbegäran.docx", "A 29671-2022")</f>
        <v/>
      </c>
      <c r="Y27">
        <f>HYPERLINK("https://klasma.github.io/Logging_2181/tillsynsmail/A 29671-2022 tillsynsbegäran mail.docx", "A 29671-2022")</f>
        <v/>
      </c>
    </row>
    <row r="28" ht="15" customHeight="1">
      <c r="A28" t="inlineStr">
        <is>
          <t>A 31023-2022</t>
        </is>
      </c>
      <c r="B28" s="1" t="n">
        <v>44768</v>
      </c>
      <c r="C28" s="1" t="n">
        <v>45670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HYPERLINK("https://klasma.github.io/Logging_2181/artfynd/A 31023-2022 artfynd.xlsx", "A 31023-2022")</f>
        <v/>
      </c>
      <c r="T28">
        <f>HYPERLINK("https://klasma.github.io/Logging_2181/kartor/A 31023-2022 karta.png", "A 31023-2022")</f>
        <v/>
      </c>
      <c r="V28">
        <f>HYPERLINK("https://klasma.github.io/Logging_2181/klagomål/A 31023-2022 FSC-klagomål.docx", "A 31023-2022")</f>
        <v/>
      </c>
      <c r="W28">
        <f>HYPERLINK("https://klasma.github.io/Logging_2181/klagomålsmail/A 31023-2022 FSC-klagomål mail.docx", "A 31023-2022")</f>
        <v/>
      </c>
      <c r="X28">
        <f>HYPERLINK("https://klasma.github.io/Logging_2181/tillsyn/A 31023-2022 tillsynsbegäran.docx", "A 31023-2022")</f>
        <v/>
      </c>
      <c r="Y28">
        <f>HYPERLINK("https://klasma.github.io/Logging_2181/tillsynsmail/A 31023-2022 tillsynsbegäran mail.docx", "A 31023-2022")</f>
        <v/>
      </c>
    </row>
    <row r="29" ht="15" customHeight="1">
      <c r="A29" t="inlineStr">
        <is>
          <t>A 35525-2022</t>
        </is>
      </c>
      <c r="B29" s="1" t="n">
        <v>44799</v>
      </c>
      <c r="C29" s="1" t="n">
        <v>45670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HYPERLINK("https://klasma.github.io/Logging_2181/artfynd/A 35525-2022 artfynd.xlsx", "A 35525-2022")</f>
        <v/>
      </c>
      <c r="T29">
        <f>HYPERLINK("https://klasma.github.io/Logging_2181/kartor/A 35525-2022 karta.png", "A 35525-2022")</f>
        <v/>
      </c>
      <c r="V29">
        <f>HYPERLINK("https://klasma.github.io/Logging_2181/klagomål/A 35525-2022 FSC-klagomål.docx", "A 35525-2022")</f>
        <v/>
      </c>
      <c r="W29">
        <f>HYPERLINK("https://klasma.github.io/Logging_2181/klagomålsmail/A 35525-2022 FSC-klagomål mail.docx", "A 35525-2022")</f>
        <v/>
      </c>
      <c r="X29">
        <f>HYPERLINK("https://klasma.github.io/Logging_2181/tillsyn/A 35525-2022 tillsynsbegäran.docx", "A 35525-2022")</f>
        <v/>
      </c>
      <c r="Y29">
        <f>HYPERLINK("https://klasma.github.io/Logging_2181/tillsynsmail/A 35525-2022 tillsynsbegäran mail.docx", "A 35525-2022")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45670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45670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45670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45670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45670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45670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45670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45670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45670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45670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45670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45670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45670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45670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45670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45670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45670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45670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45670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45670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45670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45670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45670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45670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45670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45670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45670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45670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45670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45670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45670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45670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45670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45670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45670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45670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45670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45670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45670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45670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45670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45670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45670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45670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45670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45670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45670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45670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45670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45670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45670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45670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45670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45670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45670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45670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45670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45670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45670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45670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45670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45670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45670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45670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45670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45670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45670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45670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45670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45670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45670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45670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45670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45670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45670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45670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45670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45670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45670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45670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45670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45670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45670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45670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45670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45670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45670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45670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45670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45670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45670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45670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45670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45670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45670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45670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45670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45670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45670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45670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45670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45670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45670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45670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45670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45670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45670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45670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45670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45670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45670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45670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45670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45670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45670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45670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45670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45670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45670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45670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45670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45670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45670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45670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45670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45670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45670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45670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45670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45670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45670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45670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45670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45670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45670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45670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45670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45670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45670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45670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45670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45670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45670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45670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45670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45670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45670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45670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45670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45670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45670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45670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45670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45670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45670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45670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45670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45670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45670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45670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45670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45670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45670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45670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45670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45670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45670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45670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45670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45670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45670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45670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45670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45670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45670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45670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45670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45670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45670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45670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45670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45670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45670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45670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45670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45670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45670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45670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45670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45670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45670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45670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45670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45670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45670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45670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45670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45670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45670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45670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45670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45670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45670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45670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45670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45670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45670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45670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45670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45670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45670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45670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45670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45670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45670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45670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45670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45670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45670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45670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45670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45670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45670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45670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45670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45670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45670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45670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45670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45670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45670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45670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45670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45670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45670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45670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45670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45670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45670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45670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45670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45670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45670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45670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45670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45670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45670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45670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45670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45670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45670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45670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45670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45670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45670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45670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45670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45670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45670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45670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45670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45670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45670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45670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45670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45670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45670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45670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45670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45670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45670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45670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45670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45670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45670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45670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45670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45670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45670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45670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45670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45670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45670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45670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45670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45670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45670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45670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45670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45670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45670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45670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45670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45670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45670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45670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45670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45670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45670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45670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45670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45670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45670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45670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45670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45670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45670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45670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45670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45670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45670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45670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45670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45670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45670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45670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45670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45670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45670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45670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45670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45670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45670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45670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45670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45670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45670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45670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45670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45670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45670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45670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45670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45670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45670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45670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45670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45670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45670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45670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45670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45670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45670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45670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45670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45670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45670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45670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45670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45670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45670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45670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45670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45670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45670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45670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45670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45670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45670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45670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45670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45670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45670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45670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45670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45670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45670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45670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45670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45670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45670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45670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45670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45670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45670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45670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45670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45670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45670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45670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45670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45670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45670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45670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45670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45670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45670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45670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45670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45670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45670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45670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45670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45670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45670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45670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45670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45670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45670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45670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45670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45670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45670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45670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45670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45670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45670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45670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45670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45670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45670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45670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45670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45670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45670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45670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45670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45670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45670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45670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45670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45670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45670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45670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45670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45670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45670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45670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45670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45670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45670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45670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45670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45670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45670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45670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45670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45670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45670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45670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45670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45670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45670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45670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45670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45670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45670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45670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45670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45670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45670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45670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45670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45670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45670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45670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45670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45670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45670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45670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45670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45670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45670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45670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45670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45670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45670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45670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45670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45670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45670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45670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45670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45670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45670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45670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45670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45670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45670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45670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45670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45670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45670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45670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45670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45670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45670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45670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45670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45670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45670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45670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45670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45670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45670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45670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45670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45670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45670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45670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45670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45670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45670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45670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45670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45670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45670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45670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45670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45670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45670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45670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45670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45670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45670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45670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45670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45670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45670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45670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45670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45670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45670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45670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45670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45670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45670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45670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45670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45670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45670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45670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45670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45670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45670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45670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45670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45670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45670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45670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45670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45670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45670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45670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45670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45670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45670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45670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45670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45670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45670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45670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45670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45670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45670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45670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45670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45670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45670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45670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45670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45670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45670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45670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45670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45670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45670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45670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45670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45670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45670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45670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45670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45670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45670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45670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45670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45670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45670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45670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45670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45670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45670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45670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45670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45670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45670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45670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45670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45670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45670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45670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45670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45670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45670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45670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45670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45670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45670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45670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45670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45670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45670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45670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45670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45670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45670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45670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45670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45670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45670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45670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45670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45670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45670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45670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45670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45670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45670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45670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45670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45670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45670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45670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45670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45670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45670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45670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45670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45670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45670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45670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45670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45670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45670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45670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45670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45670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45670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45670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45670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45670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45670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45670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45670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45670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45670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45670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45670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45670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45670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45670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45670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45670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45670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45670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45670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45670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45670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45670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45670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45670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45670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45670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45670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45670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45670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45670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45670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45670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45670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45670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45670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45670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45670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45670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45670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45670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45670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45670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45670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45670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45670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45670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45670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45670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45670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45670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45670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45670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45670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45670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45670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45670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45670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45670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45670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45670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45670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45670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45670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45670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45670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45670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45670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45670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45670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45670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45670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45670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45670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45670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45670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45670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45670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45670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45670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45670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45670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45670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45670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45670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45670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45670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45670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45670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45670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45670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45670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45670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45670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45670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45670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45670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45670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45670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45670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45670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45670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45670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45670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45670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45670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45670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45670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45670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45670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45670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45670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45670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45670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45670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45670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45670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45670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45670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45670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45670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45670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45670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45670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45670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45670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45670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45670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45670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45670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45670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45670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45670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45670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45670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45670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45670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45670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45670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45670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45670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45670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45670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45670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45670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45670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45670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45670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45670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45670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45670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45670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45670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45670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45670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45670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45670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45670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45670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45670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45670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45670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45670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45670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45670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45670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45670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45670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45670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45670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45670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45670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45670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45670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45670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45670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45670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45670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45670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45670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45670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45670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45670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45670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45670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45670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45670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45670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45670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45670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45670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45670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45670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45670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45670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45670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45670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45670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45670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45670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45670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45670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45670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45670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45670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45670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45670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45670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45670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45670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45670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45670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45670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45670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45670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45670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45670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45670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45670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45670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45670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45670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45670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45670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45670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45670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45670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45670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45670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45670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45670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45670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45670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45670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45670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45670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45670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45670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45670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45670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45670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45670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45670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45670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45670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45670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45670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45670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45670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45670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45670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45670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45670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45670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45670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45670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45670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45670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45670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45670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45670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45670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45670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45670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45670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45670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45670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45670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45670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45670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45670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45670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45670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45670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45670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45670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45670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45670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45670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45670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45670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45670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45670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45670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45670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45670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45670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45670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45670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45670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45670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45670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45670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45670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45670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45670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45670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45670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45670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45670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45670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45670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45670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45670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45670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45670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45670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45670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45670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45670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45670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45670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45670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45670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45670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45670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45670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45670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45670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45670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45670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45670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53244-2024</t>
        </is>
      </c>
      <c r="B989" s="1" t="n">
        <v>45614</v>
      </c>
      <c r="C989" s="1" t="n">
        <v>45670</v>
      </c>
      <c r="D989" t="inlineStr">
        <is>
          <t>GÄVLEBORGS LÄN</t>
        </is>
      </c>
      <c r="E989" t="inlineStr">
        <is>
          <t>SANDVIKEN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53245-2024</t>
        </is>
      </c>
      <c r="B990" s="1" t="n">
        <v>45614</v>
      </c>
      <c r="C990" s="1" t="n">
        <v>45670</v>
      </c>
      <c r="D990" t="inlineStr">
        <is>
          <t>GÄVLEBORGS LÄN</t>
        </is>
      </c>
      <c r="E990" t="inlineStr">
        <is>
          <t>SANDVIKEN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53324-2024</t>
        </is>
      </c>
      <c r="B991" s="1" t="n">
        <v>45614</v>
      </c>
      <c r="C991" s="1" t="n">
        <v>45670</v>
      </c>
      <c r="D991" t="inlineStr">
        <is>
          <t>GÄVLEBORGS LÄN</t>
        </is>
      </c>
      <c r="E991" t="inlineStr">
        <is>
          <t>SANDVIKEN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53282-2024</t>
        </is>
      </c>
      <c r="B992" s="1" t="n">
        <v>45614</v>
      </c>
      <c r="C992" s="1" t="n">
        <v>45670</v>
      </c>
      <c r="D992" t="inlineStr">
        <is>
          <t>GÄVLEBORGS LÄN</t>
        </is>
      </c>
      <c r="E992" t="inlineStr">
        <is>
          <t>SANDVIKEN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53322-2024</t>
        </is>
      </c>
      <c r="B993" s="1" t="n">
        <v>45614</v>
      </c>
      <c r="C993" s="1" t="n">
        <v>45670</v>
      </c>
      <c r="D993" t="inlineStr">
        <is>
          <t>GÄVLEBORGS LÄN</t>
        </is>
      </c>
      <c r="E993" t="inlineStr">
        <is>
          <t>SANDVIKEN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53276-2024</t>
        </is>
      </c>
      <c r="B994" s="1" t="n">
        <v>45614</v>
      </c>
      <c r="C994" s="1" t="n">
        <v>45670</v>
      </c>
      <c r="D994" t="inlineStr">
        <is>
          <t>GÄVLEBORGS LÄN</t>
        </is>
      </c>
      <c r="E994" t="inlineStr">
        <is>
          <t>SANDVIKEN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45670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53861-2024</t>
        </is>
      </c>
      <c r="B996" s="1" t="n">
        <v>45615</v>
      </c>
      <c r="C996" s="1" t="n">
        <v>45670</v>
      </c>
      <c r="D996" t="inlineStr">
        <is>
          <t>GÄVLEBORGS LÄN</t>
        </is>
      </c>
      <c r="E996" t="inlineStr">
        <is>
          <t>SANDVIKEN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53719-2024</t>
        </is>
      </c>
      <c r="B997" s="1" t="n">
        <v>45615</v>
      </c>
      <c r="C997" s="1" t="n">
        <v>45670</v>
      </c>
      <c r="D997" t="inlineStr">
        <is>
          <t>GÄVLEBORGS LÄN</t>
        </is>
      </c>
      <c r="E997" t="inlineStr">
        <is>
          <t>SANDVIKEN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45670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54117-2024</t>
        </is>
      </c>
      <c r="B999" s="1" t="n">
        <v>45616</v>
      </c>
      <c r="C999" s="1" t="n">
        <v>45670</v>
      </c>
      <c r="D999" t="inlineStr">
        <is>
          <t>GÄVLEBORGS LÄN</t>
        </is>
      </c>
      <c r="E999" t="inlineStr">
        <is>
          <t>SANDVIKEN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54015-2024</t>
        </is>
      </c>
      <c r="B1000" s="1" t="n">
        <v>45616</v>
      </c>
      <c r="C1000" s="1" t="n">
        <v>45670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Kyrkan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54337-2024</t>
        </is>
      </c>
      <c r="B1001" s="1" t="n">
        <v>45617</v>
      </c>
      <c r="C1001" s="1" t="n">
        <v>45670</v>
      </c>
      <c r="D1001" t="inlineStr">
        <is>
          <t>GÄVLEBORGS LÄN</t>
        </is>
      </c>
      <c r="E1001" t="inlineStr">
        <is>
          <t>SANDVIKEN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54482-2024</t>
        </is>
      </c>
      <c r="B1002" s="1" t="n">
        <v>45617</v>
      </c>
      <c r="C1002" s="1" t="n">
        <v>45670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17.9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54443-2024</t>
        </is>
      </c>
      <c r="B1003" s="1" t="n">
        <v>45617</v>
      </c>
      <c r="C1003" s="1" t="n">
        <v>45670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54495-2024</t>
        </is>
      </c>
      <c r="B1004" s="1" t="n">
        <v>45617</v>
      </c>
      <c r="C1004" s="1" t="n">
        <v>45670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14.8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54521-2024</t>
        </is>
      </c>
      <c r="B1005" s="1" t="n">
        <v>45617</v>
      </c>
      <c r="C1005" s="1" t="n">
        <v>45670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54525-2024</t>
        </is>
      </c>
      <c r="B1006" s="1" t="n">
        <v>45617</v>
      </c>
      <c r="C1006" s="1" t="n">
        <v>45670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45670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45670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55449-2024</t>
        </is>
      </c>
      <c r="B1009" s="1" t="n">
        <v>45622</v>
      </c>
      <c r="C1009" s="1" t="n">
        <v>45670</v>
      </c>
      <c r="D1009" t="inlineStr">
        <is>
          <t>GÄVLEBORGS LÄN</t>
        </is>
      </c>
      <c r="E1009" t="inlineStr">
        <is>
          <t>SANDVIKEN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55446-2024</t>
        </is>
      </c>
      <c r="B1010" s="1" t="n">
        <v>45622</v>
      </c>
      <c r="C1010" s="1" t="n">
        <v>45670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45670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56882-2024</t>
        </is>
      </c>
      <c r="B1012" s="1" t="n">
        <v>45628</v>
      </c>
      <c r="C1012" s="1" t="n">
        <v>45670</v>
      </c>
      <c r="D1012" t="inlineStr">
        <is>
          <t>GÄVLEBORGS LÄN</t>
        </is>
      </c>
      <c r="E1012" t="inlineStr">
        <is>
          <t>SANDVIKEN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56851-2024</t>
        </is>
      </c>
      <c r="B1013" s="1" t="n">
        <v>45628</v>
      </c>
      <c r="C1013" s="1" t="n">
        <v>45670</v>
      </c>
      <c r="D1013" t="inlineStr">
        <is>
          <t>GÄVLEBORGS LÄN</t>
        </is>
      </c>
      <c r="E1013" t="inlineStr">
        <is>
          <t>SANDVIKEN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45670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57617-2024</t>
        </is>
      </c>
      <c r="B1015" s="1" t="n">
        <v>45630</v>
      </c>
      <c r="C1015" s="1" t="n">
        <v>45670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57628-2024</t>
        </is>
      </c>
      <c r="B1016" s="1" t="n">
        <v>45630</v>
      </c>
      <c r="C1016" s="1" t="n">
        <v>45670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58549-2024</t>
        </is>
      </c>
      <c r="B1017" s="1" t="n">
        <v>45635</v>
      </c>
      <c r="C1017" s="1" t="n">
        <v>45670</v>
      </c>
      <c r="D1017" t="inlineStr">
        <is>
          <t>GÄVLEBORGS LÄN</t>
        </is>
      </c>
      <c r="E1017" t="inlineStr">
        <is>
          <t>SANDVIKEN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58796-2024</t>
        </is>
      </c>
      <c r="B1018" s="1" t="n">
        <v>45636</v>
      </c>
      <c r="C1018" s="1" t="n">
        <v>45670</v>
      </c>
      <c r="D1018" t="inlineStr">
        <is>
          <t>GÄVLEBORGS LÄN</t>
        </is>
      </c>
      <c r="E1018" t="inlineStr">
        <is>
          <t>SANDVIKEN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58797-2024</t>
        </is>
      </c>
      <c r="B1019" s="1" t="n">
        <v>45636</v>
      </c>
      <c r="C1019" s="1" t="n">
        <v>45670</v>
      </c>
      <c r="D1019" t="inlineStr">
        <is>
          <t>GÄVLEBORGS LÄN</t>
        </is>
      </c>
      <c r="E1019" t="inlineStr">
        <is>
          <t>SANDVIKEN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58885-2024</t>
        </is>
      </c>
      <c r="B1020" s="1" t="n">
        <v>45636</v>
      </c>
      <c r="C1020" s="1" t="n">
        <v>45670</v>
      </c>
      <c r="D1020" t="inlineStr">
        <is>
          <t>GÄVLEBORGS LÄN</t>
        </is>
      </c>
      <c r="E1020" t="inlineStr">
        <is>
          <t>SANDVIKEN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59614-2024</t>
        </is>
      </c>
      <c r="B1021" s="1" t="n">
        <v>45638</v>
      </c>
      <c r="C1021" s="1" t="n">
        <v>45670</v>
      </c>
      <c r="D1021" t="inlineStr">
        <is>
          <t>GÄVLEBORGS LÄN</t>
        </is>
      </c>
      <c r="E1021" t="inlineStr">
        <is>
          <t>SANDVIKEN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59373-2024</t>
        </is>
      </c>
      <c r="B1022" s="1" t="n">
        <v>45638</v>
      </c>
      <c r="C1022" s="1" t="n">
        <v>45670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59384-2024</t>
        </is>
      </c>
      <c r="B1023" s="1" t="n">
        <v>45638</v>
      </c>
      <c r="C1023" s="1" t="n">
        <v>45670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59661-2024</t>
        </is>
      </c>
      <c r="B1024" s="1" t="n">
        <v>45639</v>
      </c>
      <c r="C1024" s="1" t="n">
        <v>45670</v>
      </c>
      <c r="D1024" t="inlineStr">
        <is>
          <t>GÄVLEBORGS LÄN</t>
        </is>
      </c>
      <c r="E1024" t="inlineStr">
        <is>
          <t>SANDVIKEN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60745-2024</t>
        </is>
      </c>
      <c r="B1025" s="1" t="n">
        <v>45644</v>
      </c>
      <c r="C1025" s="1" t="n">
        <v>45670</v>
      </c>
      <c r="D1025" t="inlineStr">
        <is>
          <t>GÄVLEBORGS LÄN</t>
        </is>
      </c>
      <c r="E1025" t="inlineStr">
        <is>
          <t>SANDVIKEN</t>
        </is>
      </c>
      <c r="G1025" t="n">
        <v>19.5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45670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61052-2024</t>
        </is>
      </c>
      <c r="B1027" s="1" t="n">
        <v>45645</v>
      </c>
      <c r="C1027" s="1" t="n">
        <v>45670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Naturvårdsverket</t>
        </is>
      </c>
      <c r="G1027" t="n">
        <v>7.2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61774-2024</t>
        </is>
      </c>
      <c r="B1028" s="1" t="n">
        <v>45649</v>
      </c>
      <c r="C1028" s="1" t="n">
        <v>45670</v>
      </c>
      <c r="D1028" t="inlineStr">
        <is>
          <t>GÄVLEBORGS LÄN</t>
        </is>
      </c>
      <c r="E1028" t="inlineStr">
        <is>
          <t>SANDVIKEN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61820-2024</t>
        </is>
      </c>
      <c r="B1029" s="1" t="n">
        <v>45649</v>
      </c>
      <c r="C1029" s="1" t="n">
        <v>45670</v>
      </c>
      <c r="D1029" t="inlineStr">
        <is>
          <t>GÄVLEBORGS LÄN</t>
        </is>
      </c>
      <c r="E1029" t="inlineStr">
        <is>
          <t>SANDVIKEN</t>
        </is>
      </c>
      <c r="G1029" t="n">
        <v>11.1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61859-2024</t>
        </is>
      </c>
      <c r="B1030" s="1" t="n">
        <v>45649</v>
      </c>
      <c r="C1030" s="1" t="n">
        <v>45670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61822-2024</t>
        </is>
      </c>
      <c r="B1031" s="1" t="n">
        <v>45649</v>
      </c>
      <c r="C1031" s="1" t="n">
        <v>45670</v>
      </c>
      <c r="D1031" t="inlineStr">
        <is>
          <t>GÄVLEBORGS LÄN</t>
        </is>
      </c>
      <c r="E1031" t="inlineStr">
        <is>
          <t>SANDVIKEN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61858-2024</t>
        </is>
      </c>
      <c r="B1032" s="1" t="n">
        <v>45649</v>
      </c>
      <c r="C1032" s="1" t="n">
        <v>45670</v>
      </c>
      <c r="D1032" t="inlineStr">
        <is>
          <t>GÄVLEBORGS LÄN</t>
        </is>
      </c>
      <c r="E1032" t="inlineStr">
        <is>
          <t>SANDVIKEN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62071-2024</t>
        </is>
      </c>
      <c r="B1033" s="1" t="n">
        <v>45656</v>
      </c>
      <c r="C1033" s="1" t="n">
        <v>45670</v>
      </c>
      <c r="D1033" t="inlineStr">
        <is>
          <t>GÄVLEBORGS LÄN</t>
        </is>
      </c>
      <c r="E1033" t="inlineStr">
        <is>
          <t>SANDVIKEN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241-2025</t>
        </is>
      </c>
      <c r="B1034" s="1" t="n">
        <v>45660</v>
      </c>
      <c r="C1034" s="1" t="n">
        <v>45670</v>
      </c>
      <c r="D1034" t="inlineStr">
        <is>
          <t>GÄVLEBORGS LÄN</t>
        </is>
      </c>
      <c r="E1034" t="inlineStr">
        <is>
          <t>SANDVIKEN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45670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238-2025</t>
        </is>
      </c>
      <c r="B1036" s="1" t="n">
        <v>45660</v>
      </c>
      <c r="C1036" s="1" t="n">
        <v>45670</v>
      </c>
      <c r="D1036" t="inlineStr">
        <is>
          <t>GÄVLEBORGS LÄN</t>
        </is>
      </c>
      <c r="E1036" t="inlineStr">
        <is>
          <t>SANDVIKEN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45670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389-2025</t>
        </is>
      </c>
      <c r="B1038" s="1" t="n">
        <v>45662</v>
      </c>
      <c r="C1038" s="1" t="n">
        <v>45670</v>
      </c>
      <c r="D1038" t="inlineStr">
        <is>
          <t>GÄVLEBORGS LÄN</t>
        </is>
      </c>
      <c r="E1038" t="inlineStr">
        <is>
          <t>SANDVIKEN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766-2025</t>
        </is>
      </c>
      <c r="B1039" s="1" t="n">
        <v>45665</v>
      </c>
      <c r="C1039" s="1" t="n">
        <v>45670</v>
      </c>
      <c r="D1039" t="inlineStr">
        <is>
          <t>GÄVLEBORGS LÄN</t>
        </is>
      </c>
      <c r="E1039" t="inlineStr">
        <is>
          <t>SANDVIKEN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45670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1039-2025</t>
        </is>
      </c>
      <c r="B1041" s="1" t="n">
        <v>45666</v>
      </c>
      <c r="C1041" s="1" t="n">
        <v>45670</v>
      </c>
      <c r="D1041" t="inlineStr">
        <is>
          <t>GÄVLEBORGS LÄN</t>
        </is>
      </c>
      <c r="E1041" t="inlineStr">
        <is>
          <t>SANDVIKEN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1060-2025</t>
        </is>
      </c>
      <c r="B1042" s="1" t="n">
        <v>45666</v>
      </c>
      <c r="C1042" s="1" t="n">
        <v>45670</v>
      </c>
      <c r="D1042" t="inlineStr">
        <is>
          <t>GÄVLEBORGS LÄN</t>
        </is>
      </c>
      <c r="E1042" t="inlineStr">
        <is>
          <t>SANDVIKEN</t>
        </is>
      </c>
      <c r="F1042" t="inlineStr">
        <is>
          <t>Bergvik skog öst AB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45670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937-2025</t>
        </is>
      </c>
      <c r="B1044" s="1" t="n">
        <v>45666</v>
      </c>
      <c r="C1044" s="1" t="n">
        <v>45670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970-2025</t>
        </is>
      </c>
      <c r="B1045" s="1" t="n">
        <v>45666</v>
      </c>
      <c r="C1045" s="1" t="n">
        <v>45670</v>
      </c>
      <c r="D1045" t="inlineStr">
        <is>
          <t>GÄVLEBORGS LÄN</t>
        </is>
      </c>
      <c r="E1045" t="inlineStr">
        <is>
          <t>SANDVIKEN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1187-2025</t>
        </is>
      </c>
      <c r="B1046" s="1" t="n">
        <v>45667</v>
      </c>
      <c r="C1046" s="1" t="n">
        <v>45670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1213-2025</t>
        </is>
      </c>
      <c r="B1047" s="1" t="n">
        <v>45667</v>
      </c>
      <c r="C1047" s="1" t="n">
        <v>45670</v>
      </c>
      <c r="D1047" t="inlineStr">
        <is>
          <t>GÄVLEBORGS LÄN</t>
        </is>
      </c>
      <c r="E1047" t="inlineStr">
        <is>
          <t>SANDVIKEN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1372-2025</t>
        </is>
      </c>
      <c r="B1048" s="1" t="n">
        <v>45667</v>
      </c>
      <c r="C1048" s="1" t="n">
        <v>45670</v>
      </c>
      <c r="D1048" t="inlineStr">
        <is>
          <t>GÄVLEBORGS LÄN</t>
        </is>
      </c>
      <c r="E1048" t="inlineStr">
        <is>
          <t>SANDVIKEN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1418-2025</t>
        </is>
      </c>
      <c r="B1049" s="1" t="n">
        <v>45668</v>
      </c>
      <c r="C1049" s="1" t="n">
        <v>45670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2025-01-13T15:46:43Z</dcterms:created>
  <dcterms:modified xmlns:dcterms="http://purl.org/dc/terms/" xmlns:xsi="http://www.w3.org/2001/XMLSchema-instance" xsi:type="dcterms:W3CDTF">2025-01-13T15:46:44Z</dcterms:modified>
</cp:coreProperties>
</file>