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46229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46229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46229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46229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46229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46229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46229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46229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Knärot
Rynkskinn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46229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46229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46229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46229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29114-2026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46201</v>
      </c>
      <c r="E26" s="1" t="n">
        <v>46229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10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Tibast
Grönsiska
Kungsfågel</t>
        </is>
      </c>
      <c r="W26">
        <f>HYPERLINK("https://klasma.github.io/Logging_2181/artfynd/A 29114-2026 artfynd.xlsx", "A 29114-2026")</f>
        <v/>
      </c>
      <c r="X26">
        <f>HYPERLINK("https://klasma.github.io/Logging_2181/kartor/A 29114-2026 karta.png", "A 29114-2026")</f>
        <v/>
      </c>
      <c r="Y26">
        <f>HYPERLINK("https://klasma.github.io/Logging_2181/kartor_geotiff/A 29114-2026 georefererad karta.tif", "A 29114-2026")</f>
        <v/>
      </c>
      <c r="AA26">
        <f>HYPERLINK("https://klasma.github.io/Logging_2181/klagomål/A 29114-2026 FSC-klagomål.docx", "A 29114-2026")</f>
        <v/>
      </c>
      <c r="AB26">
        <f>HYPERLINK("https://klasma.github.io/Logging_2181/klagomålsmail/A 29114-2026 FSC-klagomål mail.docx", "A 29114-2026")</f>
        <v/>
      </c>
      <c r="AC26">
        <f>HYPERLINK("https://klasma.github.io/Logging_2181/tillsyn/A 29114-2026 tillsynsbegäran.docx", "A 29114-2026")</f>
        <v/>
      </c>
      <c r="AD26">
        <f>HYPERLINK("https://klasma.github.io/Logging_2181/tillsynsmail/A 29114-2026 tillsynsbegäran mail.docx", "A 29114-2026")</f>
        <v/>
      </c>
    </row>
    <row r="27" ht="15" customHeight="1">
      <c r="A27" t="inlineStr">
        <is>
          <t>A 6108-2026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46053</v>
      </c>
      <c r="E27" s="1" t="n">
        <v>46229</v>
      </c>
      <c r="F27" t="inlineStr">
        <is>
          <t>GÄVLEBORGS LÄN</t>
        </is>
      </c>
      <c r="G27" t="inlineStr">
        <is>
          <t>SANDVIKEN</t>
        </is>
      </c>
      <c r="I27" t="n">
        <v>3.9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Knärot
Granvivel
Linnea</t>
        </is>
      </c>
      <c r="W27">
        <f>HYPERLINK("https://klasma.github.io/Logging_2181/artfynd/A 6108-2026 artfynd.xlsx", "A 6108-2026")</f>
        <v/>
      </c>
      <c r="X27">
        <f>HYPERLINK("https://klasma.github.io/Logging_2181/kartor/A 6108-2026 karta.png", "A 6108-2026")</f>
        <v/>
      </c>
      <c r="Y27">
        <f>HYPERLINK("https://klasma.github.io/Logging_2181/kartor_geotiff/A 6108-2026 georefererad karta.tif", "A 6108-2026")</f>
        <v/>
      </c>
      <c r="Z27">
        <f>HYPERLINK("https://klasma.github.io/Logging_2181/knärot/A 6108-2026 karta knärot.png", "A 6108-2026")</f>
        <v/>
      </c>
      <c r="AA27">
        <f>HYPERLINK("https://klasma.github.io/Logging_2181/klagomål/A 6108-2026 FSC-klagomål.docx", "A 6108-2026")</f>
        <v/>
      </c>
      <c r="AB27">
        <f>HYPERLINK("https://klasma.github.io/Logging_2181/klagomålsmail/A 6108-2026 FSC-klagomål mail.docx", "A 6108-2026")</f>
        <v/>
      </c>
      <c r="AC27">
        <f>HYPERLINK("https://klasma.github.io/Logging_2181/tillsyn/A 6108-2026 tillsynsbegäran.docx", "A 6108-2026")</f>
        <v/>
      </c>
      <c r="AD27">
        <f>HYPERLINK("https://klasma.github.io/Logging_2181/tillsynsmail/A 6108-2026 tillsynsbegäran mail.docx", "A 6108-2026")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46229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Blåsippa
Fläcknycklar
Äkta lopplummer</t>
        </is>
      </c>
      <c r="W28">
        <f>HYPERLINK("https://klasma.github.io/Logging_2181/artfynd/A 12696-2026 artfynd.xlsx", "A 12696-2026")</f>
        <v/>
      </c>
      <c r="X28">
        <f>HYPERLINK("https://klasma.github.io/Logging_2181/kartor/A 12696-2026 karta.png", "A 12696-2026")</f>
        <v/>
      </c>
      <c r="Y28">
        <f>HYPERLINK("https://klasma.github.io/Logging_2181/kartor_geotiff/A 12696-2026 georefererad karta.tif", "A 12696-2026")</f>
        <v/>
      </c>
      <c r="AA28">
        <f>HYPERLINK("https://klasma.github.io/Logging_2181/klagomål/A 12696-2026 FSC-klagomål.docx", "A 12696-2026")</f>
        <v/>
      </c>
      <c r="AB28">
        <f>HYPERLINK("https://klasma.github.io/Logging_2181/klagomålsmail/A 12696-2026 FSC-klagomål mail.docx", "A 12696-2026")</f>
        <v/>
      </c>
      <c r="AC28">
        <f>HYPERLINK("https://klasma.github.io/Logging_2181/tillsyn/A 12696-2026 tillsynsbegäran.docx", "A 12696-2026")</f>
        <v/>
      </c>
      <c r="AD28">
        <f>HYPERLINK("https://klasma.github.io/Logging_2181/tillsynsmail/A 12696-2026 tillsynsbegäran mail.docx", "A 12696-2026")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46229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46229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46229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46229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46229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46229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19526-2026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46229</v>
      </c>
      <c r="F37" t="inlineStr">
        <is>
          <t>GÄVLEBORGS LÄN</t>
        </is>
      </c>
      <c r="G37" t="inlineStr">
        <is>
          <t>SANDVIKEN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Lopplummer (aggregat)</t>
        </is>
      </c>
      <c r="W37">
        <f>HYPERLINK("https://klasma.github.io/Logging_2181/artfynd/A 19526-2026 artfynd.xlsx", "A 19526-2026")</f>
        <v/>
      </c>
      <c r="X37">
        <f>HYPERLINK("https://klasma.github.io/Logging_2181/kartor/A 19526-2026 karta.png", "A 19526-2026")</f>
        <v/>
      </c>
      <c r="Y37">
        <f>HYPERLINK("https://klasma.github.io/Logging_2181/kartor_geotiff/A 19526-2026 georefererad karta.tif", "A 19526-2026")</f>
        <v/>
      </c>
      <c r="AA37">
        <f>HYPERLINK("https://klasma.github.io/Logging_2181/klagomål/A 19526-2026 FSC-klagomål.docx", "A 19526-2026")</f>
        <v/>
      </c>
      <c r="AB37">
        <f>HYPERLINK("https://klasma.github.io/Logging_2181/klagomålsmail/A 19526-2026 FSC-klagomål mail.docx", "A 19526-2026")</f>
        <v/>
      </c>
      <c r="AC37">
        <f>HYPERLINK("https://klasma.github.io/Logging_2181/tillsyn/A 19526-2026 tillsynsbegäran.docx", "A 19526-2026")</f>
        <v/>
      </c>
      <c r="AD37">
        <f>HYPERLINK("https://klasma.github.io/Logging_2181/tillsynsmail/A 19526-2026 tillsynsbegäran mail.docx", "A 19526-2026")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46229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46229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46229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42869-2024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46229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6.9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Rödgul trumpetsvamp
Vanlig padda</t>
        </is>
      </c>
      <c r="W41">
        <f>HYPERLINK("https://klasma.github.io/Logging_2181/artfynd/A 42869-2024 artfynd.xlsx", "A 42869-2024")</f>
        <v/>
      </c>
      <c r="X41">
        <f>HYPERLINK("https://klasma.github.io/Logging_2181/kartor/A 42869-2024 karta.png", "A 42869-2024")</f>
        <v/>
      </c>
      <c r="Y41">
        <f>HYPERLINK("https://klasma.github.io/Logging_2181/kartor_geotiff/A 42869-2024 georefererad karta.tif", "A 42869-2024")</f>
        <v/>
      </c>
      <c r="AA41">
        <f>HYPERLINK("https://klasma.github.io/Logging_2181/klagomål/A 42869-2024 FSC-klagomål.docx", "A 42869-2024")</f>
        <v/>
      </c>
      <c r="AB41">
        <f>HYPERLINK("https://klasma.github.io/Logging_2181/klagomålsmail/A 42869-2024 FSC-klagomål mail.docx", "A 42869-2024")</f>
        <v/>
      </c>
      <c r="AC41">
        <f>HYPERLINK("https://klasma.github.io/Logging_2181/tillsyn/A 42869-2024 tillsynsbegäran.docx", "A 42869-2024")</f>
        <v/>
      </c>
      <c r="AD41">
        <f>HYPERLINK("https://klasma.github.io/Logging_2181/tillsynsmail/A 42869-2024 tillsynsbegäran mail.docx", "A 42869-2024")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46229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7733-2026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46062</v>
      </c>
      <c r="E43" s="1" t="n">
        <v>46229</v>
      </c>
      <c r="F43" t="inlineStr">
        <is>
          <t>GÄVLEBORGS LÄN</t>
        </is>
      </c>
      <c r="G43" t="inlineStr">
        <is>
          <t>SANDVIKEN</t>
        </is>
      </c>
      <c r="I43" t="n">
        <v>6.9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Vedticka</t>
        </is>
      </c>
      <c r="W43">
        <f>HYPERLINK("https://klasma.github.io/Logging_2181/artfynd/A 7733-2026 artfynd.xlsx", "A 7733-2026")</f>
        <v/>
      </c>
      <c r="X43">
        <f>HYPERLINK("https://klasma.github.io/Logging_2181/kartor/A 7733-2026 karta.png", "A 7733-2026")</f>
        <v/>
      </c>
      <c r="Y43">
        <f>HYPERLINK("https://klasma.github.io/Logging_2181/kartor_geotiff/A 7733-2026 georefererad karta.tif", "A 7733-2026")</f>
        <v/>
      </c>
      <c r="Z43">
        <f>HYPERLINK("https://klasma.github.io/Logging_2181/knärot/A 7733-2026 karta knärot.png", "A 7733-2026")</f>
        <v/>
      </c>
      <c r="AA43">
        <f>HYPERLINK("https://klasma.github.io/Logging_2181/klagomål/A 7733-2026 FSC-klagomål.docx", "A 7733-2026")</f>
        <v/>
      </c>
      <c r="AB43">
        <f>HYPERLINK("https://klasma.github.io/Logging_2181/klagomålsmail/A 7733-2026 FSC-klagomål mail.docx", "A 7733-2026")</f>
        <v/>
      </c>
      <c r="AC43">
        <f>HYPERLINK("https://klasma.github.io/Logging_2181/tillsyn/A 7733-2026 tillsynsbegäran.docx", "A 7733-2026")</f>
        <v/>
      </c>
      <c r="AD43">
        <f>HYPERLINK("https://klasma.github.io/Logging_2181/tillsynsmail/A 7733-2026 tillsynsbegäran mail.docx", "A 7733-2026")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46229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46229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46229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46229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46229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46229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46229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46229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46229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46229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46229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3316-2023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44949</v>
      </c>
      <c r="E55" s="1" t="n">
        <v>46229</v>
      </c>
      <c r="F55" t="inlineStr">
        <is>
          <t>GÄVLEBORGS LÄN</t>
        </is>
      </c>
      <c r="G55" t="inlineStr">
        <is>
          <t>SANDVIKEN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HYPERLINK("https://klasma.github.io/Logging_2181/artfynd/A 3316-2023 artfynd.xlsx", "A 3316-2023")</f>
        <v/>
      </c>
      <c r="X55">
        <f>HYPERLINK("https://klasma.github.io/Logging_2181/kartor/A 3316-2023 karta.png", "A 3316-2023")</f>
        <v/>
      </c>
      <c r="Y55">
        <f>HYPERLINK("https://klasma.github.io/Logging_2181/kartor_geotiff/A 3316-2023 georefererad karta.tif", "A 3316-2023")</f>
        <v/>
      </c>
      <c r="AA55">
        <f>HYPERLINK("https://klasma.github.io/Logging_2181/klagomål/A 3316-2023 FSC-klagomål.docx", "A 3316-2023")</f>
        <v/>
      </c>
      <c r="AB55">
        <f>HYPERLINK("https://klasma.github.io/Logging_2181/klagomålsmail/A 3316-2023 FSC-klagomål mail.docx", "A 3316-2023")</f>
        <v/>
      </c>
      <c r="AC55">
        <f>HYPERLINK("https://klasma.github.io/Logging_2181/tillsyn/A 3316-2023 tillsynsbegäran.docx", "A 3316-2023")</f>
        <v/>
      </c>
      <c r="AD55">
        <f>HYPERLINK("https://klasma.github.io/Logging_2181/tillsynsmail/A 3316-2023 tillsynsbegäran mail.docx", "A 3316-2023")</f>
        <v/>
      </c>
      <c r="AE55">
        <f>HYPERLINK("https://klasma.github.io/Logging_2181/fåglar/A 3316-2023 prioriterade fågelarter.docx", "A 3316-2023")</f>
        <v/>
      </c>
    </row>
    <row r="56" ht="15" customHeight="1">
      <c r="A56" t="inlineStr">
        <is>
          <t>A 12419-2025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46229</v>
      </c>
      <c r="F56" t="inlineStr">
        <is>
          <t>GÄVLEBORGS LÄN</t>
        </is>
      </c>
      <c r="G56" t="inlineStr">
        <is>
          <t>SANDVIKEN</t>
        </is>
      </c>
      <c r="H56" t="inlineStr">
        <is>
          <t>Bergvik skog öst AB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Månlåsbräken</t>
        </is>
      </c>
      <c r="W56">
        <f>HYPERLINK("https://klasma.github.io/Logging_2181/artfynd/A 12419-2025 artfynd.xlsx", "A 12419-2025")</f>
        <v/>
      </c>
      <c r="X56">
        <f>HYPERLINK("https://klasma.github.io/Logging_2181/kartor/A 12419-2025 karta.png", "A 12419-2025")</f>
        <v/>
      </c>
      <c r="Y56">
        <f>HYPERLINK("https://klasma.github.io/Logging_2181/kartor_geotiff/A 12419-2025 georefererad karta.tif", "A 12419-2025")</f>
        <v/>
      </c>
      <c r="AA56">
        <f>HYPERLINK("https://klasma.github.io/Logging_2181/klagomål/A 12419-2025 FSC-klagomål.docx", "A 12419-2025")</f>
        <v/>
      </c>
      <c r="AB56">
        <f>HYPERLINK("https://klasma.github.io/Logging_2181/klagomålsmail/A 12419-2025 FSC-klagomål mail.docx", "A 12419-2025")</f>
        <v/>
      </c>
      <c r="AC56">
        <f>HYPERLINK("https://klasma.github.io/Logging_2181/tillsyn/A 12419-2025 tillsynsbegäran.docx", "A 12419-2025")</f>
        <v/>
      </c>
      <c r="AD56">
        <f>HYPERLINK("https://klasma.github.io/Logging_2181/tillsynsmail/A 12419-2025 tillsynsbegäran mail.docx", "A 12419-2025")</f>
        <v/>
      </c>
    </row>
    <row r="57" ht="15" customHeight="1">
      <c r="A57" t="inlineStr">
        <is>
          <t>A 15729-2022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44663</v>
      </c>
      <c r="E57" s="1" t="n">
        <v>46229</v>
      </c>
      <c r="F57" t="inlineStr">
        <is>
          <t>GÄVLEBORGS LÄN</t>
        </is>
      </c>
      <c r="G57" t="inlineStr">
        <is>
          <t>SANDVIKEN</t>
        </is>
      </c>
      <c r="I57" t="n">
        <v>2.1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HYPERLINK("https://klasma.github.io/Logging_2181/artfynd/A 15729-2022 artfynd.xlsx", "A 15729-2022")</f>
        <v/>
      </c>
      <c r="X57">
        <f>HYPERLINK("https://klasma.github.io/Logging_2181/kartor/A 15729-2022 karta.png", "A 15729-2022")</f>
        <v/>
      </c>
      <c r="Y57">
        <f>HYPERLINK("https://klasma.github.io/Logging_2181/kartor_geotiff/A 15729-2022 georefererad karta.tif", "A 15729-2022")</f>
        <v/>
      </c>
      <c r="Z57">
        <f>HYPERLINK("https://klasma.github.io/Logging_2181/knärot/A 15729-2022 karta knärot.png", "A 15729-2022")</f>
        <v/>
      </c>
      <c r="AA57">
        <f>HYPERLINK("https://klasma.github.io/Logging_2181/klagomål/A 15729-2022 FSC-klagomål.docx", "A 15729-2022")</f>
        <v/>
      </c>
      <c r="AB57">
        <f>HYPERLINK("https://klasma.github.io/Logging_2181/klagomålsmail/A 15729-2022 FSC-klagomål mail.docx", "A 15729-2022")</f>
        <v/>
      </c>
      <c r="AC57">
        <f>HYPERLINK("https://klasma.github.io/Logging_2181/tillsyn/A 15729-2022 tillsynsbegäran.docx", "A 15729-2022")</f>
        <v/>
      </c>
      <c r="AD57">
        <f>HYPERLINK("https://klasma.github.io/Logging_2181/tillsynsmail/A 15729-2022 tillsynsbegäran mail.docx", "A 15729-2022")</f>
        <v/>
      </c>
    </row>
    <row r="58" ht="15" customHeight="1">
      <c r="A58" t="inlineStr">
        <is>
          <t>A 45427-2023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45194</v>
      </c>
      <c r="E58" s="1" t="n">
        <v>46229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öst AB</t>
        </is>
      </c>
      <c r="I58" t="n">
        <v>3.5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HYPERLINK("https://klasma.github.io/Logging_2181/artfynd/A 45427-2023 artfynd.xlsx", "A 45427-2023")</f>
        <v/>
      </c>
      <c r="X58">
        <f>HYPERLINK("https://klasma.github.io/Logging_2181/kartor/A 45427-2023 karta.png", "A 45427-2023")</f>
        <v/>
      </c>
      <c r="Y58">
        <f>HYPERLINK("https://klasma.github.io/Logging_2181/kartor_geotiff/A 45427-2023 georefererad karta.tif", "A 45427-2023")</f>
        <v/>
      </c>
      <c r="AA58">
        <f>HYPERLINK("https://klasma.github.io/Logging_2181/klagomål/A 45427-2023 FSC-klagomål.docx", "A 45427-2023")</f>
        <v/>
      </c>
      <c r="AB58">
        <f>HYPERLINK("https://klasma.github.io/Logging_2181/klagomålsmail/A 45427-2023 FSC-klagomål mail.docx", "A 45427-2023")</f>
        <v/>
      </c>
      <c r="AC58">
        <f>HYPERLINK("https://klasma.github.io/Logging_2181/tillsyn/A 45427-2023 tillsynsbegäran.docx", "A 45427-2023")</f>
        <v/>
      </c>
      <c r="AD58">
        <f>HYPERLINK("https://klasma.github.io/Logging_2181/tillsynsmail/A 45427-2023 tillsynsbegäran mail.docx", "A 45427-2023")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46229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46229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46229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46229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42115-2023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45177</v>
      </c>
      <c r="E63" s="1" t="n">
        <v>46229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2.4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HYPERLINK("https://klasma.github.io/Logging_2181/artfynd/A 42115-2023 artfynd.xlsx", "A 42115-2023")</f>
        <v/>
      </c>
      <c r="X63">
        <f>HYPERLINK("https://klasma.github.io/Logging_2181/kartor/A 42115-2023 karta.png", "A 42115-2023")</f>
        <v/>
      </c>
      <c r="Y63">
        <f>HYPERLINK("https://klasma.github.io/Logging_2181/kartor_geotiff/A 42115-2023 georefererad karta.tif", "A 42115-2023")</f>
        <v/>
      </c>
      <c r="AA63">
        <f>HYPERLINK("https://klasma.github.io/Logging_2181/klagomål/A 42115-2023 FSC-klagomål.docx", "A 42115-2023")</f>
        <v/>
      </c>
      <c r="AB63">
        <f>HYPERLINK("https://klasma.github.io/Logging_2181/klagomålsmail/A 42115-2023 FSC-klagomål mail.docx", "A 42115-2023")</f>
        <v/>
      </c>
      <c r="AC63">
        <f>HYPERLINK("https://klasma.github.io/Logging_2181/tillsyn/A 42115-2023 tillsynsbegäran.docx", "A 42115-2023")</f>
        <v/>
      </c>
      <c r="AD63">
        <f>HYPERLINK("https://klasma.github.io/Logging_2181/tillsynsmail/A 42115-2023 tillsynsbegäran mail.docx", "A 42115-2023")</f>
        <v/>
      </c>
      <c r="AE63">
        <f>HYPERLINK("https://klasma.github.io/Logging_2181/fåglar/A 42115-2023 prioriterade fågelarter.docx", "A 42115-2023")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46229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46229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6972-2026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46229</v>
      </c>
      <c r="F66" t="inlineStr">
        <is>
          <t>GÄVLEBORGS LÄN</t>
        </is>
      </c>
      <c r="G66" t="inlineStr">
        <is>
          <t>SANDVIKEN</t>
        </is>
      </c>
      <c r="H66" t="inlineStr">
        <is>
          <t>Naturvårdsverket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Svartvit flugsnappare</t>
        </is>
      </c>
      <c r="W66">
        <f>HYPERLINK("https://klasma.github.io/Logging_2181/artfynd/A 6972-2026 artfynd.xlsx", "A 6972-2026")</f>
        <v/>
      </c>
      <c r="X66">
        <f>HYPERLINK("https://klasma.github.io/Logging_2181/kartor/A 6972-2026 karta.png", "A 6972-2026")</f>
        <v/>
      </c>
      <c r="Y66">
        <f>HYPERLINK("https://klasma.github.io/Logging_2181/kartor_geotiff/A 6972-2026 georefererad karta.tif", "A 6972-2026")</f>
        <v/>
      </c>
      <c r="AA66">
        <f>HYPERLINK("https://klasma.github.io/Logging_2181/klagomål/A 6972-2026 FSC-klagomål.docx", "A 6972-2026")</f>
        <v/>
      </c>
      <c r="AB66">
        <f>HYPERLINK("https://klasma.github.io/Logging_2181/klagomålsmail/A 6972-2026 FSC-klagomål mail.docx", "A 6972-2026")</f>
        <v/>
      </c>
      <c r="AC66">
        <f>HYPERLINK("https://klasma.github.io/Logging_2181/tillsyn/A 6972-2026 tillsynsbegäran.docx", "A 6972-2026")</f>
        <v/>
      </c>
      <c r="AD66">
        <f>HYPERLINK("https://klasma.github.io/Logging_2181/tillsynsmail/A 6972-2026 tillsynsbegäran mail.docx", "A 6972-2026")</f>
        <v/>
      </c>
    </row>
    <row r="67" ht="15" customHeight="1">
      <c r="A67" t="inlineStr">
        <is>
          <t>A 41349-2025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46229</v>
      </c>
      <c r="F67" t="inlineStr">
        <is>
          <t>GÄVLEBORGS LÄN</t>
        </is>
      </c>
      <c r="G67" t="inlineStr">
        <is>
          <t>SANDVIKEN</t>
        </is>
      </c>
      <c r="I67" t="n">
        <v>3.7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HYPERLINK("https://klasma.github.io/Logging_2181/artfynd/A 41349-2025 artfynd.xlsx", "A 41349-2025")</f>
        <v/>
      </c>
      <c r="X67">
        <f>HYPERLINK("https://klasma.github.io/Logging_2181/kartor/A 41349-2025 karta.png", "A 41349-2025")</f>
        <v/>
      </c>
      <c r="Y67">
        <f>HYPERLINK("https://klasma.github.io/Logging_2181/kartor_geotiff/A 41349-2025 georefererad karta.tif", "A 41349-2025")</f>
        <v/>
      </c>
      <c r="AA67">
        <f>HYPERLINK("https://klasma.github.io/Logging_2181/klagomål/A 41349-2025 FSC-klagomål.docx", "A 41349-2025")</f>
        <v/>
      </c>
      <c r="AB67">
        <f>HYPERLINK("https://klasma.github.io/Logging_2181/klagomålsmail/A 41349-2025 FSC-klagomål mail.docx", "A 41349-2025")</f>
        <v/>
      </c>
      <c r="AC67">
        <f>HYPERLINK("https://klasma.github.io/Logging_2181/tillsyn/A 41349-2025 tillsynsbegäran.docx", "A 41349-2025")</f>
        <v/>
      </c>
      <c r="AD67">
        <f>HYPERLINK("https://klasma.github.io/Logging_2181/tillsynsmail/A 41349-2025 tillsynsbegäran mail.docx", "A 41349-2025")</f>
        <v/>
      </c>
    </row>
    <row r="68" ht="15" customHeight="1">
      <c r="A68" t="inlineStr">
        <is>
          <t>A 25479-2023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46229</v>
      </c>
      <c r="F68" t="inlineStr">
        <is>
          <t>GÄVLEBORGS LÄN</t>
        </is>
      </c>
      <c r="G68" t="inlineStr">
        <is>
          <t>SANDVIKEN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Grönpyrola</t>
        </is>
      </c>
      <c r="W68">
        <f>HYPERLINK("https://klasma.github.io/Logging_2181/artfynd/A 25479-2023 artfynd.xlsx", "A 25479-2023")</f>
        <v/>
      </c>
      <c r="X68">
        <f>HYPERLINK("https://klasma.github.io/Logging_2181/kartor/A 25479-2023 karta.png", "A 25479-2023")</f>
        <v/>
      </c>
      <c r="Y68">
        <f>HYPERLINK("https://klasma.github.io/Logging_2181/kartor_geotiff/A 25479-2023 georefererad karta.tif", "A 25479-2023")</f>
        <v/>
      </c>
      <c r="AA68">
        <f>HYPERLINK("https://klasma.github.io/Logging_2181/klagomål/A 25479-2023 FSC-klagomål.docx", "A 25479-2023")</f>
        <v/>
      </c>
      <c r="AB68">
        <f>HYPERLINK("https://klasma.github.io/Logging_2181/klagomålsmail/A 25479-2023 FSC-klagomål mail.docx", "A 25479-2023")</f>
        <v/>
      </c>
      <c r="AC68">
        <f>HYPERLINK("https://klasma.github.io/Logging_2181/tillsyn/A 25479-2023 tillsynsbegäran.docx", "A 25479-2023")</f>
        <v/>
      </c>
      <c r="AD68">
        <f>HYPERLINK("https://klasma.github.io/Logging_2181/tillsynsmail/A 25479-2023 tillsynsbegäran mail.docx", "A 25479-2023")</f>
        <v/>
      </c>
    </row>
    <row r="69" ht="15" customHeight="1">
      <c r="A69" t="inlineStr">
        <is>
          <t>A 48188-2025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45933</v>
      </c>
      <c r="E69" s="1" t="n">
        <v>46229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4.6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Talltita</t>
        </is>
      </c>
      <c r="W69">
        <f>HYPERLINK("https://klasma.github.io/Logging_2181/artfynd/A 48188-2025 artfynd.xlsx", "A 48188-2025")</f>
        <v/>
      </c>
      <c r="X69">
        <f>HYPERLINK("https://klasma.github.io/Logging_2181/kartor/A 48188-2025 karta.png", "A 48188-2025")</f>
        <v/>
      </c>
      <c r="Y69">
        <f>HYPERLINK("https://klasma.github.io/Logging_2181/kartor_geotiff/A 48188-2025 georefererad karta.tif", "A 48188-2025")</f>
        <v/>
      </c>
      <c r="AA69">
        <f>HYPERLINK("https://klasma.github.io/Logging_2181/klagomål/A 48188-2025 FSC-klagomål.docx", "A 48188-2025")</f>
        <v/>
      </c>
      <c r="AB69">
        <f>HYPERLINK("https://klasma.github.io/Logging_2181/klagomålsmail/A 48188-2025 FSC-klagomål mail.docx", "A 48188-2025")</f>
        <v/>
      </c>
      <c r="AC69">
        <f>HYPERLINK("https://klasma.github.io/Logging_2181/tillsyn/A 48188-2025 tillsynsbegäran.docx", "A 48188-2025")</f>
        <v/>
      </c>
      <c r="AD69">
        <f>HYPERLINK("https://klasma.github.io/Logging_2181/tillsynsmail/A 48188-2025 tillsynsbegäran mail.docx", "A 48188-2025")</f>
        <v/>
      </c>
      <c r="AE69">
        <f>HYPERLINK("https://klasma.github.io/Logging_2181/fåglar/A 48188-2025 prioriterade fågelarter.docx", "A 48188-2025")</f>
        <v/>
      </c>
    </row>
    <row r="70" ht="15" customHeight="1">
      <c r="A70" t="inlineStr">
        <is>
          <t>A 27207-2026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46188</v>
      </c>
      <c r="E70" s="1" t="n">
        <v>46229</v>
      </c>
      <c r="F70" t="inlineStr">
        <is>
          <t>GÄVLEBORGS LÄN</t>
        </is>
      </c>
      <c r="G70" t="inlineStr">
        <is>
          <t>SANDVIKEN</t>
        </is>
      </c>
      <c r="H70" t="inlineStr">
        <is>
          <t>Kommuner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Kungsfågel</t>
        </is>
      </c>
      <c r="W70">
        <f>HYPERLINK("https://klasma.github.io/Logging_2181/artfynd/A 27207-2026 artfynd.xlsx", "A 27207-2026")</f>
        <v/>
      </c>
      <c r="X70">
        <f>HYPERLINK("https://klasma.github.io/Logging_2181/kartor/A 27207-2026 karta.png", "A 27207-2026")</f>
        <v/>
      </c>
      <c r="Y70">
        <f>HYPERLINK("https://klasma.github.io/Logging_2181/kartor_geotiff/A 27207-2026 georefererad karta.tif", "A 27207-2026")</f>
        <v/>
      </c>
      <c r="AA70">
        <f>HYPERLINK("https://klasma.github.io/Logging_2181/klagomål/A 27207-2026 FSC-klagomål.docx", "A 27207-2026")</f>
        <v/>
      </c>
      <c r="AB70">
        <f>HYPERLINK("https://klasma.github.io/Logging_2181/klagomålsmail/A 27207-2026 FSC-klagomål mail.docx", "A 27207-2026")</f>
        <v/>
      </c>
      <c r="AC70">
        <f>HYPERLINK("https://klasma.github.io/Logging_2181/tillsyn/A 27207-2026 tillsynsbegäran.docx", "A 27207-2026")</f>
        <v/>
      </c>
      <c r="AD70">
        <f>HYPERLINK("https://klasma.github.io/Logging_2181/tillsynsmail/A 27207-2026 tillsynsbegäran mail.docx", "A 27207-2026")</f>
        <v/>
      </c>
    </row>
    <row r="71" ht="15" customHeight="1">
      <c r="A71" t="inlineStr">
        <is>
          <t>A 21532-2026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46148</v>
      </c>
      <c r="E71" s="1" t="n">
        <v>46229</v>
      </c>
      <c r="F71" t="inlineStr">
        <is>
          <t>GÄVLEBORGS LÄN</t>
        </is>
      </c>
      <c r="G71" t="inlineStr">
        <is>
          <t>SANDVIKEN</t>
        </is>
      </c>
      <c r="H71" t="inlineStr">
        <is>
          <t>Kommuner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Svartvit flugsnappare</t>
        </is>
      </c>
      <c r="W71">
        <f>HYPERLINK("https://klasma.github.io/Logging_2181/artfynd/A 21532-2026 artfynd.xlsx", "A 21532-2026")</f>
        <v/>
      </c>
      <c r="X71">
        <f>HYPERLINK("https://klasma.github.io/Logging_2181/kartor/A 21532-2026 karta.png", "A 21532-2026")</f>
        <v/>
      </c>
      <c r="Y71">
        <f>HYPERLINK("https://klasma.github.io/Logging_2181/kartor_geotiff/A 21532-2026 georefererad karta.tif", "A 21532-2026")</f>
        <v/>
      </c>
      <c r="AA71">
        <f>HYPERLINK("https://klasma.github.io/Logging_2181/klagomål/A 21532-2026 FSC-klagomål.docx", "A 21532-2026")</f>
        <v/>
      </c>
      <c r="AB71">
        <f>HYPERLINK("https://klasma.github.io/Logging_2181/klagomålsmail/A 21532-2026 FSC-klagomål mail.docx", "A 21532-2026")</f>
        <v/>
      </c>
      <c r="AC71">
        <f>HYPERLINK("https://klasma.github.io/Logging_2181/tillsyn/A 21532-2026 tillsynsbegäran.docx", "A 21532-2026")</f>
        <v/>
      </c>
      <c r="AD71">
        <f>HYPERLINK("https://klasma.github.io/Logging_2181/tillsynsmail/A 21532-2026 tillsynsbegäran mail.docx", "A 21532-2026")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46229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23289-2024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45453</v>
      </c>
      <c r="E73" s="1" t="n">
        <v>46229</v>
      </c>
      <c r="F73" t="inlineStr">
        <is>
          <t>GÄVLEBORGS LÄN</t>
        </is>
      </c>
      <c r="G73" t="inlineStr">
        <is>
          <t>SANDVIKEN</t>
        </is>
      </c>
      <c r="H73" t="inlineStr">
        <is>
          <t>Kyrkan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Skogsödla</t>
        </is>
      </c>
      <c r="W73">
        <f>HYPERLINK("https://klasma.github.io/Logging_2181/artfynd/A 23289-2024 artfynd.xlsx", "A 23289-2024")</f>
        <v/>
      </c>
      <c r="X73">
        <f>HYPERLINK("https://klasma.github.io/Logging_2181/kartor/A 23289-2024 karta.png", "A 23289-2024")</f>
        <v/>
      </c>
      <c r="Y73">
        <f>HYPERLINK("https://klasma.github.io/Logging_2181/kartor_geotiff/A 23289-2024 georefererad karta.tif", "A 23289-2024")</f>
        <v/>
      </c>
      <c r="AA73">
        <f>HYPERLINK("https://klasma.github.io/Logging_2181/klagomål/A 23289-2024 FSC-klagomål.docx", "A 23289-2024")</f>
        <v/>
      </c>
      <c r="AB73">
        <f>HYPERLINK("https://klasma.github.io/Logging_2181/klagomålsmail/A 23289-2024 FSC-klagomål mail.docx", "A 23289-2024")</f>
        <v/>
      </c>
      <c r="AC73">
        <f>HYPERLINK("https://klasma.github.io/Logging_2181/tillsyn/A 23289-2024 tillsynsbegäran.docx", "A 23289-2024")</f>
        <v/>
      </c>
      <c r="AD73">
        <f>HYPERLINK("https://klasma.github.io/Logging_2181/tillsynsmail/A 23289-2024 tillsynsbegäran mail.docx", "A 23289-2024")</f>
        <v/>
      </c>
    </row>
    <row r="74" ht="15" customHeight="1">
      <c r="A74" t="inlineStr">
        <is>
          <t>A 22275-2024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46229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Ekorrbär</t>
        </is>
      </c>
      <c r="W74">
        <f>HYPERLINK("https://klasma.github.io/Logging_2181/artfynd/A 22275-2024 artfynd.xlsx", "A 22275-2024")</f>
        <v/>
      </c>
      <c r="X74">
        <f>HYPERLINK("https://klasma.github.io/Logging_2181/kartor/A 22275-2024 karta.png", "A 22275-2024")</f>
        <v/>
      </c>
      <c r="Y74">
        <f>HYPERLINK("https://klasma.github.io/Logging_2181/kartor_geotiff/A 22275-2024 georefererad karta.tif", "A 22275-2024")</f>
        <v/>
      </c>
      <c r="AA74">
        <f>HYPERLINK("https://klasma.github.io/Logging_2181/klagomål/A 22275-2024 FSC-klagomål.docx", "A 22275-2024")</f>
        <v/>
      </c>
      <c r="AB74">
        <f>HYPERLINK("https://klasma.github.io/Logging_2181/klagomålsmail/A 22275-2024 FSC-klagomål mail.docx", "A 22275-2024")</f>
        <v/>
      </c>
      <c r="AC74">
        <f>HYPERLINK("https://klasma.github.io/Logging_2181/tillsyn/A 22275-2024 tillsynsbegäran.docx", "A 22275-2024")</f>
        <v/>
      </c>
      <c r="AD74">
        <f>HYPERLINK("https://klasma.github.io/Logging_2181/tillsynsmail/A 22275-2024 tillsynsbegäran mail.docx", "A 22275-2024")</f>
        <v/>
      </c>
    </row>
    <row r="75" ht="15" customHeight="1">
      <c r="A75" t="inlineStr">
        <is>
          <t>A 5015-2023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46229</v>
      </c>
      <c r="F75" t="inlineStr">
        <is>
          <t>GÄVLEBORGS LÄN</t>
        </is>
      </c>
      <c r="G75" t="inlineStr">
        <is>
          <t>SANDVIKEN</t>
        </is>
      </c>
      <c r="I75" t="n">
        <v>7.8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Slåtterfibbla</t>
        </is>
      </c>
      <c r="W75">
        <f>HYPERLINK("https://klasma.github.io/Logging_2181/artfynd/A 5015-2023 artfynd.xlsx", "A 5015-2023")</f>
        <v/>
      </c>
      <c r="X75">
        <f>HYPERLINK("https://klasma.github.io/Logging_2181/kartor/A 5015-2023 karta.png", "A 5015-2023")</f>
        <v/>
      </c>
      <c r="Y75">
        <f>HYPERLINK("https://klasma.github.io/Logging_2181/kartor_geotiff/A 5015-2023 georefererad karta.tif", "A 5015-2023")</f>
        <v/>
      </c>
      <c r="AA75">
        <f>HYPERLINK("https://klasma.github.io/Logging_2181/klagomål/A 5015-2023 FSC-klagomål.docx", "A 5015-2023")</f>
        <v/>
      </c>
      <c r="AB75">
        <f>HYPERLINK("https://klasma.github.io/Logging_2181/klagomålsmail/A 5015-2023 FSC-klagomål mail.docx", "A 5015-2023")</f>
        <v/>
      </c>
      <c r="AC75">
        <f>HYPERLINK("https://klasma.github.io/Logging_2181/tillsyn/A 5015-2023 tillsynsbegäran.docx", "A 5015-2023")</f>
        <v/>
      </c>
      <c r="AD75">
        <f>HYPERLINK("https://klasma.github.io/Logging_2181/tillsynsmail/A 5015-2023 tillsynsbegäran mail.docx", "A 5015-2023")</f>
        <v/>
      </c>
    </row>
    <row r="76" ht="15" customHeight="1">
      <c r="A76" t="inlineStr">
        <is>
          <t>A 448-2026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46229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Dvärghäxört</t>
        </is>
      </c>
      <c r="W76">
        <f>HYPERLINK("https://klasma.github.io/Logging_2181/artfynd/A 448-2026 artfynd.xlsx", "A 448-2026")</f>
        <v/>
      </c>
      <c r="X76">
        <f>HYPERLINK("https://klasma.github.io/Logging_2181/kartor/A 448-2026 karta.png", "A 448-2026")</f>
        <v/>
      </c>
      <c r="Y76">
        <f>HYPERLINK("https://klasma.github.io/Logging_2181/kartor_geotiff/A 448-2026 georefererad karta.tif", "A 448-2026")</f>
        <v/>
      </c>
      <c r="AA76">
        <f>HYPERLINK("https://klasma.github.io/Logging_2181/klagomål/A 448-2026 FSC-klagomål.docx", "A 448-2026")</f>
        <v/>
      </c>
      <c r="AB76">
        <f>HYPERLINK("https://klasma.github.io/Logging_2181/klagomålsmail/A 448-2026 FSC-klagomål mail.docx", "A 448-2026")</f>
        <v/>
      </c>
      <c r="AC76">
        <f>HYPERLINK("https://klasma.github.io/Logging_2181/tillsyn/A 448-2026 tillsynsbegäran.docx", "A 448-2026")</f>
        <v/>
      </c>
      <c r="AD76">
        <f>HYPERLINK("https://klasma.github.io/Logging_2181/tillsynsmail/A 448-2026 tillsynsbegäran mail.docx", "A 448-2026")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46229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29111-2026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46201</v>
      </c>
      <c r="E78" s="1" t="n">
        <v>46229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4.1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HYPERLINK("https://klasma.github.io/Logging_2181/artfynd/A 29111-2026 artfynd.xlsx", "A 29111-2026")</f>
        <v/>
      </c>
      <c r="X78">
        <f>HYPERLINK("https://klasma.github.io/Logging_2181/kartor/A 29111-2026 karta.png", "A 29111-2026")</f>
        <v/>
      </c>
      <c r="Y78">
        <f>HYPERLINK("https://klasma.github.io/Logging_2181/kartor_geotiff/A 29111-2026 georefererad karta.tif", "A 29111-2026")</f>
        <v/>
      </c>
      <c r="AA78">
        <f>HYPERLINK("https://klasma.github.io/Logging_2181/klagomål/A 29111-2026 FSC-klagomål.docx", "A 29111-2026")</f>
        <v/>
      </c>
      <c r="AB78">
        <f>HYPERLINK("https://klasma.github.io/Logging_2181/klagomålsmail/A 29111-2026 FSC-klagomål mail.docx", "A 29111-2026")</f>
        <v/>
      </c>
      <c r="AC78">
        <f>HYPERLINK("https://klasma.github.io/Logging_2181/tillsyn/A 29111-2026 tillsynsbegäran.docx", "A 29111-2026")</f>
        <v/>
      </c>
      <c r="AD78">
        <f>HYPERLINK("https://klasma.github.io/Logging_2181/tillsynsmail/A 29111-2026 tillsynsbegäran mail.docx", "A 29111-2026")</f>
        <v/>
      </c>
    </row>
    <row r="79" ht="15" customHeight="1">
      <c r="A79" t="inlineStr">
        <is>
          <t>A 23225-2026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46229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1.3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Rödvingetrast</t>
        </is>
      </c>
      <c r="W79">
        <f>HYPERLINK("https://klasma.github.io/Logging_2181/artfynd/A 23225-2026 artfynd.xlsx", "A 23225-2026")</f>
        <v/>
      </c>
      <c r="X79">
        <f>HYPERLINK("https://klasma.github.io/Logging_2181/kartor/A 23225-2026 karta.png", "A 23225-2026")</f>
        <v/>
      </c>
      <c r="Y79">
        <f>HYPERLINK("https://klasma.github.io/Logging_2181/kartor_geotiff/A 23225-2026 georefererad karta.tif", "A 23225-2026")</f>
        <v/>
      </c>
      <c r="AA79">
        <f>HYPERLINK("https://klasma.github.io/Logging_2181/klagomål/A 23225-2026 FSC-klagomål.docx", "A 23225-2026")</f>
        <v/>
      </c>
      <c r="AB79">
        <f>HYPERLINK("https://klasma.github.io/Logging_2181/klagomålsmail/A 23225-2026 FSC-klagomål mail.docx", "A 23225-2026")</f>
        <v/>
      </c>
      <c r="AC79">
        <f>HYPERLINK("https://klasma.github.io/Logging_2181/tillsyn/A 23225-2026 tillsynsbegäran.docx", "A 23225-2026")</f>
        <v/>
      </c>
      <c r="AD79">
        <f>HYPERLINK("https://klasma.github.io/Logging_2181/tillsynsmail/A 23225-2026 tillsynsbegäran mail.docx", "A 23225-2026")</f>
        <v/>
      </c>
      <c r="AE79">
        <f>HYPERLINK("https://klasma.github.io/Logging_2181/fåglar/A 23225-2026 prioriterade fågelarter.docx", "A 23225-2026")</f>
        <v/>
      </c>
    </row>
    <row r="80" ht="15" customHeight="1">
      <c r="A80" t="inlineStr">
        <is>
          <t>A 7393-2026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46229</v>
      </c>
      <c r="F80" t="inlineStr">
        <is>
          <t>GÄVLEBORGS LÄN</t>
        </is>
      </c>
      <c r="G80" t="inlineStr">
        <is>
          <t>SANDVIKEN</t>
        </is>
      </c>
      <c r="I80" t="n">
        <v>6.7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Brunklöver</t>
        </is>
      </c>
      <c r="W80">
        <f>HYPERLINK("https://klasma.github.io/Logging_2181/artfynd/A 7393-2026 artfynd.xlsx", "A 7393-2026")</f>
        <v/>
      </c>
      <c r="X80">
        <f>HYPERLINK("https://klasma.github.io/Logging_2181/kartor/A 7393-2026 karta.png", "A 7393-2026")</f>
        <v/>
      </c>
      <c r="Y80">
        <f>HYPERLINK("https://klasma.github.io/Logging_2181/kartor_geotiff/A 7393-2026 georefererad karta.tif", "A 7393-2026")</f>
        <v/>
      </c>
      <c r="AA80">
        <f>HYPERLINK("https://klasma.github.io/Logging_2181/klagomål/A 7393-2026 FSC-klagomål.docx", "A 7393-2026")</f>
        <v/>
      </c>
      <c r="AB80">
        <f>HYPERLINK("https://klasma.github.io/Logging_2181/klagomålsmail/A 7393-2026 FSC-klagomål mail.docx", "A 7393-2026")</f>
        <v/>
      </c>
      <c r="AC80">
        <f>HYPERLINK("https://klasma.github.io/Logging_2181/tillsyn/A 7393-2026 tillsynsbegäran.docx", "A 7393-2026")</f>
        <v/>
      </c>
      <c r="AD80">
        <f>HYPERLINK("https://klasma.github.io/Logging_2181/tillsynsmail/A 7393-2026 tillsynsbegäran mail.docx", "A 7393-2026")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46229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24171-2026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46229</v>
      </c>
      <c r="F82" t="inlineStr">
        <is>
          <t>GÄVLEBORGS LÄN</t>
        </is>
      </c>
      <c r="G82" t="inlineStr">
        <is>
          <t>SANDVIKEN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Svedjenäva</t>
        </is>
      </c>
      <c r="W82">
        <f>HYPERLINK("https://klasma.github.io/Logging_2181/artfynd/A 24171-2026 artfynd.xlsx", "A 24171-2026")</f>
        <v/>
      </c>
      <c r="X82">
        <f>HYPERLINK("https://klasma.github.io/Logging_2181/kartor/A 24171-2026 karta.png", "A 24171-2026")</f>
        <v/>
      </c>
      <c r="Y82">
        <f>HYPERLINK("https://klasma.github.io/Logging_2181/kartor_geotiff/A 24171-2026 georefererad karta.tif", "A 24171-2026")</f>
        <v/>
      </c>
      <c r="AA82">
        <f>HYPERLINK("https://klasma.github.io/Logging_2181/klagomål/A 24171-2026 FSC-klagomål.docx", "A 24171-2026")</f>
        <v/>
      </c>
      <c r="AB82">
        <f>HYPERLINK("https://klasma.github.io/Logging_2181/klagomålsmail/A 24171-2026 FSC-klagomål mail.docx", "A 24171-2026")</f>
        <v/>
      </c>
      <c r="AC82">
        <f>HYPERLINK("https://klasma.github.io/Logging_2181/tillsyn/A 24171-2026 tillsynsbegäran.docx", "A 24171-2026")</f>
        <v/>
      </c>
      <c r="AD82">
        <f>HYPERLINK("https://klasma.github.io/Logging_2181/tillsynsmail/A 24171-2026 tillsynsbegäran mail.docx", "A 24171-2026")</f>
        <v/>
      </c>
    </row>
    <row r="83" ht="15" customHeight="1">
      <c r="A83" t="inlineStr">
        <is>
          <t>A 11784-2026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46084</v>
      </c>
      <c r="E83" s="1" t="n">
        <v>46229</v>
      </c>
      <c r="F83" t="inlineStr">
        <is>
          <t>GÄVLEBORGS LÄN</t>
        </is>
      </c>
      <c r="G83" t="inlineStr">
        <is>
          <t>SANDVIKEN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HYPERLINK("https://klasma.github.io/Logging_2181/artfynd/A 11784-2026 artfynd.xlsx", "A 11784-2026")</f>
        <v/>
      </c>
      <c r="X83">
        <f>HYPERLINK("https://klasma.github.io/Logging_2181/kartor/A 11784-2026 karta.png", "A 11784-2026")</f>
        <v/>
      </c>
      <c r="Y83">
        <f>HYPERLINK("https://klasma.github.io/Logging_2181/kartor_geotiff/A 11784-2026 georefererad karta.tif", "A 11784-2026")</f>
        <v/>
      </c>
      <c r="AA83">
        <f>HYPERLINK("https://klasma.github.io/Logging_2181/klagomål/A 11784-2026 FSC-klagomål.docx", "A 11784-2026")</f>
        <v/>
      </c>
      <c r="AB83">
        <f>HYPERLINK("https://klasma.github.io/Logging_2181/klagomålsmail/A 11784-2026 FSC-klagomål mail.docx", "A 11784-2026")</f>
        <v/>
      </c>
      <c r="AC83">
        <f>HYPERLINK("https://klasma.github.io/Logging_2181/tillsyn/A 11784-2026 tillsynsbegäran.docx", "A 11784-2026")</f>
        <v/>
      </c>
      <c r="AD83">
        <f>HYPERLINK("https://klasma.github.io/Logging_2181/tillsynsmail/A 11784-2026 tillsynsbegäran mail.docx", "A 11784-2026")</f>
        <v/>
      </c>
    </row>
    <row r="84" ht="15" customHeight="1">
      <c r="A84" t="inlineStr">
        <is>
          <t>A 24357-2026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46169</v>
      </c>
      <c r="E84" s="1" t="n">
        <v>46229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5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HYPERLINK("https://klasma.github.io/Logging_2181/artfynd/A 24357-2026 artfynd.xlsx", "A 24357-2026")</f>
        <v/>
      </c>
      <c r="X84">
        <f>HYPERLINK("https://klasma.github.io/Logging_2181/kartor/A 24357-2026 karta.png", "A 24357-2026")</f>
        <v/>
      </c>
      <c r="Y84">
        <f>HYPERLINK("https://klasma.github.io/Logging_2181/kartor_geotiff/A 24357-2026 georefererad karta.tif", "A 24357-2026")</f>
        <v/>
      </c>
      <c r="AA84">
        <f>HYPERLINK("https://klasma.github.io/Logging_2181/klagomål/A 24357-2026 FSC-klagomål.docx", "A 24357-2026")</f>
        <v/>
      </c>
      <c r="AB84">
        <f>HYPERLINK("https://klasma.github.io/Logging_2181/klagomålsmail/A 24357-2026 FSC-klagomål mail.docx", "A 24357-2026")</f>
        <v/>
      </c>
      <c r="AC84">
        <f>HYPERLINK("https://klasma.github.io/Logging_2181/tillsyn/A 24357-2026 tillsynsbegäran.docx", "A 24357-2026")</f>
        <v/>
      </c>
      <c r="AD84">
        <f>HYPERLINK("https://klasma.github.io/Logging_2181/tillsynsmail/A 24357-2026 tillsynsbegäran mail.docx", "A 24357-2026")</f>
        <v/>
      </c>
    </row>
    <row r="85" ht="15" customHeight="1">
      <c r="A85" t="inlineStr">
        <is>
          <t>A 13135-2026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46229</v>
      </c>
      <c r="F85" t="inlineStr">
        <is>
          <t>GÄVLEBORGS LÄN</t>
        </is>
      </c>
      <c r="G85" t="inlineStr">
        <is>
          <t>SANDVIKEN</t>
        </is>
      </c>
      <c r="I85" t="n">
        <v>2.4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HYPERLINK("https://klasma.github.io/Logging_2181/artfynd/A 13135-2026 artfynd.xlsx", "A 13135-2026")</f>
        <v/>
      </c>
      <c r="X85">
        <f>HYPERLINK("https://klasma.github.io/Logging_2181/kartor/A 13135-2026 karta.png", "A 13135-2026")</f>
        <v/>
      </c>
      <c r="Y85">
        <f>HYPERLINK("https://klasma.github.io/Logging_2181/kartor_geotiff/A 13135-2026 georefererad karta.tif", "A 13135-2026")</f>
        <v/>
      </c>
      <c r="AA85">
        <f>HYPERLINK("https://klasma.github.io/Logging_2181/klagomål/A 13135-2026 FSC-klagomål.docx", "A 13135-2026")</f>
        <v/>
      </c>
      <c r="AB85">
        <f>HYPERLINK("https://klasma.github.io/Logging_2181/klagomålsmail/A 13135-2026 FSC-klagomål mail.docx", "A 13135-2026")</f>
        <v/>
      </c>
      <c r="AC85">
        <f>HYPERLINK("https://klasma.github.io/Logging_2181/tillsyn/A 13135-2026 tillsynsbegäran.docx", "A 13135-2026")</f>
        <v/>
      </c>
      <c r="AD85">
        <f>HYPERLINK("https://klasma.github.io/Logging_2181/tillsynsmail/A 13135-2026 tillsynsbegäran mail.docx", "A 13135-2026")</f>
        <v/>
      </c>
    </row>
    <row r="86" ht="15" customHeight="1">
      <c r="A86" t="inlineStr">
        <is>
          <t>A 13645-2026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46229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HYPERLINK("https://klasma.github.io/Logging_2181/artfynd/A 13645-2026 artfynd.xlsx", "A 13645-2026")</f>
        <v/>
      </c>
      <c r="X86">
        <f>HYPERLINK("https://klasma.github.io/Logging_2181/kartor/A 13645-2026 karta.png", "A 13645-2026")</f>
        <v/>
      </c>
      <c r="Y86">
        <f>HYPERLINK("https://klasma.github.io/Logging_2181/kartor_geotiff/A 13645-2026 georefererad karta.tif", "A 13645-2026")</f>
        <v/>
      </c>
      <c r="AA86">
        <f>HYPERLINK("https://klasma.github.io/Logging_2181/klagomål/A 13645-2026 FSC-klagomål.docx", "A 13645-2026")</f>
        <v/>
      </c>
      <c r="AB86">
        <f>HYPERLINK("https://klasma.github.io/Logging_2181/klagomålsmail/A 13645-2026 FSC-klagomål mail.docx", "A 13645-2026")</f>
        <v/>
      </c>
      <c r="AC86">
        <f>HYPERLINK("https://klasma.github.io/Logging_2181/tillsyn/A 13645-2026 tillsynsbegäran.docx", "A 13645-2026")</f>
        <v/>
      </c>
      <c r="AD86">
        <f>HYPERLINK("https://klasma.github.io/Logging_2181/tillsynsmail/A 13645-2026 tillsynsbegäran mail.docx", "A 13645-2026")</f>
        <v/>
      </c>
      <c r="AE86">
        <f>HYPERLINK("https://klasma.github.io/Logging_2181/fåglar/A 13645-2026 prioriterade fågelarter.docx", "A 13645-2026")</f>
        <v/>
      </c>
    </row>
    <row r="87" ht="15" customHeight="1">
      <c r="A87" t="inlineStr">
        <is>
          <t>A 14835-2026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46229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2.5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14835-2026 artfynd.xlsx", "A 14835-2026")</f>
        <v/>
      </c>
      <c r="X87">
        <f>HYPERLINK("https://klasma.github.io/Logging_2181/kartor/A 14835-2026 karta.png", "A 14835-2026")</f>
        <v/>
      </c>
      <c r="Y87">
        <f>HYPERLINK("https://klasma.github.io/Logging_2181/kartor_geotiff/A 14835-2026 georefererad karta.tif", "A 14835-2026")</f>
        <v/>
      </c>
      <c r="AA87">
        <f>HYPERLINK("https://klasma.github.io/Logging_2181/klagomål/A 14835-2026 FSC-klagomål.docx", "A 14835-2026")</f>
        <v/>
      </c>
      <c r="AB87">
        <f>HYPERLINK("https://klasma.github.io/Logging_2181/klagomålsmail/A 14835-2026 FSC-klagomål mail.docx", "A 14835-2026")</f>
        <v/>
      </c>
      <c r="AC87">
        <f>HYPERLINK("https://klasma.github.io/Logging_2181/tillsyn/A 14835-2026 tillsynsbegäran.docx", "A 14835-2026")</f>
        <v/>
      </c>
      <c r="AD87">
        <f>HYPERLINK("https://klasma.github.io/Logging_2181/tillsynsmail/A 14835-2026 tillsynsbegäran mail.docx", "A 14835-2026")</f>
        <v/>
      </c>
    </row>
    <row r="88" ht="15" customHeight="1">
      <c r="A88" t="inlineStr">
        <is>
          <t>A 15121-2026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46105</v>
      </c>
      <c r="E88" s="1" t="n">
        <v>46229</v>
      </c>
      <c r="F88" t="inlineStr">
        <is>
          <t>GÄVLEBORGS LÄN</t>
        </is>
      </c>
      <c r="G88" t="inlineStr">
        <is>
          <t>SANDVIKEN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Brandticka</t>
        </is>
      </c>
      <c r="W88">
        <f>HYPERLINK("https://klasma.github.io/Logging_2181/artfynd/A 15121-2026 artfynd.xlsx", "A 15121-2026")</f>
        <v/>
      </c>
      <c r="X88">
        <f>HYPERLINK("https://klasma.github.io/Logging_2181/kartor/A 15121-2026 karta.png", "A 15121-2026")</f>
        <v/>
      </c>
      <c r="Y88">
        <f>HYPERLINK("https://klasma.github.io/Logging_2181/kartor_geotiff/A 15121-2026 georefererad karta.tif", "A 15121-2026")</f>
        <v/>
      </c>
      <c r="AA88">
        <f>HYPERLINK("https://klasma.github.io/Logging_2181/klagomål/A 15121-2026 FSC-klagomål.docx", "A 15121-2026")</f>
        <v/>
      </c>
      <c r="AB88">
        <f>HYPERLINK("https://klasma.github.io/Logging_2181/klagomålsmail/A 15121-2026 FSC-klagomål mail.docx", "A 15121-2026")</f>
        <v/>
      </c>
      <c r="AC88">
        <f>HYPERLINK("https://klasma.github.io/Logging_2181/tillsyn/A 15121-2026 tillsynsbegäran.docx", "A 15121-2026")</f>
        <v/>
      </c>
      <c r="AD88">
        <f>HYPERLINK("https://klasma.github.io/Logging_2181/tillsynsmail/A 15121-2026 tillsynsbegäran mail.docx", "A 15121-2026")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46229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31311-2026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46229</v>
      </c>
      <c r="F90" t="inlineStr">
        <is>
          <t>GÄVLEBORGS LÄN</t>
        </is>
      </c>
      <c r="G90" t="inlineStr">
        <is>
          <t>SANDVIKEN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padda</t>
        </is>
      </c>
      <c r="W90">
        <f>HYPERLINK("https://klasma.github.io/Logging_2181/artfynd/A 31311-2026 artfynd.xlsx", "A 31311-2026")</f>
        <v/>
      </c>
      <c r="X90">
        <f>HYPERLINK("https://klasma.github.io/Logging_2181/kartor/A 31311-2026 karta.png", "A 31311-2026")</f>
        <v/>
      </c>
      <c r="Y90">
        <f>HYPERLINK("https://klasma.github.io/Logging_2181/kartor_geotiff/A 31311-2026 georefererad karta.tif", "A 31311-2026")</f>
        <v/>
      </c>
      <c r="AA90">
        <f>HYPERLINK("https://klasma.github.io/Logging_2181/klagomål/A 31311-2026 FSC-klagomål.docx", "A 31311-2026")</f>
        <v/>
      </c>
      <c r="AB90">
        <f>HYPERLINK("https://klasma.github.io/Logging_2181/klagomålsmail/A 31311-2026 FSC-klagomål mail.docx", "A 31311-2026")</f>
        <v/>
      </c>
      <c r="AC90">
        <f>HYPERLINK("https://klasma.github.io/Logging_2181/tillsyn/A 31311-2026 tillsynsbegäran.docx", "A 31311-2026")</f>
        <v/>
      </c>
      <c r="AD90">
        <f>HYPERLINK("https://klasma.github.io/Logging_2181/tillsynsmail/A 31311-2026 tillsynsbegäran mail.docx", "A 31311-2026")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46229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46229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46229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46229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4384-2023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44955</v>
      </c>
      <c r="E95" s="1" t="n">
        <v>46229</v>
      </c>
      <c r="F95" t="inlineStr">
        <is>
          <t>GÄVLEBORGS LÄN</t>
        </is>
      </c>
      <c r="G95" t="inlineStr">
        <is>
          <t>SANDVIKEN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Sångsvan</t>
        </is>
      </c>
      <c r="W95">
        <f>HYPERLINK("https://klasma.github.io/Logging_2181/artfynd/A 4384-2023 artfynd.xlsx", "A 4384-2023")</f>
        <v/>
      </c>
      <c r="X95">
        <f>HYPERLINK("https://klasma.github.io/Logging_2181/kartor/A 4384-2023 karta.png", "A 4384-2023")</f>
        <v/>
      </c>
      <c r="Y95">
        <f>HYPERLINK("https://klasma.github.io/Logging_2181/kartor_geotiff/A 4384-2023 georefererad karta.tif", "A 4384-2023")</f>
        <v/>
      </c>
      <c r="AA95">
        <f>HYPERLINK("https://klasma.github.io/Logging_2181/klagomål/A 4384-2023 FSC-klagomål.docx", "A 4384-2023")</f>
        <v/>
      </c>
      <c r="AB95">
        <f>HYPERLINK("https://klasma.github.io/Logging_2181/klagomålsmail/A 4384-2023 FSC-klagomål mail.docx", "A 4384-2023")</f>
        <v/>
      </c>
      <c r="AC95">
        <f>HYPERLINK("https://klasma.github.io/Logging_2181/tillsyn/A 4384-2023 tillsynsbegäran.docx", "A 4384-2023")</f>
        <v/>
      </c>
      <c r="AD95">
        <f>HYPERLINK("https://klasma.github.io/Logging_2181/tillsynsmail/A 4384-2023 tillsynsbegäran mail.docx", "A 4384-2023")</f>
        <v/>
      </c>
      <c r="AE95">
        <f>HYPERLINK("https://klasma.github.io/Logging_2181/fåglar/A 4384-2023 prioriterade fågelarter.docx", "A 4384-2023")</f>
        <v/>
      </c>
    </row>
    <row r="96" ht="15" customHeight="1">
      <c r="A96" t="inlineStr">
        <is>
          <t>A 25314-2025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46229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Garnlav</t>
        </is>
      </c>
      <c r="W96">
        <f>HYPERLINK("https://klasma.github.io/Logging_2181/artfynd/A 25314-2025 artfynd.xlsx", "A 25314-2025")</f>
        <v/>
      </c>
      <c r="X96">
        <f>HYPERLINK("https://klasma.github.io/Logging_2181/kartor/A 25314-2025 karta.png", "A 25314-2025")</f>
        <v/>
      </c>
      <c r="Y96">
        <f>HYPERLINK("https://klasma.github.io/Logging_2181/kartor_geotiff/A 25314-2025 georefererad karta.tif", "A 25314-2025")</f>
        <v/>
      </c>
      <c r="AA96">
        <f>HYPERLINK("https://klasma.github.io/Logging_2181/klagomål/A 25314-2025 FSC-klagomål.docx", "A 25314-2025")</f>
        <v/>
      </c>
      <c r="AB96">
        <f>HYPERLINK("https://klasma.github.io/Logging_2181/klagomålsmail/A 25314-2025 FSC-klagomål mail.docx", "A 25314-2025")</f>
        <v/>
      </c>
      <c r="AC96">
        <f>HYPERLINK("https://klasma.github.io/Logging_2181/tillsyn/A 25314-2025 tillsynsbegäran.docx", "A 25314-2025")</f>
        <v/>
      </c>
      <c r="AD96">
        <f>HYPERLINK("https://klasma.github.io/Logging_2181/tillsynsmail/A 25314-2025 tillsynsbegäran mail.docx", "A 25314-2025")</f>
        <v/>
      </c>
    </row>
    <row r="97" ht="15" customHeight="1">
      <c r="A97" t="inlineStr">
        <is>
          <t>A 25323-2025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46229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3.8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Plattlummer</t>
        </is>
      </c>
      <c r="W97">
        <f>HYPERLINK("https://klasma.github.io/Logging_2181/artfynd/A 25323-2025 artfynd.xlsx", "A 25323-2025")</f>
        <v/>
      </c>
      <c r="X97">
        <f>HYPERLINK("https://klasma.github.io/Logging_2181/kartor/A 25323-2025 karta.png", "A 25323-2025")</f>
        <v/>
      </c>
      <c r="Y97">
        <f>HYPERLINK("https://klasma.github.io/Logging_2181/kartor_geotiff/A 25323-2025 georefererad karta.tif", "A 25323-2025")</f>
        <v/>
      </c>
      <c r="AA97">
        <f>HYPERLINK("https://klasma.github.io/Logging_2181/klagomål/A 25323-2025 FSC-klagomål.docx", "A 25323-2025")</f>
        <v/>
      </c>
      <c r="AB97">
        <f>HYPERLINK("https://klasma.github.io/Logging_2181/klagomålsmail/A 25323-2025 FSC-klagomål mail.docx", "A 25323-2025")</f>
        <v/>
      </c>
      <c r="AC97">
        <f>HYPERLINK("https://klasma.github.io/Logging_2181/tillsyn/A 25323-2025 tillsynsbegäran.docx", "A 25323-2025")</f>
        <v/>
      </c>
      <c r="AD97">
        <f>HYPERLINK("https://klasma.github.io/Logging_2181/tillsynsmail/A 25323-2025 tillsynsbegäran mail.docx", "A 25323-2025")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46229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46229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46229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46229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46229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46229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46229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46229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46229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46229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46229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46229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46229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46229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46229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46229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46229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46229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46229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46229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46229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46229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46229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46229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46229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46229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46229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46229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46229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46229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46229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46229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46229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46229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46229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46229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46229</v>
      </c>
      <c r="F137" t="inlineStr">
        <is>
          <t>GÄVLEBORGS LÄN</t>
        </is>
      </c>
      <c r="G137" t="inlineStr">
        <is>
          <t>SANDVIKEN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46229</v>
      </c>
      <c r="F138" t="inlineStr">
        <is>
          <t>GÄVLEBORGS LÄN</t>
        </is>
      </c>
      <c r="G138" t="inlineStr">
        <is>
          <t>SANDVIKEN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46229</v>
      </c>
      <c r="F139" t="inlineStr">
        <is>
          <t>GÄVLEBORGS LÄN</t>
        </is>
      </c>
      <c r="G139" t="inlineStr">
        <is>
          <t>SANDVIKEN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46229</v>
      </c>
      <c r="F140" t="inlineStr">
        <is>
          <t>GÄVLEBORGS LÄN</t>
        </is>
      </c>
      <c r="G140" t="inlineStr">
        <is>
          <t>SANDVIKEN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46229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45920-2022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44846</v>
      </c>
      <c r="E142" s="1" t="n">
        <v>46229</v>
      </c>
      <c r="F142" t="inlineStr">
        <is>
          <t>GÄVLEBORGS LÄN</t>
        </is>
      </c>
      <c r="G142" t="inlineStr">
        <is>
          <t>SANDVIKEN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46229</v>
      </c>
      <c r="F143" t="inlineStr">
        <is>
          <t>GÄVLEBORGS LÄN</t>
        </is>
      </c>
      <c r="G143" t="inlineStr">
        <is>
          <t>SANDVIKEN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34013-2024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45523</v>
      </c>
      <c r="E144" s="1" t="n">
        <v>46229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46229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44988</v>
      </c>
      <c r="E146" s="1" t="n">
        <v>46229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46229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46229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46229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46229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46229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46229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46229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46229</v>
      </c>
      <c r="F154" t="inlineStr">
        <is>
          <t>GÄVLEBORGS LÄN</t>
        </is>
      </c>
      <c r="G154" t="inlineStr">
        <is>
          <t>SANDVIKEN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46229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46229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45240</v>
      </c>
      <c r="E157" s="1" t="n">
        <v>46229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46229</v>
      </c>
      <c r="F158" t="inlineStr">
        <is>
          <t>GÄVLEBORGS LÄN</t>
        </is>
      </c>
      <c r="G158" t="inlineStr">
        <is>
          <t>SANDVIKEN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46229</v>
      </c>
      <c r="F159" t="inlineStr">
        <is>
          <t>GÄVLEBORGS LÄN</t>
        </is>
      </c>
      <c r="G159" t="inlineStr">
        <is>
          <t>SANDVIKEN</t>
        </is>
      </c>
      <c r="H159" t="inlineStr">
        <is>
          <t>Kommuner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46229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46229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46229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46229</v>
      </c>
      <c r="F163" t="inlineStr">
        <is>
          <t>GÄVLEBORGS LÄN</t>
        </is>
      </c>
      <c r="G163" t="inlineStr">
        <is>
          <t>SANDVIKEN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46229</v>
      </c>
      <c r="F164" t="inlineStr">
        <is>
          <t>GÄVLEBORGS LÄN</t>
        </is>
      </c>
      <c r="G164" t="inlineStr">
        <is>
          <t>SANDVIKEN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46229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46229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46229</v>
      </c>
      <c r="F167" t="inlineStr">
        <is>
          <t>GÄVLEBORGS LÄN</t>
        </is>
      </c>
      <c r="G167" t="inlineStr">
        <is>
          <t>SANDVIKEN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44744</v>
      </c>
      <c r="E168" s="1" t="n">
        <v>46229</v>
      </c>
      <c r="F168" t="inlineStr">
        <is>
          <t>GÄVLEBORGS LÄN</t>
        </is>
      </c>
      <c r="G168" t="inlineStr">
        <is>
          <t>SANDVIKEN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46229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45649</v>
      </c>
      <c r="E170" s="1" t="n">
        <v>46229</v>
      </c>
      <c r="F170" t="inlineStr">
        <is>
          <t>GÄVLEBORGS LÄN</t>
        </is>
      </c>
      <c r="G170" t="inlineStr">
        <is>
          <t>SANDVIKEN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46229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46229</v>
      </c>
      <c r="F172" t="inlineStr">
        <is>
          <t>GÄVLEBORGS LÄN</t>
        </is>
      </c>
      <c r="G172" t="inlineStr">
        <is>
          <t>SANDVIKEN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46229</v>
      </c>
      <c r="F173" t="inlineStr">
        <is>
          <t>GÄVLEBORGS LÄN</t>
        </is>
      </c>
      <c r="G173" t="inlineStr">
        <is>
          <t>SANDVIKEN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46229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46229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45649</v>
      </c>
      <c r="E176" s="1" t="n">
        <v>46229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46229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43121-2024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45567</v>
      </c>
      <c r="E178" s="1" t="n">
        <v>46229</v>
      </c>
      <c r="F178" t="inlineStr">
        <is>
          <t>GÄVLEBORGS LÄN</t>
        </is>
      </c>
      <c r="G178" t="inlineStr">
        <is>
          <t>SANDVIKEN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46229</v>
      </c>
      <c r="F179" t="inlineStr">
        <is>
          <t>GÄVLEBORGS LÄN</t>
        </is>
      </c>
      <c r="G179" t="inlineStr">
        <is>
          <t>SANDVIKEN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46229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46229</v>
      </c>
      <c r="F181" t="inlineStr">
        <is>
          <t>GÄVLEBORGS LÄN</t>
        </is>
      </c>
      <c r="G181" t="inlineStr">
        <is>
          <t>SANDVIKEN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46229</v>
      </c>
      <c r="F182" t="inlineStr">
        <is>
          <t>GÄVLEBORGS LÄN</t>
        </is>
      </c>
      <c r="G182" t="inlineStr">
        <is>
          <t>SANDVIKEN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46229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öst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45251</v>
      </c>
      <c r="E184" s="1" t="n">
        <v>46229</v>
      </c>
      <c r="F184" t="inlineStr">
        <is>
          <t>GÄVLEBORGS LÄN</t>
        </is>
      </c>
      <c r="G184" t="inlineStr">
        <is>
          <t>SANDVIKEN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44797</v>
      </c>
      <c r="E185" s="1" t="n">
        <v>46229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45480</v>
      </c>
      <c r="E186" s="1" t="n">
        <v>46229</v>
      </c>
      <c r="F186" t="inlineStr">
        <is>
          <t>GÄVLEBORGS LÄN</t>
        </is>
      </c>
      <c r="G186" t="inlineStr">
        <is>
          <t>SANDVIKEN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46229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36646-2022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46229</v>
      </c>
      <c r="F188" t="inlineStr">
        <is>
          <t>GÄVLEBORGS LÄN</t>
        </is>
      </c>
      <c r="G188" t="inlineStr">
        <is>
          <t>SANDVIKEN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44582</v>
      </c>
      <c r="E189" s="1" t="n">
        <v>46229</v>
      </c>
      <c r="F189" t="inlineStr">
        <is>
          <t>GÄVLEBORGS LÄN</t>
        </is>
      </c>
      <c r="G189" t="inlineStr">
        <is>
          <t>SANDVIKEN</t>
        </is>
      </c>
      <c r="H189" t="inlineStr">
        <is>
          <t>Kyrkan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46229</v>
      </c>
      <c r="F190" t="inlineStr">
        <is>
          <t>GÄVLEBORGS LÄN</t>
        </is>
      </c>
      <c r="G190" t="inlineStr">
        <is>
          <t>SANDVIKEN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46229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46229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46229</v>
      </c>
      <c r="F193" t="inlineStr">
        <is>
          <t>GÄVLEBORGS LÄN</t>
        </is>
      </c>
      <c r="G193" t="inlineStr">
        <is>
          <t>SANDVIKEN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46229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46229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45873</v>
      </c>
      <c r="E196" s="1" t="n">
        <v>46229</v>
      </c>
      <c r="F196" t="inlineStr">
        <is>
          <t>GÄVLEBORGS LÄN</t>
        </is>
      </c>
      <c r="G196" t="inlineStr">
        <is>
          <t>SANDVIKEN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46229</v>
      </c>
      <c r="F197" t="inlineStr">
        <is>
          <t>GÄVLEBORGS LÄN</t>
        </is>
      </c>
      <c r="G197" t="inlineStr">
        <is>
          <t>SANDVIKEN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46229</v>
      </c>
      <c r="F198" t="inlineStr">
        <is>
          <t>GÄVLEBORGS LÄN</t>
        </is>
      </c>
      <c r="G198" t="inlineStr">
        <is>
          <t>SANDVIKEN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46229</v>
      </c>
      <c r="F199" t="inlineStr">
        <is>
          <t>GÄVLEBORGS LÄN</t>
        </is>
      </c>
      <c r="G199" t="inlineStr">
        <is>
          <t>SANDVIKEN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46229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46229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46229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46229</v>
      </c>
      <c r="F203" t="inlineStr">
        <is>
          <t>GÄVLEBORGS LÄN</t>
        </is>
      </c>
      <c r="G203" t="inlineStr">
        <is>
          <t>SANDVIKEN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46229</v>
      </c>
      <c r="F204" t="inlineStr">
        <is>
          <t>GÄVLEBORGS LÄN</t>
        </is>
      </c>
      <c r="G204" t="inlineStr">
        <is>
          <t>SANDVIKEN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46229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46229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46229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46091</v>
      </c>
      <c r="E208" s="1" t="n">
        <v>46229</v>
      </c>
      <c r="F208" t="inlineStr">
        <is>
          <t>GÄVLEBORGS LÄN</t>
        </is>
      </c>
      <c r="G208" t="inlineStr">
        <is>
          <t>SANDVIKEN</t>
        </is>
      </c>
      <c r="H208" t="inlineStr">
        <is>
          <t>Naturvårdsverket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46229</v>
      </c>
      <c r="F209" t="inlineStr">
        <is>
          <t>GÄVLEBORGS LÄN</t>
        </is>
      </c>
      <c r="G209" t="inlineStr">
        <is>
          <t>SANDVIKEN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46229</v>
      </c>
      <c r="F210" t="inlineStr">
        <is>
          <t>GÄVLEBORGS LÄN</t>
        </is>
      </c>
      <c r="G210" t="inlineStr">
        <is>
          <t>SANDVIKEN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36203-2025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45867</v>
      </c>
      <c r="E211" s="1" t="n">
        <v>46229</v>
      </c>
      <c r="F211" t="inlineStr">
        <is>
          <t>GÄVLEBORGS LÄN</t>
        </is>
      </c>
      <c r="G211" t="inlineStr">
        <is>
          <t>SANDVIKEN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45476</v>
      </c>
      <c r="E212" s="1" t="n">
        <v>46229</v>
      </c>
      <c r="F212" t="inlineStr">
        <is>
          <t>GÄVLEBORGS LÄN</t>
        </is>
      </c>
      <c r="G212" t="inlineStr">
        <is>
          <t>SANDVIKEN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46229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46229</v>
      </c>
      <c r="F214" t="inlineStr">
        <is>
          <t>GÄVLEBORGS LÄN</t>
        </is>
      </c>
      <c r="G214" t="inlineStr">
        <is>
          <t>SANDVIKEN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46229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46229</v>
      </c>
      <c r="F216" t="inlineStr">
        <is>
          <t>GÄVLEBORGS LÄN</t>
        </is>
      </c>
      <c r="G216" t="inlineStr">
        <is>
          <t>SANDVIKEN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46229</v>
      </c>
      <c r="F217" t="inlineStr">
        <is>
          <t>GÄVLEBORGS LÄN</t>
        </is>
      </c>
      <c r="G217" t="inlineStr">
        <is>
          <t>SANDVIKEN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46229</v>
      </c>
      <c r="F218" t="inlineStr">
        <is>
          <t>GÄVLEBORGS LÄN</t>
        </is>
      </c>
      <c r="G218" t="inlineStr">
        <is>
          <t>SANDVIKEN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46229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46229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45595</v>
      </c>
      <c r="E221" s="1" t="n">
        <v>46229</v>
      </c>
      <c r="F221" t="inlineStr">
        <is>
          <t>GÄVLEBORGS LÄN</t>
        </is>
      </c>
      <c r="G221" t="inlineStr">
        <is>
          <t>SANDVIKEN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46229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46229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45905</v>
      </c>
      <c r="E224" s="1" t="n">
        <v>46229</v>
      </c>
      <c r="F224" t="inlineStr">
        <is>
          <t>GÄVLEBORGS LÄN</t>
        </is>
      </c>
      <c r="G224" t="inlineStr">
        <is>
          <t>SANDVIKEN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39591-2024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45552</v>
      </c>
      <c r="E225" s="1" t="n">
        <v>46229</v>
      </c>
      <c r="F225" t="inlineStr">
        <is>
          <t>GÄVLEBORGS LÄN</t>
        </is>
      </c>
      <c r="G225" t="inlineStr">
        <is>
          <t>SANDVIKEN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46229</v>
      </c>
      <c r="F226" t="inlineStr">
        <is>
          <t>GÄVLEBORGS LÄN</t>
        </is>
      </c>
      <c r="G226" t="inlineStr">
        <is>
          <t>SANDVIKEN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46229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46035</v>
      </c>
      <c r="E228" s="1" t="n">
        <v>46229</v>
      </c>
      <c r="F228" t="inlineStr">
        <is>
          <t>GÄVLEBORGS LÄN</t>
        </is>
      </c>
      <c r="G228" t="inlineStr">
        <is>
          <t>SANDVIKEN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45899</v>
      </c>
      <c r="E229" s="1" t="n">
        <v>46229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41111-2025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46229</v>
      </c>
      <c r="F230" t="inlineStr">
        <is>
          <t>GÄVLEBORGS LÄN</t>
        </is>
      </c>
      <c r="G230" t="inlineStr">
        <is>
          <t>SANDVIKEN</t>
        </is>
      </c>
      <c r="H230" t="inlineStr">
        <is>
          <t>Bergvik skog väst AB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46229</v>
      </c>
      <c r="F231" t="inlineStr">
        <is>
          <t>GÄVLEBORGS LÄN</t>
        </is>
      </c>
      <c r="G231" t="inlineStr">
        <is>
          <t>SANDVIKEN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46229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46229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46229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72997-2021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44549</v>
      </c>
      <c r="E235" s="1" t="n">
        <v>46229</v>
      </c>
      <c r="F235" t="inlineStr">
        <is>
          <t>GÄVLEBORGS LÄN</t>
        </is>
      </c>
      <c r="G235" t="inlineStr">
        <is>
          <t>SANDVIKEN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46229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19499-2026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46229</v>
      </c>
      <c r="F237" t="inlineStr">
        <is>
          <t>GÄVLEBORGS LÄN</t>
        </is>
      </c>
      <c r="G237" t="inlineStr">
        <is>
          <t>SANDVIKEN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46229</v>
      </c>
      <c r="F238" t="inlineStr">
        <is>
          <t>GÄVLEBORGS LÄN</t>
        </is>
      </c>
      <c r="G238" t="inlineStr">
        <is>
          <t>SANDVIKEN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45121</v>
      </c>
      <c r="E239" s="1" t="n">
        <v>46229</v>
      </c>
      <c r="F239" t="inlineStr">
        <is>
          <t>GÄVLEBORGS LÄN</t>
        </is>
      </c>
      <c r="G239" t="inlineStr">
        <is>
          <t>SANDVIKEN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46029</v>
      </c>
      <c r="E240" s="1" t="n">
        <v>46229</v>
      </c>
      <c r="F240" t="inlineStr">
        <is>
          <t>GÄVLEBORGS LÄN</t>
        </is>
      </c>
      <c r="G240" t="inlineStr">
        <is>
          <t>SANDVIKEN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45769</v>
      </c>
      <c r="E241" s="1" t="n">
        <v>46229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46229</v>
      </c>
      <c r="F242" t="inlineStr">
        <is>
          <t>GÄVLEBORGS LÄN</t>
        </is>
      </c>
      <c r="G242" t="inlineStr">
        <is>
          <t>SANDVIKEN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46061</v>
      </c>
      <c r="E243" s="1" t="n">
        <v>46229</v>
      </c>
      <c r="F243" t="inlineStr">
        <is>
          <t>GÄVLEBORGS LÄN</t>
        </is>
      </c>
      <c r="G243" t="inlineStr">
        <is>
          <t>SANDVIKEN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46229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46229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öst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46229</v>
      </c>
      <c r="F246" t="inlineStr">
        <is>
          <t>GÄVLEBORGS LÄN</t>
        </is>
      </c>
      <c r="G246" t="inlineStr">
        <is>
          <t>SANDVIKEN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45660</v>
      </c>
      <c r="E247" s="1" t="n">
        <v>46229</v>
      </c>
      <c r="F247" t="inlineStr">
        <is>
          <t>GÄVLEBORGS LÄN</t>
        </is>
      </c>
      <c r="G247" t="inlineStr">
        <is>
          <t>SANDVIKEN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46229</v>
      </c>
      <c r="F248" t="inlineStr">
        <is>
          <t>GÄVLEBORGS LÄN</t>
        </is>
      </c>
      <c r="G248" t="inlineStr">
        <is>
          <t>SANDVIKEN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46229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45670</v>
      </c>
      <c r="E250" s="1" t="n">
        <v>46229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46229</v>
      </c>
      <c r="F251" t="inlineStr">
        <is>
          <t>GÄVLEBORGS LÄN</t>
        </is>
      </c>
      <c r="G251" t="inlineStr">
        <is>
          <t>SANDVIKEN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46052</v>
      </c>
      <c r="E252" s="1" t="n">
        <v>46229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7898-2026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46229</v>
      </c>
      <c r="F253" t="inlineStr">
        <is>
          <t>GÄVLEBORGS LÄN</t>
        </is>
      </c>
      <c r="G253" t="inlineStr">
        <is>
          <t>SANDVIKEN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42107-2024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46229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46229</v>
      </c>
      <c r="F255" t="inlineStr">
        <is>
          <t>GÄVLEBORGS LÄN</t>
        </is>
      </c>
      <c r="G255" t="inlineStr">
        <is>
          <t>SANDVIKEN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46229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46229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öst AB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46229</v>
      </c>
      <c r="F258" t="inlineStr">
        <is>
          <t>GÄVLEBORGS LÄN</t>
        </is>
      </c>
      <c r="G258" t="inlineStr">
        <is>
          <t>SANDVIKEN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46229</v>
      </c>
      <c r="F259" t="inlineStr">
        <is>
          <t>GÄVLEBORGS LÄN</t>
        </is>
      </c>
      <c r="G259" t="inlineStr">
        <is>
          <t>SANDVIKEN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46046</v>
      </c>
      <c r="E260" s="1" t="n">
        <v>46229</v>
      </c>
      <c r="F260" t="inlineStr">
        <is>
          <t>GÄVLEBORGS LÄN</t>
        </is>
      </c>
      <c r="G260" t="inlineStr">
        <is>
          <t>SANDVIKEN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46229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45558</v>
      </c>
      <c r="E262" s="1" t="n">
        <v>46229</v>
      </c>
      <c r="F262" t="inlineStr">
        <is>
          <t>GÄVLEBORGS LÄN</t>
        </is>
      </c>
      <c r="G262" t="inlineStr">
        <is>
          <t>SANDVIKEN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45602</v>
      </c>
      <c r="E263" s="1" t="n">
        <v>46229</v>
      </c>
      <c r="F263" t="inlineStr">
        <is>
          <t>GÄVLEBORGS LÄN</t>
        </is>
      </c>
      <c r="G263" t="inlineStr">
        <is>
          <t>SANDVIKEN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45120</v>
      </c>
      <c r="E264" s="1" t="n">
        <v>46229</v>
      </c>
      <c r="F264" t="inlineStr">
        <is>
          <t>GÄVLEBORGS LÄN</t>
        </is>
      </c>
      <c r="G264" t="inlineStr">
        <is>
          <t>SANDVIKEN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46229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46229</v>
      </c>
      <c r="F266" t="inlineStr">
        <is>
          <t>GÄVLEBORGS LÄN</t>
        </is>
      </c>
      <c r="G266" t="inlineStr">
        <is>
          <t>SANDVIKEN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46071</v>
      </c>
      <c r="E267" s="1" t="n">
        <v>46229</v>
      </c>
      <c r="F267" t="inlineStr">
        <is>
          <t>GÄVLEBORGS LÄN</t>
        </is>
      </c>
      <c r="G267" t="inlineStr">
        <is>
          <t>SANDVIKEN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46229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10.9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46229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46229</v>
      </c>
      <c r="F270" t="inlineStr">
        <is>
          <t>GÄVLEBORGS LÄN</t>
        </is>
      </c>
      <c r="G270" t="inlineStr">
        <is>
          <t>SANDVIKEN</t>
        </is>
      </c>
      <c r="H270" t="inlineStr">
        <is>
          <t>Kyrkan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45090-2025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46229</v>
      </c>
      <c r="F271" t="inlineStr">
        <is>
          <t>GÄVLEBORGS LÄN</t>
        </is>
      </c>
      <c r="G271" t="inlineStr">
        <is>
          <t>SANDVIKEN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46229</v>
      </c>
      <c r="F272" t="inlineStr">
        <is>
          <t>GÄVLEBORGS LÄN</t>
        </is>
      </c>
      <c r="G272" t="inlineStr">
        <is>
          <t>SANDVIKEN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46229</v>
      </c>
      <c r="F273" t="inlineStr">
        <is>
          <t>GÄVLEBORGS LÄN</t>
        </is>
      </c>
      <c r="G273" t="inlineStr">
        <is>
          <t>SANDVIKEN</t>
        </is>
      </c>
      <c r="H273" t="inlineStr">
        <is>
          <t>Kommuner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46229</v>
      </c>
      <c r="F274" t="inlineStr">
        <is>
          <t>GÄVLEBORGS LÄN</t>
        </is>
      </c>
      <c r="G274" t="inlineStr">
        <is>
          <t>SANDVIKEN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45779</v>
      </c>
      <c r="E275" s="1" t="n">
        <v>46229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46229</v>
      </c>
      <c r="F276" t="inlineStr">
        <is>
          <t>GÄVLEBORGS LÄN</t>
        </is>
      </c>
      <c r="G276" t="inlineStr">
        <is>
          <t>SANDVIKEN</t>
        </is>
      </c>
      <c r="H276" t="inlineStr">
        <is>
          <t>Kommuner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46229</v>
      </c>
      <c r="F277" t="inlineStr">
        <is>
          <t>GÄVLEBORGS LÄN</t>
        </is>
      </c>
      <c r="G277" t="inlineStr">
        <is>
          <t>SANDVIKEN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46229</v>
      </c>
      <c r="F278" t="inlineStr">
        <is>
          <t>GÄVLEBORGS LÄN</t>
        </is>
      </c>
      <c r="G278" t="inlineStr">
        <is>
          <t>SANDVIKEN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45728</v>
      </c>
      <c r="E279" s="1" t="n">
        <v>46229</v>
      </c>
      <c r="F279" t="inlineStr">
        <is>
          <t>GÄVLEBORGS LÄN</t>
        </is>
      </c>
      <c r="G279" t="inlineStr">
        <is>
          <t>SANDVIKEN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46229</v>
      </c>
      <c r="F280" t="inlineStr">
        <is>
          <t>GÄVLEBORGS LÄN</t>
        </is>
      </c>
      <c r="G280" t="inlineStr">
        <is>
          <t>SANDVIKEN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46229</v>
      </c>
      <c r="F281" t="inlineStr">
        <is>
          <t>GÄVLEBORGS LÄN</t>
        </is>
      </c>
      <c r="G281" t="inlineStr">
        <is>
          <t>SANDVIKEN</t>
        </is>
      </c>
      <c r="I281" t="n">
        <v>10.3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46229</v>
      </c>
      <c r="F282" t="inlineStr">
        <is>
          <t>GÄVLEBORGS LÄN</t>
        </is>
      </c>
      <c r="G282" t="inlineStr">
        <is>
          <t>SANDVIKEN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46618-2025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46229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44586</v>
      </c>
      <c r="E284" s="1" t="n">
        <v>46229</v>
      </c>
      <c r="F284" t="inlineStr">
        <is>
          <t>GÄVLEBORGS LÄN</t>
        </is>
      </c>
      <c r="G284" t="inlineStr">
        <is>
          <t>SANDVIKEN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46229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46229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46229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45211</v>
      </c>
      <c r="E288" s="1" t="n">
        <v>46229</v>
      </c>
      <c r="F288" t="inlineStr">
        <is>
          <t>GÄVLEBORGS LÄN</t>
        </is>
      </c>
      <c r="G288" t="inlineStr">
        <is>
          <t>SANDVIKEN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46229</v>
      </c>
      <c r="F289" t="inlineStr">
        <is>
          <t>GÄVLEBORGS LÄN</t>
        </is>
      </c>
      <c r="G289" t="inlineStr">
        <is>
          <t>SANDVIKEN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46229</v>
      </c>
      <c r="F290" t="inlineStr">
        <is>
          <t>GÄVLEBORGS LÄN</t>
        </is>
      </c>
      <c r="G290" t="inlineStr">
        <is>
          <t>SANDVIKEN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8570-2026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46229</v>
      </c>
      <c r="F291" t="inlineStr">
        <is>
          <t>GÄVLEBORGS LÄN</t>
        </is>
      </c>
      <c r="G291" t="inlineStr">
        <is>
          <t>SANDVIKEN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46229</v>
      </c>
      <c r="F292" t="inlineStr">
        <is>
          <t>GÄVLEBORGS LÄN</t>
        </is>
      </c>
      <c r="G292" t="inlineStr">
        <is>
          <t>SANDVIKEN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46229</v>
      </c>
      <c r="F293" t="inlineStr">
        <is>
          <t>GÄVLEBORGS LÄN</t>
        </is>
      </c>
      <c r="G293" t="inlineStr">
        <is>
          <t>SANDVIKEN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46229</v>
      </c>
      <c r="F294" t="inlineStr">
        <is>
          <t>GÄVLEBORGS LÄN</t>
        </is>
      </c>
      <c r="G294" t="inlineStr">
        <is>
          <t>SANDVIKEN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46229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46229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45930</v>
      </c>
      <c r="E297" s="1" t="n">
        <v>46229</v>
      </c>
      <c r="F297" t="inlineStr">
        <is>
          <t>GÄVLEBORGS LÄN</t>
        </is>
      </c>
      <c r="G297" t="inlineStr">
        <is>
          <t>SANDVIKEN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46229</v>
      </c>
      <c r="F298" t="inlineStr">
        <is>
          <t>GÄVLEBORGS LÄN</t>
        </is>
      </c>
      <c r="G298" t="inlineStr">
        <is>
          <t>SANDVIKEN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46229</v>
      </c>
      <c r="F299" t="inlineStr">
        <is>
          <t>GÄVLEBORGS LÄN</t>
        </is>
      </c>
      <c r="G299" t="inlineStr">
        <is>
          <t>SANDVIKEN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46229</v>
      </c>
      <c r="F300" t="inlineStr">
        <is>
          <t>GÄVLEBORGS LÄN</t>
        </is>
      </c>
      <c r="G300" t="inlineStr">
        <is>
          <t>SANDVIKEN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46229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46229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46229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45070</v>
      </c>
      <c r="E304" s="1" t="n">
        <v>46229</v>
      </c>
      <c r="F304" t="inlineStr">
        <is>
          <t>GÄVLEBORGS LÄN</t>
        </is>
      </c>
      <c r="G304" t="inlineStr">
        <is>
          <t>SANDVIKEN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46229</v>
      </c>
      <c r="F305" t="inlineStr">
        <is>
          <t>GÄVLEBORGS LÄN</t>
        </is>
      </c>
      <c r="G305" t="inlineStr">
        <is>
          <t>SANDVIKEN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46229</v>
      </c>
      <c r="F306" t="inlineStr">
        <is>
          <t>GÄVLEBORGS LÄN</t>
        </is>
      </c>
      <c r="G306" t="inlineStr">
        <is>
          <t>SANDVIKEN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45087</v>
      </c>
      <c r="E307" s="1" t="n">
        <v>46229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46229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45530</v>
      </c>
      <c r="E309" s="1" t="n">
        <v>46229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45936</v>
      </c>
      <c r="E310" s="1" t="n">
        <v>46229</v>
      </c>
      <c r="F310" t="inlineStr">
        <is>
          <t>GÄVLEBORGS LÄN</t>
        </is>
      </c>
      <c r="G310" t="inlineStr">
        <is>
          <t>SANDVIKEN</t>
        </is>
      </c>
      <c r="H310" t="inlineStr">
        <is>
          <t>Bergvik skog väst AB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46229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46229</v>
      </c>
      <c r="F312" t="inlineStr">
        <is>
          <t>GÄVLEBORGS LÄN</t>
        </is>
      </c>
      <c r="G312" t="inlineStr">
        <is>
          <t>SANDVIKEN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46229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24764-2024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46229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46229</v>
      </c>
      <c r="F315" t="inlineStr">
        <is>
          <t>GÄVLEBORGS LÄN</t>
        </is>
      </c>
      <c r="G315" t="inlineStr">
        <is>
          <t>SANDVIKEN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46229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49217-2025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45938</v>
      </c>
      <c r="E317" s="1" t="n">
        <v>46229</v>
      </c>
      <c r="F317" t="inlineStr">
        <is>
          <t>GÄVLEBORGS LÄN</t>
        </is>
      </c>
      <c r="G317" t="inlineStr">
        <is>
          <t>SANDVIKEN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46229</v>
      </c>
      <c r="F318" t="inlineStr">
        <is>
          <t>GÄVLEBORGS LÄN</t>
        </is>
      </c>
      <c r="G318" t="inlineStr">
        <is>
          <t>SANDVIKEN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46229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49042-2025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46229</v>
      </c>
      <c r="F320" t="inlineStr">
        <is>
          <t>GÄVLEBORGS LÄN</t>
        </is>
      </c>
      <c r="G320" t="inlineStr">
        <is>
          <t>SANDVIKEN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46229</v>
      </c>
      <c r="F321" t="inlineStr">
        <is>
          <t>GÄVLEBORGS LÄN</t>
        </is>
      </c>
      <c r="G321" t="inlineStr">
        <is>
          <t>SANDVIKEN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46043</v>
      </c>
      <c r="E322" s="1" t="n">
        <v>46229</v>
      </c>
      <c r="F322" t="inlineStr">
        <is>
          <t>GÄVLEBORGS LÄN</t>
        </is>
      </c>
      <c r="G322" t="inlineStr">
        <is>
          <t>SANDVIKEN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46031</v>
      </c>
      <c r="E323" s="1" t="n">
        <v>46229</v>
      </c>
      <c r="F323" t="inlineStr">
        <is>
          <t>GÄVLEBORGS LÄN</t>
        </is>
      </c>
      <c r="G323" t="inlineStr">
        <is>
          <t>SANDVIKEN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46229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46229</v>
      </c>
      <c r="F325" t="inlineStr">
        <is>
          <t>GÄVLEBORGS LÄN</t>
        </is>
      </c>
      <c r="G325" t="inlineStr">
        <is>
          <t>SANDVIKEN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46229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46229</v>
      </c>
      <c r="F327" t="inlineStr">
        <is>
          <t>GÄVLEBORGS LÄN</t>
        </is>
      </c>
      <c r="G327" t="inlineStr">
        <is>
          <t>SANDVIKEN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46229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46229</v>
      </c>
      <c r="F329" t="inlineStr">
        <is>
          <t>GÄVLEBORGS LÄN</t>
        </is>
      </c>
      <c r="G329" t="inlineStr">
        <is>
          <t>SANDVIKEN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46229</v>
      </c>
      <c r="F330" t="inlineStr">
        <is>
          <t>GÄVLEBORGS LÄN</t>
        </is>
      </c>
      <c r="G330" t="inlineStr">
        <is>
          <t>SANDVIKEN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62047-2022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46229</v>
      </c>
      <c r="F331" t="inlineStr">
        <is>
          <t>GÄVLEBORGS LÄN</t>
        </is>
      </c>
      <c r="G331" t="inlineStr">
        <is>
          <t>SANDVIKEN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46229</v>
      </c>
      <c r="F332" t="inlineStr">
        <is>
          <t>GÄVLEBORGS LÄN</t>
        </is>
      </c>
      <c r="G332" t="inlineStr">
        <is>
          <t>SANDVIKEN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46229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46229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45331-2024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45576</v>
      </c>
      <c r="E335" s="1" t="n">
        <v>46229</v>
      </c>
      <c r="F335" t="inlineStr">
        <is>
          <t>GÄVLEBORGS LÄN</t>
        </is>
      </c>
      <c r="G335" t="inlineStr">
        <is>
          <t>SANDVIKEN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46105</v>
      </c>
      <c r="E336" s="1" t="n">
        <v>46229</v>
      </c>
      <c r="F336" t="inlineStr">
        <is>
          <t>GÄVLEBORGS LÄN</t>
        </is>
      </c>
      <c r="G336" t="inlineStr">
        <is>
          <t>SANDVIKEN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62642-2023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46229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45946</v>
      </c>
      <c r="E338" s="1" t="n">
        <v>46229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46229</v>
      </c>
      <c r="F339" t="inlineStr">
        <is>
          <t>GÄVLEBORGS LÄN</t>
        </is>
      </c>
      <c r="G339" t="inlineStr">
        <is>
          <t>SANDVIKEN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46229</v>
      </c>
      <c r="F340" t="inlineStr">
        <is>
          <t>GÄVLEBORGS LÄN</t>
        </is>
      </c>
      <c r="G340" t="inlineStr">
        <is>
          <t>SANDVIKEN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44918</v>
      </c>
      <c r="E341" s="1" t="n">
        <v>46229</v>
      </c>
      <c r="F341" t="inlineStr">
        <is>
          <t>GÄVLEBORGS LÄN</t>
        </is>
      </c>
      <c r="G341" t="inlineStr">
        <is>
          <t>SANDVIKEN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45933</v>
      </c>
      <c r="E342" s="1" t="n">
        <v>46229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46229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46229</v>
      </c>
      <c r="F344" t="inlineStr">
        <is>
          <t>GÄVLEBORGS LÄN</t>
        </is>
      </c>
      <c r="G344" t="inlineStr">
        <is>
          <t>SANDVIKEN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58182-2023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45245</v>
      </c>
      <c r="E345" s="1" t="n">
        <v>46229</v>
      </c>
      <c r="F345" t="inlineStr">
        <is>
          <t>GÄVLEBORGS LÄN</t>
        </is>
      </c>
      <c r="G345" t="inlineStr">
        <is>
          <t>SANDVIKEN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45404</v>
      </c>
      <c r="E346" s="1" t="n">
        <v>46229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8600-2026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46229</v>
      </c>
      <c r="F347" t="inlineStr">
        <is>
          <t>GÄVLEBORGS LÄN</t>
        </is>
      </c>
      <c r="G347" t="inlineStr">
        <is>
          <t>SANDVIKEN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45069</v>
      </c>
      <c r="E348" s="1" t="n">
        <v>46229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46229</v>
      </c>
      <c r="F349" t="inlineStr">
        <is>
          <t>GÄVLEBORGS LÄN</t>
        </is>
      </c>
      <c r="G349" t="inlineStr">
        <is>
          <t>SANDVIKEN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46229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46147</v>
      </c>
      <c r="E351" s="1" t="n">
        <v>46229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45415</v>
      </c>
      <c r="E352" s="1" t="n">
        <v>46229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46229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46229</v>
      </c>
      <c r="F354" t="inlineStr">
        <is>
          <t>GÄVLEBORGS LÄN</t>
        </is>
      </c>
      <c r="G354" t="inlineStr">
        <is>
          <t>SANDVIKEN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21288-2026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46147</v>
      </c>
      <c r="E355" s="1" t="n">
        <v>46229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46147</v>
      </c>
      <c r="E356" s="1" t="n">
        <v>46229</v>
      </c>
      <c r="F356" t="inlineStr">
        <is>
          <t>GÄVLEBORGS LÄN</t>
        </is>
      </c>
      <c r="G356" t="inlineStr">
        <is>
          <t>SANDVIKEN</t>
        </is>
      </c>
      <c r="H356" t="inlineStr">
        <is>
          <t>Kommuner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46229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HYPERLINK("https://klasma.github.io/Logging_2181/knärot/A 52786-2025 karta knärot.png", "A 52786-2025")</f>
        <v/>
      </c>
      <c r="AA357">
        <f>HYPERLINK("https://klasma.github.io/Logging_2181/klagomål/A 52786-2025 FSC-klagomål.docx", "A 52786-2025")</f>
        <v/>
      </c>
      <c r="AB357">
        <f>HYPERLINK("https://klasma.github.io/Logging_2181/klagomålsmail/A 52786-2025 FSC-klagomål mail.docx", "A 52786-2025")</f>
        <v/>
      </c>
      <c r="AC357">
        <f>HYPERLINK("https://klasma.github.io/Logging_2181/tillsyn/A 52786-2025 tillsynsbegäran.docx", "A 52786-2025")</f>
        <v/>
      </c>
      <c r="AD357">
        <f>HYPERLINK("https://klasma.github.io/Logging_2181/tillsynsmail/A 52786-2025 tillsynsbegäran mail.docx", "A 52786-2025")</f>
        <v/>
      </c>
    </row>
    <row r="358" ht="15" customHeight="1">
      <c r="A358" t="inlineStr">
        <is>
          <t>A 17256-2024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46229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45649</v>
      </c>
      <c r="E359" s="1" t="n">
        <v>46229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46229</v>
      </c>
      <c r="F360" t="inlineStr">
        <is>
          <t>GÄVLEBORGS LÄN</t>
        </is>
      </c>
      <c r="G360" t="inlineStr">
        <is>
          <t>SANDVIKEN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17177-2026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46115</v>
      </c>
      <c r="E361" s="1" t="n">
        <v>46229</v>
      </c>
      <c r="F361" t="inlineStr">
        <is>
          <t>GÄVLEBORGS LÄN</t>
        </is>
      </c>
      <c r="G361" t="inlineStr">
        <is>
          <t>SANDVIKEN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46229</v>
      </c>
      <c r="F362" t="inlineStr">
        <is>
          <t>GÄVLEBORGS LÄN</t>
        </is>
      </c>
      <c r="G362" t="inlineStr">
        <is>
          <t>SANDVIKEN</t>
        </is>
      </c>
      <c r="H362" t="inlineStr">
        <is>
          <t>Kommuner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46229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46229</v>
      </c>
      <c r="F364" t="inlineStr">
        <is>
          <t>GÄVLEBORGS LÄN</t>
        </is>
      </c>
      <c r="G364" t="inlineStr">
        <is>
          <t>SANDVIKEN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46229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46229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46229</v>
      </c>
      <c r="F367" t="inlineStr">
        <is>
          <t>GÄVLEBORGS LÄN</t>
        </is>
      </c>
      <c r="G367" t="inlineStr">
        <is>
          <t>SANDVIKEN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21576-2026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46229</v>
      </c>
      <c r="F368" t="inlineStr">
        <is>
          <t>GÄVLEBORGS LÄN</t>
        </is>
      </c>
      <c r="G368" t="inlineStr">
        <is>
          <t>SANDVIKEN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46229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46229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55595-2025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46229</v>
      </c>
      <c r="F371" t="inlineStr">
        <is>
          <t>GÄVLEBORGS LÄN</t>
        </is>
      </c>
      <c r="G371" t="inlineStr">
        <is>
          <t>SANDVIKEN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46229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45968</v>
      </c>
      <c r="E373" s="1" t="n">
        <v>46229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27743-2026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46229</v>
      </c>
      <c r="F374" t="inlineStr">
        <is>
          <t>GÄVLEBORGS LÄN</t>
        </is>
      </c>
      <c r="G374" t="inlineStr">
        <is>
          <t>SANDVIKEN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46229</v>
      </c>
      <c r="F375" t="inlineStr">
        <is>
          <t>GÄVLEBORGS LÄN</t>
        </is>
      </c>
      <c r="G375" t="inlineStr">
        <is>
          <t>SANDVIKEN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46229</v>
      </c>
      <c r="F376" t="inlineStr">
        <is>
          <t>GÄVLEBORGS LÄN</t>
        </is>
      </c>
      <c r="G376" t="inlineStr">
        <is>
          <t>SANDVIKEN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4498-2024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45327</v>
      </c>
      <c r="E377" s="1" t="n">
        <v>46229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46229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46229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46151</v>
      </c>
      <c r="E380" s="1" t="n">
        <v>46229</v>
      </c>
      <c r="F380" t="inlineStr">
        <is>
          <t>GÄVLEBORGS LÄN</t>
        </is>
      </c>
      <c r="G380" t="inlineStr">
        <is>
          <t>SANDVIKEN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45977</v>
      </c>
      <c r="E381" s="1" t="n">
        <v>46229</v>
      </c>
      <c r="F381" t="inlineStr">
        <is>
          <t>GÄVLEBORGS LÄN</t>
        </is>
      </c>
      <c r="G381" t="inlineStr">
        <is>
          <t>SANDVIKEN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46229</v>
      </c>
      <c r="F382" t="inlineStr">
        <is>
          <t>GÄVLEBORGS LÄN</t>
        </is>
      </c>
      <c r="G382" t="inlineStr">
        <is>
          <t>SANDVIKEN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46229</v>
      </c>
      <c r="F383" t="inlineStr">
        <is>
          <t>GÄVLEBORGS LÄN</t>
        </is>
      </c>
      <c r="G383" t="inlineStr">
        <is>
          <t>SANDVIKEN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57261-2025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45979</v>
      </c>
      <c r="E384" s="1" t="n">
        <v>46229</v>
      </c>
      <c r="F384" t="inlineStr">
        <is>
          <t>GÄVLEBORGS LÄN</t>
        </is>
      </c>
      <c r="G384" t="inlineStr">
        <is>
          <t>SANDVIKEN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46229</v>
      </c>
      <c r="F385" t="inlineStr">
        <is>
          <t>GÄVLEBORGS LÄN</t>
        </is>
      </c>
      <c r="G385" t="inlineStr">
        <is>
          <t>SANDVIKEN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46229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45983</v>
      </c>
      <c r="E387" s="1" t="n">
        <v>46229</v>
      </c>
      <c r="F387" t="inlineStr">
        <is>
          <t>GÄVLEBORGS LÄN</t>
        </is>
      </c>
      <c r="G387" t="inlineStr">
        <is>
          <t>SANDVIKEN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46229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58197-2025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45984</v>
      </c>
      <c r="E389" s="1" t="n">
        <v>46229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46229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46229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21773-2026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46229</v>
      </c>
      <c r="F392" t="inlineStr">
        <is>
          <t>GÄVLEBORGS LÄN</t>
        </is>
      </c>
      <c r="G392" t="inlineStr">
        <is>
          <t>SANDVIKEN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46229</v>
      </c>
      <c r="F393" t="inlineStr">
        <is>
          <t>GÄVLEBORGS LÄN</t>
        </is>
      </c>
      <c r="G393" t="inlineStr">
        <is>
          <t>SANDVIKEN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46229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57933-2025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46229</v>
      </c>
      <c r="F395" t="inlineStr">
        <is>
          <t>GÄVLEBORGS LÄN</t>
        </is>
      </c>
      <c r="G395" t="inlineStr">
        <is>
          <t>SANDVIKEN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46229</v>
      </c>
      <c r="F396" t="inlineStr">
        <is>
          <t>GÄVLEBORGS LÄN</t>
        </is>
      </c>
      <c r="G396" t="inlineStr">
        <is>
          <t>SANDVIKEN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46229</v>
      </c>
      <c r="F397" t="inlineStr">
        <is>
          <t>GÄVLEBORGS LÄN</t>
        </is>
      </c>
      <c r="G397" t="inlineStr">
        <is>
          <t>SANDVIKEN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46229</v>
      </c>
      <c r="F398" t="inlineStr">
        <is>
          <t>GÄVLEBORGS LÄN</t>
        </is>
      </c>
      <c r="G398" t="inlineStr">
        <is>
          <t>SANDVIKEN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48765-2021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44452</v>
      </c>
      <c r="E399" s="1" t="n">
        <v>46229</v>
      </c>
      <c r="F399" t="inlineStr">
        <is>
          <t>GÄVLEBORGS LÄN</t>
        </is>
      </c>
      <c r="G399" t="inlineStr">
        <is>
          <t>SANDVIKEN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46229</v>
      </c>
      <c r="F400" t="inlineStr">
        <is>
          <t>GÄVLEBORGS LÄN</t>
        </is>
      </c>
      <c r="G400" t="inlineStr">
        <is>
          <t>SANDVIKEN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46229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46229</v>
      </c>
      <c r="F402" t="inlineStr">
        <is>
          <t>GÄVLEBORGS LÄN</t>
        </is>
      </c>
      <c r="G402" t="inlineStr">
        <is>
          <t>SANDVIKEN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46229</v>
      </c>
      <c r="F403" t="inlineStr">
        <is>
          <t>GÄVLEBORGS LÄN</t>
        </is>
      </c>
      <c r="G403" t="inlineStr">
        <is>
          <t>SANDVIKEN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46153</v>
      </c>
      <c r="E404" s="1" t="n">
        <v>46229</v>
      </c>
      <c r="F404" t="inlineStr">
        <is>
          <t>GÄVLEBORGS LÄN</t>
        </is>
      </c>
      <c r="G404" t="inlineStr">
        <is>
          <t>SANDVIKEN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45992</v>
      </c>
      <c r="E405" s="1" t="n">
        <v>46229</v>
      </c>
      <c r="F405" t="inlineStr">
        <is>
          <t>GÄVLEBORGS LÄN</t>
        </is>
      </c>
      <c r="G405" t="inlineStr">
        <is>
          <t>SANDVIKEN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45196</v>
      </c>
      <c r="E406" s="1" t="n">
        <v>46229</v>
      </c>
      <c r="F406" t="inlineStr">
        <is>
          <t>GÄVLEBORGS LÄN</t>
        </is>
      </c>
      <c r="G406" t="inlineStr">
        <is>
          <t>SANDVIKEN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65098-2023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45288</v>
      </c>
      <c r="E407" s="1" t="n">
        <v>46229</v>
      </c>
      <c r="F407" t="inlineStr">
        <is>
          <t>GÄVLEBORGS LÄN</t>
        </is>
      </c>
      <c r="G407" t="inlineStr">
        <is>
          <t>SANDVIKEN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35185-2022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44797</v>
      </c>
      <c r="E408" s="1" t="n">
        <v>46229</v>
      </c>
      <c r="F408" t="inlineStr">
        <is>
          <t>GÄVLEBORGS LÄN</t>
        </is>
      </c>
      <c r="G408" t="inlineStr">
        <is>
          <t>SANDVIKEN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61052-2024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46229</v>
      </c>
      <c r="F409" t="inlineStr">
        <is>
          <t>GÄVLEBORGS LÄN</t>
        </is>
      </c>
      <c r="G409" t="inlineStr">
        <is>
          <t>SANDVIKEN</t>
        </is>
      </c>
      <c r="H409" t="inlineStr">
        <is>
          <t>Naturvårdsverket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52785-2023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45226</v>
      </c>
      <c r="E410" s="1" t="n">
        <v>46229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46229</v>
      </c>
      <c r="F411" t="inlineStr">
        <is>
          <t>GÄVLEBORGS LÄN</t>
        </is>
      </c>
      <c r="G411" t="inlineStr">
        <is>
          <t>SANDVIKEN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46229</v>
      </c>
      <c r="F412" t="inlineStr">
        <is>
          <t>GÄVLEBORGS LÄN</t>
        </is>
      </c>
      <c r="G412" t="inlineStr">
        <is>
          <t>SANDVIKEN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46229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71995-2021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44544</v>
      </c>
      <c r="E414" s="1" t="n">
        <v>46229</v>
      </c>
      <c r="F414" t="inlineStr">
        <is>
          <t>GÄVLEBORGS LÄN</t>
        </is>
      </c>
      <c r="G414" t="inlineStr">
        <is>
          <t>SANDVIKEN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46229</v>
      </c>
      <c r="F415" t="inlineStr">
        <is>
          <t>GÄVLEBORGS LÄN</t>
        </is>
      </c>
      <c r="G415" t="inlineStr">
        <is>
          <t>SANDVIKEN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46229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46229</v>
      </c>
      <c r="F417" t="inlineStr">
        <is>
          <t>GÄVLEBORGS LÄN</t>
        </is>
      </c>
      <c r="G417" t="inlineStr">
        <is>
          <t>SANDVIKEN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45984</v>
      </c>
      <c r="E418" s="1" t="n">
        <v>46229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46229</v>
      </c>
      <c r="F419" t="inlineStr">
        <is>
          <t>GÄVLEBORGS LÄN</t>
        </is>
      </c>
      <c r="G419" t="inlineStr">
        <is>
          <t>SANDVIKEN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46229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11397-2023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46229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46229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46229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48799-2023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46229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46229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46229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46229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46229</v>
      </c>
      <c r="F428" t="inlineStr">
        <is>
          <t>GÄVLEBORGS LÄN</t>
        </is>
      </c>
      <c r="G428" t="inlineStr">
        <is>
          <t>SANDVIKEN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37741-2023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46229</v>
      </c>
      <c r="F429" t="inlineStr">
        <is>
          <t>GÄVLEBORGS LÄN</t>
        </is>
      </c>
      <c r="G429" t="inlineStr">
        <is>
          <t>SANDVIKEN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46086</v>
      </c>
      <c r="E430" s="1" t="n">
        <v>46229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44949</v>
      </c>
      <c r="E431" s="1" t="n">
        <v>46229</v>
      </c>
      <c r="F431" t="inlineStr">
        <is>
          <t>GÄVLEBORGS LÄN</t>
        </is>
      </c>
      <c r="G431" t="inlineStr">
        <is>
          <t>SANDVIKEN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12120-2026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46229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45984</v>
      </c>
      <c r="E433" s="1" t="n">
        <v>46229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28346-2026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46229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46229</v>
      </c>
      <c r="F435" t="inlineStr">
        <is>
          <t>GÄVLEBORGS LÄN</t>
        </is>
      </c>
      <c r="G435" t="inlineStr">
        <is>
          <t>SANDVIKEN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45103</v>
      </c>
      <c r="E436" s="1" t="n">
        <v>46229</v>
      </c>
      <c r="F436" t="inlineStr">
        <is>
          <t>GÄVLEBORGS LÄN</t>
        </is>
      </c>
      <c r="G436" t="inlineStr">
        <is>
          <t>SANDVIKEN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46094</v>
      </c>
      <c r="E437" s="1" t="n">
        <v>46229</v>
      </c>
      <c r="F437" t="inlineStr">
        <is>
          <t>GÄVLEBORGS LÄN</t>
        </is>
      </c>
      <c r="G437" t="inlineStr">
        <is>
          <t>SANDVIKEN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46229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10895-2025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45722</v>
      </c>
      <c r="E439" s="1" t="n">
        <v>46229</v>
      </c>
      <c r="F439" t="inlineStr">
        <is>
          <t>GÄVLEBORGS LÄN</t>
        </is>
      </c>
      <c r="G439" t="inlineStr">
        <is>
          <t>SANDVIKEN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45617</v>
      </c>
      <c r="E440" s="1" t="n">
        <v>46229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46229</v>
      </c>
      <c r="F441" t="inlineStr">
        <is>
          <t>GÄVLEBORGS LÄN</t>
        </is>
      </c>
      <c r="G441" t="inlineStr">
        <is>
          <t>SANDVIKEN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46104</v>
      </c>
      <c r="E442" s="1" t="n">
        <v>46229</v>
      </c>
      <c r="F442" t="inlineStr">
        <is>
          <t>GÄVLEBORGS LÄN</t>
        </is>
      </c>
      <c r="G442" t="inlineStr">
        <is>
          <t>SANDVIKEN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46229</v>
      </c>
      <c r="F443" t="inlineStr">
        <is>
          <t>GÄVLEBORGS LÄN</t>
        </is>
      </c>
      <c r="G443" t="inlineStr">
        <is>
          <t>SANDVIKEN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46229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46229</v>
      </c>
      <c r="F445" t="inlineStr">
        <is>
          <t>GÄVLEBORGS LÄN</t>
        </is>
      </c>
      <c r="G445" t="inlineStr">
        <is>
          <t>SANDVIKEN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49706-2023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45212</v>
      </c>
      <c r="E446" s="1" t="n">
        <v>46229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46229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16102-2026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46229</v>
      </c>
      <c r="F448" t="inlineStr">
        <is>
          <t>GÄVLEBORGS LÄN</t>
        </is>
      </c>
      <c r="G448" t="inlineStr">
        <is>
          <t>SANDVIKEN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46229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45721</v>
      </c>
      <c r="E450" s="1" t="n">
        <v>46229</v>
      </c>
      <c r="F450" t="inlineStr">
        <is>
          <t>GÄVLEBORGS LÄN</t>
        </is>
      </c>
      <c r="G450" t="inlineStr">
        <is>
          <t>SANDVIKEN</t>
        </is>
      </c>
      <c r="H450" t="inlineStr">
        <is>
          <t>Sveaskog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10580-2025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45721</v>
      </c>
      <c r="E451" s="1" t="n">
        <v>46229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46229</v>
      </c>
      <c r="F452" t="inlineStr">
        <is>
          <t>GÄVLEBORGS LÄN</t>
        </is>
      </c>
      <c r="G452" t="inlineStr">
        <is>
          <t>SANDVIKEN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46201</v>
      </c>
      <c r="E453" s="1" t="n">
        <v>46229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46229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46229</v>
      </c>
      <c r="F455" t="inlineStr">
        <is>
          <t>GÄVLEBORGS LÄN</t>
        </is>
      </c>
      <c r="G455" t="inlineStr">
        <is>
          <t>SANDVIKEN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46229</v>
      </c>
      <c r="F456" t="inlineStr">
        <is>
          <t>GÄVLEBORGS LÄN</t>
        </is>
      </c>
      <c r="G456" t="inlineStr">
        <is>
          <t>SANDVIKEN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46229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46229</v>
      </c>
      <c r="F458" t="inlineStr">
        <is>
          <t>GÄVLEBORGS LÄN</t>
        </is>
      </c>
      <c r="G458" t="inlineStr">
        <is>
          <t>SANDVIKEN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46035</v>
      </c>
      <c r="E459" s="1" t="n">
        <v>46229</v>
      </c>
      <c r="F459" t="inlineStr">
        <is>
          <t>GÄVLEBORGS LÄN</t>
        </is>
      </c>
      <c r="G459" t="inlineStr">
        <is>
          <t>SANDVIKEN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46229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46160</v>
      </c>
      <c r="E461" s="1" t="n">
        <v>46229</v>
      </c>
      <c r="F461" t="inlineStr">
        <is>
          <t>GÄVLEBORGS LÄN</t>
        </is>
      </c>
      <c r="G461" t="inlineStr">
        <is>
          <t>SANDVIKEN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46229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46229</v>
      </c>
      <c r="F463" t="inlineStr">
        <is>
          <t>GÄVLEBORGS LÄN</t>
        </is>
      </c>
      <c r="G463" t="inlineStr">
        <is>
          <t>SANDVIKEN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46034</v>
      </c>
      <c r="E464" s="1" t="n">
        <v>46229</v>
      </c>
      <c r="F464" t="inlineStr">
        <is>
          <t>GÄVLEBORGS LÄN</t>
        </is>
      </c>
      <c r="G464" t="inlineStr">
        <is>
          <t>SANDVIKEN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46229</v>
      </c>
      <c r="F465" t="inlineStr">
        <is>
          <t>GÄVLEBORGS LÄN</t>
        </is>
      </c>
      <c r="G465" t="inlineStr">
        <is>
          <t>SANDVIKEN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45483</v>
      </c>
      <c r="E466" s="1" t="n">
        <v>46229</v>
      </c>
      <c r="F466" t="inlineStr">
        <is>
          <t>GÄVLEBORGS LÄN</t>
        </is>
      </c>
      <c r="G466" t="inlineStr">
        <is>
          <t>SANDVIKEN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46229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46115</v>
      </c>
      <c r="E468" s="1" t="n">
        <v>46229</v>
      </c>
      <c r="F468" t="inlineStr">
        <is>
          <t>GÄVLEBORGS LÄN</t>
        </is>
      </c>
      <c r="G468" t="inlineStr">
        <is>
          <t>SANDVIKEN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46229</v>
      </c>
      <c r="F469" t="inlineStr">
        <is>
          <t>GÄVLEBORGS LÄN</t>
        </is>
      </c>
      <c r="G469" t="inlineStr">
        <is>
          <t>SANDVIKEN</t>
        </is>
      </c>
      <c r="I469" t="n">
        <v>8.699999999999999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46229</v>
      </c>
      <c r="F470" t="inlineStr">
        <is>
          <t>GÄVLEBORGS LÄN</t>
        </is>
      </c>
      <c r="G470" t="inlineStr">
        <is>
          <t>SANDVIKEN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46229</v>
      </c>
      <c r="F471" t="inlineStr">
        <is>
          <t>GÄVLEBORGS LÄN</t>
        </is>
      </c>
      <c r="G471" t="inlineStr">
        <is>
          <t>SANDVIKEN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46036</v>
      </c>
      <c r="E472" s="1" t="n">
        <v>46229</v>
      </c>
      <c r="F472" t="inlineStr">
        <is>
          <t>GÄVLEBORGS LÄN</t>
        </is>
      </c>
      <c r="G472" t="inlineStr">
        <is>
          <t>SANDVIKEN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46229</v>
      </c>
      <c r="F473" t="inlineStr">
        <is>
          <t>GÄVLEBORGS LÄN</t>
        </is>
      </c>
      <c r="G473" t="inlineStr">
        <is>
          <t>SANDVIKEN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46229</v>
      </c>
      <c r="F474" t="inlineStr">
        <is>
          <t>GÄVLEBORGS LÄN</t>
        </is>
      </c>
      <c r="G474" t="inlineStr">
        <is>
          <t>SANDVIKEN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46229</v>
      </c>
      <c r="F475" t="inlineStr">
        <is>
          <t>GÄVLEBORGS LÄN</t>
        </is>
      </c>
      <c r="G475" t="inlineStr">
        <is>
          <t>SANDVIKEN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46229</v>
      </c>
      <c r="F476" t="inlineStr">
        <is>
          <t>GÄVLEBORGS LÄN</t>
        </is>
      </c>
      <c r="G476" t="inlineStr">
        <is>
          <t>SANDVIKEN</t>
        </is>
      </c>
      <c r="I476" t="n">
        <v>10.2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46229</v>
      </c>
      <c r="F477" t="inlineStr">
        <is>
          <t>GÄVLEBORGS LÄN</t>
        </is>
      </c>
      <c r="G477" t="inlineStr">
        <is>
          <t>SANDVIKEN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43090-2023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46229</v>
      </c>
      <c r="F478" t="inlineStr">
        <is>
          <t>GÄVLEBORGS LÄN</t>
        </is>
      </c>
      <c r="G478" t="inlineStr">
        <is>
          <t>SANDVIKEN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46229</v>
      </c>
      <c r="F479" t="inlineStr">
        <is>
          <t>GÄVLEBORGS LÄN</t>
        </is>
      </c>
      <c r="G479" t="inlineStr">
        <is>
          <t>SANDVIKEN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46229</v>
      </c>
      <c r="F480" t="inlineStr">
        <is>
          <t>GÄVLEBORGS LÄN</t>
        </is>
      </c>
      <c r="G480" t="inlineStr">
        <is>
          <t>SANDVIKEN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46229</v>
      </c>
      <c r="F481" t="inlineStr">
        <is>
          <t>GÄVLEBORGS LÄN</t>
        </is>
      </c>
      <c r="G481" t="inlineStr">
        <is>
          <t>SANDVIKEN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46229</v>
      </c>
      <c r="F482" t="inlineStr">
        <is>
          <t>GÄVLEBORGS LÄN</t>
        </is>
      </c>
      <c r="G482" t="inlineStr">
        <is>
          <t>SANDVIKEN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44843</v>
      </c>
      <c r="E483" s="1" t="n">
        <v>46229</v>
      </c>
      <c r="F483" t="inlineStr">
        <is>
          <t>GÄVLEBORGS LÄN</t>
        </is>
      </c>
      <c r="G483" t="inlineStr">
        <is>
          <t>SANDVIKEN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46229</v>
      </c>
      <c r="F484" t="inlineStr">
        <is>
          <t>GÄVLEBORGS LÄN</t>
        </is>
      </c>
      <c r="G484" t="inlineStr">
        <is>
          <t>SANDVIKEN</t>
        </is>
      </c>
      <c r="H484" t="inlineStr">
        <is>
          <t>Övriga statliga verk och myndigheter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46229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4502-2024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45327</v>
      </c>
      <c r="E486" s="1" t="n">
        <v>46229</v>
      </c>
      <c r="F486" t="inlineStr">
        <is>
          <t>GÄVLEBORGS LÄN</t>
        </is>
      </c>
      <c r="G486" t="inlineStr">
        <is>
          <t>SANDVIKEN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46044</v>
      </c>
      <c r="E487" s="1" t="n">
        <v>46229</v>
      </c>
      <c r="F487" t="inlineStr">
        <is>
          <t>GÄVLEBORGS LÄN</t>
        </is>
      </c>
      <c r="G487" t="inlineStr">
        <is>
          <t>SANDVIKEN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46229</v>
      </c>
      <c r="F488" t="inlineStr">
        <is>
          <t>GÄVLEBORGS LÄN</t>
        </is>
      </c>
      <c r="G488" t="inlineStr">
        <is>
          <t>SANDVIKEN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46229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46229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46229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46229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46229</v>
      </c>
      <c r="F493" t="inlineStr">
        <is>
          <t>GÄVLEBORGS LÄN</t>
        </is>
      </c>
      <c r="G493" t="inlineStr">
        <is>
          <t>SANDVIKEN</t>
        </is>
      </c>
      <c r="H493" t="inlineStr">
        <is>
          <t>Kommuner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46229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46229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46229</v>
      </c>
      <c r="F496" t="inlineStr">
        <is>
          <t>GÄVLEBORGS LÄN</t>
        </is>
      </c>
      <c r="G496" t="inlineStr">
        <is>
          <t>SANDVIKEN</t>
        </is>
      </c>
      <c r="H496" t="inlineStr">
        <is>
          <t>Övriga statliga verk och myndigheter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37697-2022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44810</v>
      </c>
      <c r="E497" s="1" t="n">
        <v>46229</v>
      </c>
      <c r="F497" t="inlineStr">
        <is>
          <t>GÄVLEBORGS LÄN</t>
        </is>
      </c>
      <c r="G497" t="inlineStr">
        <is>
          <t>SANDVIKEN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46229</v>
      </c>
      <c r="F498" t="inlineStr">
        <is>
          <t>GÄVLEBORGS LÄN</t>
        </is>
      </c>
      <c r="G498" t="inlineStr">
        <is>
          <t>SANDVIKEN</t>
        </is>
      </c>
      <c r="I498" t="n">
        <v>14.2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29715-2026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46229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46229</v>
      </c>
      <c r="F500" t="inlineStr">
        <is>
          <t>GÄVLEBORGS LÄN</t>
        </is>
      </c>
      <c r="G500" t="inlineStr">
        <is>
          <t>SANDVIKEN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46229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46229</v>
      </c>
      <c r="F502" t="inlineStr">
        <is>
          <t>GÄVLEBORGS LÄN</t>
        </is>
      </c>
      <c r="G502" t="inlineStr">
        <is>
          <t>SANDVIKEN</t>
        </is>
      </c>
      <c r="H502" t="inlineStr">
        <is>
          <t>Naturvårdsverket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46229</v>
      </c>
      <c r="F503" t="inlineStr">
        <is>
          <t>GÄVLEBORGS LÄN</t>
        </is>
      </c>
      <c r="G503" t="inlineStr">
        <is>
          <t>SANDVIKEN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46229</v>
      </c>
      <c r="F504" t="inlineStr">
        <is>
          <t>GÄVLEBORGS LÄN</t>
        </is>
      </c>
      <c r="G504" t="inlineStr">
        <is>
          <t>SANDVIKEN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46229</v>
      </c>
      <c r="F505" t="inlineStr">
        <is>
          <t>GÄVLEBORGS LÄN</t>
        </is>
      </c>
      <c r="G505" t="inlineStr">
        <is>
          <t>SANDVIKEN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45210</v>
      </c>
      <c r="E506" s="1" t="n">
        <v>46229</v>
      </c>
      <c r="F506" t="inlineStr">
        <is>
          <t>GÄVLEBORGS LÄN</t>
        </is>
      </c>
      <c r="G506" t="inlineStr">
        <is>
          <t>SANDVIKEN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46051</v>
      </c>
      <c r="E507" s="1" t="n">
        <v>46229</v>
      </c>
      <c r="F507" t="inlineStr">
        <is>
          <t>GÄVLEBORGS LÄN</t>
        </is>
      </c>
      <c r="G507" t="inlineStr">
        <is>
          <t>SANDVIKEN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46051</v>
      </c>
      <c r="E508" s="1" t="n">
        <v>46229</v>
      </c>
      <c r="F508" t="inlineStr">
        <is>
          <t>GÄVLEBORGS LÄN</t>
        </is>
      </c>
      <c r="G508" t="inlineStr">
        <is>
          <t>SANDVIKEN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46229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46229</v>
      </c>
      <c r="F510" t="inlineStr">
        <is>
          <t>GÄVLEBORGS LÄN</t>
        </is>
      </c>
      <c r="G510" t="inlineStr">
        <is>
          <t>SANDVIKEN</t>
        </is>
      </c>
      <c r="H510" t="inlineStr">
        <is>
          <t>Övriga statliga verk och myndigheter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46229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46229</v>
      </c>
      <c r="F512" t="inlineStr">
        <is>
          <t>GÄVLEBORGS LÄN</t>
        </is>
      </c>
      <c r="G512" t="inlineStr">
        <is>
          <t>SANDVIKEN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46229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46229</v>
      </c>
      <c r="F514" t="inlineStr">
        <is>
          <t>GÄVLEBORGS LÄN</t>
        </is>
      </c>
      <c r="G514" t="inlineStr">
        <is>
          <t>SANDVIKEN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46229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46229</v>
      </c>
      <c r="F516" t="inlineStr">
        <is>
          <t>GÄVLEBORGS LÄN</t>
        </is>
      </c>
      <c r="G516" t="inlineStr">
        <is>
          <t>SANDVIKEN</t>
        </is>
      </c>
      <c r="H516" t="inlineStr">
        <is>
          <t>Övriga statliga verk och myndigheter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46229</v>
      </c>
      <c r="F517" t="inlineStr">
        <is>
          <t>GÄVLEBORGS LÄN</t>
        </is>
      </c>
      <c r="G517" t="inlineStr">
        <is>
          <t>SANDVIKEN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46055</v>
      </c>
      <c r="E518" s="1" t="n">
        <v>46229</v>
      </c>
      <c r="F518" t="inlineStr">
        <is>
          <t>GÄVLEBORGS LÄN</t>
        </is>
      </c>
      <c r="G518" t="inlineStr">
        <is>
          <t>SANDVIKEN</t>
        </is>
      </c>
      <c r="H518" t="inlineStr">
        <is>
          <t>Kommuner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58911-2023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45250</v>
      </c>
      <c r="E519" s="1" t="n">
        <v>46229</v>
      </c>
      <c r="F519" t="inlineStr">
        <is>
          <t>GÄVLEBORGS LÄN</t>
        </is>
      </c>
      <c r="G519" t="inlineStr">
        <is>
          <t>SANDVIKEN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46229</v>
      </c>
      <c r="F520" t="inlineStr">
        <is>
          <t>GÄVLEBORGS LÄN</t>
        </is>
      </c>
      <c r="G520" t="inlineStr">
        <is>
          <t>SANDVIKEN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46229</v>
      </c>
      <c r="F521" t="inlineStr">
        <is>
          <t>GÄVLEBORGS LÄN</t>
        </is>
      </c>
      <c r="G521" t="inlineStr">
        <is>
          <t>SANDVIKEN</t>
        </is>
      </c>
      <c r="I521" t="n">
        <v>8.800000000000001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46229</v>
      </c>
      <c r="F522" t="inlineStr">
        <is>
          <t>GÄVLEBORGS LÄN</t>
        </is>
      </c>
      <c r="G522" t="inlineStr">
        <is>
          <t>SANDVIKEN</t>
        </is>
      </c>
      <c r="H522" t="inlineStr">
        <is>
          <t>Övriga statliga verk och myndigheter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46229</v>
      </c>
      <c r="F523" t="inlineStr">
        <is>
          <t>GÄVLEBORGS LÄN</t>
        </is>
      </c>
      <c r="G523" t="inlineStr">
        <is>
          <t>SANDVIKEN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46165</v>
      </c>
      <c r="E524" s="1" t="n">
        <v>46229</v>
      </c>
      <c r="F524" t="inlineStr">
        <is>
          <t>GÄVLEBORGS LÄN</t>
        </is>
      </c>
      <c r="G524" t="inlineStr">
        <is>
          <t>SANDVIKEN</t>
        </is>
      </c>
      <c r="H524" t="inlineStr">
        <is>
          <t>Bergvik skog öst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46229</v>
      </c>
      <c r="F525" t="inlineStr">
        <is>
          <t>GÄVLEBORGS LÄN</t>
        </is>
      </c>
      <c r="G525" t="inlineStr">
        <is>
          <t>SANDVIKEN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46229</v>
      </c>
      <c r="F526" t="inlineStr">
        <is>
          <t>GÄVLEBORGS LÄN</t>
        </is>
      </c>
      <c r="G526" t="inlineStr">
        <is>
          <t>SANDVIKEN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46229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46229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45112</v>
      </c>
      <c r="E529" s="1" t="n">
        <v>46229</v>
      </c>
      <c r="F529" t="inlineStr">
        <is>
          <t>GÄVLEBORGS LÄN</t>
        </is>
      </c>
      <c r="G529" t="inlineStr">
        <is>
          <t>SANDVIKEN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7343-2026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46229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46229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46229</v>
      </c>
      <c r="F532" t="inlineStr">
        <is>
          <t>GÄVLEBORGS LÄN</t>
        </is>
      </c>
      <c r="G532" t="inlineStr">
        <is>
          <t>SANDVIKEN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46058</v>
      </c>
      <c r="E533" s="1" t="n">
        <v>46229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46229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46229</v>
      </c>
      <c r="F535" t="inlineStr">
        <is>
          <t>GÄVLEBORGS LÄN</t>
        </is>
      </c>
      <c r="G535" t="inlineStr">
        <is>
          <t>SANDVIKEN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46063</v>
      </c>
      <c r="E536" s="1" t="n">
        <v>46229</v>
      </c>
      <c r="F536" t="inlineStr">
        <is>
          <t>GÄVLEBORGS LÄN</t>
        </is>
      </c>
      <c r="G536" t="inlineStr">
        <is>
          <t>SANDVIKEN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46062</v>
      </c>
      <c r="E537" s="1" t="n">
        <v>46229</v>
      </c>
      <c r="F537" t="inlineStr">
        <is>
          <t>GÄVLEBORGS LÄN</t>
        </is>
      </c>
      <c r="G537" t="inlineStr">
        <is>
          <t>SANDVIKEN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7910-2026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46063</v>
      </c>
      <c r="E538" s="1" t="n">
        <v>46229</v>
      </c>
      <c r="F538" t="inlineStr">
        <is>
          <t>GÄVLEBORGS LÄN</t>
        </is>
      </c>
      <c r="G538" t="inlineStr">
        <is>
          <t>SANDVIKEN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46229</v>
      </c>
      <c r="F539" t="inlineStr">
        <is>
          <t>GÄVLEBORGS LÄN</t>
        </is>
      </c>
      <c r="G539" t="inlineStr">
        <is>
          <t>SANDVIKEN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46229</v>
      </c>
      <c r="F540" t="inlineStr">
        <is>
          <t>GÄVLEBORGS LÄN</t>
        </is>
      </c>
      <c r="G540" t="inlineStr">
        <is>
          <t>SANDVIKEN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46229</v>
      </c>
      <c r="F541" t="inlineStr">
        <is>
          <t>GÄVLEBORGS LÄN</t>
        </is>
      </c>
      <c r="G541" t="inlineStr">
        <is>
          <t>SANDVIKEN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46229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7.9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23822-2026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46165</v>
      </c>
      <c r="E543" s="1" t="n">
        <v>46229</v>
      </c>
      <c r="F543" t="inlineStr">
        <is>
          <t>GÄVLEBORGS LÄN</t>
        </is>
      </c>
      <c r="G543" t="inlineStr">
        <is>
          <t>SANDVIKEN</t>
        </is>
      </c>
      <c r="H543" t="inlineStr">
        <is>
          <t>Bergvik skog öst AB</t>
        </is>
      </c>
      <c r="I543" t="n">
        <v>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23823-2026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46165</v>
      </c>
      <c r="E544" s="1" t="n">
        <v>46229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46165</v>
      </c>
      <c r="E545" s="1" t="n">
        <v>46229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7892-2026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46229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46229</v>
      </c>
      <c r="F547" t="inlineStr">
        <is>
          <t>GÄVLEBORGS LÄN</t>
        </is>
      </c>
      <c r="G547" t="inlineStr">
        <is>
          <t>SANDVIKEN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46229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46065</v>
      </c>
      <c r="E549" s="1" t="n">
        <v>46229</v>
      </c>
      <c r="F549" t="inlineStr">
        <is>
          <t>GÄVLEBORGS LÄN</t>
        </is>
      </c>
      <c r="G549" t="inlineStr">
        <is>
          <t>SANDVIKEN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8612-2026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46229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46229</v>
      </c>
      <c r="F551" t="inlineStr">
        <is>
          <t>GÄVLEBORGS LÄN</t>
        </is>
      </c>
      <c r="G551" t="inlineStr">
        <is>
          <t>SANDVIKEN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46229</v>
      </c>
      <c r="F552" t="inlineStr">
        <is>
          <t>GÄVLEBORGS LÄN</t>
        </is>
      </c>
      <c r="G552" t="inlineStr">
        <is>
          <t>SANDVIKEN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46229</v>
      </c>
      <c r="F553" t="inlineStr">
        <is>
          <t>GÄVLEBORGS LÄN</t>
        </is>
      </c>
      <c r="G553" t="inlineStr">
        <is>
          <t>SANDVIKEN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46069</v>
      </c>
      <c r="E554" s="1" t="n">
        <v>46229</v>
      </c>
      <c r="F554" t="inlineStr">
        <is>
          <t>GÄVLEBORGS LÄN</t>
        </is>
      </c>
      <c r="G554" t="inlineStr">
        <is>
          <t>SANDVIKEN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8719-2026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46066</v>
      </c>
      <c r="E555" s="1" t="n">
        <v>46229</v>
      </c>
      <c r="F555" t="inlineStr">
        <is>
          <t>GÄVLEBORGS LÄN</t>
        </is>
      </c>
      <c r="G555" t="inlineStr">
        <is>
          <t>SANDVIKEN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9142-2026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46229</v>
      </c>
      <c r="F556" t="inlineStr">
        <is>
          <t>GÄVLEBORGS LÄN</t>
        </is>
      </c>
      <c r="G556" t="inlineStr">
        <is>
          <t>SANDVIKEN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46229</v>
      </c>
      <c r="F557" t="inlineStr">
        <is>
          <t>GÄVLEBORGS LÄN</t>
        </is>
      </c>
      <c r="G557" t="inlineStr">
        <is>
          <t>SANDVIKEN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8713-2026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46066</v>
      </c>
      <c r="E558" s="1" t="n">
        <v>46229</v>
      </c>
      <c r="F558" t="inlineStr">
        <is>
          <t>GÄVLEBORGS LÄN</t>
        </is>
      </c>
      <c r="G558" t="inlineStr">
        <is>
          <t>SANDVIKEN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8706-2026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46066</v>
      </c>
      <c r="E559" s="1" t="n">
        <v>46229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46229</v>
      </c>
      <c r="F560" t="inlineStr">
        <is>
          <t>GÄVLEBORGS LÄN</t>
        </is>
      </c>
      <c r="G560" t="inlineStr">
        <is>
          <t>SANDVIKEN</t>
        </is>
      </c>
      <c r="H560" t="inlineStr">
        <is>
          <t>Sveaskog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9480-2026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46229</v>
      </c>
      <c r="F561" t="inlineStr">
        <is>
          <t>GÄVLEBORGS LÄN</t>
        </is>
      </c>
      <c r="G561" t="inlineStr">
        <is>
          <t>SANDVIKEN</t>
        </is>
      </c>
      <c r="H561" t="inlineStr">
        <is>
          <t>Naturvårdsverket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27987-2024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46229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10022-2026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46229</v>
      </c>
      <c r="F563" t="inlineStr">
        <is>
          <t>GÄVLEBORGS LÄN</t>
        </is>
      </c>
      <c r="G563" t="inlineStr">
        <is>
          <t>SANDVIKEN</t>
        </is>
      </c>
      <c r="H563" t="inlineStr">
        <is>
          <t>Sveaskog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46073</v>
      </c>
      <c r="E564" s="1" t="n">
        <v>46229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46229</v>
      </c>
      <c r="F565" t="inlineStr">
        <is>
          <t>GÄVLEBORGS LÄN</t>
        </is>
      </c>
      <c r="G565" t="inlineStr">
        <is>
          <t>SANDVIKEN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46229</v>
      </c>
      <c r="F566" t="inlineStr">
        <is>
          <t>GÄVLEBORGS LÄN</t>
        </is>
      </c>
      <c r="G566" t="inlineStr">
        <is>
          <t>SANDVIKEN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46229</v>
      </c>
      <c r="F567" t="inlineStr">
        <is>
          <t>GÄVLEBORGS LÄN</t>
        </is>
      </c>
      <c r="G567" t="inlineStr">
        <is>
          <t>SANDVIKEN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15340-2026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46105</v>
      </c>
      <c r="E568" s="1" t="n">
        <v>46229</v>
      </c>
      <c r="F568" t="inlineStr">
        <is>
          <t>GÄVLEBORGS LÄN</t>
        </is>
      </c>
      <c r="G568" t="inlineStr">
        <is>
          <t>SANDVIKEN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46229</v>
      </c>
      <c r="F569" t="inlineStr">
        <is>
          <t>GÄVLEBORGS LÄN</t>
        </is>
      </c>
      <c r="G569" t="inlineStr">
        <is>
          <t>SANDVIKEN</t>
        </is>
      </c>
      <c r="H569" t="inlineStr">
        <is>
          <t>Naturvårdsverket</t>
        </is>
      </c>
      <c r="I569" t="n">
        <v>19.5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46169</v>
      </c>
      <c r="E570" s="1" t="n">
        <v>46229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10176-2026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46229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10107-2026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46074</v>
      </c>
      <c r="E572" s="1" t="n">
        <v>46229</v>
      </c>
      <c r="F572" t="inlineStr">
        <is>
          <t>GÄVLEBORGS LÄN</t>
        </is>
      </c>
      <c r="G572" t="inlineStr">
        <is>
          <t>SANDVIKEN</t>
        </is>
      </c>
      <c r="I572" t="n">
        <v>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10346-2026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46229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24149-2026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46229</v>
      </c>
      <c r="F574" t="inlineStr">
        <is>
          <t>GÄVLEBORGS LÄN</t>
        </is>
      </c>
      <c r="G574" t="inlineStr">
        <is>
          <t>SANDVIKEN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46229</v>
      </c>
      <c r="F575" t="inlineStr">
        <is>
          <t>GÄVLEBORGS LÄN</t>
        </is>
      </c>
      <c r="G575" t="inlineStr">
        <is>
          <t>SANDVIKEN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45221-2021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44439</v>
      </c>
      <c r="E576" s="1" t="n">
        <v>46229</v>
      </c>
      <c r="F576" t="inlineStr">
        <is>
          <t>GÄVLEBORGS LÄN</t>
        </is>
      </c>
      <c r="G576" t="inlineStr">
        <is>
          <t>SANDVIKEN</t>
        </is>
      </c>
      <c r="H576" t="inlineStr">
        <is>
          <t>Bergvik skog öst AB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46229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46229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46229</v>
      </c>
      <c r="F579" t="inlineStr">
        <is>
          <t>GÄVLEBORGS LÄN</t>
        </is>
      </c>
      <c r="G579" t="inlineStr">
        <is>
          <t>SANDVIKEN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46229</v>
      </c>
      <c r="F580" t="inlineStr">
        <is>
          <t>GÄVLEBORGS LÄN</t>
        </is>
      </c>
      <c r="G580" t="inlineStr">
        <is>
          <t>SANDVIKEN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46034</v>
      </c>
      <c r="E581" s="1" t="n">
        <v>46229</v>
      </c>
      <c r="F581" t="inlineStr">
        <is>
          <t>GÄVLEBORGS LÄN</t>
        </is>
      </c>
      <c r="G581" t="inlineStr">
        <is>
          <t>SANDVIKEN</t>
        </is>
      </c>
      <c r="I581" t="n">
        <v>9.300000000000001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11191-2026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46080</v>
      </c>
      <c r="E582" s="1" t="n">
        <v>46229</v>
      </c>
      <c r="F582" t="inlineStr">
        <is>
          <t>GÄVLEBORGS LÄN</t>
        </is>
      </c>
      <c r="G582" t="inlineStr">
        <is>
          <t>SANDVIKEN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46229</v>
      </c>
      <c r="F583" t="inlineStr">
        <is>
          <t>GÄVLEBORGS LÄN</t>
        </is>
      </c>
      <c r="G583" t="inlineStr">
        <is>
          <t>SANDVIKEN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46229</v>
      </c>
      <c r="F584" t="inlineStr">
        <is>
          <t>GÄVLEBORGS LÄN</t>
        </is>
      </c>
      <c r="G584" t="inlineStr">
        <is>
          <t>SANDVIKEN</t>
        </is>
      </c>
      <c r="I584" t="n">
        <v>14.5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46229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24303-2026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46229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45279-2023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46229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46229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46084</v>
      </c>
      <c r="E589" s="1" t="n">
        <v>46229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10.5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11726-2026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46084</v>
      </c>
      <c r="E590" s="1" t="n">
        <v>46229</v>
      </c>
      <c r="F590" t="inlineStr">
        <is>
          <t>GÄVLEBORGS LÄN</t>
        </is>
      </c>
      <c r="G590" t="inlineStr">
        <is>
          <t>SANDVIKEN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46083</v>
      </c>
      <c r="E591" s="1" t="n">
        <v>46229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11897-2024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45376</v>
      </c>
      <c r="E592" s="1" t="n">
        <v>46229</v>
      </c>
      <c r="F592" t="inlineStr">
        <is>
          <t>GÄVLEBORGS LÄN</t>
        </is>
      </c>
      <c r="G592" t="inlineStr">
        <is>
          <t>SANDVIKEN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46229</v>
      </c>
      <c r="F593" t="inlineStr">
        <is>
          <t>GÄVLEBORGS LÄN</t>
        </is>
      </c>
      <c r="G593" t="inlineStr">
        <is>
          <t>SANDVIKEN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11786-2026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46229</v>
      </c>
      <c r="F594" t="inlineStr">
        <is>
          <t>GÄVLEBORGS LÄN</t>
        </is>
      </c>
      <c r="G594" t="inlineStr">
        <is>
          <t>SANDVIKEN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46229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46229</v>
      </c>
      <c r="F596" t="inlineStr">
        <is>
          <t>GÄVLEBORGS LÄN</t>
        </is>
      </c>
      <c r="G596" t="inlineStr">
        <is>
          <t>SANDVIKEN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46229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12132-2026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46229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11940-2026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46085</v>
      </c>
      <c r="E599" s="1" t="n">
        <v>46229</v>
      </c>
      <c r="F599" t="inlineStr">
        <is>
          <t>GÄVLEBORGS LÄN</t>
        </is>
      </c>
      <c r="G599" t="inlineStr">
        <is>
          <t>SANDVIKEN</t>
        </is>
      </c>
      <c r="H599" t="inlineStr">
        <is>
          <t>Naturvårdsverket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12146-2026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46229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11800-2026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46085</v>
      </c>
      <c r="E601" s="1" t="n">
        <v>46229</v>
      </c>
      <c r="F601" t="inlineStr">
        <is>
          <t>GÄVLEBORGS LÄN</t>
        </is>
      </c>
      <c r="G601" t="inlineStr">
        <is>
          <t>SANDVIKEN</t>
        </is>
      </c>
      <c r="H601" t="inlineStr">
        <is>
          <t>Naturvårdsverket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46085</v>
      </c>
      <c r="E602" s="1" t="n">
        <v>46229</v>
      </c>
      <c r="F602" t="inlineStr">
        <is>
          <t>GÄVLEBORGS LÄN</t>
        </is>
      </c>
      <c r="G602" t="inlineStr">
        <is>
          <t>SANDVIKEN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18752-2026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46229</v>
      </c>
      <c r="F603" t="inlineStr">
        <is>
          <t>GÄVLEBORGS LÄN</t>
        </is>
      </c>
      <c r="G603" t="inlineStr">
        <is>
          <t>SANDVIKEN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46229</v>
      </c>
      <c r="F604" t="inlineStr">
        <is>
          <t>GÄVLEBORGS LÄN</t>
        </is>
      </c>
      <c r="G604" t="inlineStr">
        <is>
          <t>SANDVIKEN</t>
        </is>
      </c>
      <c r="I604" t="n">
        <v>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12091-2026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46229</v>
      </c>
      <c r="F605" t="inlineStr">
        <is>
          <t>GÄVLEBORGS LÄN</t>
        </is>
      </c>
      <c r="G605" t="inlineStr">
        <is>
          <t>SANDVIKEN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46086</v>
      </c>
      <c r="E606" s="1" t="n">
        <v>46229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46229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46229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23217-2023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45075</v>
      </c>
      <c r="E609" s="1" t="n">
        <v>46229</v>
      </c>
      <c r="F609" t="inlineStr">
        <is>
          <t>GÄVLEBORGS LÄN</t>
        </is>
      </c>
      <c r="G609" t="inlineStr">
        <is>
          <t>SANDVIKEN</t>
        </is>
      </c>
      <c r="H609" t="inlineStr">
        <is>
          <t>Sveaskog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12098-2026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46229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46229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46229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12208-2026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46229</v>
      </c>
      <c r="F613" t="inlineStr">
        <is>
          <t>GÄVLEBORGS LÄN</t>
        </is>
      </c>
      <c r="G613" t="inlineStr">
        <is>
          <t>SANDVIKEN</t>
        </is>
      </c>
      <c r="I613" t="n">
        <v>9.4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46229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46229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12317-2026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46229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27.2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46229</v>
      </c>
      <c r="F617" t="inlineStr">
        <is>
          <t>GÄVLEBORGS LÄN</t>
        </is>
      </c>
      <c r="G617" t="inlineStr">
        <is>
          <t>SANDVIKEN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46229</v>
      </c>
      <c r="F618" t="inlineStr">
        <is>
          <t>GÄVLEBORGS LÄN</t>
        </is>
      </c>
      <c r="G618" t="inlineStr">
        <is>
          <t>SANDVIKEN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12586-2026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46229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12891-2026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46229</v>
      </c>
      <c r="F620" t="inlineStr">
        <is>
          <t>GÄVLEBORGS LÄN</t>
        </is>
      </c>
      <c r="G620" t="inlineStr">
        <is>
          <t>SANDVIKEN</t>
        </is>
      </c>
      <c r="H620" t="inlineStr">
        <is>
          <t>Naturvårdsverket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22070-2023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45069</v>
      </c>
      <c r="E621" s="1" t="n">
        <v>46229</v>
      </c>
      <c r="F621" t="inlineStr">
        <is>
          <t>GÄVLEBORGS LÄN</t>
        </is>
      </c>
      <c r="G621" t="inlineStr">
        <is>
          <t>SANDVIKEN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12826-2026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46229</v>
      </c>
      <c r="F622" t="inlineStr">
        <is>
          <t>GÄVLEBORGS LÄN</t>
        </is>
      </c>
      <c r="G622" t="inlineStr">
        <is>
          <t>SANDVIKEN</t>
        </is>
      </c>
      <c r="H622" t="inlineStr">
        <is>
          <t>Naturvårdsverket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12641-2026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46091</v>
      </c>
      <c r="E623" s="1" t="n">
        <v>46229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12672-2026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46229</v>
      </c>
      <c r="F624" t="inlineStr">
        <is>
          <t>GÄVLEBORGS LÄN</t>
        </is>
      </c>
      <c r="G624" t="inlineStr">
        <is>
          <t>SANDVIKEN</t>
        </is>
      </c>
      <c r="H624" t="inlineStr">
        <is>
          <t>Naturvårdsverket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46091</v>
      </c>
      <c r="E625" s="1" t="n">
        <v>46229</v>
      </c>
      <c r="F625" t="inlineStr">
        <is>
          <t>GÄVLEBORGS LÄN</t>
        </is>
      </c>
      <c r="G625" t="inlineStr">
        <is>
          <t>SANDVIKEN</t>
        </is>
      </c>
      <c r="H625" t="inlineStr">
        <is>
          <t>Naturvårdsverket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29620-2026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46229</v>
      </c>
      <c r="F626" t="inlineStr">
        <is>
          <t>GÄVLEBORGS LÄN</t>
        </is>
      </c>
      <c r="G626" t="inlineStr">
        <is>
          <t>SANDVIKEN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12847-2026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46229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46229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46229</v>
      </c>
      <c r="F629" t="inlineStr">
        <is>
          <t>GÄVLEBORGS LÄN</t>
        </is>
      </c>
      <c r="G629" t="inlineStr">
        <is>
          <t>SANDVIKEN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46229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12704-2026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46091</v>
      </c>
      <c r="E631" s="1" t="n">
        <v>46229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46229</v>
      </c>
      <c r="F632" t="inlineStr">
        <is>
          <t>GÄVLEBORGS LÄN</t>
        </is>
      </c>
      <c r="G632" t="inlineStr">
        <is>
          <t>SANDVIKEN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46171</v>
      </c>
      <c r="E633" s="1" t="n">
        <v>46229</v>
      </c>
      <c r="F633" t="inlineStr">
        <is>
          <t>GÄVLEBORGS LÄN</t>
        </is>
      </c>
      <c r="G633" t="inlineStr">
        <is>
          <t>SANDVIKEN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23085-2023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45075</v>
      </c>
      <c r="E634" s="1" t="n">
        <v>46229</v>
      </c>
      <c r="F634" t="inlineStr">
        <is>
          <t>GÄVLEBORGS LÄN</t>
        </is>
      </c>
      <c r="G634" t="inlineStr">
        <is>
          <t>SANDVIKEN</t>
        </is>
      </c>
      <c r="I634" t="n">
        <v>8.300000000000001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36833-2022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44805</v>
      </c>
      <c r="E635" s="1" t="n">
        <v>46229</v>
      </c>
      <c r="F635" t="inlineStr">
        <is>
          <t>GÄVLEBORGS LÄN</t>
        </is>
      </c>
      <c r="G635" t="inlineStr">
        <is>
          <t>SANDVIKEN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46229</v>
      </c>
      <c r="F636" t="inlineStr">
        <is>
          <t>GÄVLEBORGS LÄN</t>
        </is>
      </c>
      <c r="G636" t="inlineStr">
        <is>
          <t>SANDVIKEN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46229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46229</v>
      </c>
      <c r="F638" t="inlineStr">
        <is>
          <t>GÄVLEBORGS LÄN</t>
        </is>
      </c>
      <c r="G638" t="inlineStr">
        <is>
          <t>SANDVIKEN</t>
        </is>
      </c>
      <c r="I638" t="n">
        <v>22.5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46036</v>
      </c>
      <c r="E639" s="1" t="n">
        <v>46229</v>
      </c>
      <c r="F639" t="inlineStr">
        <is>
          <t>GÄVLEBORGS LÄN</t>
        </is>
      </c>
      <c r="G639" t="inlineStr">
        <is>
          <t>SANDVIKEN</t>
        </is>
      </c>
      <c r="I639" t="n">
        <v>6.7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46229</v>
      </c>
      <c r="F640" t="inlineStr">
        <is>
          <t>GÄVLEBORGS LÄN</t>
        </is>
      </c>
      <c r="G640" t="inlineStr">
        <is>
          <t>SANDVIKEN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46229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46229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46095</v>
      </c>
      <c r="E643" s="1" t="n">
        <v>46229</v>
      </c>
      <c r="F643" t="inlineStr">
        <is>
          <t>GÄVLEBORGS LÄN</t>
        </is>
      </c>
      <c r="G643" t="inlineStr">
        <is>
          <t>SANDVIKEN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46171</v>
      </c>
      <c r="E644" s="1" t="n">
        <v>46229</v>
      </c>
      <c r="F644" t="inlineStr">
        <is>
          <t>GÄVLEBORGS LÄN</t>
        </is>
      </c>
      <c r="G644" t="inlineStr">
        <is>
          <t>SANDVIKEN</t>
        </is>
      </c>
      <c r="I644" t="n">
        <v>6.9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13577-2026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46095</v>
      </c>
      <c r="E645" s="1" t="n">
        <v>46229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46095</v>
      </c>
      <c r="E646" s="1" t="n">
        <v>46229</v>
      </c>
      <c r="F646" t="inlineStr">
        <is>
          <t>GÄVLEBORGS LÄN</t>
        </is>
      </c>
      <c r="G646" t="inlineStr">
        <is>
          <t>SANDVIKEN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13585-2026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46095</v>
      </c>
      <c r="E647" s="1" t="n">
        <v>46229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46095</v>
      </c>
      <c r="E648" s="1" t="n">
        <v>46229</v>
      </c>
      <c r="F648" t="inlineStr">
        <is>
          <t>GÄVLEBORGS LÄN</t>
        </is>
      </c>
      <c r="G648" t="inlineStr">
        <is>
          <t>SANDVIKEN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46095</v>
      </c>
      <c r="E649" s="1" t="n">
        <v>46229</v>
      </c>
      <c r="F649" t="inlineStr">
        <is>
          <t>GÄVLEBORGS LÄN</t>
        </is>
      </c>
      <c r="G649" t="inlineStr">
        <is>
          <t>SANDVIKEN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46229</v>
      </c>
      <c r="F650" t="inlineStr">
        <is>
          <t>GÄVLEBORGS LÄN</t>
        </is>
      </c>
      <c r="G650" t="inlineStr">
        <is>
          <t>SANDVIKEN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14044-2026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46229</v>
      </c>
      <c r="F651" t="inlineStr">
        <is>
          <t>GÄVLEBORGS LÄN</t>
        </is>
      </c>
      <c r="G651" t="inlineStr">
        <is>
          <t>SANDVIKEN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46229</v>
      </c>
      <c r="F652" t="inlineStr">
        <is>
          <t>GÄVLEBORGS LÄN</t>
        </is>
      </c>
      <c r="G652" t="inlineStr">
        <is>
          <t>SANDVIKEN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46095</v>
      </c>
      <c r="E653" s="1" t="n">
        <v>46229</v>
      </c>
      <c r="F653" t="inlineStr">
        <is>
          <t>GÄVLEBORGS LÄN</t>
        </is>
      </c>
      <c r="G653" t="inlineStr">
        <is>
          <t>SANDVIKEN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46229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46229</v>
      </c>
      <c r="F655" t="inlineStr">
        <is>
          <t>GÄVLEBORGS LÄN</t>
        </is>
      </c>
      <c r="G655" t="inlineStr">
        <is>
          <t>SANDVIKEN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59738-2022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44908</v>
      </c>
      <c r="E656" s="1" t="n">
        <v>46229</v>
      </c>
      <c r="F656" t="inlineStr">
        <is>
          <t>GÄVLEBORGS LÄN</t>
        </is>
      </c>
      <c r="G656" t="inlineStr">
        <is>
          <t>SANDVIKEN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46229</v>
      </c>
      <c r="F657" t="inlineStr">
        <is>
          <t>GÄVLEBORGS LÄN</t>
        </is>
      </c>
      <c r="G657" t="inlineStr">
        <is>
          <t>SANDVIKEN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46229</v>
      </c>
      <c r="F658" t="inlineStr">
        <is>
          <t>GÄVLEBORGS LÄN</t>
        </is>
      </c>
      <c r="G658" t="inlineStr">
        <is>
          <t>SANDVIKEN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46229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56017-2023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45240</v>
      </c>
      <c r="E660" s="1" t="n">
        <v>46229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14119-2026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46229</v>
      </c>
      <c r="F661" t="inlineStr">
        <is>
          <t>GÄVLEBORGS LÄN</t>
        </is>
      </c>
      <c r="G661" t="inlineStr">
        <is>
          <t>SANDVIKEN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46229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46229</v>
      </c>
      <c r="F663" t="inlineStr">
        <is>
          <t>GÄVLEBORGS LÄN</t>
        </is>
      </c>
      <c r="G663" t="inlineStr">
        <is>
          <t>SANDVIKEN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14219-2026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46229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59661-2024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45639</v>
      </c>
      <c r="E665" s="1" t="n">
        <v>46229</v>
      </c>
      <c r="F665" t="inlineStr">
        <is>
          <t>GÄVLEBORGS LÄN</t>
        </is>
      </c>
      <c r="G665" t="inlineStr">
        <is>
          <t>SANDVIKEN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46099</v>
      </c>
      <c r="E666" s="1" t="n">
        <v>46229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14676-2026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46101</v>
      </c>
      <c r="E667" s="1" t="n">
        <v>46229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46229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14720-2026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46229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14663-2026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46229</v>
      </c>
      <c r="F670" t="inlineStr">
        <is>
          <t>GÄVLEBORGS LÄN</t>
        </is>
      </c>
      <c r="G670" t="inlineStr">
        <is>
          <t>SANDVIKEN</t>
        </is>
      </c>
      <c r="H670" t="inlineStr">
        <is>
          <t>Kommuner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46229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45320</v>
      </c>
      <c r="E672" s="1" t="n">
        <v>46229</v>
      </c>
      <c r="F672" t="inlineStr">
        <is>
          <t>GÄVLEBORGS LÄN</t>
        </is>
      </c>
      <c r="G672" t="inlineStr">
        <is>
          <t>SANDVIKEN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46229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46229</v>
      </c>
      <c r="F674" t="inlineStr">
        <is>
          <t>GÄVLEBORGS LÄN</t>
        </is>
      </c>
      <c r="G674" t="inlineStr">
        <is>
          <t>SANDVIKEN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46229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15529-2026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46229</v>
      </c>
      <c r="F676" t="inlineStr">
        <is>
          <t>GÄVLEBORGS LÄN</t>
        </is>
      </c>
      <c r="G676" t="inlineStr">
        <is>
          <t>SANDVIKEN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15113-2026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46105</v>
      </c>
      <c r="E677" s="1" t="n">
        <v>46229</v>
      </c>
      <c r="F677" t="inlineStr">
        <is>
          <t>GÄVLEBORGS LÄN</t>
        </is>
      </c>
      <c r="G677" t="inlineStr">
        <is>
          <t>SANDVIKEN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46219</v>
      </c>
      <c r="E678" s="1" t="n">
        <v>46229</v>
      </c>
      <c r="F678" t="inlineStr">
        <is>
          <t>GÄVLEBORGS LÄN</t>
        </is>
      </c>
      <c r="G678" t="inlineStr">
        <is>
          <t>SANDVIKEN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15778-2026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46229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46229</v>
      </c>
      <c r="F681" t="inlineStr">
        <is>
          <t>GÄVLEBORGS LÄN</t>
        </is>
      </c>
      <c r="G681" t="inlineStr">
        <is>
          <t>SANDVIKEN</t>
        </is>
      </c>
      <c r="H681" t="inlineStr">
        <is>
          <t>Kommuner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46229</v>
      </c>
      <c r="F682" t="inlineStr">
        <is>
          <t>GÄVLEBORGS LÄN</t>
        </is>
      </c>
      <c r="G682" t="inlineStr">
        <is>
          <t>SANDVIKEN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46108</v>
      </c>
      <c r="E683" s="1" t="n">
        <v>46229</v>
      </c>
      <c r="F683" t="inlineStr">
        <is>
          <t>GÄVLEBORGS LÄN</t>
        </is>
      </c>
      <c r="G683" t="inlineStr">
        <is>
          <t>SANDVIKEN</t>
        </is>
      </c>
      <c r="H683" t="inlineStr">
        <is>
          <t>Kommuner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46229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46175</v>
      </c>
      <c r="E685" s="1" t="n">
        <v>46229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46229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46229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46229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46229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11778-2024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45374</v>
      </c>
      <c r="E690" s="1" t="n">
        <v>46229</v>
      </c>
      <c r="F690" t="inlineStr">
        <is>
          <t>GÄVLEBORGS LÄN</t>
        </is>
      </c>
      <c r="G690" t="inlineStr">
        <is>
          <t>SANDVIKEN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25412-2026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46176</v>
      </c>
      <c r="E691" s="1" t="n">
        <v>46229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25413-2026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46229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47710-2022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44854</v>
      </c>
      <c r="E693" s="1" t="n">
        <v>46229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46175</v>
      </c>
      <c r="E694" s="1" t="n">
        <v>46229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46049</v>
      </c>
      <c r="E695" s="1" t="n">
        <v>46229</v>
      </c>
      <c r="F695" t="inlineStr">
        <is>
          <t>GÄVLEBORGS LÄN</t>
        </is>
      </c>
      <c r="G695" t="inlineStr">
        <is>
          <t>SANDVIKEN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16569-2026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46112</v>
      </c>
      <c r="E696" s="1" t="n">
        <v>46229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48300-2023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45205</v>
      </c>
      <c r="E697" s="1" t="n">
        <v>46229</v>
      </c>
      <c r="F697" t="inlineStr">
        <is>
          <t>GÄVLEBORGS LÄN</t>
        </is>
      </c>
      <c r="G697" t="inlineStr">
        <is>
          <t>SANDVIKEN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10578-2025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45721</v>
      </c>
      <c r="E698" s="1" t="n">
        <v>46229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25691-2026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46229</v>
      </c>
      <c r="F699" t="inlineStr">
        <is>
          <t>GÄVLEBORGS LÄN</t>
        </is>
      </c>
      <c r="G699" t="inlineStr">
        <is>
          <t>SANDVIKEN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46229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16958-2026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46114</v>
      </c>
      <c r="E701" s="1" t="n">
        <v>46229</v>
      </c>
      <c r="F701" t="inlineStr">
        <is>
          <t>GÄVLEBORGS LÄN</t>
        </is>
      </c>
      <c r="G701" t="inlineStr">
        <is>
          <t>SANDVIKEN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46115</v>
      </c>
      <c r="E702" s="1" t="n">
        <v>46229</v>
      </c>
      <c r="F702" t="inlineStr">
        <is>
          <t>GÄVLEBORGS LÄN</t>
        </is>
      </c>
      <c r="G702" t="inlineStr">
        <is>
          <t>SANDVIKEN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17182-2026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46116</v>
      </c>
      <c r="E703" s="1" t="n">
        <v>46229</v>
      </c>
      <c r="F703" t="inlineStr">
        <is>
          <t>GÄVLEBORGS LÄN</t>
        </is>
      </c>
      <c r="G703" t="inlineStr">
        <is>
          <t>SANDVIKEN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46115</v>
      </c>
      <c r="E704" s="1" t="n">
        <v>46229</v>
      </c>
      <c r="F704" t="inlineStr">
        <is>
          <t>GÄVLEBORGS LÄN</t>
        </is>
      </c>
      <c r="G704" t="inlineStr">
        <is>
          <t>SANDVIKEN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17175-2026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46115</v>
      </c>
      <c r="E705" s="1" t="n">
        <v>46229</v>
      </c>
      <c r="F705" t="inlineStr">
        <is>
          <t>GÄVLEBORGS LÄN</t>
        </is>
      </c>
      <c r="G705" t="inlineStr">
        <is>
          <t>SANDVIKEN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17180-2026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46116</v>
      </c>
      <c r="E706" s="1" t="n">
        <v>46229</v>
      </c>
      <c r="F706" t="inlineStr">
        <is>
          <t>GÄVLEBORGS LÄN</t>
        </is>
      </c>
      <c r="G706" t="inlineStr">
        <is>
          <t>SANDVIKEN</t>
        </is>
      </c>
      <c r="I706" t="n">
        <v>8.9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29297-2024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46229</v>
      </c>
      <c r="F707" t="inlineStr">
        <is>
          <t>GÄVLEBORGS LÄN</t>
        </is>
      </c>
      <c r="G707" t="inlineStr">
        <is>
          <t>SANDVIKEN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46229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17171-2026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46115</v>
      </c>
      <c r="E709" s="1" t="n">
        <v>46229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46116</v>
      </c>
      <c r="E710" s="1" t="n">
        <v>46229</v>
      </c>
      <c r="F710" t="inlineStr">
        <is>
          <t>GÄVLEBORGS LÄN</t>
        </is>
      </c>
      <c r="G710" t="inlineStr">
        <is>
          <t>SANDVIKEN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46115</v>
      </c>
      <c r="E711" s="1" t="n">
        <v>46229</v>
      </c>
      <c r="F711" t="inlineStr">
        <is>
          <t>GÄVLEBORGS LÄN</t>
        </is>
      </c>
      <c r="G711" t="inlineStr">
        <is>
          <t>SANDVIKEN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17173-2026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46115</v>
      </c>
      <c r="E712" s="1" t="n">
        <v>46229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46229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53007-2023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45226</v>
      </c>
      <c r="E714" s="1" t="n">
        <v>46229</v>
      </c>
      <c r="F714" t="inlineStr">
        <is>
          <t>GÄVLEBORGS LÄN</t>
        </is>
      </c>
      <c r="G714" t="inlineStr">
        <is>
          <t>SANDVIKEN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46229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46229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46229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46229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25840-2026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46229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25842-2026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46229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46229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46229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17360-2026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46119</v>
      </c>
      <c r="E723" s="1" t="n">
        <v>46229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17473-2026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46229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39566-2022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44818</v>
      </c>
      <c r="E725" s="1" t="n">
        <v>46229</v>
      </c>
      <c r="F725" t="inlineStr">
        <is>
          <t>GÄVLEBORGS LÄN</t>
        </is>
      </c>
      <c r="G725" t="inlineStr">
        <is>
          <t>SANDVIKEN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46229</v>
      </c>
      <c r="F726" t="inlineStr">
        <is>
          <t>GÄVLEBORGS LÄN</t>
        </is>
      </c>
      <c r="G726" t="inlineStr">
        <is>
          <t>SANDVIKEN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46122</v>
      </c>
      <c r="E727" s="1" t="n">
        <v>46229</v>
      </c>
      <c r="F727" t="inlineStr">
        <is>
          <t>GÄVLEBORGS LÄN</t>
        </is>
      </c>
      <c r="G727" t="inlineStr">
        <is>
          <t>SANDVIKEN</t>
        </is>
      </c>
      <c r="H727" t="inlineStr">
        <is>
          <t>Sveaskog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46229</v>
      </c>
      <c r="F728" t="inlineStr">
        <is>
          <t>GÄVLEBORGS LÄN</t>
        </is>
      </c>
      <c r="G728" t="inlineStr">
        <is>
          <t>SANDVIKEN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46121</v>
      </c>
      <c r="E729" s="1" t="n">
        <v>46229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46229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23539-2026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46163</v>
      </c>
      <c r="E731" s="1" t="n">
        <v>46229</v>
      </c>
      <c r="F731" t="inlineStr">
        <is>
          <t>GÄVLEBORGS LÄN</t>
        </is>
      </c>
      <c r="G731" t="inlineStr">
        <is>
          <t>SANDVIKEN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46229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25837-2026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46229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46229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11385-2023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44988</v>
      </c>
      <c r="E735" s="1" t="n">
        <v>46229</v>
      </c>
      <c r="F735" t="inlineStr">
        <is>
          <t>GÄVLEBORGS LÄN</t>
        </is>
      </c>
      <c r="G735" t="inlineStr">
        <is>
          <t>SANDVIKEN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18218-2026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46126</v>
      </c>
      <c r="E736" s="1" t="n">
        <v>46229</v>
      </c>
      <c r="F736" t="inlineStr">
        <is>
          <t>GÄVLEBORGS LÄN</t>
        </is>
      </c>
      <c r="G736" t="inlineStr">
        <is>
          <t>SANDVIKEN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46126</v>
      </c>
      <c r="E737" s="1" t="n">
        <v>46229</v>
      </c>
      <c r="F737" t="inlineStr">
        <is>
          <t>GÄVLEBORGS LÄN</t>
        </is>
      </c>
      <c r="G737" t="inlineStr">
        <is>
          <t>SANDVIKEN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18395-2026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46126</v>
      </c>
      <c r="E738" s="1" t="n">
        <v>46229</v>
      </c>
      <c r="F738" t="inlineStr">
        <is>
          <t>GÄVLEBORGS LÄN</t>
        </is>
      </c>
      <c r="G738" t="inlineStr">
        <is>
          <t>SANDVIKEN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46229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46126</v>
      </c>
      <c r="E740" s="1" t="n">
        <v>46229</v>
      </c>
      <c r="F740" t="inlineStr">
        <is>
          <t>GÄVLEBORGS LÄN</t>
        </is>
      </c>
      <c r="G740" t="inlineStr">
        <is>
          <t>SANDVIKEN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52932-2022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44875</v>
      </c>
      <c r="E741" s="1" t="n">
        <v>46229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46129</v>
      </c>
      <c r="E742" s="1" t="n">
        <v>46229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46129</v>
      </c>
      <c r="E743" s="1" t="n">
        <v>46229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18997-2026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46129</v>
      </c>
      <c r="E744" s="1" t="n">
        <v>46229</v>
      </c>
      <c r="F744" t="inlineStr">
        <is>
          <t>GÄVLEBORGS LÄN</t>
        </is>
      </c>
      <c r="G744" t="inlineStr">
        <is>
          <t>SANDVIKEN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18750-2026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46229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46229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46229</v>
      </c>
      <c r="F747" t="inlineStr">
        <is>
          <t>GÄVLEBORGS LÄN</t>
        </is>
      </c>
      <c r="G747" t="inlineStr">
        <is>
          <t>SANDVIKEN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46229</v>
      </c>
      <c r="F748" t="inlineStr">
        <is>
          <t>GÄVLEBORGS LÄN</t>
        </is>
      </c>
      <c r="G748" t="inlineStr">
        <is>
          <t>SANDVIKEN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18991-2026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46129</v>
      </c>
      <c r="E749" s="1" t="n">
        <v>46229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14092-2026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46099</v>
      </c>
      <c r="E750" s="1" t="n">
        <v>46229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18990-2026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46129</v>
      </c>
      <c r="E751" s="1" t="n">
        <v>46229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18987-2026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46129</v>
      </c>
      <c r="E752" s="1" t="n">
        <v>46229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18749-2026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46128</v>
      </c>
      <c r="E753" s="1" t="n">
        <v>46229</v>
      </c>
      <c r="F753" t="inlineStr">
        <is>
          <t>GÄVLEBORGS LÄN</t>
        </is>
      </c>
      <c r="G753" t="inlineStr">
        <is>
          <t>SANDVIKEN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18811-2026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46229</v>
      </c>
      <c r="F754" t="inlineStr">
        <is>
          <t>GÄVLEBORGS LÄN</t>
        </is>
      </c>
      <c r="G754" t="inlineStr">
        <is>
          <t>SANDVIKEN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15855-2026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46229</v>
      </c>
      <c r="F755" t="inlineStr">
        <is>
          <t>GÄVLEBORGS LÄN</t>
        </is>
      </c>
      <c r="G755" t="inlineStr">
        <is>
          <t>SANDVIKEN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46229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46062</v>
      </c>
      <c r="E757" s="1" t="n">
        <v>46229</v>
      </c>
      <c r="F757" t="inlineStr">
        <is>
          <t>GÄVLEBORGS LÄN</t>
        </is>
      </c>
      <c r="G757" t="inlineStr">
        <is>
          <t>SANDVIKEN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46130</v>
      </c>
      <c r="E758" s="1" t="n">
        <v>46229</v>
      </c>
      <c r="F758" t="inlineStr">
        <is>
          <t>GÄVLEBORGS LÄN</t>
        </is>
      </c>
      <c r="G758" t="inlineStr">
        <is>
          <t>SANDVIKEN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46229</v>
      </c>
      <c r="F759" t="inlineStr">
        <is>
          <t>GÄVLEBORGS LÄN</t>
        </is>
      </c>
      <c r="G759" t="inlineStr">
        <is>
          <t>SANDVIKEN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30721-2023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45112</v>
      </c>
      <c r="E760" s="1" t="n">
        <v>46229</v>
      </c>
      <c r="F760" t="inlineStr">
        <is>
          <t>GÄVLEBORGS LÄN</t>
        </is>
      </c>
      <c r="G760" t="inlineStr">
        <is>
          <t>SANDVIKEN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12732-2026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46091</v>
      </c>
      <c r="E761" s="1" t="n">
        <v>46229</v>
      </c>
      <c r="F761" t="inlineStr">
        <is>
          <t>GÄVLEBORGS LÄN</t>
        </is>
      </c>
      <c r="G761" t="inlineStr">
        <is>
          <t>SANDVIKEN</t>
        </is>
      </c>
      <c r="H761" t="inlineStr">
        <is>
          <t>Naturvårdsverket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26271-2026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46229</v>
      </c>
      <c r="F762" t="inlineStr">
        <is>
          <t>GÄVLEBORGS LÄN</t>
        </is>
      </c>
      <c r="G762" t="inlineStr">
        <is>
          <t>SANDVIKEN</t>
        </is>
      </c>
      <c r="H762" t="inlineStr">
        <is>
          <t>Kommuner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46132</v>
      </c>
      <c r="E763" s="1" t="n">
        <v>46229</v>
      </c>
      <c r="F763" t="inlineStr">
        <is>
          <t>GÄVLEBORGS LÄN</t>
        </is>
      </c>
      <c r="G763" t="inlineStr">
        <is>
          <t>SANDVIKEN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19273-2026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46229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19080-2026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46229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46229</v>
      </c>
      <c r="F766" t="inlineStr">
        <is>
          <t>GÄVLEBORGS LÄN</t>
        </is>
      </c>
      <c r="G766" t="inlineStr">
        <is>
          <t>SANDVIKEN</t>
        </is>
      </c>
      <c r="H766" t="inlineStr">
        <is>
          <t>Naturvårdsverket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34946-2022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44796</v>
      </c>
      <c r="E767" s="1" t="n">
        <v>46229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19865-2026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46135</v>
      </c>
      <c r="E768" s="1" t="n">
        <v>46229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38200-2024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46229</v>
      </c>
      <c r="F769" t="inlineStr">
        <is>
          <t>GÄVLEBORGS LÄN</t>
        </is>
      </c>
      <c r="G769" t="inlineStr">
        <is>
          <t>SANDVIKEN</t>
        </is>
      </c>
      <c r="H769" t="inlineStr">
        <is>
          <t>Sveaskog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19827-2026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46135</v>
      </c>
      <c r="E770" s="1" t="n">
        <v>46229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46086</v>
      </c>
      <c r="E771" s="1" t="n">
        <v>46229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8603-2026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46065</v>
      </c>
      <c r="E772" s="1" t="n">
        <v>46229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26763-2026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46229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31723-2026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46227</v>
      </c>
      <c r="E774" s="1" t="n">
        <v>46229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9.300000000000001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45070</v>
      </c>
      <c r="E775" s="1" t="n">
        <v>46229</v>
      </c>
      <c r="F775" t="inlineStr">
        <is>
          <t>GÄVLEBORGS LÄN</t>
        </is>
      </c>
      <c r="G775" t="inlineStr">
        <is>
          <t>SANDVIKEN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29608-2026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46229</v>
      </c>
      <c r="F776" t="inlineStr">
        <is>
          <t>GÄVLEBORGS LÄN</t>
        </is>
      </c>
      <c r="G776" t="inlineStr">
        <is>
          <t>SANDVIKEN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4461-2023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44956</v>
      </c>
      <c r="E777" s="1" t="n">
        <v>46229</v>
      </c>
      <c r="F777" t="inlineStr">
        <is>
          <t>GÄVLEBORGS LÄN</t>
        </is>
      </c>
      <c r="G777" t="inlineStr">
        <is>
          <t>SANDVIKEN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26818-2026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46229</v>
      </c>
      <c r="F778" t="inlineStr">
        <is>
          <t>GÄVLEBORGS LÄN</t>
        </is>
      </c>
      <c r="G778" t="inlineStr">
        <is>
          <t>SANDVIKEN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716-2024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45300</v>
      </c>
      <c r="E779" s="1" t="n">
        <v>46229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64801-2023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45282</v>
      </c>
      <c r="E780" s="1" t="n">
        <v>46229</v>
      </c>
      <c r="F780" t="inlineStr">
        <is>
          <t>GÄVLEBORGS LÄN</t>
        </is>
      </c>
      <c r="G780" t="inlineStr">
        <is>
          <t>SANDVIKEN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46184</v>
      </c>
      <c r="E781" s="1" t="n">
        <v>46229</v>
      </c>
      <c r="F781" t="inlineStr">
        <is>
          <t>GÄVLEBORGS LÄN</t>
        </is>
      </c>
      <c r="G781" t="inlineStr">
        <is>
          <t>SANDVIKEN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46229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26882-2026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46229</v>
      </c>
      <c r="F783" t="inlineStr">
        <is>
          <t>GÄVLEBORGS LÄN</t>
        </is>
      </c>
      <c r="G783" t="inlineStr">
        <is>
          <t>SANDVIKEN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26601-2026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46229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29613-2026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46229</v>
      </c>
      <c r="F785" t="inlineStr">
        <is>
          <t>GÄVLEBORGS LÄN</t>
        </is>
      </c>
      <c r="G785" t="inlineStr">
        <is>
          <t>SANDVIKEN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50765-2024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45602</v>
      </c>
      <c r="E786" s="1" t="n">
        <v>46229</v>
      </c>
      <c r="F786" t="inlineStr">
        <is>
          <t>GÄVLEBORGS LÄN</t>
        </is>
      </c>
      <c r="G786" t="inlineStr">
        <is>
          <t>SANDVIKEN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58363-2022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44901</v>
      </c>
      <c r="E787" s="1" t="n">
        <v>46229</v>
      </c>
      <c r="F787" t="inlineStr">
        <is>
          <t>GÄVLEBORGS LÄN</t>
        </is>
      </c>
      <c r="G787" t="inlineStr">
        <is>
          <t>SANDVIKEN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58983-2023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45252</v>
      </c>
      <c r="E788" s="1" t="n">
        <v>46229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45082</v>
      </c>
      <c r="E789" s="1" t="n">
        <v>46229</v>
      </c>
      <c r="F789" t="inlineStr">
        <is>
          <t>GÄVLEBORGS LÄN</t>
        </is>
      </c>
      <c r="G789" t="inlineStr">
        <is>
          <t>SANDVIKEN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2290-2025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45673</v>
      </c>
      <c r="E790" s="1" t="n">
        <v>46229</v>
      </c>
      <c r="F790" t="inlineStr">
        <is>
          <t>GÄVLEBORGS LÄN</t>
        </is>
      </c>
      <c r="G790" t="inlineStr">
        <is>
          <t>SANDVIKEN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45668</v>
      </c>
      <c r="E791" s="1" t="n">
        <v>46229</v>
      </c>
      <c r="F791" t="inlineStr">
        <is>
          <t>GÄVLEBORGS LÄN</t>
        </is>
      </c>
      <c r="G791" t="inlineStr">
        <is>
          <t>SANDVIKEN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60908-2022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44914</v>
      </c>
      <c r="E792" s="1" t="n">
        <v>46229</v>
      </c>
      <c r="F792" t="inlineStr">
        <is>
          <t>GÄVLEBORGS LÄN</t>
        </is>
      </c>
      <c r="G792" t="inlineStr">
        <is>
          <t>SANDVIKEN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59841-2023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46229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45688</v>
      </c>
      <c r="E794" s="1" t="n">
        <v>46229</v>
      </c>
      <c r="F794" t="inlineStr">
        <is>
          <t>GÄVLEBORGS LÄN</t>
        </is>
      </c>
      <c r="G794" t="inlineStr">
        <is>
          <t>SANDVIKEN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27006-2023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45094</v>
      </c>
      <c r="E795" s="1" t="n">
        <v>46229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46177-2022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44847</v>
      </c>
      <c r="E796" s="1" t="n">
        <v>46229</v>
      </c>
      <c r="F796" t="inlineStr">
        <is>
          <t>GÄVLEBORGS LÄN</t>
        </is>
      </c>
      <c r="G796" t="inlineStr">
        <is>
          <t>SANDVIKEN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19346-2023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45049</v>
      </c>
      <c r="E797" s="1" t="n">
        <v>46229</v>
      </c>
      <c r="F797" t="inlineStr">
        <is>
          <t>GÄVLEBORGS LÄN</t>
        </is>
      </c>
      <c r="G797" t="inlineStr">
        <is>
          <t>SANDVIKEN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61363-2023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45264</v>
      </c>
      <c r="E798" s="1" t="n">
        <v>46229</v>
      </c>
      <c r="F798" t="inlineStr">
        <is>
          <t>GÄVLEBORGS LÄN</t>
        </is>
      </c>
      <c r="G798" t="inlineStr">
        <is>
          <t>SANDVIKEN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46482-2023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45197</v>
      </c>
      <c r="E799" s="1" t="n">
        <v>46229</v>
      </c>
      <c r="F799" t="inlineStr">
        <is>
          <t>GÄVLEBORGS LÄN</t>
        </is>
      </c>
      <c r="G799" t="inlineStr">
        <is>
          <t>SANDVIKEN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46229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44564</v>
      </c>
      <c r="E801" s="1" t="n">
        <v>46229</v>
      </c>
      <c r="F801" t="inlineStr">
        <is>
          <t>GÄVLEBORGS LÄN</t>
        </is>
      </c>
      <c r="G801" t="inlineStr">
        <is>
          <t>SANDVIKEN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73331-2021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44551</v>
      </c>
      <c r="E802" s="1" t="n">
        <v>46229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41790-2024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46229</v>
      </c>
      <c r="F803" t="inlineStr">
        <is>
          <t>GÄVLEBORGS LÄN</t>
        </is>
      </c>
      <c r="G803" t="inlineStr">
        <is>
          <t>SANDVIKEN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21456-2023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46229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15788-2025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45748</v>
      </c>
      <c r="E805" s="1" t="n">
        <v>46229</v>
      </c>
      <c r="F805" t="inlineStr">
        <is>
          <t>GÄVLEBORGS LÄN</t>
        </is>
      </c>
      <c r="G805" t="inlineStr">
        <is>
          <t>SANDVIKEN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58797-2024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45636</v>
      </c>
      <c r="E806" s="1" t="n">
        <v>46229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24992-2023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45085</v>
      </c>
      <c r="E807" s="1" t="n">
        <v>46229</v>
      </c>
      <c r="F807" t="inlineStr">
        <is>
          <t>GÄVLEBORGS LÄN</t>
        </is>
      </c>
      <c r="G807" t="inlineStr">
        <is>
          <t>SANDVIKEN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45701</v>
      </c>
      <c r="E808" s="1" t="n">
        <v>46229</v>
      </c>
      <c r="F808" t="inlineStr">
        <is>
          <t>GÄVLEBORGS LÄN</t>
        </is>
      </c>
      <c r="G808" t="inlineStr">
        <is>
          <t>SANDVIKEN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6765-2025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45700</v>
      </c>
      <c r="E809" s="1" t="n">
        <v>46229</v>
      </c>
      <c r="F809" t="inlineStr">
        <is>
          <t>GÄVLEBORGS LÄN</t>
        </is>
      </c>
      <c r="G809" t="inlineStr">
        <is>
          <t>SANDVIKEN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47889-2022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44855</v>
      </c>
      <c r="E810" s="1" t="n">
        <v>46229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29972-2022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44756</v>
      </c>
      <c r="E811" s="1" t="n">
        <v>46229</v>
      </c>
      <c r="F811" t="inlineStr">
        <is>
          <t>GÄVLEBORGS LÄN</t>
        </is>
      </c>
      <c r="G811" t="inlineStr">
        <is>
          <t>SANDVIKEN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16385-2023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45022</v>
      </c>
      <c r="E812" s="1" t="n">
        <v>46229</v>
      </c>
      <c r="F812" t="inlineStr">
        <is>
          <t>GÄVLEBORGS LÄN</t>
        </is>
      </c>
      <c r="G812" t="inlineStr">
        <is>
          <t>SANDVIKEN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25544-2024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45463</v>
      </c>
      <c r="E813" s="1" t="n">
        <v>46229</v>
      </c>
      <c r="F813" t="inlineStr">
        <is>
          <t>GÄVLEBORGS LÄN</t>
        </is>
      </c>
      <c r="G813" t="inlineStr">
        <is>
          <t>SANDVIKEN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45541</v>
      </c>
      <c r="E814" s="1" t="n">
        <v>46229</v>
      </c>
      <c r="F814" t="inlineStr">
        <is>
          <t>GÄVLEBORGS LÄN</t>
        </is>
      </c>
      <c r="G814" t="inlineStr">
        <is>
          <t>SANDVIKEN</t>
        </is>
      </c>
      <c r="H814" t="inlineStr">
        <is>
          <t>Sveaskog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37643-2024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45541</v>
      </c>
      <c r="E815" s="1" t="n">
        <v>46229</v>
      </c>
      <c r="F815" t="inlineStr">
        <is>
          <t>GÄVLEBORGS LÄN</t>
        </is>
      </c>
      <c r="G815" t="inlineStr">
        <is>
          <t>SANDVIKEN</t>
        </is>
      </c>
      <c r="H815" t="inlineStr">
        <is>
          <t>Sveaskog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3899-2022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44587</v>
      </c>
      <c r="E816" s="1" t="n">
        <v>46229</v>
      </c>
      <c r="F816" t="inlineStr">
        <is>
          <t>GÄVLEBORGS LÄN</t>
        </is>
      </c>
      <c r="G816" t="inlineStr">
        <is>
          <t>SANDVIKEN</t>
        </is>
      </c>
      <c r="H816" t="inlineStr">
        <is>
          <t>Kyrkan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45327</v>
      </c>
      <c r="E817" s="1" t="n">
        <v>46229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46229</v>
      </c>
      <c r="F818" t="inlineStr">
        <is>
          <t>GÄVLEBORGS LÄN</t>
        </is>
      </c>
      <c r="G818" t="inlineStr">
        <is>
          <t>SANDVIKEN</t>
        </is>
      </c>
      <c r="I818" t="n">
        <v>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15671-2024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45404</v>
      </c>
      <c r="E819" s="1" t="n">
        <v>46229</v>
      </c>
      <c r="F819" t="inlineStr">
        <is>
          <t>GÄVLEBORGS LÄN</t>
        </is>
      </c>
      <c r="G819" t="inlineStr">
        <is>
          <t>SANDVIKEN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48435-2024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46229</v>
      </c>
      <c r="F820" t="inlineStr">
        <is>
          <t>GÄVLEBORGS LÄN</t>
        </is>
      </c>
      <c r="G820" t="inlineStr">
        <is>
          <t>SANDVIKEN</t>
        </is>
      </c>
      <c r="I820" t="n">
        <v>6.7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45672</v>
      </c>
      <c r="E821" s="1" t="n">
        <v>46229</v>
      </c>
      <c r="F821" t="inlineStr">
        <is>
          <t>GÄVLEBORGS LÄN</t>
        </is>
      </c>
      <c r="G821" t="inlineStr">
        <is>
          <t>SANDVIKEN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49518-2023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45211</v>
      </c>
      <c r="E822" s="1" t="n">
        <v>46229</v>
      </c>
      <c r="F822" t="inlineStr">
        <is>
          <t>GÄVLEBORGS LÄN</t>
        </is>
      </c>
      <c r="G822" t="inlineStr">
        <is>
          <t>SANDVIKEN</t>
        </is>
      </c>
      <c r="I822" t="n">
        <v>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44566</v>
      </c>
      <c r="E823" s="1" t="n">
        <v>46229</v>
      </c>
      <c r="F823" t="inlineStr">
        <is>
          <t>GÄVLEBORGS LÄN</t>
        </is>
      </c>
      <c r="G823" t="inlineStr">
        <is>
          <t>SANDVIKEN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36656-2023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45153</v>
      </c>
      <c r="E824" s="1" t="n">
        <v>46229</v>
      </c>
      <c r="F824" t="inlineStr">
        <is>
          <t>GÄVLEBORGS LÄN</t>
        </is>
      </c>
      <c r="G824" t="inlineStr">
        <is>
          <t>SANDVIKEN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16258-2023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45022</v>
      </c>
      <c r="E825" s="1" t="n">
        <v>46229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väst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21182-2025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45779</v>
      </c>
      <c r="E826" s="1" t="n">
        <v>46229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46229</v>
      </c>
      <c r="F827" t="inlineStr">
        <is>
          <t>GÄVLEBORGS LÄN</t>
        </is>
      </c>
      <c r="G827" t="inlineStr">
        <is>
          <t>SANDVIKEN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48319-2023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46229</v>
      </c>
      <c r="F828" t="inlineStr">
        <is>
          <t>GÄVLEBORGS LÄN</t>
        </is>
      </c>
      <c r="G828" t="inlineStr">
        <is>
          <t>SANDVIKEN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55446-2024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45622</v>
      </c>
      <c r="E829" s="1" t="n">
        <v>46229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45679</v>
      </c>
      <c r="E830" s="1" t="n">
        <v>46229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40460-2024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45555</v>
      </c>
      <c r="E831" s="1" t="n">
        <v>46229</v>
      </c>
      <c r="F831" t="inlineStr">
        <is>
          <t>GÄVLEBORGS LÄN</t>
        </is>
      </c>
      <c r="G831" t="inlineStr">
        <is>
          <t>SANDVIKEN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41284-2023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45174</v>
      </c>
      <c r="E832" s="1" t="n">
        <v>46229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69521-2021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44531</v>
      </c>
      <c r="E833" s="1" t="n">
        <v>46229</v>
      </c>
      <c r="F833" t="inlineStr">
        <is>
          <t>GÄVLEBORGS LÄN</t>
        </is>
      </c>
      <c r="G833" t="inlineStr">
        <is>
          <t>SANDVIKEN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56019-2023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45240</v>
      </c>
      <c r="E834" s="1" t="n">
        <v>46229</v>
      </c>
      <c r="F834" t="inlineStr">
        <is>
          <t>GÄVLEBORGS LÄN</t>
        </is>
      </c>
      <c r="G834" t="inlineStr">
        <is>
          <t>SANDVIKEN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42950-2023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45178</v>
      </c>
      <c r="E835" s="1" t="n">
        <v>46229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väst AB</t>
        </is>
      </c>
      <c r="I835" t="n">
        <v>16.5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45520</v>
      </c>
      <c r="E836" s="1" t="n">
        <v>46229</v>
      </c>
      <c r="F836" t="inlineStr">
        <is>
          <t>GÄVLEBORGS LÄN</t>
        </is>
      </c>
      <c r="G836" t="inlineStr">
        <is>
          <t>SANDVIKEN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34429-2024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45525</v>
      </c>
      <c r="E837" s="1" t="n">
        <v>46229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45404</v>
      </c>
      <c r="E838" s="1" t="n">
        <v>46229</v>
      </c>
      <c r="F838" t="inlineStr">
        <is>
          <t>GÄVLEBORGS LÄN</t>
        </is>
      </c>
      <c r="G838" t="inlineStr">
        <is>
          <t>SANDVIKEN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44289-2023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46229</v>
      </c>
      <c r="F839" t="inlineStr">
        <is>
          <t>GÄVLEBORGS LÄN</t>
        </is>
      </c>
      <c r="G839" t="inlineStr">
        <is>
          <t>SANDVIKEN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27872-2024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45475</v>
      </c>
      <c r="E840" s="1" t="n">
        <v>46229</v>
      </c>
      <c r="F840" t="inlineStr">
        <is>
          <t>GÄVLEBORGS LÄN</t>
        </is>
      </c>
      <c r="G840" t="inlineStr">
        <is>
          <t>SANDVIKEN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2358-2025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45673</v>
      </c>
      <c r="E841" s="1" t="n">
        <v>46229</v>
      </c>
      <c r="F841" t="inlineStr">
        <is>
          <t>GÄVLEBORGS LÄN</t>
        </is>
      </c>
      <c r="G841" t="inlineStr">
        <is>
          <t>SANDVIKEN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18725-2025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45763</v>
      </c>
      <c r="E842" s="1" t="n">
        <v>46229</v>
      </c>
      <c r="F842" t="inlineStr">
        <is>
          <t>GÄVLEBORGS LÄN</t>
        </is>
      </c>
      <c r="G842" t="inlineStr">
        <is>
          <t>SANDVIKEN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64000-2023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46229</v>
      </c>
      <c r="F843" t="inlineStr">
        <is>
          <t>GÄVLEBORGS LÄN</t>
        </is>
      </c>
      <c r="G843" t="inlineStr">
        <is>
          <t>SANDVIKEN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17735-2024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45418</v>
      </c>
      <c r="E844" s="1" t="n">
        <v>46229</v>
      </c>
      <c r="F844" t="inlineStr">
        <is>
          <t>GÄVLEBORGS LÄN</t>
        </is>
      </c>
      <c r="G844" t="inlineStr">
        <is>
          <t>SANDVIKEN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53322-2024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45614</v>
      </c>
      <c r="E845" s="1" t="n">
        <v>46229</v>
      </c>
      <c r="F845" t="inlineStr">
        <is>
          <t>GÄVLEBORGS LÄN</t>
        </is>
      </c>
      <c r="G845" t="inlineStr">
        <is>
          <t>SANDVIKEN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24940-2025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45799</v>
      </c>
      <c r="E846" s="1" t="n">
        <v>46229</v>
      </c>
      <c r="F846" t="inlineStr">
        <is>
          <t>GÄVLEBORGS LÄN</t>
        </is>
      </c>
      <c r="G846" t="inlineStr">
        <is>
          <t>SANDVIKEN</t>
        </is>
      </c>
      <c r="I846" t="n">
        <v>3.8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24948-2025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45799</v>
      </c>
      <c r="E847" s="1" t="n">
        <v>46229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24953-2025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46229</v>
      </c>
      <c r="F848" t="inlineStr">
        <is>
          <t>GÄVLEBORGS LÄN</t>
        </is>
      </c>
      <c r="G848" t="inlineStr">
        <is>
          <t>SANDVIKEN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33136-2023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45126</v>
      </c>
      <c r="E849" s="1" t="n">
        <v>46229</v>
      </c>
      <c r="F849" t="inlineStr">
        <is>
          <t>GÄVLEBORGS LÄN</t>
        </is>
      </c>
      <c r="G849" t="inlineStr">
        <is>
          <t>SANDVIKEN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25300-2025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46229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25327-2025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45800</v>
      </c>
      <c r="E851" s="1" t="n">
        <v>46229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25111-2025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45800</v>
      </c>
      <c r="E852" s="1" t="n">
        <v>46229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25317-2025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45800</v>
      </c>
      <c r="E853" s="1" t="n">
        <v>46229</v>
      </c>
      <c r="F853" t="inlineStr">
        <is>
          <t>GÄVLEBORGS LÄN</t>
        </is>
      </c>
      <c r="G853" t="inlineStr">
        <is>
          <t>SANDVIKEN</t>
        </is>
      </c>
      <c r="H853" t="inlineStr">
        <is>
          <t>Sveaskog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26294-2025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45805</v>
      </c>
      <c r="E854" s="1" t="n">
        <v>46229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26787-2025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45810</v>
      </c>
      <c r="E855" s="1" t="n">
        <v>46229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28468-2025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45819</v>
      </c>
      <c r="E856" s="1" t="n">
        <v>46229</v>
      </c>
      <c r="F856" t="inlineStr">
        <is>
          <t>GÄVLEBORGS LÄN</t>
        </is>
      </c>
      <c r="G856" t="inlineStr">
        <is>
          <t>SANDVIKEN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28424-2025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45819</v>
      </c>
      <c r="E857" s="1" t="n">
        <v>46229</v>
      </c>
      <c r="F857" t="inlineStr">
        <is>
          <t>GÄVLEBORGS LÄN</t>
        </is>
      </c>
      <c r="G857" t="inlineStr">
        <is>
          <t>SANDVIKEN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28476-2025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46229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46229</v>
      </c>
      <c r="F859" t="inlineStr">
        <is>
          <t>GÄVLEBORGS LÄN</t>
        </is>
      </c>
      <c r="G859" t="inlineStr">
        <is>
          <t>SANDVIKEN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30203-2025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45827</v>
      </c>
      <c r="E860" s="1" t="n">
        <v>46229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31460-2025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45833</v>
      </c>
      <c r="E861" s="1" t="n">
        <v>46229</v>
      </c>
      <c r="F861" t="inlineStr">
        <is>
          <t>GÄVLEBORGS LÄN</t>
        </is>
      </c>
      <c r="G861" t="inlineStr">
        <is>
          <t>SANDVIKEN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31145-2025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45832</v>
      </c>
      <c r="E862" s="1" t="n">
        <v>46229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30843-2025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45831</v>
      </c>
      <c r="E863" s="1" t="n">
        <v>46229</v>
      </c>
      <c r="F863" t="inlineStr">
        <is>
          <t>GÄVLEBORGS LÄN</t>
        </is>
      </c>
      <c r="G863" t="inlineStr">
        <is>
          <t>SANDVIKEN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33015-2025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45840</v>
      </c>
      <c r="E864" s="1" t="n">
        <v>46229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27.3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46229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18357-2025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45762</v>
      </c>
      <c r="E866" s="1" t="n">
        <v>46229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33757-2025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45842</v>
      </c>
      <c r="E867" s="1" t="n">
        <v>46229</v>
      </c>
      <c r="F867" t="inlineStr">
        <is>
          <t>GÄVLEBORGS LÄN</t>
        </is>
      </c>
      <c r="G867" t="inlineStr">
        <is>
          <t>SANDVIKEN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35995-2025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45863</v>
      </c>
      <c r="E868" s="1" t="n">
        <v>46229</v>
      </c>
      <c r="F868" t="inlineStr">
        <is>
          <t>GÄVLEBORGS LÄN</t>
        </is>
      </c>
      <c r="G868" t="inlineStr">
        <is>
          <t>SANDVIKEN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36107-2025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45866</v>
      </c>
      <c r="E869" s="1" t="n">
        <v>46229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36091-2025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45866</v>
      </c>
      <c r="E870" s="1" t="n">
        <v>46229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36212-2025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45867</v>
      </c>
      <c r="E871" s="1" t="n">
        <v>46229</v>
      </c>
      <c r="F871" t="inlineStr">
        <is>
          <t>GÄVLEBORGS LÄN</t>
        </is>
      </c>
      <c r="G871" t="inlineStr">
        <is>
          <t>SANDVIKEN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32849-2022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44784</v>
      </c>
      <c r="E872" s="1" t="n">
        <v>46229</v>
      </c>
      <c r="F872" t="inlineStr">
        <is>
          <t>GÄVLEBORGS LÄN</t>
        </is>
      </c>
      <c r="G872" t="inlineStr">
        <is>
          <t>SANDVIKEN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2071-2020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44102</v>
      </c>
      <c r="E873" s="1" t="n">
        <v>46229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42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46229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46229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7975-2021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44484</v>
      </c>
      <c r="E876" s="1" t="n">
        <v>46229</v>
      </c>
      <c r="F876" t="inlineStr">
        <is>
          <t>GÄVLEBORGS LÄN</t>
        </is>
      </c>
      <c r="G876" t="inlineStr">
        <is>
          <t>SANDVIKEN</t>
        </is>
      </c>
      <c r="H876" t="inlineStr">
        <is>
          <t>Kommuner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2574-2023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45142</v>
      </c>
      <c r="E877" s="1" t="n">
        <v>46229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31.8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10363-2021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44550</v>
      </c>
      <c r="E878" s="1" t="n">
        <v>46229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73.3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513-2025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45706</v>
      </c>
      <c r="E879" s="1" t="n">
        <v>46229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706-2025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45720</v>
      </c>
      <c r="E880" s="1" t="n">
        <v>46229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väst AB</t>
        </is>
      </c>
      <c r="I880" t="n">
        <v>24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531-2025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46229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14.4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530-2025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45707</v>
      </c>
      <c r="E882" s="1" t="n">
        <v>46229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318-2026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46229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14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320-2026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46059</v>
      </c>
      <c r="E884" s="1" t="n">
        <v>46229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36.3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664-2026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46229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>
      <c r="A886" t="inlineStr">
        <is>
          <t>S 677-2026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46089</v>
      </c>
      <c r="E886" s="1" t="n">
        <v>46229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61.3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2026-07-26T01:51:49Z</dcterms:created>
  <dcterms:modified xmlns:dcterms="http://purl.org/dc/terms/" xmlns:xsi="http://www.w3.org/2001/XMLSchema-instance" xsi:type="dcterms:W3CDTF">2026-07-26T01:51:50Z</dcterms:modified>
</cp:coreProperties>
</file>