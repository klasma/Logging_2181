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46316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12192-2026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46086</v>
      </c>
      <c r="E12" s="1" t="n">
        <v>46316</v>
      </c>
      <c r="F12" t="inlineStr">
        <is>
          <t>GÄVLEBORGS LÄN</t>
        </is>
      </c>
      <c r="G12" t="inlineStr">
        <is>
          <t>SANDVIKEN</t>
        </is>
      </c>
      <c r="I12" t="n">
        <v>0.6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9</v>
      </c>
      <c r="U12" t="n">
        <v>9</v>
      </c>
      <c r="V12" s="2" t="inlineStr">
        <is>
          <t>Knärot
Kattfotslav
Tretåig hackspett
Spillkråka</t>
        </is>
      </c>
      <c r="W12">
        <f>HYPERLINK("https://klasma.github.io/Logging_2181/artfynd/A 12192-2026 artfynd.xlsx", "A 12192-2026")</f>
        <v/>
      </c>
      <c r="X12">
        <f>HYPERLINK("https://klasma.github.io/Logging_2181/kartor/A 12192-2026 karta.png", "A 12192-2026")</f>
        <v/>
      </c>
      <c r="Y12">
        <f>HYPERLINK("https://klasma.github.io/Logging_2181/kartor_geotiff/A 12192-2026 georefererad karta.tif", "A 12192-2026")</f>
        <v/>
      </c>
      <c r="Z12">
        <f>HYPERLINK("https://klasma.github.io/Logging_2181/knärot/A 12192-2026 karta knärot.png", "A 12192-2026")</f>
        <v/>
      </c>
      <c r="AA12">
        <f>HYPERLINK("https://klasma.github.io/Logging_2181/klagomål/A 12192-2026 FSC-klagomål.docx", "A 12192-2026")</f>
        <v/>
      </c>
      <c r="AB12">
        <f>HYPERLINK("https://klasma.github.io/Logging_2181/klagomålsmail/A 12192-2026 FSC-klagomål mail.docx", "A 12192-2026")</f>
        <v/>
      </c>
      <c r="AC12">
        <f>HYPERLINK("https://klasma.github.io/Logging_2181/tillsyn/A 12192-2026 tillsynsbegäran.docx", "A 12192-2026")</f>
        <v/>
      </c>
      <c r="AD12">
        <f>HYPERLINK("https://klasma.github.io/Logging_2181/tillsynsmail/A 12192-2026 tillsynsbegäran mail.docx", "A 12192-2026")</f>
        <v/>
      </c>
      <c r="AE12">
        <f>HYPERLINK("https://klasma.github.io/Logging_2181/fåglar/A 12192-2026 prioriterade fågelarter.docx", "A 12192-2026")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46316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46316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46316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26047-2026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46181</v>
      </c>
      <c r="E17" s="1" t="n">
        <v>46316</v>
      </c>
      <c r="F17" t="inlineStr">
        <is>
          <t>GÄVLEBORGS LÄN</t>
        </is>
      </c>
      <c r="G17" t="inlineStr">
        <is>
          <t>SANDVIKEN</t>
        </is>
      </c>
      <c r="H17" t="inlineStr">
        <is>
          <t>Kommuner</t>
        </is>
      </c>
      <c r="I17" t="n">
        <v>8.199999999999999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Blå taggsvamp
Nordfladdermus
Talltita
Kungsfågel</t>
        </is>
      </c>
      <c r="W17">
        <f>HYPERLINK("https://klasma.github.io/Logging_2181/artfynd/A 26047-2026 artfynd.xlsx", "A 26047-2026")</f>
        <v/>
      </c>
      <c r="X17">
        <f>HYPERLINK("https://klasma.github.io/Logging_2181/kartor/A 26047-2026 karta.png", "A 26047-2026")</f>
        <v/>
      </c>
      <c r="Y17">
        <f>HYPERLINK("https://klasma.github.io/Logging_2181/kartor_geotiff/A 26047-2026 georefererad karta.tif", "A 26047-2026")</f>
        <v/>
      </c>
      <c r="AA17">
        <f>HYPERLINK("https://klasma.github.io/Logging_2181/klagomål/A 26047-2026 FSC-klagomål.docx", "A 26047-2026")</f>
        <v/>
      </c>
      <c r="AB17">
        <f>HYPERLINK("https://klasma.github.io/Logging_2181/klagomålsmail/A 26047-2026 FSC-klagomål mail.docx", "A 26047-2026")</f>
        <v/>
      </c>
      <c r="AC17">
        <f>HYPERLINK("https://klasma.github.io/Logging_2181/tillsyn/A 26047-2026 tillsynsbegäran.docx", "A 26047-2026")</f>
        <v/>
      </c>
      <c r="AD17">
        <f>HYPERLINK("https://klasma.github.io/Logging_2181/tillsynsmail/A 26047-2026 tillsynsbegäran mail.docx", "A 26047-2026")</f>
        <v/>
      </c>
      <c r="AE17">
        <f>HYPERLINK("https://klasma.github.io/Logging_2181/fåglar/A 26047-2026 prioriterade fågelarter.docx", "A 26047-2026")</f>
        <v/>
      </c>
    </row>
    <row r="18" ht="15" customHeight="1">
      <c r="A18" t="inlineStr">
        <is>
          <t>A 26271-2026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46316</v>
      </c>
      <c r="F18" t="inlineStr">
        <is>
          <t>GÄVLEBORGS LÄN</t>
        </is>
      </c>
      <c r="G18" t="inlineStr">
        <is>
          <t>SANDVIKEN</t>
        </is>
      </c>
      <c r="H18" t="inlineStr">
        <is>
          <t>Kommuner</t>
        </is>
      </c>
      <c r="I18" t="n">
        <v>3.8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Brunlångöra
Nordfladdermus
Vattenfladdermus
Fläcknycklar</t>
        </is>
      </c>
      <c r="W18">
        <f>HYPERLINK("https://klasma.github.io/Logging_2181/artfynd/A 26271-2026 artfynd.xlsx", "A 26271-2026")</f>
        <v/>
      </c>
      <c r="X18">
        <f>HYPERLINK("https://klasma.github.io/Logging_2181/kartor/A 26271-2026 karta.png", "A 26271-2026")</f>
        <v/>
      </c>
      <c r="Y18">
        <f>HYPERLINK("https://klasma.github.io/Logging_2181/kartor_geotiff/A 26271-2026 georefererad karta.tif", "A 26271-2026")</f>
        <v/>
      </c>
      <c r="AA18">
        <f>HYPERLINK("https://klasma.github.io/Logging_2181/klagomål/A 26271-2026 FSC-klagomål.docx", "A 26271-2026")</f>
        <v/>
      </c>
      <c r="AB18">
        <f>HYPERLINK("https://klasma.github.io/Logging_2181/klagomålsmail/A 26271-2026 FSC-klagomål mail.docx", "A 26271-2026")</f>
        <v/>
      </c>
      <c r="AC18">
        <f>HYPERLINK("https://klasma.github.io/Logging_2181/tillsyn/A 26271-2026 tillsynsbegäran.docx", "A 26271-2026")</f>
        <v/>
      </c>
      <c r="AD18">
        <f>HYPERLINK("https://klasma.github.io/Logging_2181/tillsynsmail/A 26271-2026 tillsynsbegäran mail.docx", "A 26271-2026")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46316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A 37635-2024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46316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25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7</v>
      </c>
      <c r="U20" t="n">
        <v>0</v>
      </c>
      <c r="V20" s="2" t="inlineStr">
        <is>
          <t>Talltita
Tjäder
Kungsfågel
Revlummer</t>
        </is>
      </c>
      <c r="W20">
        <f>HYPERLINK("https://klasma.github.io/Logging_2181/artfynd/A 37635-2024 artfynd.xlsx", "A 37635-2024")</f>
        <v/>
      </c>
      <c r="X20">
        <f>HYPERLINK("https://klasma.github.io/Logging_2181/kartor/A 37635-2024 karta.png", "A 37635-2024")</f>
        <v/>
      </c>
      <c r="Y20">
        <f>HYPERLINK("https://klasma.github.io/Logging_2181/kartor_geotiff/A 37635-2024 georefererad karta.tif", "A 37635-2024")</f>
        <v/>
      </c>
      <c r="AA20">
        <f>HYPERLINK("https://klasma.github.io/Logging_2181/klagomål/A 37635-2024 FSC-klagomål.docx", "A 37635-2024")</f>
        <v/>
      </c>
      <c r="AB20">
        <f>HYPERLINK("https://klasma.github.io/Logging_2181/klagomålsmail/A 37635-2024 FSC-klagomål mail.docx", "A 37635-2024")</f>
        <v/>
      </c>
      <c r="AC20">
        <f>HYPERLINK("https://klasma.github.io/Logging_2181/tillsyn/A 37635-2024 tillsynsbegäran.docx", "A 37635-2024")</f>
        <v/>
      </c>
      <c r="AD20">
        <f>HYPERLINK("https://klasma.github.io/Logging_2181/tillsynsmail/A 37635-2024 tillsynsbegäran mail.docx", "A 37635-2024")</f>
        <v/>
      </c>
      <c r="AE20">
        <f>HYPERLINK("https://klasma.github.io/Logging_2181/fåglar/A 37635-2024 prioriterade fågelarter.docx", "A 37635-2024")</f>
        <v/>
      </c>
    </row>
    <row r="21" ht="15" customHeight="1">
      <c r="A21" t="inlineStr">
        <is>
          <t>A 15650-2024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46316</v>
      </c>
      <c r="F21" t="inlineStr">
        <is>
          <t>GÄVLEBORGS LÄN</t>
        </is>
      </c>
      <c r="G21" t="inlineStr">
        <is>
          <t>SANDVIKEN</t>
        </is>
      </c>
      <c r="H21" t="inlineStr">
        <is>
          <t>Bergvik skog öst AB</t>
        </is>
      </c>
      <c r="I21" t="n">
        <v>9.300000000000001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20</v>
      </c>
      <c r="U21" t="n">
        <v>20</v>
      </c>
      <c r="V21" s="2" t="inlineStr">
        <is>
          <t>Knärot
Dropptaggsvamp
Fjällig taggsvamp s.str.
Grönpyrola</t>
        </is>
      </c>
      <c r="W21">
        <f>HYPERLINK("https://klasma.github.io/Logging_2181/artfynd/A 15650-2024 artfynd.xlsx", "A 15650-2024")</f>
        <v/>
      </c>
      <c r="X21">
        <f>HYPERLINK("https://klasma.github.io/Logging_2181/kartor/A 15650-2024 karta.png", "A 15650-2024")</f>
        <v/>
      </c>
      <c r="Y21">
        <f>HYPERLINK("https://klasma.github.io/Logging_2181/kartor_geotiff/A 15650-2024 georefererad karta.tif", "A 15650-2024")</f>
        <v/>
      </c>
      <c r="Z21">
        <f>HYPERLINK("https://klasma.github.io/Logging_2181/knärot/A 15650-2024 karta knärot.png", "A 15650-2024")</f>
        <v/>
      </c>
      <c r="AA21">
        <f>HYPERLINK("https://klasma.github.io/Logging_2181/klagomål/A 15650-2024 FSC-klagomål.docx", "A 15650-2024")</f>
        <v/>
      </c>
      <c r="AB21">
        <f>HYPERLINK("https://klasma.github.io/Logging_2181/klagomålsmail/A 15650-2024 FSC-klagomål mail.docx", "A 15650-2024")</f>
        <v/>
      </c>
      <c r="AC21">
        <f>HYPERLINK("https://klasma.github.io/Logging_2181/tillsyn/A 15650-2024 tillsynsbegäran.docx", "A 15650-2024")</f>
        <v/>
      </c>
      <c r="AD21">
        <f>HYPERLINK("https://klasma.github.io/Logging_2181/tillsynsmail/A 15650-2024 tillsynsbegäran mail.docx", "A 15650-2024")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46316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46316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46316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46316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46316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46316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46316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46316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46316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46316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46316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46316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35523-2022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44799</v>
      </c>
      <c r="E37" s="1" t="n">
        <v>46316</v>
      </c>
      <c r="F37" t="inlineStr">
        <is>
          <t>GÄVLEBORGS LÄN</t>
        </is>
      </c>
      <c r="G37" t="inlineStr">
        <is>
          <t>SANDVIKEN</t>
        </is>
      </c>
      <c r="I37" t="n">
        <v>2.1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Nattviol</t>
        </is>
      </c>
      <c r="W37">
        <f>HYPERLINK("https://klasma.github.io/Logging_2181/artfynd/A 35523-2022 artfynd.xlsx", "A 35523-2022")</f>
        <v/>
      </c>
      <c r="X37">
        <f>HYPERLINK("https://klasma.github.io/Logging_2181/kartor/A 35523-2022 karta.png", "A 35523-2022")</f>
        <v/>
      </c>
      <c r="Y37">
        <f>HYPERLINK("https://klasma.github.io/Logging_2181/kartor_geotiff/A 35523-2022 georefererad karta.tif", "A 35523-2022")</f>
        <v/>
      </c>
      <c r="Z37">
        <f>HYPERLINK("https://klasma.github.io/Logging_2181/knärot/A 35523-2022 karta knärot.png", "A 35523-2022")</f>
        <v/>
      </c>
      <c r="AA37">
        <f>HYPERLINK("https://klasma.github.io/Logging_2181/klagomål/A 35523-2022 FSC-klagomål.docx", "A 35523-2022")</f>
        <v/>
      </c>
      <c r="AB37">
        <f>HYPERLINK("https://klasma.github.io/Logging_2181/klagomålsmail/A 35523-2022 FSC-klagomål mail.docx", "A 35523-2022")</f>
        <v/>
      </c>
      <c r="AC37">
        <f>HYPERLINK("https://klasma.github.io/Logging_2181/tillsyn/A 35523-2022 tillsynsbegäran.docx", "A 35523-2022")</f>
        <v/>
      </c>
      <c r="AD37">
        <f>HYPERLINK("https://klasma.github.io/Logging_2181/tillsynsmail/A 35523-2022 tillsynsbegäran mail.docx", "A 35523-2022")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46316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46316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46316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46316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42869-2024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46316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6.9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Rödgul trumpetsvamp
Vanlig padda</t>
        </is>
      </c>
      <c r="W42">
        <f>HYPERLINK("https://klasma.github.io/Logging_2181/artfynd/A 42869-2024 artfynd.xlsx", "A 42869-2024")</f>
        <v/>
      </c>
      <c r="X42">
        <f>HYPERLINK("https://klasma.github.io/Logging_2181/kartor/A 42869-2024 karta.png", "A 42869-2024")</f>
        <v/>
      </c>
      <c r="Y42">
        <f>HYPERLINK("https://klasma.github.io/Logging_2181/kartor_geotiff/A 42869-2024 georefererad karta.tif", "A 42869-2024")</f>
        <v/>
      </c>
      <c r="AA42">
        <f>HYPERLINK("https://klasma.github.io/Logging_2181/klagomål/A 42869-2024 FSC-klagomål.docx", "A 42869-2024")</f>
        <v/>
      </c>
      <c r="AB42">
        <f>HYPERLINK("https://klasma.github.io/Logging_2181/klagomålsmail/A 42869-2024 FSC-klagomål mail.docx", "A 42869-2024")</f>
        <v/>
      </c>
      <c r="AC42">
        <f>HYPERLINK("https://klasma.github.io/Logging_2181/tillsyn/A 42869-2024 tillsynsbegäran.docx", "A 42869-2024")</f>
        <v/>
      </c>
      <c r="AD42">
        <f>HYPERLINK("https://klasma.github.io/Logging_2181/tillsynsmail/A 42869-2024 tillsynsbegäran mail.docx", "A 42869-2024")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46316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46316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46316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46316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46316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46316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46316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46316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46316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46316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46316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46316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46316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58845-2023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46316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Vanlig padda</t>
        </is>
      </c>
      <c r="W57">
        <f>HYPERLINK("https://klasma.github.io/Logging_2181/artfynd/A 58845-2023 artfynd.xlsx", "A 58845-2023")</f>
        <v/>
      </c>
      <c r="X57">
        <f>HYPERLINK("https://klasma.github.io/Logging_2181/kartor/A 58845-2023 karta.png", "A 58845-2023")</f>
        <v/>
      </c>
      <c r="Y57">
        <f>HYPERLINK("https://klasma.github.io/Logging_2181/kartor_geotiff/A 58845-2023 georefererad karta.tif", "A 58845-2023")</f>
        <v/>
      </c>
      <c r="AA57">
        <f>HYPERLINK("https://klasma.github.io/Logging_2181/klagomål/A 58845-2023 FSC-klagomål.docx", "A 58845-2023")</f>
        <v/>
      </c>
      <c r="AB57">
        <f>HYPERLINK("https://klasma.github.io/Logging_2181/klagomålsmail/A 58845-2023 FSC-klagomål mail.docx", "A 58845-2023")</f>
        <v/>
      </c>
      <c r="AC57">
        <f>HYPERLINK("https://klasma.github.io/Logging_2181/tillsyn/A 58845-2023 tillsynsbegäran.docx", "A 58845-2023")</f>
        <v/>
      </c>
      <c r="AD57">
        <f>HYPERLINK("https://klasma.github.io/Logging_2181/tillsynsmail/A 58845-2023 tillsynsbegäran mail.docx", "A 58845-2023")</f>
        <v/>
      </c>
    </row>
    <row r="58" ht="15" customHeight="1">
      <c r="A58" t="inlineStr">
        <is>
          <t>A 25314-2025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46316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Garnlav</t>
        </is>
      </c>
      <c r="W58">
        <f>HYPERLINK("https://klasma.github.io/Logging_2181/artfynd/A 25314-2025 artfynd.xlsx", "A 25314-2025")</f>
        <v/>
      </c>
      <c r="X58">
        <f>HYPERLINK("https://klasma.github.io/Logging_2181/kartor/A 25314-2025 karta.png", "A 25314-2025")</f>
        <v/>
      </c>
      <c r="Y58">
        <f>HYPERLINK("https://klasma.github.io/Logging_2181/kartor_geotiff/A 25314-2025 georefererad karta.tif", "A 25314-2025")</f>
        <v/>
      </c>
      <c r="AA58">
        <f>HYPERLINK("https://klasma.github.io/Logging_2181/klagomål/A 25314-2025 FSC-klagomål.docx", "A 25314-2025")</f>
        <v/>
      </c>
      <c r="AB58">
        <f>HYPERLINK("https://klasma.github.io/Logging_2181/klagomålsmail/A 25314-2025 FSC-klagomål mail.docx", "A 25314-2025")</f>
        <v/>
      </c>
      <c r="AC58">
        <f>HYPERLINK("https://klasma.github.io/Logging_2181/tillsyn/A 25314-2025 tillsynsbegäran.docx", "A 25314-2025")</f>
        <v/>
      </c>
      <c r="AD58">
        <f>HYPERLINK("https://klasma.github.io/Logging_2181/tillsynsmail/A 25314-2025 tillsynsbegäran mail.docx", "A 25314-2025")</f>
        <v/>
      </c>
    </row>
    <row r="59" ht="15" customHeight="1">
      <c r="A59" t="inlineStr">
        <is>
          <t>A 25323-2025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46316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3</v>
      </c>
      <c r="V59" s="2" t="inlineStr">
        <is>
          <t>Plattlummer</t>
        </is>
      </c>
      <c r="W59">
        <f>HYPERLINK("https://klasma.github.io/Logging_2181/artfynd/A 25323-2025 artfynd.xlsx", "A 25323-2025")</f>
        <v/>
      </c>
      <c r="X59">
        <f>HYPERLINK("https://klasma.github.io/Logging_2181/kartor/A 25323-2025 karta.png", "A 25323-2025")</f>
        <v/>
      </c>
      <c r="Y59">
        <f>HYPERLINK("https://klasma.github.io/Logging_2181/kartor_geotiff/A 25323-2025 georefererad karta.tif", "A 25323-2025")</f>
        <v/>
      </c>
      <c r="AA59">
        <f>HYPERLINK("https://klasma.github.io/Logging_2181/klagomål/A 25323-2025 FSC-klagomål.docx", "A 25323-2025")</f>
        <v/>
      </c>
      <c r="AB59">
        <f>HYPERLINK("https://klasma.github.io/Logging_2181/klagomålsmail/A 25323-2025 FSC-klagomål mail.docx", "A 25323-2025")</f>
        <v/>
      </c>
      <c r="AC59">
        <f>HYPERLINK("https://klasma.github.io/Logging_2181/tillsyn/A 25323-2025 tillsynsbegäran.docx", "A 25323-2025")</f>
        <v/>
      </c>
      <c r="AD59">
        <f>HYPERLINK("https://klasma.github.io/Logging_2181/tillsynsmail/A 25323-2025 tillsynsbegäran mail.docx", "A 25323-2025")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46316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46316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46316</v>
      </c>
      <c r="F62" t="inlineStr">
        <is>
          <t>GÄVLEBORGS LÄN</t>
        </is>
      </c>
      <c r="G62" t="inlineStr">
        <is>
          <t>SANDVIKEN</t>
        </is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Dvärghäxört</t>
        </is>
      </c>
      <c r="W62">
        <f>HYPERLINK("https://klasma.github.io/Logging_2181/artfynd/A 448-2026 artfynd.xlsx", "A 448-2026")</f>
        <v/>
      </c>
      <c r="X62">
        <f>HYPERLINK("https://klasma.github.io/Logging_2181/kartor/A 448-2026 karta.png", "A 448-2026")</f>
        <v/>
      </c>
      <c r="Y62">
        <f>HYPERLINK("https://klasma.github.io/Logging_2181/kartor_geotiff/A 448-2026 georefererad karta.tif", "A 448-2026")</f>
        <v/>
      </c>
      <c r="AA62">
        <f>HYPERLINK("https://klasma.github.io/Logging_2181/klagomål/A 448-2026 FSC-klagomål.docx", "A 448-2026")</f>
        <v/>
      </c>
      <c r="AB62">
        <f>HYPERLINK("https://klasma.github.io/Logging_2181/klagomålsmail/A 448-2026 FSC-klagomål mail.docx", "A 448-2026")</f>
        <v/>
      </c>
      <c r="AC62">
        <f>HYPERLINK("https://klasma.github.io/Logging_2181/tillsyn/A 448-2026 tillsynsbegäran.docx", "A 448-2026")</f>
        <v/>
      </c>
      <c r="AD62">
        <f>HYPERLINK("https://klasma.github.io/Logging_2181/tillsynsmail/A 448-2026 tillsynsbegäran mail.docx", "A 448-2026")</f>
        <v/>
      </c>
    </row>
    <row r="63" ht="15" customHeight="1">
      <c r="A63" t="inlineStr">
        <is>
          <t>A 1083-2026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46316</v>
      </c>
      <c r="F63" t="inlineStr">
        <is>
          <t>GÄVLEBORGS LÄN</t>
        </is>
      </c>
      <c r="G63" t="inlineStr">
        <is>
          <t>SANDVIKEN</t>
        </is>
      </c>
      <c r="I63" t="n">
        <v>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HYPERLINK("https://klasma.github.io/Logging_2181/artfynd/A 1083-2026 artfynd.xlsx", "A 1083-2026")</f>
        <v/>
      </c>
      <c r="X63">
        <f>HYPERLINK("https://klasma.github.io/Logging_2181/kartor/A 1083-2026 karta.png", "A 1083-2026")</f>
        <v/>
      </c>
      <c r="Y63">
        <f>HYPERLINK("https://klasma.github.io/Logging_2181/kartor_geotiff/A 1083-2026 georefererad karta.tif", "A 1083-2026")</f>
        <v/>
      </c>
      <c r="AA63">
        <f>HYPERLINK("https://klasma.github.io/Logging_2181/klagomål/A 1083-2026 FSC-klagomål.docx", "A 1083-2026")</f>
        <v/>
      </c>
      <c r="AB63">
        <f>HYPERLINK("https://klasma.github.io/Logging_2181/klagomålsmail/A 1083-2026 FSC-klagomål mail.docx", "A 1083-2026")</f>
        <v/>
      </c>
      <c r="AC63">
        <f>HYPERLINK("https://klasma.github.io/Logging_2181/tillsyn/A 1083-2026 tillsynsbegäran.docx", "A 1083-2026")</f>
        <v/>
      </c>
      <c r="AD63">
        <f>HYPERLINK("https://klasma.github.io/Logging_2181/tillsynsmail/A 1083-2026 tillsynsbegäran mail.docx", "A 1083-2026")</f>
        <v/>
      </c>
    </row>
    <row r="64" ht="15" customHeight="1">
      <c r="A64" t="inlineStr">
        <is>
          <t>A 7393-2026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46316</v>
      </c>
      <c r="F64" t="inlineStr">
        <is>
          <t>GÄVLEBORGS LÄN</t>
        </is>
      </c>
      <c r="G64" t="inlineStr">
        <is>
          <t>SANDVIKEN</t>
        </is>
      </c>
      <c r="I64" t="n">
        <v>6.7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Brunklöver</t>
        </is>
      </c>
      <c r="W64">
        <f>HYPERLINK("https://klasma.github.io/Logging_2181/artfynd/A 7393-2026 artfynd.xlsx", "A 7393-2026")</f>
        <v/>
      </c>
      <c r="X64">
        <f>HYPERLINK("https://klasma.github.io/Logging_2181/kartor/A 7393-2026 karta.png", "A 7393-2026")</f>
        <v/>
      </c>
      <c r="Y64">
        <f>HYPERLINK("https://klasma.github.io/Logging_2181/kartor_geotiff/A 7393-2026 georefererad karta.tif", "A 7393-2026")</f>
        <v/>
      </c>
      <c r="AA64">
        <f>HYPERLINK("https://klasma.github.io/Logging_2181/klagomål/A 7393-2026 FSC-klagomål.docx", "A 7393-2026")</f>
        <v/>
      </c>
      <c r="AB64">
        <f>HYPERLINK("https://klasma.github.io/Logging_2181/klagomålsmail/A 7393-2026 FSC-klagomål mail.docx", "A 7393-2026")</f>
        <v/>
      </c>
      <c r="AC64">
        <f>HYPERLINK("https://klasma.github.io/Logging_2181/tillsyn/A 7393-2026 tillsynsbegäran.docx", "A 7393-2026")</f>
        <v/>
      </c>
      <c r="AD64">
        <f>HYPERLINK("https://klasma.github.io/Logging_2181/tillsynsmail/A 7393-2026 tillsynsbegäran mail.docx", "A 7393-2026")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46316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9267-2026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46316</v>
      </c>
      <c r="F66" t="inlineStr">
        <is>
          <t>GÄVLEBORGS LÄN</t>
        </is>
      </c>
      <c r="G66" t="inlineStr">
        <is>
          <t>SANDVIKEN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HYPERLINK("https://klasma.github.io/Logging_2181/artfynd/A 9267-2026 artfynd.xlsx", "A 9267-2026")</f>
        <v/>
      </c>
      <c r="X66">
        <f>HYPERLINK("https://klasma.github.io/Logging_2181/kartor/A 9267-2026 karta.png", "A 9267-2026")</f>
        <v/>
      </c>
      <c r="Y66">
        <f>HYPERLINK("https://klasma.github.io/Logging_2181/kartor_geotiff/A 9267-2026 georefererad karta.tif", "A 9267-2026")</f>
        <v/>
      </c>
      <c r="AA66">
        <f>HYPERLINK("https://klasma.github.io/Logging_2181/klagomål/A 9267-2026 FSC-klagomål.docx", "A 9267-2026")</f>
        <v/>
      </c>
      <c r="AB66">
        <f>HYPERLINK("https://klasma.github.io/Logging_2181/klagomålsmail/A 9267-2026 FSC-klagomål mail.docx", "A 9267-2026")</f>
        <v/>
      </c>
      <c r="AC66">
        <f>HYPERLINK("https://klasma.github.io/Logging_2181/tillsyn/A 9267-2026 tillsynsbegäran.docx", "A 9267-2026")</f>
        <v/>
      </c>
      <c r="AD66">
        <f>HYPERLINK("https://klasma.github.io/Logging_2181/tillsynsmail/A 9267-2026 tillsynsbegäran mail.docx", "A 9267-2026")</f>
        <v/>
      </c>
    </row>
    <row r="67" ht="15" customHeight="1">
      <c r="A67" t="inlineStr">
        <is>
          <t>A 11784-2026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46316</v>
      </c>
      <c r="F67" t="inlineStr">
        <is>
          <t>GÄVLEBORGS LÄN</t>
        </is>
      </c>
      <c r="G67" t="inlineStr">
        <is>
          <t>SANDVIKEN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HYPERLINK("https://klasma.github.io/Logging_2181/artfynd/A 11784-2026 artfynd.xlsx", "A 11784-2026")</f>
        <v/>
      </c>
      <c r="X67">
        <f>HYPERLINK("https://klasma.github.io/Logging_2181/kartor/A 11784-2026 karta.png", "A 11784-2026")</f>
        <v/>
      </c>
      <c r="Y67">
        <f>HYPERLINK("https://klasma.github.io/Logging_2181/kartor_geotiff/A 11784-2026 georefererad karta.tif", "A 11784-2026")</f>
        <v/>
      </c>
      <c r="AA67">
        <f>HYPERLINK("https://klasma.github.io/Logging_2181/klagomål/A 11784-2026 FSC-klagomål.docx", "A 11784-2026")</f>
        <v/>
      </c>
      <c r="AB67">
        <f>HYPERLINK("https://klasma.github.io/Logging_2181/klagomålsmail/A 11784-2026 FSC-klagomål mail.docx", "A 11784-2026")</f>
        <v/>
      </c>
      <c r="AC67">
        <f>HYPERLINK("https://klasma.github.io/Logging_2181/tillsyn/A 11784-2026 tillsynsbegäran.docx", "A 11784-2026")</f>
        <v/>
      </c>
      <c r="AD67">
        <f>HYPERLINK("https://klasma.github.io/Logging_2181/tillsynsmail/A 11784-2026 tillsynsbegäran mail.docx", "A 11784-2026")</f>
        <v/>
      </c>
    </row>
    <row r="68" ht="15" customHeight="1">
      <c r="A68" t="inlineStr">
        <is>
          <t>A 3316-2023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44949</v>
      </c>
      <c r="E68" s="1" t="n">
        <v>46316</v>
      </c>
      <c r="F68" t="inlineStr">
        <is>
          <t>GÄVLEBORGS LÄN</t>
        </is>
      </c>
      <c r="G68" t="inlineStr">
        <is>
          <t>SANDVIKEN</t>
        </is>
      </c>
      <c r="I68" t="n">
        <v>0.5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Orre</t>
        </is>
      </c>
      <c r="W68">
        <f>HYPERLINK("https://klasma.github.io/Logging_2181/artfynd/A 3316-2023 artfynd.xlsx", "A 3316-2023")</f>
        <v/>
      </c>
      <c r="X68">
        <f>HYPERLINK("https://klasma.github.io/Logging_2181/kartor/A 3316-2023 karta.png", "A 3316-2023")</f>
        <v/>
      </c>
      <c r="Y68">
        <f>HYPERLINK("https://klasma.github.io/Logging_2181/kartor_geotiff/A 3316-2023 georefererad karta.tif", "A 3316-2023")</f>
        <v/>
      </c>
      <c r="AA68">
        <f>HYPERLINK("https://klasma.github.io/Logging_2181/klagomål/A 3316-2023 FSC-klagomål.docx", "A 3316-2023")</f>
        <v/>
      </c>
      <c r="AB68">
        <f>HYPERLINK("https://klasma.github.io/Logging_2181/klagomålsmail/A 3316-2023 FSC-klagomål mail.docx", "A 3316-2023")</f>
        <v/>
      </c>
      <c r="AC68">
        <f>HYPERLINK("https://klasma.github.io/Logging_2181/tillsyn/A 3316-2023 tillsynsbegäran.docx", "A 3316-2023")</f>
        <v/>
      </c>
      <c r="AD68">
        <f>HYPERLINK("https://klasma.github.io/Logging_2181/tillsynsmail/A 3316-2023 tillsynsbegäran mail.docx", "A 3316-2023")</f>
        <v/>
      </c>
      <c r="AE68">
        <f>HYPERLINK("https://klasma.github.io/Logging_2181/fåglar/A 3316-2023 prioriterade fågelarter.docx", "A 3316-2023")</f>
        <v/>
      </c>
    </row>
    <row r="69" ht="15" customHeight="1">
      <c r="A69" t="inlineStr">
        <is>
          <t>A 13645-2026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46316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Tjäder</t>
        </is>
      </c>
      <c r="W69">
        <f>HYPERLINK("https://klasma.github.io/Logging_2181/artfynd/A 13645-2026 artfynd.xlsx", "A 13645-2026")</f>
        <v/>
      </c>
      <c r="X69">
        <f>HYPERLINK("https://klasma.github.io/Logging_2181/kartor/A 13645-2026 karta.png", "A 13645-2026")</f>
        <v/>
      </c>
      <c r="Y69">
        <f>HYPERLINK("https://klasma.github.io/Logging_2181/kartor_geotiff/A 13645-2026 georefererad karta.tif", "A 13645-2026")</f>
        <v/>
      </c>
      <c r="AA69">
        <f>HYPERLINK("https://klasma.github.io/Logging_2181/klagomål/A 13645-2026 FSC-klagomål.docx", "A 13645-2026")</f>
        <v/>
      </c>
      <c r="AB69">
        <f>HYPERLINK("https://klasma.github.io/Logging_2181/klagomålsmail/A 13645-2026 FSC-klagomål mail.docx", "A 13645-2026")</f>
        <v/>
      </c>
      <c r="AC69">
        <f>HYPERLINK("https://klasma.github.io/Logging_2181/tillsyn/A 13645-2026 tillsynsbegäran.docx", "A 13645-2026")</f>
        <v/>
      </c>
      <c r="AD69">
        <f>HYPERLINK("https://klasma.github.io/Logging_2181/tillsynsmail/A 13645-2026 tillsynsbegäran mail.docx", "A 13645-2026")</f>
        <v/>
      </c>
      <c r="AE69">
        <f>HYPERLINK("https://klasma.github.io/Logging_2181/fåglar/A 13645-2026 prioriterade fågelarter.docx", "A 13645-2026")</f>
        <v/>
      </c>
    </row>
    <row r="70" ht="15" customHeight="1">
      <c r="A70" t="inlineStr">
        <is>
          <t>A 14835-2026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46316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Höstlåsbräken</t>
        </is>
      </c>
      <c r="W70">
        <f>HYPERLINK("https://klasma.github.io/Logging_2181/artfynd/A 14835-2026 artfynd.xlsx", "A 14835-2026")</f>
        <v/>
      </c>
      <c r="X70">
        <f>HYPERLINK("https://klasma.github.io/Logging_2181/kartor/A 14835-2026 karta.png", "A 14835-2026")</f>
        <v/>
      </c>
      <c r="Y70">
        <f>HYPERLINK("https://klasma.github.io/Logging_2181/kartor_geotiff/A 14835-2026 georefererad karta.tif", "A 14835-2026")</f>
        <v/>
      </c>
      <c r="AA70">
        <f>HYPERLINK("https://klasma.github.io/Logging_2181/klagomål/A 14835-2026 FSC-klagomål.docx", "A 14835-2026")</f>
        <v/>
      </c>
      <c r="AB70">
        <f>HYPERLINK("https://klasma.github.io/Logging_2181/klagomålsmail/A 14835-2026 FSC-klagomål mail.docx", "A 14835-2026")</f>
        <v/>
      </c>
      <c r="AC70">
        <f>HYPERLINK("https://klasma.github.io/Logging_2181/tillsyn/A 14835-2026 tillsynsbegäran.docx", "A 14835-2026")</f>
        <v/>
      </c>
      <c r="AD70">
        <f>HYPERLINK("https://klasma.github.io/Logging_2181/tillsynsmail/A 14835-2026 tillsynsbegäran mail.docx", "A 14835-2026")</f>
        <v/>
      </c>
    </row>
    <row r="71" ht="15" customHeight="1">
      <c r="A71" t="inlineStr">
        <is>
          <t>A 12419-2025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46316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Månlåsbräken</t>
        </is>
      </c>
      <c r="W71">
        <f>HYPERLINK("https://klasma.github.io/Logging_2181/artfynd/A 12419-2025 artfynd.xlsx", "A 12419-2025")</f>
        <v/>
      </c>
      <c r="X71">
        <f>HYPERLINK("https://klasma.github.io/Logging_2181/kartor/A 12419-2025 karta.png", "A 12419-2025")</f>
        <v/>
      </c>
      <c r="Y71">
        <f>HYPERLINK("https://klasma.github.io/Logging_2181/kartor_geotiff/A 12419-2025 georefererad karta.tif", "A 12419-2025")</f>
        <v/>
      </c>
      <c r="AA71">
        <f>HYPERLINK("https://klasma.github.io/Logging_2181/klagomål/A 12419-2025 FSC-klagomål.docx", "A 12419-2025")</f>
        <v/>
      </c>
      <c r="AB71">
        <f>HYPERLINK("https://klasma.github.io/Logging_2181/klagomålsmail/A 12419-2025 FSC-klagomål mail.docx", "A 12419-2025")</f>
        <v/>
      </c>
      <c r="AC71">
        <f>HYPERLINK("https://klasma.github.io/Logging_2181/tillsyn/A 12419-2025 tillsynsbegäran.docx", "A 12419-2025")</f>
        <v/>
      </c>
      <c r="AD71">
        <f>HYPERLINK("https://klasma.github.io/Logging_2181/tillsynsmail/A 12419-2025 tillsynsbegäran mail.docx", "A 12419-2025")</f>
        <v/>
      </c>
    </row>
    <row r="72" ht="15" customHeight="1">
      <c r="A72" t="inlineStr">
        <is>
          <t>A 15729-2022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46316</v>
      </c>
      <c r="F72" t="inlineStr">
        <is>
          <t>GÄVLEBORGS LÄN</t>
        </is>
      </c>
      <c r="G72" t="inlineStr">
        <is>
          <t>SANDVIKEN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HYPERLINK("https://klasma.github.io/Logging_2181/artfynd/A 15729-2022 artfynd.xlsx", "A 15729-2022")</f>
        <v/>
      </c>
      <c r="X72">
        <f>HYPERLINK("https://klasma.github.io/Logging_2181/kartor/A 15729-2022 karta.png", "A 15729-2022")</f>
        <v/>
      </c>
      <c r="Y72">
        <f>HYPERLINK("https://klasma.github.io/Logging_2181/kartor_geotiff/A 15729-2022 georefererad karta.tif", "A 15729-2022")</f>
        <v/>
      </c>
      <c r="Z72">
        <f>HYPERLINK("https://klasma.github.io/Logging_2181/knärot/A 15729-2022 karta knärot.png", "A 15729-2022")</f>
        <v/>
      </c>
      <c r="AA72">
        <f>HYPERLINK("https://klasma.github.io/Logging_2181/klagomål/A 15729-2022 FSC-klagomål.docx", "A 15729-2022")</f>
        <v/>
      </c>
      <c r="AB72">
        <f>HYPERLINK("https://klasma.github.io/Logging_2181/klagomålsmail/A 15729-2022 FSC-klagomål mail.docx", "A 15729-2022")</f>
        <v/>
      </c>
      <c r="AC72">
        <f>HYPERLINK("https://klasma.github.io/Logging_2181/tillsyn/A 15729-2022 tillsynsbegäran.docx", "A 15729-2022")</f>
        <v/>
      </c>
      <c r="AD72">
        <f>HYPERLINK("https://klasma.github.io/Logging_2181/tillsynsmail/A 15729-2022 tillsynsbegäran mail.docx", "A 15729-2022")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46316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17062-2026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46114</v>
      </c>
      <c r="E74" s="1" t="n">
        <v>46316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5.7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Vårärt</t>
        </is>
      </c>
      <c r="W74">
        <f>HYPERLINK("https://klasma.github.io/Logging_2181/artfynd/A 17062-2026 artfynd.xlsx", "A 17062-2026")</f>
        <v/>
      </c>
      <c r="X74">
        <f>HYPERLINK("https://klasma.github.io/Logging_2181/kartor/A 17062-2026 karta.png", "A 17062-2026")</f>
        <v/>
      </c>
      <c r="Y74">
        <f>HYPERLINK("https://klasma.github.io/Logging_2181/kartor_geotiff/A 17062-2026 georefererad karta.tif", "A 17062-2026")</f>
        <v/>
      </c>
      <c r="AA74">
        <f>HYPERLINK("https://klasma.github.io/Logging_2181/klagomål/A 17062-2026 FSC-klagomål.docx", "A 17062-2026")</f>
        <v/>
      </c>
      <c r="AB74">
        <f>HYPERLINK("https://klasma.github.io/Logging_2181/klagomålsmail/A 17062-2026 FSC-klagomål mail.docx", "A 17062-2026")</f>
        <v/>
      </c>
      <c r="AC74">
        <f>HYPERLINK("https://klasma.github.io/Logging_2181/tillsyn/A 17062-2026 tillsynsbegäran.docx", "A 17062-2026")</f>
        <v/>
      </c>
      <c r="AD74">
        <f>HYPERLINK("https://klasma.github.io/Logging_2181/tillsynsmail/A 17062-2026 tillsynsbegäran mail.docx", "A 17062-2026")</f>
        <v/>
      </c>
    </row>
    <row r="75" ht="15" customHeight="1">
      <c r="A75" t="inlineStr">
        <is>
          <t>A 17364-2026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46316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17364-2026 artfynd.xlsx", "A 17364-2026")</f>
        <v/>
      </c>
      <c r="X75">
        <f>HYPERLINK("https://klasma.github.io/Logging_2181/kartor/A 17364-2026 karta.png", "A 17364-2026")</f>
        <v/>
      </c>
      <c r="Y75">
        <f>HYPERLINK("https://klasma.github.io/Logging_2181/kartor_geotiff/A 17364-2026 georefererad karta.tif", "A 17364-2026")</f>
        <v/>
      </c>
      <c r="AA75">
        <f>HYPERLINK("https://klasma.github.io/Logging_2181/klagomål/A 17364-2026 FSC-klagomål.docx", "A 17364-2026")</f>
        <v/>
      </c>
      <c r="AB75">
        <f>HYPERLINK("https://klasma.github.io/Logging_2181/klagomålsmail/A 17364-2026 FSC-klagomål mail.docx", "A 17364-2026")</f>
        <v/>
      </c>
      <c r="AC75">
        <f>HYPERLINK("https://klasma.github.io/Logging_2181/tillsyn/A 17364-2026 tillsynsbegäran.docx", "A 17364-2026")</f>
        <v/>
      </c>
      <c r="AD75">
        <f>HYPERLINK("https://klasma.github.io/Logging_2181/tillsynsmail/A 17364-2026 tillsynsbegäran mail.docx", "A 17364-2026")</f>
        <v/>
      </c>
    </row>
    <row r="76" ht="15" customHeight="1">
      <c r="A76" t="inlineStr">
        <is>
          <t>A 45427-2023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46316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HYPERLINK("https://klasma.github.io/Logging_2181/artfynd/A 45427-2023 artfynd.xlsx", "A 45427-2023")</f>
        <v/>
      </c>
      <c r="X76">
        <f>HYPERLINK("https://klasma.github.io/Logging_2181/kartor/A 45427-2023 karta.png", "A 45427-2023")</f>
        <v/>
      </c>
      <c r="Y76">
        <f>HYPERLINK("https://klasma.github.io/Logging_2181/kartor_geotiff/A 45427-2023 georefererad karta.tif", "A 45427-2023")</f>
        <v/>
      </c>
      <c r="AA76">
        <f>HYPERLINK("https://klasma.github.io/Logging_2181/klagomål/A 45427-2023 FSC-klagomål.docx", "A 45427-2023")</f>
        <v/>
      </c>
      <c r="AB76">
        <f>HYPERLINK("https://klasma.github.io/Logging_2181/klagomålsmail/A 45427-2023 FSC-klagomål mail.docx", "A 45427-2023")</f>
        <v/>
      </c>
      <c r="AC76">
        <f>HYPERLINK("https://klasma.github.io/Logging_2181/tillsyn/A 45427-2023 tillsynsbegäran.docx", "A 45427-2023")</f>
        <v/>
      </c>
      <c r="AD76">
        <f>HYPERLINK("https://klasma.github.io/Logging_2181/tillsynsmail/A 45427-2023 tillsynsbegäran mail.docx", "A 45427-2023")</f>
        <v/>
      </c>
    </row>
    <row r="77" ht="15" customHeight="1">
      <c r="A77" t="inlineStr">
        <is>
          <t>A 19272-2026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46316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9.4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HYPERLINK("https://klasma.github.io/Logging_2181/artfynd/A 19272-2026 artfynd.xlsx", "A 19272-2026")</f>
        <v/>
      </c>
      <c r="X77">
        <f>HYPERLINK("https://klasma.github.io/Logging_2181/kartor/A 19272-2026 karta.png", "A 19272-2026")</f>
        <v/>
      </c>
      <c r="Y77">
        <f>HYPERLINK("https://klasma.github.io/Logging_2181/kartor_geotiff/A 19272-2026 georefererad karta.tif", "A 19272-2026")</f>
        <v/>
      </c>
      <c r="AA77">
        <f>HYPERLINK("https://klasma.github.io/Logging_2181/klagomål/A 19272-2026 FSC-klagomål.docx", "A 19272-2026")</f>
        <v/>
      </c>
      <c r="AB77">
        <f>HYPERLINK("https://klasma.github.io/Logging_2181/klagomålsmail/A 19272-2026 FSC-klagomål mail.docx", "A 19272-2026")</f>
        <v/>
      </c>
      <c r="AC77">
        <f>HYPERLINK("https://klasma.github.io/Logging_2181/tillsyn/A 19272-2026 tillsynsbegäran.docx", "A 19272-2026")</f>
        <v/>
      </c>
      <c r="AD77">
        <f>HYPERLINK("https://klasma.github.io/Logging_2181/tillsynsmail/A 19272-2026 tillsynsbegäran mail.docx", "A 19272-2026")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46316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4324-2026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46316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HYPERLINK("https://klasma.github.io/Logging_2181/artfynd/A 4324-2026 artfynd.xlsx", "A 4324-2026")</f>
        <v/>
      </c>
      <c r="X79">
        <f>HYPERLINK("https://klasma.github.io/Logging_2181/kartor/A 4324-2026 karta.png", "A 4324-2026")</f>
        <v/>
      </c>
      <c r="Y79">
        <f>HYPERLINK("https://klasma.github.io/Logging_2181/kartor_geotiff/A 4324-2026 georefererad karta.tif", "A 4324-2026")</f>
        <v/>
      </c>
      <c r="AA79">
        <f>HYPERLINK("https://klasma.github.io/Logging_2181/klagomål/A 4324-2026 FSC-klagomål.docx", "A 4324-2026")</f>
        <v/>
      </c>
      <c r="AB79">
        <f>HYPERLINK("https://klasma.github.io/Logging_2181/klagomålsmail/A 4324-2026 FSC-klagomål mail.docx", "A 4324-2026")</f>
        <v/>
      </c>
      <c r="AC79">
        <f>HYPERLINK("https://klasma.github.io/Logging_2181/tillsyn/A 4324-2026 tillsynsbegäran.docx", "A 4324-2026")</f>
        <v/>
      </c>
      <c r="AD79">
        <f>HYPERLINK("https://klasma.github.io/Logging_2181/tillsynsmail/A 4324-2026 tillsynsbegäran mail.docx", "A 4324-2026")</f>
        <v/>
      </c>
      <c r="AE79">
        <f>HYPERLINK("https://klasma.github.io/Logging_2181/fåglar/A 4324-2026 prioriterade fågelarter.docx", "A 4324-2026")</f>
        <v/>
      </c>
    </row>
    <row r="80" ht="15" customHeight="1">
      <c r="A80" t="inlineStr">
        <is>
          <t>A 36417-2025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46316</v>
      </c>
      <c r="F80" t="inlineStr">
        <is>
          <t>GÄVLEBORGS LÄN</t>
        </is>
      </c>
      <c r="G80" t="inlineStr">
        <is>
          <t>SANDVIKEN</t>
        </is>
      </c>
      <c r="H80" t="inlineStr">
        <is>
          <t>Sveaskog</t>
        </is>
      </c>
      <c r="I80" t="n">
        <v>3.9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HYPERLINK("https://klasma.github.io/Logging_2181/artfynd/A 36417-2025 artfynd.xlsx", "A 36417-2025")</f>
        <v/>
      </c>
      <c r="X80">
        <f>HYPERLINK("https://klasma.github.io/Logging_2181/kartor/A 36417-2025 karta.png", "A 36417-2025")</f>
        <v/>
      </c>
      <c r="Y80">
        <f>HYPERLINK("https://klasma.github.io/Logging_2181/kartor_geotiff/A 36417-2025 georefererad karta.tif", "A 36417-2025")</f>
        <v/>
      </c>
      <c r="Z80">
        <f>HYPERLINK("https://klasma.github.io/Logging_2181/knärot/A 36417-2025 karta knärot.png", "A 36417-2025")</f>
        <v/>
      </c>
      <c r="AA80">
        <f>HYPERLINK("https://klasma.github.io/Logging_2181/klagomål/A 36417-2025 FSC-klagomål.docx", "A 36417-2025")</f>
        <v/>
      </c>
      <c r="AB80">
        <f>HYPERLINK("https://klasma.github.io/Logging_2181/klagomålsmail/A 36417-2025 FSC-klagomål mail.docx", "A 36417-2025")</f>
        <v/>
      </c>
      <c r="AC80">
        <f>HYPERLINK("https://klasma.github.io/Logging_2181/tillsyn/A 36417-2025 tillsynsbegäran.docx", "A 36417-2025")</f>
        <v/>
      </c>
      <c r="AD80">
        <f>HYPERLINK("https://klasma.github.io/Logging_2181/tillsynsmail/A 36417-2025 tillsynsbegäran mail.docx", "A 36417-2025")</f>
        <v/>
      </c>
    </row>
    <row r="81" ht="15" customHeight="1">
      <c r="A81" t="inlineStr">
        <is>
          <t>A 6972-2026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46316</v>
      </c>
      <c r="F81" t="inlineStr">
        <is>
          <t>GÄVLEBORGS LÄN</t>
        </is>
      </c>
      <c r="G81" t="inlineStr">
        <is>
          <t>SANDVIKEN</t>
        </is>
      </c>
      <c r="H81" t="inlineStr">
        <is>
          <t>Naturvårdsverket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Svartvit flugsnappare</t>
        </is>
      </c>
      <c r="W81">
        <f>HYPERLINK("https://klasma.github.io/Logging_2181/artfynd/A 6972-2026 artfynd.xlsx", "A 6972-2026")</f>
        <v/>
      </c>
      <c r="X81">
        <f>HYPERLINK("https://klasma.github.io/Logging_2181/kartor/A 6972-2026 karta.png", "A 6972-2026")</f>
        <v/>
      </c>
      <c r="Y81">
        <f>HYPERLINK("https://klasma.github.io/Logging_2181/kartor_geotiff/A 6972-2026 georefererad karta.tif", "A 6972-2026")</f>
        <v/>
      </c>
      <c r="AA81">
        <f>HYPERLINK("https://klasma.github.io/Logging_2181/klagomål/A 6972-2026 FSC-klagomål.docx", "A 6972-2026")</f>
        <v/>
      </c>
      <c r="AB81">
        <f>HYPERLINK("https://klasma.github.io/Logging_2181/klagomålsmail/A 6972-2026 FSC-klagomål mail.docx", "A 6972-2026")</f>
        <v/>
      </c>
      <c r="AC81">
        <f>HYPERLINK("https://klasma.github.io/Logging_2181/tillsyn/A 6972-2026 tillsynsbegäran.docx", "A 6972-2026")</f>
        <v/>
      </c>
      <c r="AD81">
        <f>HYPERLINK("https://klasma.github.io/Logging_2181/tillsynsmail/A 6972-2026 tillsynsbegäran mail.docx", "A 6972-2026")</f>
        <v/>
      </c>
    </row>
    <row r="82" ht="15" customHeight="1">
      <c r="A82" t="inlineStr">
        <is>
          <t>A 41349-2025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46316</v>
      </c>
      <c r="F82" t="inlineStr">
        <is>
          <t>GÄVLEBORGS LÄN</t>
        </is>
      </c>
      <c r="G82" t="inlineStr">
        <is>
          <t>SANDVIKEN</t>
        </is>
      </c>
      <c r="I82" t="n">
        <v>3.7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HYPERLINK("https://klasma.github.io/Logging_2181/artfynd/A 41349-2025 artfynd.xlsx", "A 41349-2025")</f>
        <v/>
      </c>
      <c r="X82">
        <f>HYPERLINK("https://klasma.github.io/Logging_2181/kartor/A 41349-2025 karta.png", "A 41349-2025")</f>
        <v/>
      </c>
      <c r="Y82">
        <f>HYPERLINK("https://klasma.github.io/Logging_2181/kartor_geotiff/A 41349-2025 georefererad karta.tif", "A 41349-2025")</f>
        <v/>
      </c>
      <c r="AA82">
        <f>HYPERLINK("https://klasma.github.io/Logging_2181/klagomål/A 41349-2025 FSC-klagomål.docx", "A 41349-2025")</f>
        <v/>
      </c>
      <c r="AB82">
        <f>HYPERLINK("https://klasma.github.io/Logging_2181/klagomålsmail/A 41349-2025 FSC-klagomål mail.docx", "A 41349-2025")</f>
        <v/>
      </c>
      <c r="AC82">
        <f>HYPERLINK("https://klasma.github.io/Logging_2181/tillsyn/A 41349-2025 tillsynsbegäran.docx", "A 41349-2025")</f>
        <v/>
      </c>
      <c r="AD82">
        <f>HYPERLINK("https://klasma.github.io/Logging_2181/tillsynsmail/A 41349-2025 tillsynsbegäran mail.docx", "A 41349-2025")</f>
        <v/>
      </c>
    </row>
    <row r="83" ht="15" customHeight="1">
      <c r="A83" t="inlineStr">
        <is>
          <t>A 25479-2023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46316</v>
      </c>
      <c r="F83" t="inlineStr">
        <is>
          <t>GÄVLEBORGS LÄN</t>
        </is>
      </c>
      <c r="G83" t="inlineStr">
        <is>
          <t>SANDVIKEN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Grönpyrola</t>
        </is>
      </c>
      <c r="W83">
        <f>HYPERLINK("https://klasma.github.io/Logging_2181/artfynd/A 25479-2023 artfynd.xlsx", "A 25479-2023")</f>
        <v/>
      </c>
      <c r="X83">
        <f>HYPERLINK("https://klasma.github.io/Logging_2181/kartor/A 25479-2023 karta.png", "A 25479-2023")</f>
        <v/>
      </c>
      <c r="Y83">
        <f>HYPERLINK("https://klasma.github.io/Logging_2181/kartor_geotiff/A 25479-2023 georefererad karta.tif", "A 25479-2023")</f>
        <v/>
      </c>
      <c r="AA83">
        <f>HYPERLINK("https://klasma.github.io/Logging_2181/klagomål/A 25479-2023 FSC-klagomål.docx", "A 25479-2023")</f>
        <v/>
      </c>
      <c r="AB83">
        <f>HYPERLINK("https://klasma.github.io/Logging_2181/klagomålsmail/A 25479-2023 FSC-klagomål mail.docx", "A 25479-2023")</f>
        <v/>
      </c>
      <c r="AC83">
        <f>HYPERLINK("https://klasma.github.io/Logging_2181/tillsyn/A 25479-2023 tillsynsbegäran.docx", "A 25479-2023")</f>
        <v/>
      </c>
      <c r="AD83">
        <f>HYPERLINK("https://klasma.github.io/Logging_2181/tillsynsmail/A 25479-2023 tillsynsbegäran mail.docx", "A 25479-2023")</f>
        <v/>
      </c>
    </row>
    <row r="84" ht="15" customHeight="1">
      <c r="A84" t="inlineStr">
        <is>
          <t>A 38350-2025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46316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väst AB</t>
        </is>
      </c>
      <c r="I84" t="n">
        <v>25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Brandticka</t>
        </is>
      </c>
      <c r="W84">
        <f>HYPERLINK("https://klasma.github.io/Logging_2181/artfynd/A 38350-2025 artfynd.xlsx", "A 38350-2025")</f>
        <v/>
      </c>
      <c r="X84">
        <f>HYPERLINK("https://klasma.github.io/Logging_2181/kartor/A 38350-2025 karta.png", "A 38350-2025")</f>
        <v/>
      </c>
      <c r="Y84">
        <f>HYPERLINK("https://klasma.github.io/Logging_2181/kartor_geotiff/A 38350-2025 georefererad karta.tif", "A 38350-2025")</f>
        <v/>
      </c>
      <c r="AA84">
        <f>HYPERLINK("https://klasma.github.io/Logging_2181/klagomål/A 38350-2025 FSC-klagomål.docx", "A 38350-2025")</f>
        <v/>
      </c>
      <c r="AB84">
        <f>HYPERLINK("https://klasma.github.io/Logging_2181/klagomålsmail/A 38350-2025 FSC-klagomål mail.docx", "A 38350-2025")</f>
        <v/>
      </c>
      <c r="AC84">
        <f>HYPERLINK("https://klasma.github.io/Logging_2181/tillsyn/A 38350-2025 tillsynsbegäran.docx", "A 38350-2025")</f>
        <v/>
      </c>
      <c r="AD84">
        <f>HYPERLINK("https://klasma.github.io/Logging_2181/tillsynsmail/A 38350-2025 tillsynsbegäran mail.docx", "A 38350-2025")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46316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24171-2026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46168</v>
      </c>
      <c r="E86" s="1" t="n">
        <v>46316</v>
      </c>
      <c r="F86" t="inlineStr">
        <is>
          <t>GÄVLEBORGS LÄN</t>
        </is>
      </c>
      <c r="G86" t="inlineStr">
        <is>
          <t>SANDVIKEN</t>
        </is>
      </c>
      <c r="I86" t="n">
        <v>1.4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Svedjenäva</t>
        </is>
      </c>
      <c r="W86">
        <f>HYPERLINK("https://klasma.github.io/Logging_2181/artfynd/A 24171-2026 artfynd.xlsx", "A 24171-2026")</f>
        <v/>
      </c>
      <c r="X86">
        <f>HYPERLINK("https://klasma.github.io/Logging_2181/kartor/A 24171-2026 karta.png", "A 24171-2026")</f>
        <v/>
      </c>
      <c r="Y86">
        <f>HYPERLINK("https://klasma.github.io/Logging_2181/kartor_geotiff/A 24171-2026 georefererad karta.tif", "A 24171-2026")</f>
        <v/>
      </c>
      <c r="AA86">
        <f>HYPERLINK("https://klasma.github.io/Logging_2181/klagomål/A 24171-2026 FSC-klagomål.docx", "A 24171-2026")</f>
        <v/>
      </c>
      <c r="AB86">
        <f>HYPERLINK("https://klasma.github.io/Logging_2181/klagomålsmail/A 24171-2026 FSC-klagomål mail.docx", "A 24171-2026")</f>
        <v/>
      </c>
      <c r="AC86">
        <f>HYPERLINK("https://klasma.github.io/Logging_2181/tillsyn/A 24171-2026 tillsynsbegäran.docx", "A 24171-2026")</f>
        <v/>
      </c>
      <c r="AD86">
        <f>HYPERLINK("https://klasma.github.io/Logging_2181/tillsynsmail/A 24171-2026 tillsynsbegäran mail.docx", "A 24171-2026")</f>
        <v/>
      </c>
    </row>
    <row r="87" ht="15" customHeight="1">
      <c r="A87" t="inlineStr">
        <is>
          <t>A 24357-2026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46169</v>
      </c>
      <c r="E87" s="1" t="n">
        <v>46316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Plattlummer</t>
        </is>
      </c>
      <c r="W87">
        <f>HYPERLINK("https://klasma.github.io/Logging_2181/artfynd/A 24357-2026 artfynd.xlsx", "A 24357-2026")</f>
        <v/>
      </c>
      <c r="X87">
        <f>HYPERLINK("https://klasma.github.io/Logging_2181/kartor/A 24357-2026 karta.png", "A 24357-2026")</f>
        <v/>
      </c>
      <c r="Y87">
        <f>HYPERLINK("https://klasma.github.io/Logging_2181/kartor_geotiff/A 24357-2026 georefererad karta.tif", "A 24357-2026")</f>
        <v/>
      </c>
      <c r="AA87">
        <f>HYPERLINK("https://klasma.github.io/Logging_2181/klagomål/A 24357-2026 FSC-klagomål.docx", "A 24357-2026")</f>
        <v/>
      </c>
      <c r="AB87">
        <f>HYPERLINK("https://klasma.github.io/Logging_2181/klagomålsmail/A 24357-2026 FSC-klagomål mail.docx", "A 24357-2026")</f>
        <v/>
      </c>
      <c r="AC87">
        <f>HYPERLINK("https://klasma.github.io/Logging_2181/tillsyn/A 24357-2026 tillsynsbegäran.docx", "A 24357-2026")</f>
        <v/>
      </c>
      <c r="AD87">
        <f>HYPERLINK("https://klasma.github.io/Logging_2181/tillsynsmail/A 24357-2026 tillsynsbegäran mail.docx", "A 24357-2026")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46316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46316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26212-2026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46182</v>
      </c>
      <c r="E90" s="1" t="n">
        <v>46316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26212-2026 artfynd.xlsx", "A 26212-2026")</f>
        <v/>
      </c>
      <c r="X90">
        <f>HYPERLINK("https://klasma.github.io/Logging_2181/kartor/A 26212-2026 karta.png", "A 26212-2026")</f>
        <v/>
      </c>
      <c r="Y90">
        <f>HYPERLINK("https://klasma.github.io/Logging_2181/kartor_geotiff/A 26212-2026 georefererad karta.tif", "A 26212-2026")</f>
        <v/>
      </c>
      <c r="Z90">
        <f>HYPERLINK("https://klasma.github.io/Logging_2181/knärot/A 26212-2026 karta knärot.png", "A 26212-2026")</f>
        <v/>
      </c>
      <c r="AA90">
        <f>HYPERLINK("https://klasma.github.io/Logging_2181/klagomål/A 26212-2026 FSC-klagomål.docx", "A 26212-2026")</f>
        <v/>
      </c>
      <c r="AB90">
        <f>HYPERLINK("https://klasma.github.io/Logging_2181/klagomålsmail/A 26212-2026 FSC-klagomål mail.docx", "A 26212-2026")</f>
        <v/>
      </c>
      <c r="AC90">
        <f>HYPERLINK("https://klasma.github.io/Logging_2181/tillsyn/A 26212-2026 tillsynsbegäran.docx", "A 26212-2026")</f>
        <v/>
      </c>
      <c r="AD90">
        <f>HYPERLINK("https://klasma.github.io/Logging_2181/tillsynsmail/A 26212-2026 tillsynsbegäran mail.docx", "A 26212-2026")</f>
        <v/>
      </c>
    </row>
    <row r="91" ht="15" customHeight="1">
      <c r="A91" t="inlineStr">
        <is>
          <t>A 5015-2023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46316</v>
      </c>
      <c r="F91" t="inlineStr">
        <is>
          <t>GÄVLEBORGS LÄN</t>
        </is>
      </c>
      <c r="G91" t="inlineStr">
        <is>
          <t>SANDVIKEN</t>
        </is>
      </c>
      <c r="I91" t="n">
        <v>7.8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Slåtterfibbla</t>
        </is>
      </c>
      <c r="W91">
        <f>HYPERLINK("https://klasma.github.io/Logging_2181/artfynd/A 5015-2023 artfynd.xlsx", "A 5015-2023")</f>
        <v/>
      </c>
      <c r="X91">
        <f>HYPERLINK("https://klasma.github.io/Logging_2181/kartor/A 5015-2023 karta.png", "A 5015-2023")</f>
        <v/>
      </c>
      <c r="Y91">
        <f>HYPERLINK("https://klasma.github.io/Logging_2181/kartor_geotiff/A 5015-2023 georefererad karta.tif", "A 5015-2023")</f>
        <v/>
      </c>
      <c r="AA91">
        <f>HYPERLINK("https://klasma.github.io/Logging_2181/klagomål/A 5015-2023 FSC-klagomål.docx", "A 5015-2023")</f>
        <v/>
      </c>
      <c r="AB91">
        <f>HYPERLINK("https://klasma.github.io/Logging_2181/klagomålsmail/A 5015-2023 FSC-klagomål mail.docx", "A 5015-2023")</f>
        <v/>
      </c>
      <c r="AC91">
        <f>HYPERLINK("https://klasma.github.io/Logging_2181/tillsyn/A 5015-2023 tillsynsbegäran.docx", "A 5015-2023")</f>
        <v/>
      </c>
      <c r="AD91">
        <f>HYPERLINK("https://klasma.github.io/Logging_2181/tillsynsmail/A 5015-2023 tillsynsbegäran mail.docx", "A 5015-2023")</f>
        <v/>
      </c>
    </row>
    <row r="92" ht="15" customHeight="1">
      <c r="A92" t="inlineStr">
        <is>
          <t>A 27207-2026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46188</v>
      </c>
      <c r="E92" s="1" t="n">
        <v>46316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HYPERLINK("https://klasma.github.io/Logging_2181/artfynd/A 27207-2026 artfynd.xlsx", "A 27207-2026")</f>
        <v/>
      </c>
      <c r="X92">
        <f>HYPERLINK("https://klasma.github.io/Logging_2181/kartor/A 27207-2026 karta.png", "A 27207-2026")</f>
        <v/>
      </c>
      <c r="Y92">
        <f>HYPERLINK("https://klasma.github.io/Logging_2181/kartor_geotiff/A 27207-2026 georefererad karta.tif", "A 27207-2026")</f>
        <v/>
      </c>
      <c r="AA92">
        <f>HYPERLINK("https://klasma.github.io/Logging_2181/klagomål/A 27207-2026 FSC-klagomål.docx", "A 27207-2026")</f>
        <v/>
      </c>
      <c r="AB92">
        <f>HYPERLINK("https://klasma.github.io/Logging_2181/klagomålsmail/A 27207-2026 FSC-klagomål mail.docx", "A 27207-2026")</f>
        <v/>
      </c>
      <c r="AC92">
        <f>HYPERLINK("https://klasma.github.io/Logging_2181/tillsyn/A 27207-2026 tillsynsbegäran.docx", "A 27207-2026")</f>
        <v/>
      </c>
      <c r="AD92">
        <f>HYPERLINK("https://klasma.github.io/Logging_2181/tillsynsmail/A 27207-2026 tillsynsbegäran mail.docx", "A 27207-2026")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46316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31311-2026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46316</v>
      </c>
      <c r="F94" t="inlineStr">
        <is>
          <t>GÄVLEBORGS LÄN</t>
        </is>
      </c>
      <c r="G94" t="inlineStr">
        <is>
          <t>SANDVIKEN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padda</t>
        </is>
      </c>
      <c r="W94">
        <f>HYPERLINK("https://klasma.github.io/Logging_2181/artfynd/A 31311-2026 artfynd.xlsx", "A 31311-2026")</f>
        <v/>
      </c>
      <c r="X94">
        <f>HYPERLINK("https://klasma.github.io/Logging_2181/kartor/A 31311-2026 karta.png", "A 31311-2026")</f>
        <v/>
      </c>
      <c r="Y94">
        <f>HYPERLINK("https://klasma.github.io/Logging_2181/kartor_geotiff/A 31311-2026 georefererad karta.tif", "A 31311-2026")</f>
        <v/>
      </c>
      <c r="AA94">
        <f>HYPERLINK("https://klasma.github.io/Logging_2181/klagomål/A 31311-2026 FSC-klagomål.docx", "A 31311-2026")</f>
        <v/>
      </c>
      <c r="AB94">
        <f>HYPERLINK("https://klasma.github.io/Logging_2181/klagomålsmail/A 31311-2026 FSC-klagomål mail.docx", "A 31311-2026")</f>
        <v/>
      </c>
      <c r="AC94">
        <f>HYPERLINK("https://klasma.github.io/Logging_2181/tillsyn/A 31311-2026 tillsynsbegäran.docx", "A 31311-2026")</f>
        <v/>
      </c>
      <c r="AD94">
        <f>HYPERLINK("https://klasma.github.io/Logging_2181/tillsynsmail/A 31311-2026 tillsynsbegäran mail.docx", "A 31311-2026")</f>
        <v/>
      </c>
    </row>
    <row r="95" ht="15" customHeight="1">
      <c r="A95" t="inlineStr">
        <is>
          <t>A 38109-2026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46281</v>
      </c>
      <c r="E95" s="1" t="n">
        <v>46316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Linmåra/småsnärjmåra</t>
        </is>
      </c>
      <c r="W95">
        <f>HYPERLINK("https://klasma.github.io/Logging_2181/artfynd/A 38109-2026 artfynd.xlsx", "A 38109-2026")</f>
        <v/>
      </c>
      <c r="X95">
        <f>HYPERLINK("https://klasma.github.io/Logging_2181/kartor/A 38109-2026 karta.png", "A 38109-2026")</f>
        <v/>
      </c>
      <c r="Y95">
        <f>HYPERLINK("https://klasma.github.io/Logging_2181/kartor_geotiff/A 38109-2026 georefererad karta.tif", "A 38109-2026")</f>
        <v/>
      </c>
      <c r="AA95">
        <f>HYPERLINK("https://klasma.github.io/Logging_2181/klagomål/A 38109-2026 FSC-klagomål.docx", "A 38109-2026")</f>
        <v/>
      </c>
      <c r="AB95">
        <f>HYPERLINK("https://klasma.github.io/Logging_2181/klagomålsmail/A 38109-2026 FSC-klagomål mail.docx", "A 38109-2026")</f>
        <v/>
      </c>
      <c r="AC95">
        <f>HYPERLINK("https://klasma.github.io/Logging_2181/tillsyn/A 38109-2026 tillsynsbegäran.docx", "A 38109-2026")</f>
        <v/>
      </c>
      <c r="AD95">
        <f>HYPERLINK("https://klasma.github.io/Logging_2181/tillsynsmail/A 38109-2026 tillsynsbegäran mail.docx", "A 38109-2026")</f>
        <v/>
      </c>
    </row>
    <row r="96" ht="15" customHeight="1">
      <c r="A96" t="inlineStr">
        <is>
          <t>A 32539-2026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46316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Grönsiska</t>
        </is>
      </c>
      <c r="W96">
        <f>HYPERLINK("https://klasma.github.io/Logging_2181/artfynd/A 32539-2026 artfynd.xlsx", "A 32539-2026")</f>
        <v/>
      </c>
      <c r="X96">
        <f>HYPERLINK("https://klasma.github.io/Logging_2181/kartor/A 32539-2026 karta.png", "A 32539-2026")</f>
        <v/>
      </c>
      <c r="Y96">
        <f>HYPERLINK("https://klasma.github.io/Logging_2181/kartor_geotiff/A 32539-2026 georefererad karta.tif", "A 32539-2026")</f>
        <v/>
      </c>
      <c r="AA96">
        <f>HYPERLINK("https://klasma.github.io/Logging_2181/klagomål/A 32539-2026 FSC-klagomål.docx", "A 32539-2026")</f>
        <v/>
      </c>
      <c r="AB96">
        <f>HYPERLINK("https://klasma.github.io/Logging_2181/klagomålsmail/A 32539-2026 FSC-klagomål mail.docx", "A 32539-2026")</f>
        <v/>
      </c>
      <c r="AC96">
        <f>HYPERLINK("https://klasma.github.io/Logging_2181/tillsyn/A 32539-2026 tillsynsbegäran.docx", "A 32539-2026")</f>
        <v/>
      </c>
      <c r="AD96">
        <f>HYPERLINK("https://klasma.github.io/Logging_2181/tillsynsmail/A 32539-2026 tillsynsbegäran mail.docx", "A 32539-2026")</f>
        <v/>
      </c>
    </row>
    <row r="97" ht="15" customHeight="1">
      <c r="A97" t="inlineStr">
        <is>
          <t>A 32544-2026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46316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HYPERLINK("https://klasma.github.io/Logging_2181/artfynd/A 32544-2026 artfynd.xlsx", "A 32544-2026")</f>
        <v/>
      </c>
      <c r="X97">
        <f>HYPERLINK("https://klasma.github.io/Logging_2181/kartor/A 32544-2026 karta.png", "A 32544-2026")</f>
        <v/>
      </c>
      <c r="Y97">
        <f>HYPERLINK("https://klasma.github.io/Logging_2181/kartor_geotiff/A 32544-2026 georefererad karta.tif", "A 32544-2026")</f>
        <v/>
      </c>
      <c r="AA97">
        <f>HYPERLINK("https://klasma.github.io/Logging_2181/klagomål/A 32544-2026 FSC-klagomål.docx", "A 32544-2026")</f>
        <v/>
      </c>
      <c r="AB97">
        <f>HYPERLINK("https://klasma.github.io/Logging_2181/klagomålsmail/A 32544-2026 FSC-klagomål mail.docx", "A 32544-2026")</f>
        <v/>
      </c>
      <c r="AC97">
        <f>HYPERLINK("https://klasma.github.io/Logging_2181/tillsyn/A 32544-2026 tillsynsbegäran.docx", "A 32544-2026")</f>
        <v/>
      </c>
      <c r="AD97">
        <f>HYPERLINK("https://klasma.github.io/Logging_2181/tillsynsmail/A 32544-2026 tillsynsbegäran mail.docx", "A 32544-2026")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46316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46316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34406-2026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46316</v>
      </c>
      <c r="F100" t="inlineStr">
        <is>
          <t>GÄVLEBORGS LÄN</t>
        </is>
      </c>
      <c r="G100" t="inlineStr">
        <is>
          <t>SANDVIKEN</t>
        </is>
      </c>
      <c r="I100" t="n">
        <v>15.1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Loppstarr</t>
        </is>
      </c>
      <c r="W100">
        <f>HYPERLINK("https://klasma.github.io/Logging_2181/artfynd/A 34406-2026 artfynd.xlsx", "A 34406-2026")</f>
        <v/>
      </c>
      <c r="X100">
        <f>HYPERLINK("https://klasma.github.io/Logging_2181/kartor/A 34406-2026 karta.png", "A 34406-2026")</f>
        <v/>
      </c>
      <c r="Y100">
        <f>HYPERLINK("https://klasma.github.io/Logging_2181/kartor_geotiff/A 34406-2026 georefererad karta.tif", "A 34406-2026")</f>
        <v/>
      </c>
      <c r="AA100">
        <f>HYPERLINK("https://klasma.github.io/Logging_2181/klagomål/A 34406-2026 FSC-klagomål.docx", "A 34406-2026")</f>
        <v/>
      </c>
      <c r="AB100">
        <f>HYPERLINK("https://klasma.github.io/Logging_2181/klagomålsmail/A 34406-2026 FSC-klagomål mail.docx", "A 34406-2026")</f>
        <v/>
      </c>
      <c r="AC100">
        <f>HYPERLINK("https://klasma.github.io/Logging_2181/tillsyn/A 34406-2026 tillsynsbegäran.docx", "A 34406-2026")</f>
        <v/>
      </c>
      <c r="AD100">
        <f>HYPERLINK("https://klasma.github.io/Logging_2181/tillsynsmail/A 34406-2026 tillsynsbegäran mail.docx", "A 34406-2026")</f>
        <v/>
      </c>
    </row>
    <row r="101" ht="15" customHeight="1">
      <c r="A101" t="inlineStr">
        <is>
          <t>A 42115-2023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46316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HYPERLINK("https://klasma.github.io/Logging_2181/artfynd/A 42115-2023 artfynd.xlsx", "A 42115-2023")</f>
        <v/>
      </c>
      <c r="X101">
        <f>HYPERLINK("https://klasma.github.io/Logging_2181/kartor/A 42115-2023 karta.png", "A 42115-2023")</f>
        <v/>
      </c>
      <c r="Y101">
        <f>HYPERLINK("https://klasma.github.io/Logging_2181/kartor_geotiff/A 42115-2023 georefererad karta.tif", "A 42115-2023")</f>
        <v/>
      </c>
      <c r="AA101">
        <f>HYPERLINK("https://klasma.github.io/Logging_2181/klagomål/A 42115-2023 FSC-klagomål.docx", "A 42115-2023")</f>
        <v/>
      </c>
      <c r="AB101">
        <f>HYPERLINK("https://klasma.github.io/Logging_2181/klagomålsmail/A 42115-2023 FSC-klagomål mail.docx", "A 42115-2023")</f>
        <v/>
      </c>
      <c r="AC101">
        <f>HYPERLINK("https://klasma.github.io/Logging_2181/tillsyn/A 42115-2023 tillsynsbegäran.docx", "A 42115-2023")</f>
        <v/>
      </c>
      <c r="AD101">
        <f>HYPERLINK("https://klasma.github.io/Logging_2181/tillsynsmail/A 42115-2023 tillsynsbegäran mail.docx", "A 42115-2023")</f>
        <v/>
      </c>
      <c r="AE101">
        <f>HYPERLINK("https://klasma.github.io/Logging_2181/fåglar/A 42115-2023 prioriterade fågelarter.docx", "A 42115-2023")</f>
        <v/>
      </c>
    </row>
    <row r="102" ht="15" customHeight="1">
      <c r="A102" t="inlineStr">
        <is>
          <t>A 41792-2026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46303</v>
      </c>
      <c r="E102" s="1" t="n">
        <v>46316</v>
      </c>
      <c r="F102" t="inlineStr">
        <is>
          <t>GÄVLEBORGS LÄN</t>
        </is>
      </c>
      <c r="G102" t="inlineStr">
        <is>
          <t>SANDVIKEN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41792-2026 artfynd.xlsx", "A 41792-2026")</f>
        <v/>
      </c>
      <c r="X102">
        <f>HYPERLINK("https://klasma.github.io/Logging_2181/kartor/A 41792-2026 karta.png", "A 41792-2026")</f>
        <v/>
      </c>
      <c r="Y102">
        <f>HYPERLINK("https://klasma.github.io/Logging_2181/kartor_geotiff/A 41792-2026 georefererad karta.tif", "A 41792-2026")</f>
        <v/>
      </c>
      <c r="AA102">
        <f>HYPERLINK("https://klasma.github.io/Logging_2181/klagomål/A 41792-2026 FSC-klagomål.docx", "A 41792-2026")</f>
        <v/>
      </c>
      <c r="AB102">
        <f>HYPERLINK("https://klasma.github.io/Logging_2181/klagomålsmail/A 41792-2026 FSC-klagomål mail.docx", "A 41792-2026")</f>
        <v/>
      </c>
      <c r="AC102">
        <f>HYPERLINK("https://klasma.github.io/Logging_2181/tillsyn/A 41792-2026 tillsynsbegäran.docx", "A 41792-2026")</f>
        <v/>
      </c>
      <c r="AD102">
        <f>HYPERLINK("https://klasma.github.io/Logging_2181/tillsynsmail/A 41792-2026 tillsynsbegäran mail.docx", "A 41792-2026")</f>
        <v/>
      </c>
    </row>
    <row r="103" ht="15" customHeight="1">
      <c r="A103" t="inlineStr">
        <is>
          <t>A 41678-2026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46301</v>
      </c>
      <c r="E103" s="1" t="n">
        <v>46316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väst AB</t>
        </is>
      </c>
      <c r="I103" t="n">
        <v>3.4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HYPERLINK("https://klasma.github.io/Logging_2181/artfynd/A 41678-2026 artfynd.xlsx", "A 41678-2026")</f>
        <v/>
      </c>
      <c r="X103">
        <f>HYPERLINK("https://klasma.github.io/Logging_2181/kartor/A 41678-2026 karta.png", "A 41678-2026")</f>
        <v/>
      </c>
      <c r="Y103">
        <f>HYPERLINK("https://klasma.github.io/Logging_2181/kartor_geotiff/A 41678-2026 georefererad karta.tif", "A 41678-2026")</f>
        <v/>
      </c>
      <c r="AA103">
        <f>HYPERLINK("https://klasma.github.io/Logging_2181/klagomål/A 41678-2026 FSC-klagomål.docx", "A 41678-2026")</f>
        <v/>
      </c>
      <c r="AB103">
        <f>HYPERLINK("https://klasma.github.io/Logging_2181/klagomålsmail/A 41678-2026 FSC-klagomål mail.docx", "A 41678-2026")</f>
        <v/>
      </c>
      <c r="AC103">
        <f>HYPERLINK("https://klasma.github.io/Logging_2181/tillsyn/A 41678-2026 tillsynsbegäran.docx", "A 41678-2026")</f>
        <v/>
      </c>
      <c r="AD103">
        <f>HYPERLINK("https://klasma.github.io/Logging_2181/tillsynsmail/A 41678-2026 tillsynsbegäran mail.docx", "A 41678-2026")</f>
        <v/>
      </c>
    </row>
    <row r="104" ht="15" customHeight="1">
      <c r="A104" t="inlineStr">
        <is>
          <t>A 42018-2026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46304</v>
      </c>
      <c r="E104" s="1" t="n">
        <v>46316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Kransmossa</t>
        </is>
      </c>
      <c r="W104">
        <f>HYPERLINK("https://klasma.github.io/Logging_2181/artfynd/A 42018-2026 artfynd.xlsx", "A 42018-2026")</f>
        <v/>
      </c>
      <c r="X104">
        <f>HYPERLINK("https://klasma.github.io/Logging_2181/kartor/A 42018-2026 karta.png", "A 42018-2026")</f>
        <v/>
      </c>
      <c r="Y104">
        <f>HYPERLINK("https://klasma.github.io/Logging_2181/kartor_geotiff/A 42018-2026 georefererad karta.tif", "A 42018-2026")</f>
        <v/>
      </c>
      <c r="AA104">
        <f>HYPERLINK("https://klasma.github.io/Logging_2181/klagomål/A 42018-2026 FSC-klagomål.docx", "A 42018-2026")</f>
        <v/>
      </c>
      <c r="AB104">
        <f>HYPERLINK("https://klasma.github.io/Logging_2181/klagomålsmail/A 42018-2026 FSC-klagomål mail.docx", "A 42018-2026")</f>
        <v/>
      </c>
      <c r="AC104">
        <f>HYPERLINK("https://klasma.github.io/Logging_2181/tillsyn/A 42018-2026 tillsynsbegäran.docx", "A 42018-2026")</f>
        <v/>
      </c>
      <c r="AD104">
        <f>HYPERLINK("https://klasma.github.io/Logging_2181/tillsynsmail/A 42018-2026 tillsynsbegäran mail.docx", "A 42018-2026")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46316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35540-2026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46316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Lopplummer (aggregat)</t>
        </is>
      </c>
      <c r="W106">
        <f>HYPERLINK("https://klasma.github.io/Logging_2181/artfynd/A 35540-2026 artfynd.xlsx", "A 35540-2026")</f>
        <v/>
      </c>
      <c r="X106">
        <f>HYPERLINK("https://klasma.github.io/Logging_2181/kartor/A 35540-2026 karta.png", "A 35540-2026")</f>
        <v/>
      </c>
      <c r="Y106">
        <f>HYPERLINK("https://klasma.github.io/Logging_2181/kartor_geotiff/A 35540-2026 georefererad karta.tif", "A 35540-2026")</f>
        <v/>
      </c>
      <c r="AA106">
        <f>HYPERLINK("https://klasma.github.io/Logging_2181/klagomål/A 35540-2026 FSC-klagomål.docx", "A 35540-2026")</f>
        <v/>
      </c>
      <c r="AB106">
        <f>HYPERLINK("https://klasma.github.io/Logging_2181/klagomålsmail/A 35540-2026 FSC-klagomål mail.docx", "A 35540-2026")</f>
        <v/>
      </c>
      <c r="AC106">
        <f>HYPERLINK("https://klasma.github.io/Logging_2181/tillsyn/A 35540-2026 tillsynsbegäran.docx", "A 35540-2026")</f>
        <v/>
      </c>
      <c r="AD106">
        <f>HYPERLINK("https://klasma.github.io/Logging_2181/tillsynsmail/A 35540-2026 tillsynsbegäran mail.docx", "A 35540-2026")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46316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4384-2023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44955</v>
      </c>
      <c r="E108" s="1" t="n">
        <v>46316</v>
      </c>
      <c r="F108" t="inlineStr">
        <is>
          <t>GÄVLEBORGS LÄN</t>
        </is>
      </c>
      <c r="G108" t="inlineStr">
        <is>
          <t>SANDVIKEN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Sångsvan</t>
        </is>
      </c>
      <c r="W108">
        <f>HYPERLINK("https://klasma.github.io/Logging_2181/artfynd/A 4384-2023 artfynd.xlsx", "A 4384-2023")</f>
        <v/>
      </c>
      <c r="X108">
        <f>HYPERLINK("https://klasma.github.io/Logging_2181/kartor/A 4384-2023 karta.png", "A 4384-2023")</f>
        <v/>
      </c>
      <c r="Y108">
        <f>HYPERLINK("https://klasma.github.io/Logging_2181/kartor_geotiff/A 4384-2023 georefererad karta.tif", "A 4384-2023")</f>
        <v/>
      </c>
      <c r="AA108">
        <f>HYPERLINK("https://klasma.github.io/Logging_2181/klagomål/A 4384-2023 FSC-klagomål.docx", "A 4384-2023")</f>
        <v/>
      </c>
      <c r="AB108">
        <f>HYPERLINK("https://klasma.github.io/Logging_2181/klagomålsmail/A 4384-2023 FSC-klagomål mail.docx", "A 4384-2023")</f>
        <v/>
      </c>
      <c r="AC108">
        <f>HYPERLINK("https://klasma.github.io/Logging_2181/tillsyn/A 4384-2023 tillsynsbegäran.docx", "A 4384-2023")</f>
        <v/>
      </c>
      <c r="AD108">
        <f>HYPERLINK("https://klasma.github.io/Logging_2181/tillsynsmail/A 4384-2023 tillsynsbegäran mail.docx", "A 4384-2023")</f>
        <v/>
      </c>
      <c r="AE108">
        <f>HYPERLINK("https://klasma.github.io/Logging_2181/fåglar/A 4384-2023 prioriterade fågelarter.docx", "A 4384-2023")</f>
        <v/>
      </c>
    </row>
    <row r="109" ht="15" customHeight="1">
      <c r="A109" t="inlineStr">
        <is>
          <t>A 36596-2026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46269</v>
      </c>
      <c r="E109" s="1" t="n">
        <v>46316</v>
      </c>
      <c r="F109" t="inlineStr">
        <is>
          <t>GÄVLEBORGS LÄN</t>
        </is>
      </c>
      <c r="G109" t="inlineStr">
        <is>
          <t>SANDVIKEN</t>
        </is>
      </c>
      <c r="I109" t="n">
        <v>10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padda</t>
        </is>
      </c>
      <c r="W109">
        <f>HYPERLINK("https://klasma.github.io/Logging_2181/artfynd/A 36596-2026 artfynd.xlsx", "A 36596-2026")</f>
        <v/>
      </c>
      <c r="X109">
        <f>HYPERLINK("https://klasma.github.io/Logging_2181/kartor/A 36596-2026 karta.png", "A 36596-2026")</f>
        <v/>
      </c>
      <c r="Y109">
        <f>HYPERLINK("https://klasma.github.io/Logging_2181/kartor_geotiff/A 36596-2026 georefererad karta.tif", "A 36596-2026")</f>
        <v/>
      </c>
      <c r="AA109">
        <f>HYPERLINK("https://klasma.github.io/Logging_2181/klagomål/A 36596-2026 FSC-klagomål.docx", "A 36596-2026")</f>
        <v/>
      </c>
      <c r="AB109">
        <f>HYPERLINK("https://klasma.github.io/Logging_2181/klagomålsmail/A 36596-2026 FSC-klagomål mail.docx", "A 36596-2026")</f>
        <v/>
      </c>
      <c r="AC109">
        <f>HYPERLINK("https://klasma.github.io/Logging_2181/tillsyn/A 36596-2026 tillsynsbegäran.docx", "A 36596-2026")</f>
        <v/>
      </c>
      <c r="AD109">
        <f>HYPERLINK("https://klasma.github.io/Logging_2181/tillsynsmail/A 36596-2026 tillsynsbegäran mail.docx", "A 36596-2026")</f>
        <v/>
      </c>
    </row>
    <row r="110" ht="15" customHeight="1">
      <c r="A110" t="inlineStr">
        <is>
          <t>A 43566-2026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46311</v>
      </c>
      <c r="E110" s="1" t="n">
        <v>46316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väst AB</t>
        </is>
      </c>
      <c r="I110" t="n">
        <v>24.3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Mosippa</t>
        </is>
      </c>
      <c r="W110">
        <f>HYPERLINK("https://klasma.github.io/Logging_2181/artfynd/A 43566-2026 artfynd.xlsx", "A 43566-2026")</f>
        <v/>
      </c>
      <c r="X110">
        <f>HYPERLINK("https://klasma.github.io/Logging_2181/kartor/A 43566-2026 karta.png", "A 43566-2026")</f>
        <v/>
      </c>
      <c r="Y110">
        <f>HYPERLINK("https://klasma.github.io/Logging_2181/kartor_geotiff/A 43566-2026 georefererad karta.tif", "A 43566-2026")</f>
        <v/>
      </c>
      <c r="AA110">
        <f>HYPERLINK("https://klasma.github.io/Logging_2181/klagomål/A 43566-2026 FSC-klagomål.docx", "A 43566-2026")</f>
        <v/>
      </c>
      <c r="AB110">
        <f>HYPERLINK("https://klasma.github.io/Logging_2181/klagomålsmail/A 43566-2026 FSC-klagomål mail.docx", "A 43566-2026")</f>
        <v/>
      </c>
      <c r="AC110">
        <f>HYPERLINK("https://klasma.github.io/Logging_2181/tillsyn/A 43566-2026 tillsynsbegäran.docx", "A 43566-2026")</f>
        <v/>
      </c>
      <c r="AD110">
        <f>HYPERLINK("https://klasma.github.io/Logging_2181/tillsynsmail/A 43566-2026 tillsynsbegäran mail.docx", "A 43566-2026")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46316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46316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46316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46316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46316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46316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46316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46316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46316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46316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46316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46316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46316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46316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46316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46316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46316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46316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46316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46316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46316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46316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46316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46316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46316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46316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46316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46316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46316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46316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46316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46316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46316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46316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46316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46316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46316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46316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46316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46316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46316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46316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46316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46316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46316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46316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46316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46316</v>
      </c>
      <c r="F158" t="inlineStr">
        <is>
          <t>GÄVLEBORGS LÄN</t>
        </is>
      </c>
      <c r="G158" t="inlineStr">
        <is>
          <t>SANDVIKEN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46316</v>
      </c>
      <c r="F159" t="inlineStr">
        <is>
          <t>GÄVLEBORGS LÄN</t>
        </is>
      </c>
      <c r="G159" t="inlineStr">
        <is>
          <t>SANDVIKEN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46316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46316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45552</v>
      </c>
      <c r="E162" s="1" t="n">
        <v>46316</v>
      </c>
      <c r="F162" t="inlineStr">
        <is>
          <t>GÄVLEBORGS LÄN</t>
        </is>
      </c>
      <c r="G162" t="inlineStr">
        <is>
          <t>SANDVIKEN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46316</v>
      </c>
      <c r="F163" t="inlineStr">
        <is>
          <t>GÄVLEBORGS LÄN</t>
        </is>
      </c>
      <c r="G163" t="inlineStr">
        <is>
          <t>SANDVIKEN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46316</v>
      </c>
      <c r="F164" t="inlineStr">
        <is>
          <t>GÄVLEBORGS LÄN</t>
        </is>
      </c>
      <c r="G164" t="inlineStr">
        <is>
          <t>SANDVIKEN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46316</v>
      </c>
      <c r="F165" t="inlineStr">
        <is>
          <t>GÄVLEBORGS LÄN</t>
        </is>
      </c>
      <c r="G165" t="inlineStr">
        <is>
          <t>SANDVIKEN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46316</v>
      </c>
      <c r="F166" t="inlineStr">
        <is>
          <t>GÄVLEBORGS LÄN</t>
        </is>
      </c>
      <c r="G166" t="inlineStr">
        <is>
          <t>SANDVIKEN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46316</v>
      </c>
      <c r="F167" t="inlineStr">
        <is>
          <t>GÄVLEBORGS LÄN</t>
        </is>
      </c>
      <c r="G167" t="inlineStr">
        <is>
          <t>SANDVIKEN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46316</v>
      </c>
      <c r="F168" t="inlineStr">
        <is>
          <t>GÄVLEBORGS LÄN</t>
        </is>
      </c>
      <c r="G168" t="inlineStr">
        <is>
          <t>SANDVIKEN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46316</v>
      </c>
      <c r="F169" t="inlineStr">
        <is>
          <t>GÄVLEBORGS LÄN</t>
        </is>
      </c>
      <c r="G169" t="inlineStr">
        <is>
          <t>SANDVIKEN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46316</v>
      </c>
      <c r="F170" t="inlineStr">
        <is>
          <t>GÄVLEBORGS LÄN</t>
        </is>
      </c>
      <c r="G170" t="inlineStr">
        <is>
          <t>SANDVIKEN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46316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45278</v>
      </c>
      <c r="E172" s="1" t="n">
        <v>46316</v>
      </c>
      <c r="F172" t="inlineStr">
        <is>
          <t>GÄVLEBORGS LÄN</t>
        </is>
      </c>
      <c r="G172" t="inlineStr">
        <is>
          <t>SANDVIKEN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45418</v>
      </c>
      <c r="E173" s="1" t="n">
        <v>46316</v>
      </c>
      <c r="F173" t="inlineStr">
        <is>
          <t>GÄVLEBORGS LÄN</t>
        </is>
      </c>
      <c r="G173" t="inlineStr">
        <is>
          <t>SANDVIKEN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46316</v>
      </c>
      <c r="F174" t="inlineStr">
        <is>
          <t>GÄVLEBORGS LÄN</t>
        </is>
      </c>
      <c r="G174" t="inlineStr">
        <is>
          <t>SANDVIKEN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46316</v>
      </c>
      <c r="F175" t="inlineStr">
        <is>
          <t>GÄVLEBORGS LÄN</t>
        </is>
      </c>
      <c r="G175" t="inlineStr">
        <is>
          <t>SANDVIKEN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24948-2025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46316</v>
      </c>
      <c r="F176" t="inlineStr">
        <is>
          <t>GÄVLEBORGS LÄN</t>
        </is>
      </c>
      <c r="G176" t="inlineStr">
        <is>
          <t>SANDVIKEN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46316</v>
      </c>
      <c r="F177" t="inlineStr">
        <is>
          <t>GÄVLEBORGS LÄN</t>
        </is>
      </c>
      <c r="G177" t="inlineStr">
        <is>
          <t>SANDVIKEN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46316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46316</v>
      </c>
      <c r="F179" t="inlineStr">
        <is>
          <t>GÄVLEBORGS LÄN</t>
        </is>
      </c>
      <c r="G179" t="inlineStr">
        <is>
          <t>SANDVIKEN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46316</v>
      </c>
      <c r="F180" t="inlineStr">
        <is>
          <t>GÄVLEBORGS LÄN</t>
        </is>
      </c>
      <c r="G180" t="inlineStr">
        <is>
          <t>SANDVIKEN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46316</v>
      </c>
      <c r="F181" t="inlineStr">
        <is>
          <t>GÄVLEBORGS LÄN</t>
        </is>
      </c>
      <c r="G181" t="inlineStr">
        <is>
          <t>SANDVIKEN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46316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46316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46316</v>
      </c>
      <c r="F184" t="inlineStr">
        <is>
          <t>GÄVLEBORGS LÄN</t>
        </is>
      </c>
      <c r="G184" t="inlineStr">
        <is>
          <t>SANDVIKEN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46316</v>
      </c>
      <c r="F185" t="inlineStr">
        <is>
          <t>GÄVLEBORGS LÄN</t>
        </is>
      </c>
      <c r="G185" t="inlineStr">
        <is>
          <t>SANDVIKEN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46316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46316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46316</v>
      </c>
      <c r="F188" t="inlineStr">
        <is>
          <t>GÄVLEBORGS LÄN</t>
        </is>
      </c>
      <c r="G188" t="inlineStr">
        <is>
          <t>SANDVIKEN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46316</v>
      </c>
      <c r="F189" t="inlineStr">
        <is>
          <t>GÄVLEBORGS LÄN</t>
        </is>
      </c>
      <c r="G189" t="inlineStr">
        <is>
          <t>SANDVIKEN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46316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46316</v>
      </c>
      <c r="F191" t="inlineStr">
        <is>
          <t>GÄVLEBORGS LÄN</t>
        </is>
      </c>
      <c r="G191" t="inlineStr">
        <is>
          <t>SANDVIKEN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46316</v>
      </c>
      <c r="F192" t="inlineStr">
        <is>
          <t>GÄVLEBORGS LÄN</t>
        </is>
      </c>
      <c r="G192" t="inlineStr">
        <is>
          <t>SANDVIKEN</t>
        </is>
      </c>
      <c r="H192" t="inlineStr">
        <is>
          <t>Kommuner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46021</v>
      </c>
      <c r="E193" s="1" t="n">
        <v>46316</v>
      </c>
      <c r="F193" t="inlineStr">
        <is>
          <t>GÄVLEBORGS LÄN</t>
        </is>
      </c>
      <c r="G193" t="inlineStr">
        <is>
          <t>SANDVIKEN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26787-2025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45810</v>
      </c>
      <c r="E194" s="1" t="n">
        <v>46316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46316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46316</v>
      </c>
      <c r="F196" t="inlineStr">
        <is>
          <t>GÄVLEBORGS LÄN</t>
        </is>
      </c>
      <c r="G196" t="inlineStr">
        <is>
          <t>SANDVIKEN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46316</v>
      </c>
      <c r="F197" t="inlineStr">
        <is>
          <t>GÄVLEBORGS LÄN</t>
        </is>
      </c>
      <c r="G197" t="inlineStr">
        <is>
          <t>SANDVIKEN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46316</v>
      </c>
      <c r="F198" t="inlineStr">
        <is>
          <t>GÄVLEBORGS LÄN</t>
        </is>
      </c>
      <c r="G198" t="inlineStr">
        <is>
          <t>SANDVIKEN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45899</v>
      </c>
      <c r="E199" s="1" t="n">
        <v>46316</v>
      </c>
      <c r="F199" t="inlineStr">
        <is>
          <t>GÄVLEBORGS LÄN</t>
        </is>
      </c>
      <c r="G199" t="inlineStr">
        <is>
          <t>SANDVIKEN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46316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väst AB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46316</v>
      </c>
      <c r="F201" t="inlineStr">
        <is>
          <t>GÄVLEBORGS LÄN</t>
        </is>
      </c>
      <c r="G201" t="inlineStr">
        <is>
          <t>SANDVIKEN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46316</v>
      </c>
      <c r="F202" t="inlineStr">
        <is>
          <t>GÄVLEBORGS LÄN</t>
        </is>
      </c>
      <c r="G202" t="inlineStr">
        <is>
          <t>SANDVIKEN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59614-2024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45638</v>
      </c>
      <c r="E203" s="1" t="n">
        <v>46316</v>
      </c>
      <c r="F203" t="inlineStr">
        <is>
          <t>GÄVLEBORGS LÄN</t>
        </is>
      </c>
      <c r="G203" t="inlineStr">
        <is>
          <t>SANDVIKEN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46316</v>
      </c>
      <c r="F204" t="inlineStr">
        <is>
          <t>GÄVLEBORGS LÄN</t>
        </is>
      </c>
      <c r="G204" t="inlineStr">
        <is>
          <t>SANDVIKEN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46316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46316</v>
      </c>
      <c r="F206" t="inlineStr">
        <is>
          <t>GÄVLEBORGS LÄN</t>
        </is>
      </c>
      <c r="G206" t="inlineStr">
        <is>
          <t>SANDVIKEN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46316</v>
      </c>
      <c r="F207" t="inlineStr">
        <is>
          <t>GÄVLEBORGS LÄN</t>
        </is>
      </c>
      <c r="G207" t="inlineStr">
        <is>
          <t>SANDVIKEN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46316</v>
      </c>
      <c r="F208" t="inlineStr">
        <is>
          <t>GÄVLEBORGS LÄN</t>
        </is>
      </c>
      <c r="G208" t="inlineStr">
        <is>
          <t>SANDVIKEN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46316</v>
      </c>
      <c r="F209" t="inlineStr">
        <is>
          <t>GÄVLEBORGS LÄN</t>
        </is>
      </c>
      <c r="G209" t="inlineStr">
        <is>
          <t>SANDVIKEN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46316</v>
      </c>
      <c r="F210" t="inlineStr">
        <is>
          <t>GÄVLEBORGS LÄN</t>
        </is>
      </c>
      <c r="G210" t="inlineStr">
        <is>
          <t>SANDVIKEN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46316</v>
      </c>
      <c r="F211" t="inlineStr">
        <is>
          <t>GÄVLEBORGS LÄN</t>
        </is>
      </c>
      <c r="G211" t="inlineStr">
        <is>
          <t>SANDVIKEN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46316</v>
      </c>
      <c r="F212" t="inlineStr">
        <is>
          <t>GÄVLEBORGS LÄN</t>
        </is>
      </c>
      <c r="G212" t="inlineStr">
        <is>
          <t>SANDVIKEN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46316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46316</v>
      </c>
      <c r="F214" t="inlineStr">
        <is>
          <t>GÄVLEBORGS LÄN</t>
        </is>
      </c>
      <c r="G214" t="inlineStr">
        <is>
          <t>SANDVIKEN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46316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46316</v>
      </c>
      <c r="F216" t="inlineStr">
        <is>
          <t>GÄVLEBORGS LÄN</t>
        </is>
      </c>
      <c r="G216" t="inlineStr">
        <is>
          <t>SANDVIKEN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46316</v>
      </c>
      <c r="F217" t="inlineStr">
        <is>
          <t>GÄVLEBORGS LÄN</t>
        </is>
      </c>
      <c r="G217" t="inlineStr">
        <is>
          <t>SANDVIKEN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46316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46316</v>
      </c>
      <c r="F219" t="inlineStr">
        <is>
          <t>GÄVLEBORGS LÄN</t>
        </is>
      </c>
      <c r="G219" t="inlineStr">
        <is>
          <t>SANDVIKEN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46316</v>
      </c>
      <c r="F220" t="inlineStr">
        <is>
          <t>GÄVLEBORGS LÄN</t>
        </is>
      </c>
      <c r="G220" t="inlineStr">
        <is>
          <t>SANDVIKEN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44988</v>
      </c>
      <c r="E221" s="1" t="n">
        <v>46316</v>
      </c>
      <c r="F221" t="inlineStr">
        <is>
          <t>GÄVLEBORGS LÄN</t>
        </is>
      </c>
      <c r="G221" t="inlineStr">
        <is>
          <t>SANDVIKEN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46316</v>
      </c>
      <c r="F222" t="inlineStr">
        <is>
          <t>GÄVLEBORGS LÄN</t>
        </is>
      </c>
      <c r="G222" t="inlineStr">
        <is>
          <t>SANDVIKEN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46316</v>
      </c>
      <c r="F223" t="inlineStr">
        <is>
          <t>GÄVLEBORGS LÄN</t>
        </is>
      </c>
      <c r="G223" t="inlineStr">
        <is>
          <t>SANDVIKEN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46316</v>
      </c>
      <c r="F224" t="inlineStr">
        <is>
          <t>GÄVLEBORGS LÄN</t>
        </is>
      </c>
      <c r="G224" t="inlineStr">
        <is>
          <t>SANDVIKEN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46316</v>
      </c>
      <c r="F225" t="inlineStr">
        <is>
          <t>GÄVLEBORGS LÄN</t>
        </is>
      </c>
      <c r="G225" t="inlineStr">
        <is>
          <t>SANDVIKEN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44744</v>
      </c>
      <c r="E226" s="1" t="n">
        <v>46316</v>
      </c>
      <c r="F226" t="inlineStr">
        <is>
          <t>GÄVLEBORGS LÄN</t>
        </is>
      </c>
      <c r="G226" t="inlineStr">
        <is>
          <t>SANDVIKEN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46316</v>
      </c>
      <c r="F227" t="inlineStr">
        <is>
          <t>GÄVLEBORGS LÄN</t>
        </is>
      </c>
      <c r="G227" t="inlineStr">
        <is>
          <t>SANDVIKEN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46316</v>
      </c>
      <c r="F228" t="inlineStr">
        <is>
          <t>GÄVLEBORGS LÄN</t>
        </is>
      </c>
      <c r="G228" t="inlineStr">
        <is>
          <t>SANDVIKEN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46316</v>
      </c>
      <c r="F229" t="inlineStr">
        <is>
          <t>GÄVLEBORGS LÄN</t>
        </is>
      </c>
      <c r="G229" t="inlineStr">
        <is>
          <t>SANDVIKEN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46316</v>
      </c>
      <c r="F230" t="inlineStr">
        <is>
          <t>GÄVLEBORGS LÄN</t>
        </is>
      </c>
      <c r="G230" t="inlineStr">
        <is>
          <t>SANDVIKEN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46316</v>
      </c>
      <c r="F231" t="inlineStr">
        <is>
          <t>GÄVLEBORGS LÄN</t>
        </is>
      </c>
      <c r="G231" t="inlineStr">
        <is>
          <t>SANDVIKEN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46316</v>
      </c>
      <c r="F232" t="inlineStr">
        <is>
          <t>GÄVLEBORGS LÄN</t>
        </is>
      </c>
      <c r="G232" t="inlineStr">
        <is>
          <t>SANDVIKEN</t>
        </is>
      </c>
      <c r="H232" t="inlineStr">
        <is>
          <t>Bergvik skog väst AB</t>
        </is>
      </c>
      <c r="I232" t="n">
        <v>14.2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46316</v>
      </c>
      <c r="F233" t="inlineStr">
        <is>
          <t>GÄVLEBORGS LÄN</t>
        </is>
      </c>
      <c r="G233" t="inlineStr">
        <is>
          <t>SANDVIKEN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46316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46316</v>
      </c>
      <c r="F235" t="inlineStr">
        <is>
          <t>GÄVLEBORGS LÄN</t>
        </is>
      </c>
      <c r="G235" t="inlineStr">
        <is>
          <t>SANDVIKEN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46316</v>
      </c>
      <c r="F236" t="inlineStr">
        <is>
          <t>GÄVLEBORGS LÄN</t>
        </is>
      </c>
      <c r="G236" t="inlineStr">
        <is>
          <t>SANDVIKEN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46316</v>
      </c>
      <c r="F237" t="inlineStr">
        <is>
          <t>GÄVLEBORGS LÄN</t>
        </is>
      </c>
      <c r="G237" t="inlineStr">
        <is>
          <t>SANDVIKEN</t>
        </is>
      </c>
      <c r="H237" t="inlineStr">
        <is>
          <t>Kyrkan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46316</v>
      </c>
      <c r="F238" t="inlineStr">
        <is>
          <t>GÄVLEBORGS LÄN</t>
        </is>
      </c>
      <c r="G238" t="inlineStr">
        <is>
          <t>SANDVIKEN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46316</v>
      </c>
      <c r="F239" t="inlineStr">
        <is>
          <t>GÄVLEBORGS LÄN</t>
        </is>
      </c>
      <c r="G239" t="inlineStr">
        <is>
          <t>SANDVIKEN</t>
        </is>
      </c>
      <c r="H239" t="inlineStr">
        <is>
          <t>Kommuner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46316</v>
      </c>
      <c r="F240" t="inlineStr">
        <is>
          <t>GÄVLEBORGS LÄN</t>
        </is>
      </c>
      <c r="G240" t="inlineStr">
        <is>
          <t>SANDVIKEN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46316</v>
      </c>
      <c r="F241" t="inlineStr">
        <is>
          <t>GÄVLEBORGS LÄN</t>
        </is>
      </c>
      <c r="G241" t="inlineStr">
        <is>
          <t>SANDVIKEN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46316</v>
      </c>
      <c r="F242" t="inlineStr">
        <is>
          <t>GÄVLEBORGS LÄN</t>
        </is>
      </c>
      <c r="G242" t="inlineStr">
        <is>
          <t>SANDVIKEN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46316</v>
      </c>
      <c r="F243" t="inlineStr">
        <is>
          <t>GÄVLEBORGS LÄN</t>
        </is>
      </c>
      <c r="G243" t="inlineStr">
        <is>
          <t>SANDVIKEN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46316</v>
      </c>
      <c r="F244" t="inlineStr">
        <is>
          <t>GÄVLEBORGS LÄN</t>
        </is>
      </c>
      <c r="G244" t="inlineStr">
        <is>
          <t>SANDVIKEN</t>
        </is>
      </c>
      <c r="H244" t="inlineStr">
        <is>
          <t>Kommuner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46316</v>
      </c>
      <c r="F245" t="inlineStr">
        <is>
          <t>GÄVLEBORGS LÄN</t>
        </is>
      </c>
      <c r="G245" t="inlineStr">
        <is>
          <t>SANDVIKEN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46316</v>
      </c>
      <c r="F246" t="inlineStr">
        <is>
          <t>GÄVLEBORGS LÄN</t>
        </is>
      </c>
      <c r="G246" t="inlineStr">
        <is>
          <t>SANDVIKEN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46316</v>
      </c>
      <c r="F247" t="inlineStr">
        <is>
          <t>GÄVLEBORGS LÄN</t>
        </is>
      </c>
      <c r="G247" t="inlineStr">
        <is>
          <t>SANDVIKEN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46316</v>
      </c>
      <c r="F248" t="inlineStr">
        <is>
          <t>GÄVLEBORGS LÄN</t>
        </is>
      </c>
      <c r="G248" t="inlineStr">
        <is>
          <t>SANDVIKEN</t>
        </is>
      </c>
      <c r="I248" t="n">
        <v>11.1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46316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46316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46269-2025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46316</v>
      </c>
      <c r="F251" t="inlineStr">
        <is>
          <t>GÄVLEBORGS LÄN</t>
        </is>
      </c>
      <c r="G251" t="inlineStr">
        <is>
          <t>SANDVIKEN</t>
        </is>
      </c>
      <c r="I251" t="n">
        <v>10.3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45208</v>
      </c>
      <c r="E252" s="1" t="n">
        <v>46316</v>
      </c>
      <c r="F252" t="inlineStr">
        <is>
          <t>GÄVLEBORGS LÄN</t>
        </is>
      </c>
      <c r="G252" t="inlineStr">
        <is>
          <t>SANDVIKEN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46316</v>
      </c>
      <c r="F253" t="inlineStr">
        <is>
          <t>GÄVLEBORGS LÄN</t>
        </is>
      </c>
      <c r="G253" t="inlineStr">
        <is>
          <t>SANDVIKEN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46316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46316</v>
      </c>
      <c r="F255" t="inlineStr">
        <is>
          <t>GÄVLEBORGS LÄN</t>
        </is>
      </c>
      <c r="G255" t="inlineStr">
        <is>
          <t>SANDVIKEN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46316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46316</v>
      </c>
      <c r="F257" t="inlineStr">
        <is>
          <t>GÄVLEBORGS LÄN</t>
        </is>
      </c>
      <c r="G257" t="inlineStr">
        <is>
          <t>SANDVIKEN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46316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7885-2026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46316</v>
      </c>
      <c r="F259" t="inlineStr">
        <is>
          <t>GÄVLEBORGS LÄN</t>
        </is>
      </c>
      <c r="G259" t="inlineStr">
        <is>
          <t>SANDVIKEN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46316</v>
      </c>
      <c r="F260" t="inlineStr">
        <is>
          <t>GÄVLEBORGS LÄN</t>
        </is>
      </c>
      <c r="G260" t="inlineStr">
        <is>
          <t>SANDVIKEN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46316</v>
      </c>
      <c r="F261" t="inlineStr">
        <is>
          <t>GÄVLEBORGS LÄN</t>
        </is>
      </c>
      <c r="G261" t="inlineStr">
        <is>
          <t>SANDVIKEN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46316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46316</v>
      </c>
      <c r="F263" t="inlineStr">
        <is>
          <t>GÄVLEBORGS LÄN</t>
        </is>
      </c>
      <c r="G263" t="inlineStr">
        <is>
          <t>SANDVIKEN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46063</v>
      </c>
      <c r="E264" s="1" t="n">
        <v>46316</v>
      </c>
      <c r="F264" t="inlineStr">
        <is>
          <t>GÄVLEBORGS LÄN</t>
        </is>
      </c>
      <c r="G264" t="inlineStr">
        <is>
          <t>SANDVIKEN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46316</v>
      </c>
      <c r="F265" t="inlineStr">
        <is>
          <t>GÄVLEBORGS LÄN</t>
        </is>
      </c>
      <c r="G265" t="inlineStr">
        <is>
          <t>SANDVIKEN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46316</v>
      </c>
      <c r="F266" t="inlineStr">
        <is>
          <t>GÄVLEBORGS LÄN</t>
        </is>
      </c>
      <c r="G266" t="inlineStr">
        <is>
          <t>SANDVIKEN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46316</v>
      </c>
      <c r="F267" t="inlineStr">
        <is>
          <t>GÄVLEBORGS LÄN</t>
        </is>
      </c>
      <c r="G267" t="inlineStr">
        <is>
          <t>SANDVIKEN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46065</v>
      </c>
      <c r="E268" s="1" t="n">
        <v>46316</v>
      </c>
      <c r="F268" t="inlineStr">
        <is>
          <t>GÄVLEBORGS LÄN</t>
        </is>
      </c>
      <c r="G268" t="inlineStr">
        <is>
          <t>SANDVIKEN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46316</v>
      </c>
      <c r="F269" t="inlineStr">
        <is>
          <t>GÄVLEBORGS LÄN</t>
        </is>
      </c>
      <c r="G269" t="inlineStr">
        <is>
          <t>SANDVIKEN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46065</v>
      </c>
      <c r="E270" s="1" t="n">
        <v>46316</v>
      </c>
      <c r="F270" t="inlineStr">
        <is>
          <t>GÄVLEBORGS LÄN</t>
        </is>
      </c>
      <c r="G270" t="inlineStr">
        <is>
          <t>SANDVIKEN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8363-2026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46064</v>
      </c>
      <c r="E271" s="1" t="n">
        <v>46316</v>
      </c>
      <c r="F271" t="inlineStr">
        <is>
          <t>GÄVLEBORGS LÄN</t>
        </is>
      </c>
      <c r="G271" t="inlineStr">
        <is>
          <t>SANDVIKEN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8574-2026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46316</v>
      </c>
      <c r="F272" t="inlineStr">
        <is>
          <t>GÄVLEBORGS LÄN</t>
        </is>
      </c>
      <c r="G272" t="inlineStr">
        <is>
          <t>SANDVIKEN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46316</v>
      </c>
      <c r="F273" t="inlineStr">
        <is>
          <t>GÄVLEBORGS LÄN</t>
        </is>
      </c>
      <c r="G273" t="inlineStr">
        <is>
          <t>SANDVIKEN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46316</v>
      </c>
      <c r="F274" t="inlineStr">
        <is>
          <t>GÄVLEBORGS LÄN</t>
        </is>
      </c>
      <c r="G274" t="inlineStr">
        <is>
          <t>SANDVIKEN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46066</v>
      </c>
      <c r="E275" s="1" t="n">
        <v>46316</v>
      </c>
      <c r="F275" t="inlineStr">
        <is>
          <t>GÄVLEBORGS LÄN</t>
        </is>
      </c>
      <c r="G275" t="inlineStr">
        <is>
          <t>SANDVIKEN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46316</v>
      </c>
      <c r="F276" t="inlineStr">
        <is>
          <t>GÄVLEBORGS LÄN</t>
        </is>
      </c>
      <c r="G276" t="inlineStr">
        <is>
          <t>SANDVIKEN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46316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46316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46316</v>
      </c>
      <c r="F279" t="inlineStr">
        <is>
          <t>GÄVLEBORGS LÄN</t>
        </is>
      </c>
      <c r="G279" t="inlineStr">
        <is>
          <t>SANDVIKEN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46316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45933</v>
      </c>
      <c r="E281" s="1" t="n">
        <v>46316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45589</v>
      </c>
      <c r="E282" s="1" t="n">
        <v>46316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46316</v>
      </c>
      <c r="F283" t="inlineStr">
        <is>
          <t>GÄVLEBORGS LÄN</t>
        </is>
      </c>
      <c r="G283" t="inlineStr">
        <is>
          <t>SANDVIKEN</t>
        </is>
      </c>
      <c r="H283" t="inlineStr">
        <is>
          <t>Naturvårdsverket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46316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väst AB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46316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46316</v>
      </c>
      <c r="F286" t="inlineStr">
        <is>
          <t>GÄVLEBORGS LÄN</t>
        </is>
      </c>
      <c r="G286" t="inlineStr">
        <is>
          <t>SANDVIKEN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46316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46316</v>
      </c>
      <c r="F288" t="inlineStr">
        <is>
          <t>GÄVLEBORGS LÄN</t>
        </is>
      </c>
      <c r="G288" t="inlineStr">
        <is>
          <t>SANDVIKEN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46316</v>
      </c>
      <c r="F289" t="inlineStr">
        <is>
          <t>GÄVLEBORGS LÄN</t>
        </is>
      </c>
      <c r="G289" t="inlineStr">
        <is>
          <t>SANDVIKEN</t>
        </is>
      </c>
      <c r="H289" t="inlineStr">
        <is>
          <t>Naturvårdsverket</t>
        </is>
      </c>
      <c r="I289" t="n">
        <v>19.5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46316</v>
      </c>
      <c r="F290" t="inlineStr">
        <is>
          <t>GÄVLEBORGS LÄN</t>
        </is>
      </c>
      <c r="G290" t="inlineStr">
        <is>
          <t>SANDVIKEN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46074</v>
      </c>
      <c r="E291" s="1" t="n">
        <v>46316</v>
      </c>
      <c r="F291" t="inlineStr">
        <is>
          <t>GÄVLEBORGS LÄN</t>
        </is>
      </c>
      <c r="G291" t="inlineStr">
        <is>
          <t>SANDVIKEN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46316</v>
      </c>
      <c r="F292" t="inlineStr">
        <is>
          <t>GÄVLEBORGS LÄN</t>
        </is>
      </c>
      <c r="G292" t="inlineStr">
        <is>
          <t>SANDVIKEN</t>
        </is>
      </c>
      <c r="H292" t="inlineStr">
        <is>
          <t>Kommuner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46316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46316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45938</v>
      </c>
      <c r="E295" s="1" t="n">
        <v>46316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46316</v>
      </c>
      <c r="F296" t="inlineStr">
        <is>
          <t>GÄVLEBORGS LÄN</t>
        </is>
      </c>
      <c r="G296" t="inlineStr">
        <is>
          <t>SANDVIKEN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46316</v>
      </c>
      <c r="F297" t="inlineStr">
        <is>
          <t>GÄVLEBORGS LÄN</t>
        </is>
      </c>
      <c r="G297" t="inlineStr">
        <is>
          <t>SANDVIKEN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46316</v>
      </c>
      <c r="F298" t="inlineStr">
        <is>
          <t>GÄVLEBORGS LÄN</t>
        </is>
      </c>
      <c r="G298" t="inlineStr">
        <is>
          <t>SANDVIKEN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46316</v>
      </c>
      <c r="F299" t="inlineStr">
        <is>
          <t>GÄVLEBORGS LÄN</t>
        </is>
      </c>
      <c r="G299" t="inlineStr">
        <is>
          <t>SANDVIKEN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46316</v>
      </c>
      <c r="F300" t="inlineStr">
        <is>
          <t>GÄVLEBORGS LÄN</t>
        </is>
      </c>
      <c r="G300" t="inlineStr">
        <is>
          <t>SANDVIKEN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46316</v>
      </c>
      <c r="F301" t="inlineStr">
        <is>
          <t>GÄVLEBORGS LÄN</t>
        </is>
      </c>
      <c r="G301" t="inlineStr">
        <is>
          <t>SANDVIKEN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46316</v>
      </c>
      <c r="F302" t="inlineStr">
        <is>
          <t>GÄVLEBORGS LÄN</t>
        </is>
      </c>
      <c r="G302" t="inlineStr">
        <is>
          <t>SANDVIKEN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46316</v>
      </c>
      <c r="F303" t="inlineStr">
        <is>
          <t>GÄVLEBORGS LÄN</t>
        </is>
      </c>
      <c r="G303" t="inlineStr">
        <is>
          <t>SANDVIKEN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45938</v>
      </c>
      <c r="E304" s="1" t="n">
        <v>46316</v>
      </c>
      <c r="F304" t="inlineStr">
        <is>
          <t>GÄVLEBORGS LÄN</t>
        </is>
      </c>
      <c r="G304" t="inlineStr">
        <is>
          <t>SANDVIKEN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46316</v>
      </c>
      <c r="F305" t="inlineStr">
        <is>
          <t>GÄVLEBORGS LÄN</t>
        </is>
      </c>
      <c r="G305" t="inlineStr">
        <is>
          <t>SANDVIKEN</t>
        </is>
      </c>
      <c r="H305" t="inlineStr">
        <is>
          <t>Sveaskog</t>
        </is>
      </c>
      <c r="I305" t="n">
        <v>16.6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46316</v>
      </c>
      <c r="F306" t="inlineStr">
        <is>
          <t>GÄVLEBORGS LÄN</t>
        </is>
      </c>
      <c r="G306" t="inlineStr">
        <is>
          <t>SANDVIKEN</t>
        </is>
      </c>
      <c r="I306" t="n">
        <v>14.5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53867-2024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45615</v>
      </c>
      <c r="E307" s="1" t="n">
        <v>46316</v>
      </c>
      <c r="F307" t="inlineStr">
        <is>
          <t>GÄVLEBORGS LÄN</t>
        </is>
      </c>
      <c r="G307" t="inlineStr">
        <is>
          <t>SANDVIKEN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46316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46316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45615</v>
      </c>
      <c r="E310" s="1" t="n">
        <v>46316</v>
      </c>
      <c r="F310" t="inlineStr">
        <is>
          <t>GÄVLEBORGS LÄN</t>
        </is>
      </c>
      <c r="G310" t="inlineStr">
        <is>
          <t>SANDVIKEN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46316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46316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46316</v>
      </c>
      <c r="F313" t="inlineStr">
        <is>
          <t>GÄVLEBORGS LÄN</t>
        </is>
      </c>
      <c r="G313" t="inlineStr">
        <is>
          <t>SANDVIKEN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46316</v>
      </c>
      <c r="F314" t="inlineStr">
        <is>
          <t>GÄVLEBORGS LÄN</t>
        </is>
      </c>
      <c r="G314" t="inlineStr">
        <is>
          <t>SANDVIKEN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46316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46085</v>
      </c>
      <c r="E316" s="1" t="n">
        <v>46316</v>
      </c>
      <c r="F316" t="inlineStr">
        <is>
          <t>GÄVLEBORGS LÄN</t>
        </is>
      </c>
      <c r="G316" t="inlineStr">
        <is>
          <t>SANDVIKEN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46316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46086</v>
      </c>
      <c r="E318" s="1" t="n">
        <v>46316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46316</v>
      </c>
      <c r="F319" t="inlineStr">
        <is>
          <t>GÄVLEBORGS LÄN</t>
        </is>
      </c>
      <c r="G319" t="inlineStr">
        <is>
          <t>SANDVIKEN</t>
        </is>
      </c>
      <c r="H319" t="inlineStr">
        <is>
          <t>Naturvårdsverket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12146-2026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46316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46316</v>
      </c>
      <c r="F321" t="inlineStr">
        <is>
          <t>GÄVLEBORGS LÄN</t>
        </is>
      </c>
      <c r="G321" t="inlineStr">
        <is>
          <t>SANDVIKEN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47398-2025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46316</v>
      </c>
      <c r="F322" t="inlineStr">
        <is>
          <t>GÄVLEBORGS LÄN</t>
        </is>
      </c>
      <c r="G322" t="inlineStr">
        <is>
          <t>SANDVIKEN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11913-2026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46316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46316</v>
      </c>
      <c r="F324" t="inlineStr">
        <is>
          <t>GÄVLEBORGS LÄN</t>
        </is>
      </c>
      <c r="G324" t="inlineStr">
        <is>
          <t>SANDVIKEN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46316</v>
      </c>
      <c r="F325" t="inlineStr">
        <is>
          <t>GÄVLEBORGS LÄN</t>
        </is>
      </c>
      <c r="G325" t="inlineStr">
        <is>
          <t>SANDVIKEN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46316</v>
      </c>
      <c r="F326" t="inlineStr">
        <is>
          <t>GÄVLEBORGS LÄN</t>
        </is>
      </c>
      <c r="G326" t="inlineStr">
        <is>
          <t>SANDVIKEN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46316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46316</v>
      </c>
      <c r="F328" t="inlineStr">
        <is>
          <t>GÄVLEBORGS LÄN</t>
        </is>
      </c>
      <c r="G328" t="inlineStr">
        <is>
          <t>SANDVIKEN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46316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46086</v>
      </c>
      <c r="E330" s="1" t="n">
        <v>46316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46316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38609-2022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44813</v>
      </c>
      <c r="E332" s="1" t="n">
        <v>46316</v>
      </c>
      <c r="F332" t="inlineStr">
        <is>
          <t>GÄVLEBORGS LÄN</t>
        </is>
      </c>
      <c r="G332" t="inlineStr">
        <is>
          <t>SANDVIKEN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50851-2025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45946</v>
      </c>
      <c r="E333" s="1" t="n">
        <v>46316</v>
      </c>
      <c r="F333" t="inlineStr">
        <is>
          <t>GÄVLEBORGS LÄN</t>
        </is>
      </c>
      <c r="G333" t="inlineStr">
        <is>
          <t>SANDVIKEN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52772-2023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45226</v>
      </c>
      <c r="E334" s="1" t="n">
        <v>46316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46087</v>
      </c>
      <c r="E335" s="1" t="n">
        <v>46316</v>
      </c>
      <c r="F335" t="inlineStr">
        <is>
          <t>GÄVLEBORGS LÄN</t>
        </is>
      </c>
      <c r="G335" t="inlineStr">
        <is>
          <t>SANDVIKEN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46316</v>
      </c>
      <c r="F336" t="inlineStr">
        <is>
          <t>GÄVLEBORGS LÄN</t>
        </is>
      </c>
      <c r="G336" t="inlineStr">
        <is>
          <t>SANDVIKEN</t>
        </is>
      </c>
      <c r="H336" t="inlineStr">
        <is>
          <t>Kommuner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46316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46316</v>
      </c>
      <c r="F338" t="inlineStr">
        <is>
          <t>GÄVLEBORGS LÄN</t>
        </is>
      </c>
      <c r="G338" t="inlineStr">
        <is>
          <t>SANDVIKEN</t>
        </is>
      </c>
      <c r="H338" t="inlineStr">
        <is>
          <t>Kommuner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46087</v>
      </c>
      <c r="E339" s="1" t="n">
        <v>46316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27.2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46090</v>
      </c>
      <c r="E340" s="1" t="n">
        <v>46316</v>
      </c>
      <c r="F340" t="inlineStr">
        <is>
          <t>GÄVLEBORGS LÄN</t>
        </is>
      </c>
      <c r="G340" t="inlineStr">
        <is>
          <t>SANDVIKEN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46316</v>
      </c>
      <c r="F341" t="inlineStr">
        <is>
          <t>GÄVLEBORGS LÄN</t>
        </is>
      </c>
      <c r="G341" t="inlineStr">
        <is>
          <t>SANDVIKEN</t>
        </is>
      </c>
      <c r="H341" t="inlineStr">
        <is>
          <t>Naturvårdsverket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46316</v>
      </c>
      <c r="F342" t="inlineStr">
        <is>
          <t>GÄVLEBORGS LÄN</t>
        </is>
      </c>
      <c r="G342" t="inlineStr">
        <is>
          <t>SANDVIKEN</t>
        </is>
      </c>
      <c r="H342" t="inlineStr">
        <is>
          <t>Naturvårdsverket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46091</v>
      </c>
      <c r="E343" s="1" t="n">
        <v>46316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46316</v>
      </c>
      <c r="F344" t="inlineStr">
        <is>
          <t>GÄVLEBORGS LÄN</t>
        </is>
      </c>
      <c r="G344" t="inlineStr">
        <is>
          <t>SANDVIKEN</t>
        </is>
      </c>
      <c r="H344" t="inlineStr">
        <is>
          <t>Bergvik skog öst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46316</v>
      </c>
      <c r="F345" t="inlineStr">
        <is>
          <t>GÄVLEBORGS LÄN</t>
        </is>
      </c>
      <c r="G345" t="inlineStr">
        <is>
          <t>SANDVIKEN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46316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46316</v>
      </c>
      <c r="F347" t="inlineStr">
        <is>
          <t>GÄVLEBORGS LÄN</t>
        </is>
      </c>
      <c r="G347" t="inlineStr">
        <is>
          <t>SANDVIKEN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13138-2026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46316</v>
      </c>
      <c r="F348" t="inlineStr">
        <is>
          <t>GÄVLEBORGS LÄN</t>
        </is>
      </c>
      <c r="G348" t="inlineStr">
        <is>
          <t>SANDVIKEN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45480</v>
      </c>
      <c r="E349" s="1" t="n">
        <v>46316</v>
      </c>
      <c r="F349" t="inlineStr">
        <is>
          <t>GÄVLEBORGS LÄN</t>
        </is>
      </c>
      <c r="G349" t="inlineStr">
        <is>
          <t>SANDVIKEN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46316</v>
      </c>
      <c r="F350" t="inlineStr">
        <is>
          <t>GÄVLEBORGS LÄN</t>
        </is>
      </c>
      <c r="G350" t="inlineStr">
        <is>
          <t>SANDVIKEN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46316</v>
      </c>
      <c r="F351" t="inlineStr">
        <is>
          <t>GÄVLEBORGS LÄN</t>
        </is>
      </c>
      <c r="G351" t="inlineStr">
        <is>
          <t>SANDVIKEN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46316</v>
      </c>
      <c r="F352" t="inlineStr">
        <is>
          <t>GÄVLEBORGS LÄN</t>
        </is>
      </c>
      <c r="G352" t="inlineStr">
        <is>
          <t>SANDVIKEN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13108-2026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46316</v>
      </c>
      <c r="F353" t="inlineStr">
        <is>
          <t>GÄVLEBORGS LÄN</t>
        </is>
      </c>
      <c r="G353" t="inlineStr">
        <is>
          <t>SANDVIKEN</t>
        </is>
      </c>
      <c r="I353" t="n">
        <v>22.5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46316</v>
      </c>
      <c r="F354" t="inlineStr">
        <is>
          <t>GÄVLEBORGS LÄN</t>
        </is>
      </c>
      <c r="G354" t="inlineStr">
        <is>
          <t>SANDVIKEN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46316</v>
      </c>
      <c r="F355" t="inlineStr">
        <is>
          <t>GÄVLEBORGS LÄN</t>
        </is>
      </c>
      <c r="G355" t="inlineStr">
        <is>
          <t>SANDVIKEN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46316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13727-2026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46097</v>
      </c>
      <c r="E357" s="1" t="n">
        <v>46316</v>
      </c>
      <c r="F357" t="inlineStr">
        <is>
          <t>GÄVLEBORGS LÄN</t>
        </is>
      </c>
      <c r="G357" t="inlineStr">
        <is>
          <t>SANDVIKEN</t>
        </is>
      </c>
      <c r="H357" t="inlineStr">
        <is>
          <t>Kommuner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46095</v>
      </c>
      <c r="E358" s="1" t="n">
        <v>46316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46095</v>
      </c>
      <c r="E359" s="1" t="n">
        <v>46316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46095</v>
      </c>
      <c r="E360" s="1" t="n">
        <v>46316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46095</v>
      </c>
      <c r="E361" s="1" t="n">
        <v>46316</v>
      </c>
      <c r="F361" t="inlineStr">
        <is>
          <t>GÄVLEBORGS LÄN</t>
        </is>
      </c>
      <c r="G361" t="inlineStr">
        <is>
          <t>SANDVIKEN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46316</v>
      </c>
      <c r="F362" t="inlineStr">
        <is>
          <t>GÄVLEBORGS LÄN</t>
        </is>
      </c>
      <c r="G362" t="inlineStr">
        <is>
          <t>SANDVIKEN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46316</v>
      </c>
      <c r="F363" t="inlineStr">
        <is>
          <t>GÄVLEBORGS LÄN</t>
        </is>
      </c>
      <c r="G363" t="inlineStr">
        <is>
          <t>SANDVIKEN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46095</v>
      </c>
      <c r="E364" s="1" t="n">
        <v>46316</v>
      </c>
      <c r="F364" t="inlineStr">
        <is>
          <t>GÄVLEBORGS LÄN</t>
        </is>
      </c>
      <c r="G364" t="inlineStr">
        <is>
          <t>SANDVIKEN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46316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46316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46316</v>
      </c>
      <c r="F367" t="inlineStr">
        <is>
          <t>GÄVLEBORGS LÄN</t>
        </is>
      </c>
      <c r="G367" t="inlineStr">
        <is>
          <t>SANDVIKEN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14330-2026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46316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46316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46316</v>
      </c>
      <c r="F370" t="inlineStr">
        <is>
          <t>GÄVLEBORGS LÄN</t>
        </is>
      </c>
      <c r="G370" t="inlineStr">
        <is>
          <t>SANDVIKEN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46316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45957</v>
      </c>
      <c r="E372" s="1" t="n">
        <v>46316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HYPERLINK("https://klasma.github.io/Logging_2181/knärot/A 52786-2025 karta knärot.png", "A 52786-2025")</f>
        <v/>
      </c>
      <c r="AA372">
        <f>HYPERLINK("https://klasma.github.io/Logging_2181/klagomål/A 52786-2025 FSC-klagomål.docx", "A 52786-2025")</f>
        <v/>
      </c>
      <c r="AB372">
        <f>HYPERLINK("https://klasma.github.io/Logging_2181/klagomålsmail/A 52786-2025 FSC-klagomål mail.docx", "A 52786-2025")</f>
        <v/>
      </c>
      <c r="AC372">
        <f>HYPERLINK("https://klasma.github.io/Logging_2181/tillsyn/A 52786-2025 tillsynsbegäran.docx", "A 52786-2025")</f>
        <v/>
      </c>
      <c r="AD372">
        <f>HYPERLINK("https://klasma.github.io/Logging_2181/tillsynsmail/A 52786-2025 tillsynsbegäran mail.docx", "A 52786-2025")</f>
        <v/>
      </c>
    </row>
    <row r="373" ht="15" customHeight="1">
      <c r="A373" t="inlineStr">
        <is>
          <t>A 14676-2026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46316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44582</v>
      </c>
      <c r="E374" s="1" t="n">
        <v>46316</v>
      </c>
      <c r="F374" t="inlineStr">
        <is>
          <t>GÄVLEBORGS LÄN</t>
        </is>
      </c>
      <c r="G374" t="inlineStr">
        <is>
          <t>SANDVIKEN</t>
        </is>
      </c>
      <c r="H374" t="inlineStr">
        <is>
          <t>Kyrkan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46316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46316</v>
      </c>
      <c r="F376" t="inlineStr">
        <is>
          <t>GÄVLEBORGS LÄN</t>
        </is>
      </c>
      <c r="G376" t="inlineStr">
        <is>
          <t>SANDVIKEN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44804</v>
      </c>
      <c r="E377" s="1" t="n">
        <v>46316</v>
      </c>
      <c r="F377" t="inlineStr">
        <is>
          <t>GÄVLEBORGS LÄN</t>
        </is>
      </c>
      <c r="G377" t="inlineStr">
        <is>
          <t>SANDVIKEN</t>
        </is>
      </c>
      <c r="I377" t="n">
        <v>9.199999999999999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31460-2025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46316</v>
      </c>
      <c r="F378" t="inlineStr">
        <is>
          <t>GÄVLEBORGS LÄN</t>
        </is>
      </c>
      <c r="G378" t="inlineStr">
        <is>
          <t>SANDVIKEN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46316</v>
      </c>
      <c r="F379" t="inlineStr">
        <is>
          <t>GÄVLEBORGS LÄN</t>
        </is>
      </c>
      <c r="G379" t="inlineStr">
        <is>
          <t>SANDVIKEN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64112-2023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45279</v>
      </c>
      <c r="E380" s="1" t="n">
        <v>46316</v>
      </c>
      <c r="F380" t="inlineStr">
        <is>
          <t>GÄVLEBORGS LÄN</t>
        </is>
      </c>
      <c r="G380" t="inlineStr">
        <is>
          <t>SANDVIKEN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46316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15778-2026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46316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46316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46316</v>
      </c>
      <c r="F384" t="inlineStr">
        <is>
          <t>GÄVLEBORGS LÄN</t>
        </is>
      </c>
      <c r="G384" t="inlineStr">
        <is>
          <t>SANDVIKEN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46316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46316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46316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46316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45832</v>
      </c>
      <c r="E389" s="1" t="n">
        <v>46316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30843-2025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45831</v>
      </c>
      <c r="E390" s="1" t="n">
        <v>46316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46316</v>
      </c>
      <c r="F391" t="inlineStr">
        <is>
          <t>GÄVLEBORGS LÄN</t>
        </is>
      </c>
      <c r="G391" t="inlineStr">
        <is>
          <t>SANDVIKEN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46316</v>
      </c>
      <c r="F392" t="inlineStr">
        <is>
          <t>GÄVLEBORGS LÄN</t>
        </is>
      </c>
      <c r="G392" t="inlineStr">
        <is>
          <t>SANDVIKEN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55595-2025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46316</v>
      </c>
      <c r="F393" t="inlineStr">
        <is>
          <t>GÄVLEBORGS LÄN</t>
        </is>
      </c>
      <c r="G393" t="inlineStr">
        <is>
          <t>SANDVIKEN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55355-2025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46316</v>
      </c>
      <c r="F394" t="inlineStr">
        <is>
          <t>GÄVLEBORGS LÄN</t>
        </is>
      </c>
      <c r="G394" t="inlineStr">
        <is>
          <t>SANDVIKEN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16958-2026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46316</v>
      </c>
      <c r="F395" t="inlineStr">
        <is>
          <t>GÄVLEBORGS LÄN</t>
        </is>
      </c>
      <c r="G395" t="inlineStr">
        <is>
          <t>SANDVIKEN</t>
        </is>
      </c>
      <c r="I395" t="n">
        <v>10.3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46115</v>
      </c>
      <c r="E396" s="1" t="n">
        <v>46316</v>
      </c>
      <c r="F396" t="inlineStr">
        <is>
          <t>GÄVLEBORGS LÄN</t>
        </is>
      </c>
      <c r="G396" t="inlineStr">
        <is>
          <t>SANDVIKEN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46116</v>
      </c>
      <c r="E397" s="1" t="n">
        <v>46316</v>
      </c>
      <c r="F397" t="inlineStr">
        <is>
          <t>GÄVLEBORGS LÄN</t>
        </is>
      </c>
      <c r="G397" t="inlineStr">
        <is>
          <t>SANDVIKEN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46316</v>
      </c>
      <c r="F398" t="inlineStr">
        <is>
          <t>GÄVLEBORGS LÄN</t>
        </is>
      </c>
      <c r="G398" t="inlineStr">
        <is>
          <t>SANDVIKEN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46115</v>
      </c>
      <c r="E399" s="1" t="n">
        <v>46316</v>
      </c>
      <c r="F399" t="inlineStr">
        <is>
          <t>GÄVLEBORGS LÄN</t>
        </is>
      </c>
      <c r="G399" t="inlineStr">
        <is>
          <t>SANDVIKEN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46116</v>
      </c>
      <c r="E400" s="1" t="n">
        <v>46316</v>
      </c>
      <c r="F400" t="inlineStr">
        <is>
          <t>GÄVLEBORGS LÄN</t>
        </is>
      </c>
      <c r="G400" t="inlineStr">
        <is>
          <t>SANDVIKEN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46115</v>
      </c>
      <c r="E401" s="1" t="n">
        <v>46316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46116</v>
      </c>
      <c r="E402" s="1" t="n">
        <v>46316</v>
      </c>
      <c r="F402" t="inlineStr">
        <is>
          <t>GÄVLEBORGS LÄN</t>
        </is>
      </c>
      <c r="G402" t="inlineStr">
        <is>
          <t>SANDVIKEN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46316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46316</v>
      </c>
      <c r="F404" t="inlineStr">
        <is>
          <t>GÄVLEBORGS LÄN</t>
        </is>
      </c>
      <c r="G404" t="inlineStr">
        <is>
          <t>SANDVIKEN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17173-2026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46115</v>
      </c>
      <c r="E405" s="1" t="n">
        <v>46316</v>
      </c>
      <c r="F405" t="inlineStr">
        <is>
          <t>GÄVLEBORGS LÄN</t>
        </is>
      </c>
      <c r="G405" t="inlineStr">
        <is>
          <t>SANDVIKEN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46316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46119</v>
      </c>
      <c r="E407" s="1" t="n">
        <v>46316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46119</v>
      </c>
      <c r="E408" s="1" t="n">
        <v>46316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46316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46316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46316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46316</v>
      </c>
      <c r="F412" t="inlineStr">
        <is>
          <t>GÄVLEBORGS LÄN</t>
        </is>
      </c>
      <c r="G412" t="inlineStr">
        <is>
          <t>SANDVIKEN</t>
        </is>
      </c>
      <c r="H412" t="inlineStr">
        <is>
          <t>Sveaskog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46316</v>
      </c>
      <c r="F413" t="inlineStr">
        <is>
          <t>GÄVLEBORGS LÄN</t>
        </is>
      </c>
      <c r="G413" t="inlineStr">
        <is>
          <t>SANDVIKEN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46316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46316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45667</v>
      </c>
      <c r="E416" s="1" t="n">
        <v>46316</v>
      </c>
      <c r="F416" t="inlineStr">
        <is>
          <t>GÄVLEBORGS LÄN</t>
        </is>
      </c>
      <c r="G416" t="inlineStr">
        <is>
          <t>SANDVIKEN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46316</v>
      </c>
      <c r="F417" t="inlineStr">
        <is>
          <t>GÄVLEBORGS LÄN</t>
        </is>
      </c>
      <c r="G417" t="inlineStr">
        <is>
          <t>SANDVIKEN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46316</v>
      </c>
      <c r="F418" t="inlineStr">
        <is>
          <t>GÄVLEBORGS LÄN</t>
        </is>
      </c>
      <c r="G418" t="inlineStr">
        <is>
          <t>SANDVIKEN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46126</v>
      </c>
      <c r="E419" s="1" t="n">
        <v>46316</v>
      </c>
      <c r="F419" t="inlineStr">
        <is>
          <t>GÄVLEBORGS LÄN</t>
        </is>
      </c>
      <c r="G419" t="inlineStr">
        <is>
          <t>SANDVIKEN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46316</v>
      </c>
      <c r="F420" t="inlineStr">
        <is>
          <t>GÄVLEBORGS LÄN</t>
        </is>
      </c>
      <c r="G420" t="inlineStr">
        <is>
          <t>SANDVIKEN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18988-2026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46129</v>
      </c>
      <c r="E421" s="1" t="n">
        <v>46316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46316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46129</v>
      </c>
      <c r="E423" s="1" t="n">
        <v>46316</v>
      </c>
      <c r="F423" t="inlineStr">
        <is>
          <t>GÄVLEBORGS LÄN</t>
        </is>
      </c>
      <c r="G423" t="inlineStr">
        <is>
          <t>SANDVIKEN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18656-2026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46128</v>
      </c>
      <c r="E424" s="1" t="n">
        <v>46316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45977</v>
      </c>
      <c r="E425" s="1" t="n">
        <v>46316</v>
      </c>
      <c r="F425" t="inlineStr">
        <is>
          <t>GÄVLEBORGS LÄN</t>
        </is>
      </c>
      <c r="G425" t="inlineStr">
        <is>
          <t>SANDVIKEN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58885-2023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45252</v>
      </c>
      <c r="E426" s="1" t="n">
        <v>46316</v>
      </c>
      <c r="F426" t="inlineStr">
        <is>
          <t>GÄVLEBORGS LÄN</t>
        </is>
      </c>
      <c r="G426" t="inlineStr">
        <is>
          <t>SANDVIKEN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18991-2026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46129</v>
      </c>
      <c r="E427" s="1" t="n">
        <v>46316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46099</v>
      </c>
      <c r="E428" s="1" t="n">
        <v>46316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56755-2025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46316</v>
      </c>
      <c r="F429" t="inlineStr">
        <is>
          <t>GÄVLEBORGS LÄN</t>
        </is>
      </c>
      <c r="G429" t="inlineStr">
        <is>
          <t>SANDVIKEN</t>
        </is>
      </c>
      <c r="I429" t="n">
        <v>10.4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18990-2026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46129</v>
      </c>
      <c r="E430" s="1" t="n">
        <v>46316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18987-2026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46129</v>
      </c>
      <c r="E431" s="1" t="n">
        <v>46316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46316</v>
      </c>
      <c r="F432" t="inlineStr">
        <is>
          <t>GÄVLEBORGS LÄN</t>
        </is>
      </c>
      <c r="G432" t="inlineStr">
        <is>
          <t>SANDVIKEN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46316</v>
      </c>
      <c r="F433" t="inlineStr">
        <is>
          <t>GÄVLEBORGS LÄN</t>
        </is>
      </c>
      <c r="G433" t="inlineStr">
        <is>
          <t>SANDVIKEN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46316</v>
      </c>
      <c r="F434" t="inlineStr">
        <is>
          <t>GÄVLEBORGS LÄN</t>
        </is>
      </c>
      <c r="G434" t="inlineStr">
        <is>
          <t>SANDVIKEN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37367-2024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45540</v>
      </c>
      <c r="E435" s="1" t="n">
        <v>46316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56150-2023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45240</v>
      </c>
      <c r="E436" s="1" t="n">
        <v>46316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46316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33015-2025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46316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27.3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46130</v>
      </c>
      <c r="E439" s="1" t="n">
        <v>46316</v>
      </c>
      <c r="F439" t="inlineStr">
        <is>
          <t>GÄVLEBORGS LÄN</t>
        </is>
      </c>
      <c r="G439" t="inlineStr">
        <is>
          <t>SANDVIKEN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46316</v>
      </c>
      <c r="F440" t="inlineStr">
        <is>
          <t>GÄVLEBORGS LÄN</t>
        </is>
      </c>
      <c r="G440" t="inlineStr">
        <is>
          <t>SANDVIKEN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12732-2026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46091</v>
      </c>
      <c r="E441" s="1" t="n">
        <v>46316</v>
      </c>
      <c r="F441" t="inlineStr">
        <is>
          <t>GÄVLEBORGS LÄN</t>
        </is>
      </c>
      <c r="G441" t="inlineStr">
        <is>
          <t>SANDVIKEN</t>
        </is>
      </c>
      <c r="H441" t="inlineStr">
        <is>
          <t>Naturvårdsverket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46316</v>
      </c>
      <c r="F442" t="inlineStr">
        <is>
          <t>GÄVLEBORGS LÄN</t>
        </is>
      </c>
      <c r="G442" t="inlineStr">
        <is>
          <t>SANDVIKEN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19273-2026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46316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46316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46316</v>
      </c>
      <c r="F445" t="inlineStr">
        <is>
          <t>GÄVLEBORGS LÄN</t>
        </is>
      </c>
      <c r="G445" t="inlineStr">
        <is>
          <t>SANDVIKEN</t>
        </is>
      </c>
      <c r="H445" t="inlineStr">
        <is>
          <t>Naturvårdsverket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45983</v>
      </c>
      <c r="E446" s="1" t="n">
        <v>46316</v>
      </c>
      <c r="F446" t="inlineStr">
        <is>
          <t>GÄVLEBORGS LÄN</t>
        </is>
      </c>
      <c r="G446" t="inlineStr">
        <is>
          <t>SANDVIKEN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58197-2025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45984</v>
      </c>
      <c r="E447" s="1" t="n">
        <v>46316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58199-2025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45984</v>
      </c>
      <c r="E448" s="1" t="n">
        <v>46316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58201-2025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45984</v>
      </c>
      <c r="E449" s="1" t="n">
        <v>46316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46316</v>
      </c>
      <c r="F450" t="inlineStr">
        <is>
          <t>GÄVLEBORGS LÄN</t>
        </is>
      </c>
      <c r="G450" t="inlineStr">
        <is>
          <t>SANDVIKEN</t>
        </is>
      </c>
      <c r="H450" t="inlineStr">
        <is>
          <t>Sveaskog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46316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16.4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46316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46316</v>
      </c>
      <c r="F453" t="inlineStr">
        <is>
          <t>GÄVLEBORGS LÄN</t>
        </is>
      </c>
      <c r="G453" t="inlineStr">
        <is>
          <t>SANDVIKEN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46316</v>
      </c>
      <c r="F454" t="inlineStr">
        <is>
          <t>GÄVLEBORGS LÄN</t>
        </is>
      </c>
      <c r="G454" t="inlineStr">
        <is>
          <t>SANDVIKEN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46316</v>
      </c>
      <c r="F455" t="inlineStr">
        <is>
          <t>GÄVLEBORGS LÄN</t>
        </is>
      </c>
      <c r="G455" t="inlineStr">
        <is>
          <t>SANDVIKEN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58207-2025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46316</v>
      </c>
      <c r="F456" t="inlineStr">
        <is>
          <t>GÄVLEBORGS LÄN</t>
        </is>
      </c>
      <c r="G456" t="inlineStr">
        <is>
          <t>SANDVIKEN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12382-2026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46090</v>
      </c>
      <c r="E457" s="1" t="n">
        <v>46316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46316</v>
      </c>
      <c r="F458" t="inlineStr">
        <is>
          <t>GÄVLEBORGS LÄN</t>
        </is>
      </c>
      <c r="G458" t="inlineStr">
        <is>
          <t>SANDVIKEN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46316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45845</v>
      </c>
      <c r="E460" s="1" t="n">
        <v>46316</v>
      </c>
      <c r="F460" t="inlineStr">
        <is>
          <t>GÄVLEBORGS LÄN</t>
        </is>
      </c>
      <c r="G460" t="inlineStr">
        <is>
          <t>SANDVIKEN</t>
        </is>
      </c>
      <c r="H460" t="inlineStr">
        <is>
          <t>Sveaskog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45476</v>
      </c>
      <c r="E461" s="1" t="n">
        <v>46316</v>
      </c>
      <c r="F461" t="inlineStr">
        <is>
          <t>GÄVLEBORGS LÄN</t>
        </is>
      </c>
      <c r="G461" t="inlineStr">
        <is>
          <t>SANDVIKEN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45762</v>
      </c>
      <c r="E462" s="1" t="n">
        <v>46316</v>
      </c>
      <c r="F462" t="inlineStr">
        <is>
          <t>GÄVLEBORGS LÄN</t>
        </is>
      </c>
      <c r="G462" t="inlineStr">
        <is>
          <t>SANDVIKEN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46316</v>
      </c>
      <c r="F463" t="inlineStr">
        <is>
          <t>GÄVLEBORGS LÄN</t>
        </is>
      </c>
      <c r="G463" t="inlineStr">
        <is>
          <t>SANDVIKEN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46316</v>
      </c>
      <c r="F464" t="inlineStr">
        <is>
          <t>GÄVLEBORGS LÄN</t>
        </is>
      </c>
      <c r="G464" t="inlineStr">
        <is>
          <t>SANDVIKEN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45992</v>
      </c>
      <c r="E465" s="1" t="n">
        <v>46316</v>
      </c>
      <c r="F465" t="inlineStr">
        <is>
          <t>GÄVLEBORGS LÄN</t>
        </is>
      </c>
      <c r="G465" t="inlineStr">
        <is>
          <t>SANDVIKEN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46316</v>
      </c>
      <c r="F466" t="inlineStr">
        <is>
          <t>GÄVLEBORGS LÄN</t>
        </is>
      </c>
      <c r="G466" t="inlineStr">
        <is>
          <t>SANDVIKEN</t>
        </is>
      </c>
      <c r="I466" t="n">
        <v>10.2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45992</v>
      </c>
      <c r="E467" s="1" t="n">
        <v>46316</v>
      </c>
      <c r="F467" t="inlineStr">
        <is>
          <t>GÄVLEBORGS LÄN</t>
        </is>
      </c>
      <c r="G467" t="inlineStr">
        <is>
          <t>SANDVIKEN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46036</v>
      </c>
      <c r="E468" s="1" t="n">
        <v>46316</v>
      </c>
      <c r="F468" t="inlineStr">
        <is>
          <t>GÄVLEBORGS LÄN</t>
        </is>
      </c>
      <c r="G468" t="inlineStr">
        <is>
          <t>SANDVIKEN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46316</v>
      </c>
      <c r="F469" t="inlineStr">
        <is>
          <t>GÄVLEBORGS LÄN</t>
        </is>
      </c>
      <c r="G469" t="inlineStr">
        <is>
          <t>SANDVIKEN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25828-2024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45467</v>
      </c>
      <c r="E470" s="1" t="n">
        <v>46316</v>
      </c>
      <c r="F470" t="inlineStr">
        <is>
          <t>GÄVLEBORGS LÄN</t>
        </is>
      </c>
      <c r="G470" t="inlineStr">
        <is>
          <t>SANDVIKEN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45595</v>
      </c>
      <c r="E471" s="1" t="n">
        <v>46316</v>
      </c>
      <c r="F471" t="inlineStr">
        <is>
          <t>GÄVLEBORGS LÄN</t>
        </is>
      </c>
      <c r="G471" t="inlineStr">
        <is>
          <t>SANDVIKEN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61694-2021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44501</v>
      </c>
      <c r="E472" s="1" t="n">
        <v>46316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42495-2025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45905</v>
      </c>
      <c r="E473" s="1" t="n">
        <v>46316</v>
      </c>
      <c r="F473" t="inlineStr">
        <is>
          <t>GÄVLEBORGS LÄN</t>
        </is>
      </c>
      <c r="G473" t="inlineStr">
        <is>
          <t>SANDVIKEN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45999</v>
      </c>
      <c r="E474" s="1" t="n">
        <v>46316</v>
      </c>
      <c r="F474" t="inlineStr">
        <is>
          <t>GÄVLEBORGS LÄN</t>
        </is>
      </c>
      <c r="G474" t="inlineStr">
        <is>
          <t>SANDVIKEN</t>
        </is>
      </c>
      <c r="I474" t="n">
        <v>9.6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72997-2021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44549</v>
      </c>
      <c r="E475" s="1" t="n">
        <v>46316</v>
      </c>
      <c r="F475" t="inlineStr">
        <is>
          <t>GÄVLEBORGS LÄN</t>
        </is>
      </c>
      <c r="G475" t="inlineStr">
        <is>
          <t>SANDVIKEN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45701</v>
      </c>
      <c r="E476" s="1" t="n">
        <v>46316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45709</v>
      </c>
      <c r="E477" s="1" t="n">
        <v>46316</v>
      </c>
      <c r="F477" t="inlineStr">
        <is>
          <t>GÄVLEBORGS LÄN</t>
        </is>
      </c>
      <c r="G477" t="inlineStr">
        <is>
          <t>SANDVIKEN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46316</v>
      </c>
      <c r="F478" t="inlineStr">
        <is>
          <t>GÄVLEBORGS LÄN</t>
        </is>
      </c>
      <c r="G478" t="inlineStr">
        <is>
          <t>SANDVIKEN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45121</v>
      </c>
      <c r="E479" s="1" t="n">
        <v>46316</v>
      </c>
      <c r="F479" t="inlineStr">
        <is>
          <t>GÄVLEBORGS LÄN</t>
        </is>
      </c>
      <c r="G479" t="inlineStr">
        <is>
          <t>SANDVIKEN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45769</v>
      </c>
      <c r="E480" s="1" t="n">
        <v>46316</v>
      </c>
      <c r="F480" t="inlineStr">
        <is>
          <t>GÄVLEBORGS LÄN</t>
        </is>
      </c>
      <c r="G480" t="inlineStr">
        <is>
          <t>SANDVIKEN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46080</v>
      </c>
      <c r="E481" s="1" t="n">
        <v>46316</v>
      </c>
      <c r="F481" t="inlineStr">
        <is>
          <t>GÄVLEBORGS LÄN</t>
        </is>
      </c>
      <c r="G481" t="inlineStr">
        <is>
          <t>SANDVIKEN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61299-2025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46316</v>
      </c>
      <c r="F482" t="inlineStr">
        <is>
          <t>GÄVLEBORGS LÄN</t>
        </is>
      </c>
      <c r="G482" t="inlineStr">
        <is>
          <t>SANDVIKEN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46316</v>
      </c>
      <c r="F483" t="inlineStr">
        <is>
          <t>GÄVLEBORGS LÄN</t>
        </is>
      </c>
      <c r="G483" t="inlineStr">
        <is>
          <t>SANDVIKEN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46316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13632-2024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45390</v>
      </c>
      <c r="E485" s="1" t="n">
        <v>46316</v>
      </c>
      <c r="F485" t="inlineStr">
        <is>
          <t>GÄVLEBORGS LÄN</t>
        </is>
      </c>
      <c r="G485" t="inlineStr">
        <is>
          <t>SANDVIKEN</t>
        </is>
      </c>
      <c r="H485" t="inlineStr">
        <is>
          <t>Kyrkan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46316</v>
      </c>
      <c r="F486" t="inlineStr">
        <is>
          <t>GÄVLEBORGS LÄN</t>
        </is>
      </c>
      <c r="G486" t="inlineStr">
        <is>
          <t>SANDVIKEN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46316</v>
      </c>
      <c r="F487" t="inlineStr">
        <is>
          <t>GÄVLEBORGS LÄN</t>
        </is>
      </c>
      <c r="G487" t="inlineStr">
        <is>
          <t>SANDVIKEN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46316</v>
      </c>
      <c r="F488" t="inlineStr">
        <is>
          <t>GÄVLEBORGS LÄN</t>
        </is>
      </c>
      <c r="G488" t="inlineStr">
        <is>
          <t>SANDVIKEN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45252</v>
      </c>
      <c r="E489" s="1" t="n">
        <v>46316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45706</v>
      </c>
      <c r="E490" s="1" t="n">
        <v>46316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45660</v>
      </c>
      <c r="E491" s="1" t="n">
        <v>46316</v>
      </c>
      <c r="F491" t="inlineStr">
        <is>
          <t>GÄVLEBORGS LÄN</t>
        </is>
      </c>
      <c r="G491" t="inlineStr">
        <is>
          <t>SANDVIKEN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45999</v>
      </c>
      <c r="E492" s="1" t="n">
        <v>46316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46316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45238</v>
      </c>
      <c r="E494" s="1" t="n">
        <v>46316</v>
      </c>
      <c r="F494" t="inlineStr">
        <is>
          <t>GÄVLEBORGS LÄN</t>
        </is>
      </c>
      <c r="G494" t="inlineStr">
        <is>
          <t>SANDVIKEN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46316</v>
      </c>
      <c r="F495" t="inlineStr">
        <is>
          <t>GÄVLEBORGS LÄN</t>
        </is>
      </c>
      <c r="G495" t="inlineStr">
        <is>
          <t>SANDVIKEN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7599-2026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46061</v>
      </c>
      <c r="E496" s="1" t="n">
        <v>46316</v>
      </c>
      <c r="F496" t="inlineStr">
        <is>
          <t>GÄVLEBORGS LÄN</t>
        </is>
      </c>
      <c r="G496" t="inlineStr">
        <is>
          <t>SANDVIKEN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46037</v>
      </c>
      <c r="E497" s="1" t="n">
        <v>46316</v>
      </c>
      <c r="F497" t="inlineStr">
        <is>
          <t>GÄVLEBORGS LÄN</t>
        </is>
      </c>
      <c r="G497" t="inlineStr">
        <is>
          <t>SANDVIKEN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35995-2025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45863</v>
      </c>
      <c r="E498" s="1" t="n">
        <v>46316</v>
      </c>
      <c r="F498" t="inlineStr">
        <is>
          <t>GÄVLEBORGS LÄN</t>
        </is>
      </c>
      <c r="G498" t="inlineStr">
        <is>
          <t>SANDVIKEN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46316</v>
      </c>
      <c r="F499" t="inlineStr">
        <is>
          <t>GÄVLEBORGS LÄN</t>
        </is>
      </c>
      <c r="G499" t="inlineStr">
        <is>
          <t>SANDVIKEN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46316</v>
      </c>
      <c r="F500" t="inlineStr">
        <is>
          <t>GÄVLEBORGS LÄN</t>
        </is>
      </c>
      <c r="G500" t="inlineStr">
        <is>
          <t>SANDVIKEN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46316</v>
      </c>
      <c r="F501" t="inlineStr">
        <is>
          <t>GÄVLEBORGS LÄN</t>
        </is>
      </c>
      <c r="G501" t="inlineStr">
        <is>
          <t>SANDVIKEN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45562</v>
      </c>
      <c r="E502" s="1" t="n">
        <v>46316</v>
      </c>
      <c r="F502" t="inlineStr">
        <is>
          <t>GÄVLEBORGS LÄN</t>
        </is>
      </c>
      <c r="G502" t="inlineStr">
        <is>
          <t>SANDVIKEN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28523-2024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46316</v>
      </c>
      <c r="F503" t="inlineStr">
        <is>
          <t>GÄVLEBORGS LÄN</t>
        </is>
      </c>
      <c r="G503" t="inlineStr">
        <is>
          <t>SANDVIKEN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45866</v>
      </c>
      <c r="E504" s="1" t="n">
        <v>46316</v>
      </c>
      <c r="F504" t="inlineStr">
        <is>
          <t>GÄVLEBORGS LÄN</t>
        </is>
      </c>
      <c r="G504" t="inlineStr">
        <is>
          <t>SANDVIKEN</t>
        </is>
      </c>
      <c r="H504" t="inlineStr">
        <is>
          <t>Sveaskog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14910-2026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46316</v>
      </c>
      <c r="F505" t="inlineStr">
        <is>
          <t>GÄVLEBORGS LÄN</t>
        </is>
      </c>
      <c r="G505" t="inlineStr">
        <is>
          <t>SANDVIKEN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36091-2025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45866</v>
      </c>
      <c r="E506" s="1" t="n">
        <v>46316</v>
      </c>
      <c r="F506" t="inlineStr">
        <is>
          <t>GÄVLEBORGS LÄN</t>
        </is>
      </c>
      <c r="G506" t="inlineStr">
        <is>
          <t>SANDVIKEN</t>
        </is>
      </c>
      <c r="H506" t="inlineStr">
        <is>
          <t>Sveaskog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46136</v>
      </c>
      <c r="E507" s="1" t="n">
        <v>46316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46093</v>
      </c>
      <c r="E508" s="1" t="n">
        <v>46316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46316</v>
      </c>
      <c r="F509" t="inlineStr">
        <is>
          <t>GÄVLEBORGS LÄN</t>
        </is>
      </c>
      <c r="G509" t="inlineStr">
        <is>
          <t>SANDVIKEN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46316</v>
      </c>
      <c r="F510" t="inlineStr">
        <is>
          <t>GÄVLEBORGS LÄN</t>
        </is>
      </c>
      <c r="G510" t="inlineStr">
        <is>
          <t>SANDVIKEN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46046</v>
      </c>
      <c r="E511" s="1" t="n">
        <v>46316</v>
      </c>
      <c r="F511" t="inlineStr">
        <is>
          <t>GÄVLEBORGS LÄN</t>
        </is>
      </c>
      <c r="G511" t="inlineStr">
        <is>
          <t>SANDVIKEN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40745-2024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45558</v>
      </c>
      <c r="E512" s="1" t="n">
        <v>46316</v>
      </c>
      <c r="F512" t="inlineStr">
        <is>
          <t>GÄVLEBORGS LÄN</t>
        </is>
      </c>
      <c r="G512" t="inlineStr">
        <is>
          <t>SANDVIKEN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50900-2024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45602</v>
      </c>
      <c r="E513" s="1" t="n">
        <v>46316</v>
      </c>
      <c r="F513" t="inlineStr">
        <is>
          <t>GÄVLEBORGS LÄN</t>
        </is>
      </c>
      <c r="G513" t="inlineStr">
        <is>
          <t>SANDVIKEN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45867</v>
      </c>
      <c r="E514" s="1" t="n">
        <v>46316</v>
      </c>
      <c r="F514" t="inlineStr">
        <is>
          <t>GÄVLEBORGS LÄN</t>
        </is>
      </c>
      <c r="G514" t="inlineStr">
        <is>
          <t>SANDVIKEN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46316</v>
      </c>
      <c r="F515" t="inlineStr">
        <is>
          <t>GÄVLEBORGS LÄN</t>
        </is>
      </c>
      <c r="G515" t="inlineStr">
        <is>
          <t>SANDVIKEN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46316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46316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10.9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46316</v>
      </c>
      <c r="F518" t="inlineStr">
        <is>
          <t>GÄVLEBORGS LÄN</t>
        </is>
      </c>
      <c r="G518" t="inlineStr">
        <is>
          <t>SANDVIKEN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44784</v>
      </c>
      <c r="E519" s="1" t="n">
        <v>46316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44717-2025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45917</v>
      </c>
      <c r="E520" s="1" t="n">
        <v>46316</v>
      </c>
      <c r="F520" t="inlineStr">
        <is>
          <t>GÄVLEBORGS LÄN</t>
        </is>
      </c>
      <c r="G520" t="inlineStr">
        <is>
          <t>SANDVIKEN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45870</v>
      </c>
      <c r="E521" s="1" t="n">
        <v>46316</v>
      </c>
      <c r="F521" t="inlineStr">
        <is>
          <t>GÄVLEBORGS LÄN</t>
        </is>
      </c>
      <c r="G521" t="inlineStr">
        <is>
          <t>SANDVIKEN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4882-2026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46316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46316</v>
      </c>
      <c r="F523" t="inlineStr">
        <is>
          <t>GÄVLEBORGS LÄN</t>
        </is>
      </c>
      <c r="G523" t="inlineStr">
        <is>
          <t>SANDVIKEN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45779</v>
      </c>
      <c r="E524" s="1" t="n">
        <v>46316</v>
      </c>
      <c r="F524" t="inlineStr">
        <is>
          <t>GÄVLEBORGS LÄN</t>
        </is>
      </c>
      <c r="G524" t="inlineStr">
        <is>
          <t>SANDVIKEN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46316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46042</v>
      </c>
      <c r="E526" s="1" t="n">
        <v>46316</v>
      </c>
      <c r="F526" t="inlineStr">
        <is>
          <t>GÄVLEBORGS LÄN</t>
        </is>
      </c>
      <c r="G526" t="inlineStr">
        <is>
          <t>SANDVIKEN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36732-2025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45873</v>
      </c>
      <c r="E527" s="1" t="n">
        <v>46316</v>
      </c>
      <c r="F527" t="inlineStr">
        <is>
          <t>GÄVLEBORGS LÄN</t>
        </is>
      </c>
      <c r="G527" t="inlineStr">
        <is>
          <t>SANDVIKEN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11967-2025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45728</v>
      </c>
      <c r="E528" s="1" t="n">
        <v>46316</v>
      </c>
      <c r="F528" t="inlineStr">
        <is>
          <t>GÄVLEBORGS LÄN</t>
        </is>
      </c>
      <c r="G528" t="inlineStr">
        <is>
          <t>SANDVIKEN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46057</v>
      </c>
      <c r="E529" s="1" t="n">
        <v>46316</v>
      </c>
      <c r="F529" t="inlineStr">
        <is>
          <t>GÄVLEBORGS LÄN</t>
        </is>
      </c>
      <c r="G529" t="inlineStr">
        <is>
          <t>SANDVIKEN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46316</v>
      </c>
      <c r="F530" t="inlineStr">
        <is>
          <t>GÄVLEBORGS LÄN</t>
        </is>
      </c>
      <c r="G530" t="inlineStr">
        <is>
          <t>SANDVIKEN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36795-2025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46316</v>
      </c>
      <c r="F531" t="inlineStr">
        <is>
          <t>GÄVLEBORGS LÄN</t>
        </is>
      </c>
      <c r="G531" t="inlineStr">
        <is>
          <t>SANDVIKEN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36693-2025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45873</v>
      </c>
      <c r="E532" s="1" t="n">
        <v>46316</v>
      </c>
      <c r="F532" t="inlineStr">
        <is>
          <t>GÄVLEBORGS LÄN</t>
        </is>
      </c>
      <c r="G532" t="inlineStr">
        <is>
          <t>SANDVIKEN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3679-2022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44586</v>
      </c>
      <c r="E533" s="1" t="n">
        <v>46316</v>
      </c>
      <c r="F533" t="inlineStr">
        <is>
          <t>GÄVLEBORGS LÄN</t>
        </is>
      </c>
      <c r="G533" t="inlineStr">
        <is>
          <t>SANDVIKEN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46316</v>
      </c>
      <c r="F534" t="inlineStr">
        <is>
          <t>GÄVLEBORGS LÄN</t>
        </is>
      </c>
      <c r="G534" t="inlineStr">
        <is>
          <t>SANDVIKEN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46069</v>
      </c>
      <c r="E535" s="1" t="n">
        <v>46316</v>
      </c>
      <c r="F535" t="inlineStr">
        <is>
          <t>GÄVLEBORGS LÄN</t>
        </is>
      </c>
      <c r="G535" t="inlineStr">
        <is>
          <t>SANDVIKEN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46316</v>
      </c>
      <c r="F536" t="inlineStr">
        <is>
          <t>GÄVLEBORGS LÄN</t>
        </is>
      </c>
      <c r="G536" t="inlineStr">
        <is>
          <t>SANDVIKEN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46316</v>
      </c>
      <c r="F537" t="inlineStr">
        <is>
          <t>GÄVLEBORGS LÄN</t>
        </is>
      </c>
      <c r="G537" t="inlineStr">
        <is>
          <t>SANDVIKEN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46316</v>
      </c>
      <c r="F538" t="inlineStr">
        <is>
          <t>GÄVLEBORGS LÄN</t>
        </is>
      </c>
      <c r="G538" t="inlineStr">
        <is>
          <t>SANDVIKEN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46316</v>
      </c>
      <c r="F539" t="inlineStr">
        <is>
          <t>GÄVLEBORGS LÄN</t>
        </is>
      </c>
      <c r="G539" t="inlineStr">
        <is>
          <t>SANDVIKEN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46316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46065</v>
      </c>
      <c r="E541" s="1" t="n">
        <v>46316</v>
      </c>
      <c r="F541" t="inlineStr">
        <is>
          <t>GÄVLEBORGS LÄN</t>
        </is>
      </c>
      <c r="G541" t="inlineStr">
        <is>
          <t>SANDVIKEN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45211</v>
      </c>
      <c r="E542" s="1" t="n">
        <v>46316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20618-2026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46316</v>
      </c>
      <c r="F543" t="inlineStr">
        <is>
          <t>GÄVLEBORGS LÄN</t>
        </is>
      </c>
      <c r="G543" t="inlineStr">
        <is>
          <t>SANDVIKEN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46055</v>
      </c>
      <c r="E544" s="1" t="n">
        <v>46316</v>
      </c>
      <c r="F544" t="inlineStr">
        <is>
          <t>GÄVLEBORGS LÄN</t>
        </is>
      </c>
      <c r="G544" t="inlineStr">
        <is>
          <t>SANDVIKEN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46316</v>
      </c>
      <c r="F545" t="inlineStr">
        <is>
          <t>GÄVLEBORGS LÄN</t>
        </is>
      </c>
      <c r="G545" t="inlineStr">
        <is>
          <t>SANDVIKEN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46316</v>
      </c>
      <c r="F546" t="inlineStr">
        <is>
          <t>GÄVLEBORGS LÄN</t>
        </is>
      </c>
      <c r="G546" t="inlineStr">
        <is>
          <t>SANDVIKEN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45070</v>
      </c>
      <c r="E547" s="1" t="n">
        <v>46316</v>
      </c>
      <c r="F547" t="inlineStr">
        <is>
          <t>GÄVLEBORGS LÄN</t>
        </is>
      </c>
      <c r="G547" t="inlineStr">
        <is>
          <t>SANDVIKEN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46316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25357-2023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45087</v>
      </c>
      <c r="E549" s="1" t="n">
        <v>46316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45530</v>
      </c>
      <c r="E550" s="1" t="n">
        <v>46316</v>
      </c>
      <c r="F550" t="inlineStr">
        <is>
          <t>GÄVLEBORGS LÄN</t>
        </is>
      </c>
      <c r="G550" t="inlineStr">
        <is>
          <t>SANDVIKEN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32291-2024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45512</v>
      </c>
      <c r="E551" s="1" t="n">
        <v>46316</v>
      </c>
      <c r="F551" t="inlineStr">
        <is>
          <t>GÄVLEBORGS LÄN</t>
        </is>
      </c>
      <c r="G551" t="inlineStr">
        <is>
          <t>SANDVIKEN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45883</v>
      </c>
      <c r="E552" s="1" t="n">
        <v>46316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46316</v>
      </c>
      <c r="F553" t="inlineStr">
        <is>
          <t>GÄVLEBORGS LÄN</t>
        </is>
      </c>
      <c r="G553" t="inlineStr">
        <is>
          <t>SANDVIKEN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46316</v>
      </c>
      <c r="F554" t="inlineStr">
        <is>
          <t>GÄVLEBORGS LÄN</t>
        </is>
      </c>
      <c r="G554" t="inlineStr">
        <is>
          <t>SANDVIKEN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46316</v>
      </c>
      <c r="F555" t="inlineStr">
        <is>
          <t>GÄVLEBORGS LÄN</t>
        </is>
      </c>
      <c r="G555" t="inlineStr">
        <is>
          <t>SANDVIKEN</t>
        </is>
      </c>
      <c r="I555" t="n">
        <v>11.2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24764-2024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45460</v>
      </c>
      <c r="E556" s="1" t="n">
        <v>46316</v>
      </c>
      <c r="F556" t="inlineStr">
        <is>
          <t>GÄVLEBORGS LÄN</t>
        </is>
      </c>
      <c r="G556" t="inlineStr">
        <is>
          <t>SANDVIKEN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46316</v>
      </c>
      <c r="F557" t="inlineStr">
        <is>
          <t>GÄVLEBORGS LÄN</t>
        </is>
      </c>
      <c r="G557" t="inlineStr">
        <is>
          <t>SANDVIKEN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46316</v>
      </c>
      <c r="F558" t="inlineStr">
        <is>
          <t>GÄVLEBORGS LÄN</t>
        </is>
      </c>
      <c r="G558" t="inlineStr">
        <is>
          <t>SANDVIKEN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45153</v>
      </c>
      <c r="E559" s="1" t="n">
        <v>46316</v>
      </c>
      <c r="F559" t="inlineStr">
        <is>
          <t>GÄVLEBORGS LÄN</t>
        </is>
      </c>
      <c r="G559" t="inlineStr">
        <is>
          <t>SANDVIKEN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46316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46316</v>
      </c>
      <c r="F561" t="inlineStr">
        <is>
          <t>GÄVLEBORGS LÄN</t>
        </is>
      </c>
      <c r="G561" t="inlineStr">
        <is>
          <t>SANDVIKEN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46316</v>
      </c>
      <c r="F562" t="inlineStr">
        <is>
          <t>GÄVLEBORGS LÄN</t>
        </is>
      </c>
      <c r="G562" t="inlineStr">
        <is>
          <t>SANDVIKEN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46316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46316</v>
      </c>
      <c r="F564" t="inlineStr">
        <is>
          <t>GÄVLEBORGS LÄN</t>
        </is>
      </c>
      <c r="G564" t="inlineStr">
        <is>
          <t>SANDVIKEN</t>
        </is>
      </c>
      <c r="I564" t="n">
        <v>6.8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20917-2026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46142</v>
      </c>
      <c r="E565" s="1" t="n">
        <v>46316</v>
      </c>
      <c r="F565" t="inlineStr">
        <is>
          <t>GÄVLEBORGS LÄN</t>
        </is>
      </c>
      <c r="G565" t="inlineStr">
        <is>
          <t>SANDVIKEN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46316</v>
      </c>
      <c r="F566" t="inlineStr">
        <is>
          <t>GÄVLEBORGS LÄN</t>
        </is>
      </c>
      <c r="G566" t="inlineStr">
        <is>
          <t>SANDVIKEN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60897-2023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45261</v>
      </c>
      <c r="E567" s="1" t="n">
        <v>46316</v>
      </c>
      <c r="F567" t="inlineStr">
        <is>
          <t>GÄVLEBORGS LÄN</t>
        </is>
      </c>
      <c r="G567" t="inlineStr">
        <is>
          <t>SANDVIKEN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62047-2022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44918</v>
      </c>
      <c r="E568" s="1" t="n">
        <v>46316</v>
      </c>
      <c r="F568" t="inlineStr">
        <is>
          <t>GÄVLEBORGS LÄN</t>
        </is>
      </c>
      <c r="G568" t="inlineStr">
        <is>
          <t>SANDVIKEN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46065</v>
      </c>
      <c r="E569" s="1" t="n">
        <v>46316</v>
      </c>
      <c r="F569" t="inlineStr">
        <is>
          <t>GÄVLEBORGS LÄN</t>
        </is>
      </c>
      <c r="G569" t="inlineStr">
        <is>
          <t>SANDVIKEN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45331-2024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45576</v>
      </c>
      <c r="E570" s="1" t="n">
        <v>46316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45330</v>
      </c>
      <c r="E571" s="1" t="n">
        <v>46316</v>
      </c>
      <c r="F571" t="inlineStr">
        <is>
          <t>GÄVLEBORGS LÄN</t>
        </is>
      </c>
      <c r="G571" t="inlineStr">
        <is>
          <t>SANDVIKEN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46316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38845-2025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45887</v>
      </c>
      <c r="E573" s="1" t="n">
        <v>46316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45271</v>
      </c>
      <c r="E574" s="1" t="n">
        <v>46316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62056-2022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44918</v>
      </c>
      <c r="E575" s="1" t="n">
        <v>46316</v>
      </c>
      <c r="F575" t="inlineStr">
        <is>
          <t>GÄVLEBORGS LÄN</t>
        </is>
      </c>
      <c r="G575" t="inlineStr">
        <is>
          <t>SANDVIKEN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45884</v>
      </c>
      <c r="E576" s="1" t="n">
        <v>46316</v>
      </c>
      <c r="F576" t="inlineStr">
        <is>
          <t>GÄVLEBORGS LÄN</t>
        </is>
      </c>
      <c r="G576" t="inlineStr">
        <is>
          <t>SANDVIKEN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46316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46316</v>
      </c>
      <c r="F578" t="inlineStr">
        <is>
          <t>GÄVLEBORGS LÄN</t>
        </is>
      </c>
      <c r="G578" t="inlineStr">
        <is>
          <t>SANDVIKEN</t>
        </is>
      </c>
      <c r="H578" t="inlineStr">
        <is>
          <t>Kommuner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46147</v>
      </c>
      <c r="E579" s="1" t="n">
        <v>46316</v>
      </c>
      <c r="F579" t="inlineStr">
        <is>
          <t>GÄVLEBORGS LÄN</t>
        </is>
      </c>
      <c r="G579" t="inlineStr">
        <is>
          <t>SANDVIKEN</t>
        </is>
      </c>
      <c r="H579" t="inlineStr">
        <is>
          <t>Kommuner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46147</v>
      </c>
      <c r="E580" s="1" t="n">
        <v>46316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45245</v>
      </c>
      <c r="E581" s="1" t="n">
        <v>46316</v>
      </c>
      <c r="F581" t="inlineStr">
        <is>
          <t>GÄVLEBORGS LÄN</t>
        </is>
      </c>
      <c r="G581" t="inlineStr">
        <is>
          <t>SANDVIKEN</t>
        </is>
      </c>
      <c r="I581" t="n">
        <v>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46316</v>
      </c>
      <c r="F582" t="inlineStr">
        <is>
          <t>GÄVLEBORGS LÄN</t>
        </is>
      </c>
      <c r="G582" t="inlineStr">
        <is>
          <t>SANDVIKEN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15674-2024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45404</v>
      </c>
      <c r="E583" s="1" t="n">
        <v>46316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22042-2023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45069</v>
      </c>
      <c r="E584" s="1" t="n">
        <v>46316</v>
      </c>
      <c r="F584" t="inlineStr">
        <is>
          <t>GÄVLEBORGS LÄN</t>
        </is>
      </c>
      <c r="G584" t="inlineStr">
        <is>
          <t>SANDVIKEN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45666</v>
      </c>
      <c r="E585" s="1" t="n">
        <v>46316</v>
      </c>
      <c r="F585" t="inlineStr">
        <is>
          <t>GÄVLEBORGS LÄN</t>
        </is>
      </c>
      <c r="G585" t="inlineStr">
        <is>
          <t>SANDVIKEN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21576-2026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46148</v>
      </c>
      <c r="E586" s="1" t="n">
        <v>46316</v>
      </c>
      <c r="F586" t="inlineStr">
        <is>
          <t>GÄVLEBORGS LÄN</t>
        </is>
      </c>
      <c r="G586" t="inlineStr">
        <is>
          <t>SANDVIKEN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45755</v>
      </c>
      <c r="E587" s="1" t="n">
        <v>46316</v>
      </c>
      <c r="F587" t="inlineStr">
        <is>
          <t>GÄVLEBORGS LÄN</t>
        </is>
      </c>
      <c r="G587" t="inlineStr">
        <is>
          <t>SANDVIKEN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45415</v>
      </c>
      <c r="E588" s="1" t="n">
        <v>46316</v>
      </c>
      <c r="F588" t="inlineStr">
        <is>
          <t>GÄVLEBORGS LÄN</t>
        </is>
      </c>
      <c r="G588" t="inlineStr">
        <is>
          <t>SANDVIKEN</t>
        </is>
      </c>
      <c r="H588" t="inlineStr">
        <is>
          <t>Kommuner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44994</v>
      </c>
      <c r="E589" s="1" t="n">
        <v>46316</v>
      </c>
      <c r="F589" t="inlineStr">
        <is>
          <t>GÄVLEBORGS LÄN</t>
        </is>
      </c>
      <c r="G589" t="inlineStr">
        <is>
          <t>SANDVIKEN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11764-2023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44994</v>
      </c>
      <c r="E590" s="1" t="n">
        <v>46316</v>
      </c>
      <c r="F590" t="inlineStr">
        <is>
          <t>GÄVLEBORGS LÄN</t>
        </is>
      </c>
      <c r="G590" t="inlineStr">
        <is>
          <t>SANDVIKEN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21951-2026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46151</v>
      </c>
      <c r="E591" s="1" t="n">
        <v>46316</v>
      </c>
      <c r="F591" t="inlineStr">
        <is>
          <t>GÄVLEBORGS LÄN</t>
        </is>
      </c>
      <c r="G591" t="inlineStr">
        <is>
          <t>SANDVIKEN</t>
        </is>
      </c>
      <c r="I591" t="n">
        <v>11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46050</v>
      </c>
      <c r="E592" s="1" t="n">
        <v>46316</v>
      </c>
      <c r="F592" t="inlineStr">
        <is>
          <t>GÄVLEBORGS LÄN</t>
        </is>
      </c>
      <c r="G592" t="inlineStr">
        <is>
          <t>SANDVIKEN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46316</v>
      </c>
      <c r="F593" t="inlineStr">
        <is>
          <t>GÄVLEBORGS LÄN</t>
        </is>
      </c>
      <c r="G593" t="inlineStr">
        <is>
          <t>SANDVIKEN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46316</v>
      </c>
      <c r="F594" t="inlineStr">
        <is>
          <t>GÄVLEBORGS LÄN</t>
        </is>
      </c>
      <c r="G594" t="inlineStr">
        <is>
          <t>SANDVIKEN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46316</v>
      </c>
      <c r="F595" t="inlineStr">
        <is>
          <t>GÄVLEBORGS LÄN</t>
        </is>
      </c>
      <c r="G595" t="inlineStr">
        <is>
          <t>SANDVIKEN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46316</v>
      </c>
      <c r="F596" t="inlineStr">
        <is>
          <t>GÄVLEBORGS LÄN</t>
        </is>
      </c>
      <c r="G596" t="inlineStr">
        <is>
          <t>SANDVIKEN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17256-2024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46316</v>
      </c>
      <c r="F597" t="inlineStr">
        <is>
          <t>GÄVLEBORGS LÄN</t>
        </is>
      </c>
      <c r="G597" t="inlineStr">
        <is>
          <t>SANDVIKEN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45649</v>
      </c>
      <c r="E598" s="1" t="n">
        <v>46316</v>
      </c>
      <c r="F598" t="inlineStr">
        <is>
          <t>GÄVLEBORGS LÄN</t>
        </is>
      </c>
      <c r="G598" t="inlineStr">
        <is>
          <t>SANDVIKEN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46316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45343</v>
      </c>
      <c r="E600" s="1" t="n">
        <v>46316</v>
      </c>
      <c r="F600" t="inlineStr">
        <is>
          <t>GÄVLEBORGS LÄN</t>
        </is>
      </c>
      <c r="G600" t="inlineStr">
        <is>
          <t>SANDVIKEN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46316</v>
      </c>
      <c r="F601" t="inlineStr">
        <is>
          <t>GÄVLEBORGS LÄN</t>
        </is>
      </c>
      <c r="G601" t="inlineStr">
        <is>
          <t>SANDVIKEN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46048</v>
      </c>
      <c r="E602" s="1" t="n">
        <v>46316</v>
      </c>
      <c r="F602" t="inlineStr">
        <is>
          <t>GÄVLEBORGS LÄN</t>
        </is>
      </c>
      <c r="G602" t="inlineStr">
        <is>
          <t>SANDVIKEN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46316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46316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6.1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13551-2026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46316</v>
      </c>
      <c r="F605" t="inlineStr">
        <is>
          <t>GÄVLEBORGS LÄN</t>
        </is>
      </c>
      <c r="G605" t="inlineStr">
        <is>
          <t>SANDVIKEN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46104</v>
      </c>
      <c r="E606" s="1" t="n">
        <v>46316</v>
      </c>
      <c r="F606" t="inlineStr">
        <is>
          <t>GÄVLEBORGS LÄN</t>
        </is>
      </c>
      <c r="G606" t="inlineStr">
        <is>
          <t>SANDVIKEN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16102-2026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46316</v>
      </c>
      <c r="F607" t="inlineStr">
        <is>
          <t>GÄVLEBORGS LÄN</t>
        </is>
      </c>
      <c r="G607" t="inlineStr">
        <is>
          <t>SANDVIKEN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45730</v>
      </c>
      <c r="E608" s="1" t="n">
        <v>46316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45730</v>
      </c>
      <c r="E609" s="1" t="n">
        <v>46316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23144-2026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46161</v>
      </c>
      <c r="E610" s="1" t="n">
        <v>46316</v>
      </c>
      <c r="F610" t="inlineStr">
        <is>
          <t>GÄVLEBORGS LÄN</t>
        </is>
      </c>
      <c r="G610" t="inlineStr">
        <is>
          <t>SANDVIKEN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46316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60891-2023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45261</v>
      </c>
      <c r="E612" s="1" t="n">
        <v>46316</v>
      </c>
      <c r="F612" t="inlineStr">
        <is>
          <t>GÄVLEBORGS LÄN</t>
        </is>
      </c>
      <c r="G612" t="inlineStr">
        <is>
          <t>SANDVIKEN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1737-2026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46034</v>
      </c>
      <c r="E613" s="1" t="n">
        <v>46316</v>
      </c>
      <c r="F613" t="inlineStr">
        <is>
          <t>GÄVLEBORGS LÄN</t>
        </is>
      </c>
      <c r="G613" t="inlineStr">
        <is>
          <t>SANDVIKEN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45293</v>
      </c>
      <c r="E614" s="1" t="n">
        <v>46316</v>
      </c>
      <c r="F614" t="inlineStr">
        <is>
          <t>GÄVLEBORGS LÄN</t>
        </is>
      </c>
      <c r="G614" t="inlineStr">
        <is>
          <t>SANDVIKEN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46316</v>
      </c>
      <c r="F615" t="inlineStr">
        <is>
          <t>GÄVLEBORGS LÄN</t>
        </is>
      </c>
      <c r="G615" t="inlineStr">
        <is>
          <t>SANDVIKEN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46316</v>
      </c>
      <c r="F616" t="inlineStr">
        <is>
          <t>GÄVLEBORGS LÄN</t>
        </is>
      </c>
      <c r="G616" t="inlineStr">
        <is>
          <t>SANDVIKEN</t>
        </is>
      </c>
      <c r="H616" t="inlineStr">
        <is>
          <t>Övriga statliga verk och myndigheter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23429-2026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46316</v>
      </c>
      <c r="F617" t="inlineStr">
        <is>
          <t>GÄVLEBORGS LÄN</t>
        </is>
      </c>
      <c r="G617" t="inlineStr">
        <is>
          <t>SANDVIKEN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46316</v>
      </c>
      <c r="F618" t="inlineStr">
        <is>
          <t>GÄVLEBORGS LÄN</t>
        </is>
      </c>
      <c r="G618" t="inlineStr">
        <is>
          <t>SANDVIKEN</t>
        </is>
      </c>
      <c r="H618" t="inlineStr">
        <is>
          <t>Övriga statliga verk och myndigheter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46030</v>
      </c>
      <c r="E619" s="1" t="n">
        <v>46316</v>
      </c>
      <c r="F619" t="inlineStr">
        <is>
          <t>GÄVLEBORGS LÄN</t>
        </is>
      </c>
      <c r="G619" t="inlineStr">
        <is>
          <t>SANDVIKEN</t>
        </is>
      </c>
      <c r="I619" t="n">
        <v>14.2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45327</v>
      </c>
      <c r="E620" s="1" t="n">
        <v>46316</v>
      </c>
      <c r="F620" t="inlineStr">
        <is>
          <t>GÄVLEBORGS LÄN</t>
        </is>
      </c>
      <c r="G620" t="inlineStr">
        <is>
          <t>SANDVIKEN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46163</v>
      </c>
      <c r="E621" s="1" t="n">
        <v>46316</v>
      </c>
      <c r="F621" t="inlineStr">
        <is>
          <t>GÄVLEBORGS LÄN</t>
        </is>
      </c>
      <c r="G621" t="inlineStr">
        <is>
          <t>SANDVIKEN</t>
        </is>
      </c>
      <c r="H621" t="inlineStr">
        <is>
          <t>Övriga statliga verk och myndigheter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23471-2026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46163</v>
      </c>
      <c r="E622" s="1" t="n">
        <v>46316</v>
      </c>
      <c r="F622" t="inlineStr">
        <is>
          <t>GÄVLEBORGS LÄN</t>
        </is>
      </c>
      <c r="G622" t="inlineStr">
        <is>
          <t>SANDVIKEN</t>
        </is>
      </c>
      <c r="H622" t="inlineStr">
        <is>
          <t>Övriga statliga verk och myndigheter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23459-2026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46163</v>
      </c>
      <c r="E623" s="1" t="n">
        <v>46316</v>
      </c>
      <c r="F623" t="inlineStr">
        <is>
          <t>GÄVLEBORGS LÄN</t>
        </is>
      </c>
      <c r="G623" t="inlineStr">
        <is>
          <t>SANDVIKEN</t>
        </is>
      </c>
      <c r="H623" t="inlineStr">
        <is>
          <t>Övriga statliga verk och myndigheter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23821-2026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46165</v>
      </c>
      <c r="E624" s="1" t="n">
        <v>46316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46316</v>
      </c>
      <c r="F625" t="inlineStr">
        <is>
          <t>GÄVLEBORGS LÄN</t>
        </is>
      </c>
      <c r="G625" t="inlineStr">
        <is>
          <t>SANDVIKEN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23820-2026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46165</v>
      </c>
      <c r="E626" s="1" t="n">
        <v>46316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46165</v>
      </c>
      <c r="E627" s="1" t="n">
        <v>46316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46165</v>
      </c>
      <c r="E628" s="1" t="n">
        <v>46316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46165</v>
      </c>
      <c r="E629" s="1" t="n">
        <v>46316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3833-2024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46316</v>
      </c>
      <c r="F630" t="inlineStr">
        <is>
          <t>GÄVLEBORGS LÄN</t>
        </is>
      </c>
      <c r="G630" t="inlineStr">
        <is>
          <t>SANDVIKEN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46316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46316</v>
      </c>
      <c r="F632" t="inlineStr">
        <is>
          <t>GÄVLEBORGS LÄN</t>
        </is>
      </c>
      <c r="G632" t="inlineStr">
        <is>
          <t>SANDVIKEN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24177-2026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46316</v>
      </c>
      <c r="F633" t="inlineStr">
        <is>
          <t>GÄVLEBORGS LÄN</t>
        </is>
      </c>
      <c r="G633" t="inlineStr">
        <is>
          <t>SANDVIKEN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62459-2023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45268</v>
      </c>
      <c r="E634" s="1" t="n">
        <v>46316</v>
      </c>
      <c r="F634" t="inlineStr">
        <is>
          <t>GÄVLEBORGS LÄN</t>
        </is>
      </c>
      <c r="G634" t="inlineStr">
        <is>
          <t>SANDVIKEN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46316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46316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24297-2026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46169</v>
      </c>
      <c r="E637" s="1" t="n">
        <v>46316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24303-2026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46169</v>
      </c>
      <c r="E638" s="1" t="n">
        <v>46316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46316</v>
      </c>
      <c r="F639" t="inlineStr">
        <is>
          <t>GÄVLEBORGS LÄN</t>
        </is>
      </c>
      <c r="G639" t="inlineStr">
        <is>
          <t>SANDVIKEN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36660-2023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45153</v>
      </c>
      <c r="E640" s="1" t="n">
        <v>46316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24627-2026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46316</v>
      </c>
      <c r="F641" t="inlineStr">
        <is>
          <t>GÄVLEBORGS LÄN</t>
        </is>
      </c>
      <c r="G641" t="inlineStr">
        <is>
          <t>SANDVIKEN</t>
        </is>
      </c>
      <c r="I641" t="n">
        <v>6.9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4483-2026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46316</v>
      </c>
      <c r="F642" t="inlineStr">
        <is>
          <t>GÄVLEBORGS LÄN</t>
        </is>
      </c>
      <c r="G642" t="inlineStr">
        <is>
          <t>SANDVIKEN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46316</v>
      </c>
      <c r="F643" t="inlineStr">
        <is>
          <t>GÄVLEBORGS LÄN</t>
        </is>
      </c>
      <c r="G643" t="inlineStr">
        <is>
          <t>SANDVIKEN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46316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45989-2023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45196</v>
      </c>
      <c r="E645" s="1" t="n">
        <v>46316</v>
      </c>
      <c r="F645" t="inlineStr">
        <is>
          <t>GÄVLEBORGS LÄN</t>
        </is>
      </c>
      <c r="G645" t="inlineStr">
        <is>
          <t>SANDVIKEN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46175</v>
      </c>
      <c r="E646" s="1" t="n">
        <v>46316</v>
      </c>
      <c r="F646" t="inlineStr">
        <is>
          <t>GÄVLEBORGS LÄN</t>
        </is>
      </c>
      <c r="G646" t="inlineStr">
        <is>
          <t>SANDVIKEN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46316</v>
      </c>
      <c r="F647" t="inlineStr">
        <is>
          <t>GÄVLEBORGS LÄN</t>
        </is>
      </c>
      <c r="G647" t="inlineStr">
        <is>
          <t>SANDVIKEN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25412-2026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46176</v>
      </c>
      <c r="E648" s="1" t="n">
        <v>46316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25413-2026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46176</v>
      </c>
      <c r="E649" s="1" t="n">
        <v>46316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46175</v>
      </c>
      <c r="E650" s="1" t="n">
        <v>46316</v>
      </c>
      <c r="F650" t="inlineStr">
        <is>
          <t>GÄVLEBORGS LÄN</t>
        </is>
      </c>
      <c r="G650" t="inlineStr">
        <is>
          <t>SANDVIKEN</t>
        </is>
      </c>
      <c r="H650" t="inlineStr">
        <is>
          <t>Kommuner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25691-2026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46316</v>
      </c>
      <c r="F651" t="inlineStr">
        <is>
          <t>GÄVLEBORGS LÄN</t>
        </is>
      </c>
      <c r="G651" t="inlineStr">
        <is>
          <t>SANDVIKEN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45288</v>
      </c>
      <c r="E652" s="1" t="n">
        <v>46316</v>
      </c>
      <c r="F652" t="inlineStr">
        <is>
          <t>GÄVLEBORGS LÄN</t>
        </is>
      </c>
      <c r="G652" t="inlineStr">
        <is>
          <t>SANDVIKEN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25826-2026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46316</v>
      </c>
      <c r="F653" t="inlineStr">
        <is>
          <t>GÄVLEBORGS LÄN</t>
        </is>
      </c>
      <c r="G653" t="inlineStr">
        <is>
          <t>SANDVIKEN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44797</v>
      </c>
      <c r="E654" s="1" t="n">
        <v>46316</v>
      </c>
      <c r="F654" t="inlineStr">
        <is>
          <t>GÄVLEBORGS LÄN</t>
        </is>
      </c>
      <c r="G654" t="inlineStr">
        <is>
          <t>SANDVIKEN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61052-2024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45645</v>
      </c>
      <c r="E655" s="1" t="n">
        <v>46316</v>
      </c>
      <c r="F655" t="inlineStr">
        <is>
          <t>GÄVLEBORGS LÄN</t>
        </is>
      </c>
      <c r="G655" t="inlineStr">
        <is>
          <t>SANDVIKEN</t>
        </is>
      </c>
      <c r="H655" t="inlineStr">
        <is>
          <t>Naturvårdsverket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25842-2026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46178</v>
      </c>
      <c r="E656" s="1" t="n">
        <v>46316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46316</v>
      </c>
      <c r="F657" t="inlineStr">
        <is>
          <t>GÄVLEBORGS LÄN</t>
        </is>
      </c>
      <c r="G657" t="inlineStr">
        <is>
          <t>SANDVIKEN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52785-2023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45226</v>
      </c>
      <c r="E658" s="1" t="n">
        <v>46316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7038-2025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45701</v>
      </c>
      <c r="E659" s="1" t="n">
        <v>46316</v>
      </c>
      <c r="F659" t="inlineStr">
        <is>
          <t>GÄVLEBORGS LÄN</t>
        </is>
      </c>
      <c r="G659" t="inlineStr">
        <is>
          <t>SANDVIKEN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71995-2021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44544</v>
      </c>
      <c r="E660" s="1" t="n">
        <v>46316</v>
      </c>
      <c r="F660" t="inlineStr">
        <is>
          <t>GÄVLEBORGS LÄN</t>
        </is>
      </c>
      <c r="G660" t="inlineStr">
        <is>
          <t>SANDVIKEN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25647-2026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46316</v>
      </c>
      <c r="F661" t="inlineStr">
        <is>
          <t>GÄVLEBORGS LÄN</t>
        </is>
      </c>
      <c r="G661" t="inlineStr">
        <is>
          <t>SANDVIKEN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46316</v>
      </c>
      <c r="F662" t="inlineStr">
        <is>
          <t>GÄVLEBORGS LÄN</t>
        </is>
      </c>
      <c r="G662" t="inlineStr">
        <is>
          <t>SANDVIKEN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46316</v>
      </c>
      <c r="F663" t="inlineStr">
        <is>
          <t>GÄVLEBORGS LÄN</t>
        </is>
      </c>
      <c r="G663" t="inlineStr">
        <is>
          <t>SANDVIKEN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11397-2023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44988</v>
      </c>
      <c r="E664" s="1" t="n">
        <v>46316</v>
      </c>
      <c r="F664" t="inlineStr">
        <is>
          <t>GÄVLEBORGS LÄN</t>
        </is>
      </c>
      <c r="G664" t="inlineStr">
        <is>
          <t>SANDVIKEN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48799-2023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45209</v>
      </c>
      <c r="E665" s="1" t="n">
        <v>46316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46316</v>
      </c>
      <c r="F666" t="inlineStr">
        <is>
          <t>GÄVLEBORGS LÄN</t>
        </is>
      </c>
      <c r="G666" t="inlineStr">
        <is>
          <t>SANDVIKEN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26780-2026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46184</v>
      </c>
      <c r="E667" s="1" t="n">
        <v>46316</v>
      </c>
      <c r="F667" t="inlineStr">
        <is>
          <t>GÄVLEBORGS LÄN</t>
        </is>
      </c>
      <c r="G667" t="inlineStr">
        <is>
          <t>SANDVIKEN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37741-2023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45159</v>
      </c>
      <c r="E668" s="1" t="n">
        <v>46316</v>
      </c>
      <c r="F668" t="inlineStr">
        <is>
          <t>GÄVLEBORGS LÄN</t>
        </is>
      </c>
      <c r="G668" t="inlineStr">
        <is>
          <t>SANDVIKEN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46316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44949</v>
      </c>
      <c r="E670" s="1" t="n">
        <v>46316</v>
      </c>
      <c r="F670" t="inlineStr">
        <is>
          <t>GÄVLEBORGS LÄN</t>
        </is>
      </c>
      <c r="G670" t="inlineStr">
        <is>
          <t>SANDVIKEN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46316</v>
      </c>
      <c r="F671" t="inlineStr">
        <is>
          <t>GÄVLEBORGS LÄN</t>
        </is>
      </c>
      <c r="G671" t="inlineStr">
        <is>
          <t>SANDVIKEN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46316</v>
      </c>
      <c r="F672" t="inlineStr">
        <is>
          <t>GÄVLEBORGS LÄN</t>
        </is>
      </c>
      <c r="G672" t="inlineStr">
        <is>
          <t>SANDVIKEN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26964-2026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46316</v>
      </c>
      <c r="F673" t="inlineStr">
        <is>
          <t>GÄVLEBORGS LÄN</t>
        </is>
      </c>
      <c r="G673" t="inlineStr">
        <is>
          <t>SANDVIKEN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26818-2026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46316</v>
      </c>
      <c r="F674" t="inlineStr">
        <is>
          <t>GÄVLEBORGS LÄN</t>
        </is>
      </c>
      <c r="G674" t="inlineStr">
        <is>
          <t>SANDVIKEN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46316</v>
      </c>
      <c r="F675" t="inlineStr">
        <is>
          <t>GÄVLEBORGS LÄN</t>
        </is>
      </c>
      <c r="G675" t="inlineStr">
        <is>
          <t>SANDVIKEN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27588-2026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46316</v>
      </c>
      <c r="F676" t="inlineStr">
        <is>
          <t>GÄVLEBORGS LÄN</t>
        </is>
      </c>
      <c r="G676" t="inlineStr">
        <is>
          <t>SANDVIKEN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14720-2026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46101</v>
      </c>
      <c r="E677" s="1" t="n">
        <v>46316</v>
      </c>
      <c r="F677" t="inlineStr">
        <is>
          <t>GÄVLEBORGS LÄN</t>
        </is>
      </c>
      <c r="G677" t="inlineStr">
        <is>
          <t>SANDVIKEN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10895-2025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45722</v>
      </c>
      <c r="E678" s="1" t="n">
        <v>46316</v>
      </c>
      <c r="F678" t="inlineStr">
        <is>
          <t>GÄVLEBORGS LÄN</t>
        </is>
      </c>
      <c r="G678" t="inlineStr">
        <is>
          <t>SANDVIKEN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46316</v>
      </c>
      <c r="F679" t="inlineStr">
        <is>
          <t>GÄVLEBORGS LÄN</t>
        </is>
      </c>
      <c r="G679" t="inlineStr">
        <is>
          <t>SANDVIKEN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46191</v>
      </c>
      <c r="E680" s="1" t="n">
        <v>46316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28845-2026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46316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46316</v>
      </c>
      <c r="F682" t="inlineStr">
        <is>
          <t>GÄVLEBORGS LÄN</t>
        </is>
      </c>
      <c r="G682" t="inlineStr">
        <is>
          <t>SANDVIKEN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46316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46316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46316</v>
      </c>
      <c r="F685" t="inlineStr">
        <is>
          <t>GÄVLEBORGS LÄN</t>
        </is>
      </c>
      <c r="G685" t="inlineStr">
        <is>
          <t>SANDVIKEN</t>
        </is>
      </c>
      <c r="H685" t="inlineStr">
        <is>
          <t>Sveaskog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28346-2026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46316</v>
      </c>
      <c r="F686" t="inlineStr">
        <is>
          <t>GÄVLEBORGS LÄN</t>
        </is>
      </c>
      <c r="G686" t="inlineStr">
        <is>
          <t>SANDVIKEN</t>
        </is>
      </c>
      <c r="H686" t="inlineStr">
        <is>
          <t>Sveaskog</t>
        </is>
      </c>
      <c r="I686" t="n">
        <v>11.9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7624-2023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44972</v>
      </c>
      <c r="E687" s="1" t="n">
        <v>46316</v>
      </c>
      <c r="F687" t="inlineStr">
        <is>
          <t>GÄVLEBORGS LÄN</t>
        </is>
      </c>
      <c r="G687" t="inlineStr">
        <is>
          <t>SANDVIKEN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49706-2023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45212</v>
      </c>
      <c r="E688" s="1" t="n">
        <v>46316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10575-2025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45721</v>
      </c>
      <c r="E689" s="1" t="n">
        <v>46316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10577-2025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45721</v>
      </c>
      <c r="E690" s="1" t="n">
        <v>46316</v>
      </c>
      <c r="F690" t="inlineStr">
        <is>
          <t>GÄVLEBORGS LÄN</t>
        </is>
      </c>
      <c r="G690" t="inlineStr">
        <is>
          <t>SANDVIKEN</t>
        </is>
      </c>
      <c r="H690" t="inlineStr">
        <is>
          <t>Sveaskog</t>
        </is>
      </c>
      <c r="I690" t="n">
        <v>10.9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10580-2025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45721</v>
      </c>
      <c r="E691" s="1" t="n">
        <v>46316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28728-2026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46316</v>
      </c>
      <c r="F692" t="inlineStr">
        <is>
          <t>GÄVLEBORGS LÄN</t>
        </is>
      </c>
      <c r="G692" t="inlineStr">
        <is>
          <t>SANDVIKEN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29115-2026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46201</v>
      </c>
      <c r="E693" s="1" t="n">
        <v>46316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46316</v>
      </c>
      <c r="F694" t="inlineStr">
        <is>
          <t>GÄVLEBORGS LÄN</t>
        </is>
      </c>
      <c r="G694" t="inlineStr">
        <is>
          <t>SANDVIKEN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23162-2023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45075</v>
      </c>
      <c r="E695" s="1" t="n">
        <v>46316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29296-2024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45483</v>
      </c>
      <c r="E696" s="1" t="n">
        <v>46316</v>
      </c>
      <c r="F696" t="inlineStr">
        <is>
          <t>GÄVLEBORGS LÄN</t>
        </is>
      </c>
      <c r="G696" t="inlineStr">
        <is>
          <t>SANDVIKEN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29682-2026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46316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29726-2026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46204</v>
      </c>
      <c r="E698" s="1" t="n">
        <v>46316</v>
      </c>
      <c r="F698" t="inlineStr">
        <is>
          <t>GÄVLEBORGS LÄN</t>
        </is>
      </c>
      <c r="G698" t="inlineStr">
        <is>
          <t>SANDVIKEN</t>
        </is>
      </c>
      <c r="H698" t="inlineStr">
        <is>
          <t>Naturvårdsverket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29471-2026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46203</v>
      </c>
      <c r="E699" s="1" t="n">
        <v>46316</v>
      </c>
      <c r="F699" t="inlineStr">
        <is>
          <t>GÄVLEBORGS LÄN</t>
        </is>
      </c>
      <c r="G699" t="inlineStr">
        <is>
          <t>SANDVIKEN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29572-2026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46316</v>
      </c>
      <c r="F700" t="inlineStr">
        <is>
          <t>GÄVLEBORGS LÄN</t>
        </is>
      </c>
      <c r="G700" t="inlineStr">
        <is>
          <t>SANDVIKEN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46204</v>
      </c>
      <c r="E701" s="1" t="n">
        <v>46316</v>
      </c>
      <c r="F701" t="inlineStr">
        <is>
          <t>GÄVLEBORGS LÄN</t>
        </is>
      </c>
      <c r="G701" t="inlineStr">
        <is>
          <t>SANDVIKEN</t>
        </is>
      </c>
      <c r="H701" t="inlineStr">
        <is>
          <t>Naturvårdsverket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43090-2023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45182</v>
      </c>
      <c r="E702" s="1" t="n">
        <v>46316</v>
      </c>
      <c r="F702" t="inlineStr">
        <is>
          <t>GÄVLEBORGS LÄN</t>
        </is>
      </c>
      <c r="G702" t="inlineStr">
        <is>
          <t>SANDVIKEN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29620-2026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46316</v>
      </c>
      <c r="F703" t="inlineStr">
        <is>
          <t>GÄVLEBORGS LÄN</t>
        </is>
      </c>
      <c r="G703" t="inlineStr">
        <is>
          <t>SANDVIKEN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45102-2022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44843</v>
      </c>
      <c r="E704" s="1" t="n">
        <v>46316</v>
      </c>
      <c r="F704" t="inlineStr">
        <is>
          <t>GÄVLEBORGS LÄN</t>
        </is>
      </c>
      <c r="G704" t="inlineStr">
        <is>
          <t>SANDVIKEN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45327</v>
      </c>
      <c r="E705" s="1" t="n">
        <v>46316</v>
      </c>
      <c r="F705" t="inlineStr">
        <is>
          <t>GÄVLEBORGS LÄN</t>
        </is>
      </c>
      <c r="G705" t="inlineStr">
        <is>
          <t>SANDVIKEN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22851-2026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46160</v>
      </c>
      <c r="E706" s="1" t="n">
        <v>46316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29833-2026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46205</v>
      </c>
      <c r="E707" s="1" t="n">
        <v>46316</v>
      </c>
      <c r="F707" t="inlineStr">
        <is>
          <t>GÄVLEBORGS LÄN</t>
        </is>
      </c>
      <c r="G707" t="inlineStr">
        <is>
          <t>SANDVIKEN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29842-2026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46205</v>
      </c>
      <c r="E708" s="1" t="n">
        <v>46316</v>
      </c>
      <c r="F708" t="inlineStr">
        <is>
          <t>GÄVLEBORGS LÄN</t>
        </is>
      </c>
      <c r="G708" t="inlineStr">
        <is>
          <t>SANDVIKEN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37697-2022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44810</v>
      </c>
      <c r="E709" s="1" t="n">
        <v>46316</v>
      </c>
      <c r="F709" t="inlineStr">
        <is>
          <t>GÄVLEBORGS LÄN</t>
        </is>
      </c>
      <c r="G709" t="inlineStr">
        <is>
          <t>SANDVIKEN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25498-2026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46316</v>
      </c>
      <c r="F710" t="inlineStr">
        <is>
          <t>GÄVLEBORGS LÄN</t>
        </is>
      </c>
      <c r="G710" t="inlineStr">
        <is>
          <t>SANDVIKEN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45698</v>
      </c>
      <c r="E711" s="1" t="n">
        <v>46316</v>
      </c>
      <c r="F711" t="inlineStr">
        <is>
          <t>GÄVLEBORGS LÄN</t>
        </is>
      </c>
      <c r="G711" t="inlineStr">
        <is>
          <t>SANDVIKEN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49211-2023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45210</v>
      </c>
      <c r="E712" s="1" t="n">
        <v>46316</v>
      </c>
      <c r="F712" t="inlineStr">
        <is>
          <t>GÄVLEBORGS LÄN</t>
        </is>
      </c>
      <c r="G712" t="inlineStr">
        <is>
          <t>SANDVIKEN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61537-2023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45265</v>
      </c>
      <c r="E713" s="1" t="n">
        <v>46316</v>
      </c>
      <c r="F713" t="inlineStr">
        <is>
          <t>GÄVLEBORGS LÄN</t>
        </is>
      </c>
      <c r="G713" t="inlineStr">
        <is>
          <t>SANDVIKEN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46030</v>
      </c>
      <c r="E714" s="1" t="n">
        <v>46316</v>
      </c>
      <c r="F714" t="inlineStr">
        <is>
          <t>GÄVLEBORGS LÄN</t>
        </is>
      </c>
      <c r="G714" t="inlineStr">
        <is>
          <t>SANDVIKEN</t>
        </is>
      </c>
      <c r="I714" t="n">
        <v>10.2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44586</v>
      </c>
      <c r="E715" s="1" t="n">
        <v>46316</v>
      </c>
      <c r="F715" t="inlineStr">
        <is>
          <t>GÄVLEBORGS LÄN</t>
        </is>
      </c>
      <c r="G715" t="inlineStr">
        <is>
          <t>SANDVIKEN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58911-2023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45250</v>
      </c>
      <c r="E716" s="1" t="n">
        <v>46316</v>
      </c>
      <c r="F716" t="inlineStr">
        <is>
          <t>GÄVLEBORGS LÄN</t>
        </is>
      </c>
      <c r="G716" t="inlineStr">
        <is>
          <t>SANDVIKEN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46219</v>
      </c>
      <c r="E717" s="1" t="n">
        <v>46316</v>
      </c>
      <c r="F717" t="inlineStr">
        <is>
          <t>GÄVLEBORGS LÄN</t>
        </is>
      </c>
      <c r="G717" t="inlineStr">
        <is>
          <t>SANDVIKEN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30714-2023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45112</v>
      </c>
      <c r="E718" s="1" t="n">
        <v>46316</v>
      </c>
      <c r="F718" t="inlineStr">
        <is>
          <t>GÄVLEBORGS LÄN</t>
        </is>
      </c>
      <c r="G718" t="inlineStr">
        <is>
          <t>SANDVIKEN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61100-2025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46000</v>
      </c>
      <c r="E719" s="1" t="n">
        <v>46316</v>
      </c>
      <c r="F719" t="inlineStr">
        <is>
          <t>GÄVLEBORGS LÄN</t>
        </is>
      </c>
      <c r="G719" t="inlineStr">
        <is>
          <t>SANDVIKEN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46230</v>
      </c>
      <c r="E720" s="1" t="n">
        <v>46316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4.9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31807-2026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46230</v>
      </c>
      <c r="E721" s="1" t="n">
        <v>46316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11.2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31723-2026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46227</v>
      </c>
      <c r="E722" s="1" t="n">
        <v>46316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9.300000000000001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63309-2023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45274</v>
      </c>
      <c r="E723" s="1" t="n">
        <v>46316</v>
      </c>
      <c r="F723" t="inlineStr">
        <is>
          <t>GÄVLEBORGS LÄN</t>
        </is>
      </c>
      <c r="G723" t="inlineStr">
        <is>
          <t>SANDVIKEN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37455-2026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46275</v>
      </c>
      <c r="E724" s="1" t="n">
        <v>46316</v>
      </c>
      <c r="F724" t="inlineStr">
        <is>
          <t>GÄVLEBORGS LÄN</t>
        </is>
      </c>
      <c r="G724" t="inlineStr">
        <is>
          <t>SANDVIKEN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45476</v>
      </c>
      <c r="E725" s="1" t="n">
        <v>46316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38047-2026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46280</v>
      </c>
      <c r="E726" s="1" t="n">
        <v>46316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7886-2026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46063</v>
      </c>
      <c r="E727" s="1" t="n">
        <v>46316</v>
      </c>
      <c r="F727" t="inlineStr">
        <is>
          <t>GÄVLEBORGS LÄN</t>
        </is>
      </c>
      <c r="G727" t="inlineStr">
        <is>
          <t>SANDVIKEN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45279-2023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46316</v>
      </c>
      <c r="F728" t="inlineStr">
        <is>
          <t>GÄVLEBORGS LÄN</t>
        </is>
      </c>
      <c r="G728" t="inlineStr">
        <is>
          <t>SANDVIKEN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11897-2024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45376</v>
      </c>
      <c r="E729" s="1" t="n">
        <v>46316</v>
      </c>
      <c r="F729" t="inlineStr">
        <is>
          <t>GÄVLEBORGS LÄN</t>
        </is>
      </c>
      <c r="G729" t="inlineStr">
        <is>
          <t>SANDVIKEN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46316</v>
      </c>
      <c r="F730" t="inlineStr">
        <is>
          <t>GÄVLEBORGS LÄN</t>
        </is>
      </c>
      <c r="G730" t="inlineStr">
        <is>
          <t>SANDVIKEN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23217-2023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45075</v>
      </c>
      <c r="E731" s="1" t="n">
        <v>46316</v>
      </c>
      <c r="F731" t="inlineStr">
        <is>
          <t>GÄVLEBORGS LÄN</t>
        </is>
      </c>
      <c r="G731" t="inlineStr">
        <is>
          <t>SANDVIKEN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33007-2026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46316</v>
      </c>
      <c r="F732" t="inlineStr">
        <is>
          <t>GÄVLEBORGS LÄN</t>
        </is>
      </c>
      <c r="G732" t="inlineStr">
        <is>
          <t>SANDVIKEN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46316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46316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42069-2024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45562</v>
      </c>
      <c r="E735" s="1" t="n">
        <v>46316</v>
      </c>
      <c r="F735" t="inlineStr">
        <is>
          <t>GÄVLEBORGS LÄN</t>
        </is>
      </c>
      <c r="G735" t="inlineStr">
        <is>
          <t>SANDVIKEN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22070-2023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45069</v>
      </c>
      <c r="E736" s="1" t="n">
        <v>46316</v>
      </c>
      <c r="F736" t="inlineStr">
        <is>
          <t>GÄVLEBORGS LÄN</t>
        </is>
      </c>
      <c r="G736" t="inlineStr">
        <is>
          <t>SANDVIKEN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39155-2026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46316</v>
      </c>
      <c r="F737" t="inlineStr">
        <is>
          <t>GÄVLEBORGS LÄN</t>
        </is>
      </c>
      <c r="G737" t="inlineStr">
        <is>
          <t>SANDVIKEN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23085-2023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45075</v>
      </c>
      <c r="E738" s="1" t="n">
        <v>46316</v>
      </c>
      <c r="F738" t="inlineStr">
        <is>
          <t>GÄVLEBORGS LÄN</t>
        </is>
      </c>
      <c r="G738" t="inlineStr">
        <is>
          <t>SANDVIKEN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36833-2022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44805</v>
      </c>
      <c r="E739" s="1" t="n">
        <v>46316</v>
      </c>
      <c r="F739" t="inlineStr">
        <is>
          <t>GÄVLEBORGS LÄN</t>
        </is>
      </c>
      <c r="G739" t="inlineStr">
        <is>
          <t>SANDVIKEN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46316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39396-2026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46288</v>
      </c>
      <c r="E741" s="1" t="n">
        <v>46316</v>
      </c>
      <c r="F741" t="inlineStr">
        <is>
          <t>GÄVLEBORGS LÄN</t>
        </is>
      </c>
      <c r="G741" t="inlineStr">
        <is>
          <t>SANDVIKEN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46288</v>
      </c>
      <c r="E742" s="1" t="n">
        <v>46316</v>
      </c>
      <c r="F742" t="inlineStr">
        <is>
          <t>GÄVLEBORGS LÄN</t>
        </is>
      </c>
      <c r="G742" t="inlineStr">
        <is>
          <t>SANDVIKEN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28063-2023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46316</v>
      </c>
      <c r="F743" t="inlineStr">
        <is>
          <t>GÄVLEBORGS LÄN</t>
        </is>
      </c>
      <c r="G743" t="inlineStr">
        <is>
          <t>SANDVIKEN</t>
        </is>
      </c>
      <c r="I743" t="n">
        <v>8.1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59738-2022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44908</v>
      </c>
      <c r="E744" s="1" t="n">
        <v>46316</v>
      </c>
      <c r="F744" t="inlineStr">
        <is>
          <t>GÄVLEBORGS LÄN</t>
        </is>
      </c>
      <c r="G744" t="inlineStr">
        <is>
          <t>SANDVIKEN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59661-2024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46316</v>
      </c>
      <c r="F745" t="inlineStr">
        <is>
          <t>GÄVLEBORGS LÄN</t>
        </is>
      </c>
      <c r="G745" t="inlineStr">
        <is>
          <t>SANDVIKEN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46246</v>
      </c>
      <c r="E746" s="1" t="n">
        <v>46316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45320</v>
      </c>
      <c r="E747" s="1" t="n">
        <v>46316</v>
      </c>
      <c r="F747" t="inlineStr">
        <is>
          <t>GÄVLEBORGS LÄN</t>
        </is>
      </c>
      <c r="G747" t="inlineStr">
        <is>
          <t>SANDVIKEN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33383-2026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46247</v>
      </c>
      <c r="E748" s="1" t="n">
        <v>46316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11778-2024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45374</v>
      </c>
      <c r="E749" s="1" t="n">
        <v>46316</v>
      </c>
      <c r="F749" t="inlineStr">
        <is>
          <t>GÄVLEBORGS LÄN</t>
        </is>
      </c>
      <c r="G749" t="inlineStr">
        <is>
          <t>SANDVIKEN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47710-2022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44854</v>
      </c>
      <c r="E750" s="1" t="n">
        <v>46316</v>
      </c>
      <c r="F750" t="inlineStr">
        <is>
          <t>GÄVLEBORGS LÄN</t>
        </is>
      </c>
      <c r="G750" t="inlineStr">
        <is>
          <t>SANDVIKEN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48300-2023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45205</v>
      </c>
      <c r="E751" s="1" t="n">
        <v>46316</v>
      </c>
      <c r="F751" t="inlineStr">
        <is>
          <t>GÄVLEBORGS LÄN</t>
        </is>
      </c>
      <c r="G751" t="inlineStr">
        <is>
          <t>SANDVIKEN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34036-2026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46252</v>
      </c>
      <c r="E752" s="1" t="n">
        <v>46316</v>
      </c>
      <c r="F752" t="inlineStr">
        <is>
          <t>GÄVLEBORGS LÄN</t>
        </is>
      </c>
      <c r="G752" t="inlineStr">
        <is>
          <t>SANDVIKEN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45721</v>
      </c>
      <c r="E753" s="1" t="n">
        <v>46316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44101-2023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45188</v>
      </c>
      <c r="E754" s="1" t="n">
        <v>46316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45483</v>
      </c>
      <c r="E755" s="1" t="n">
        <v>46316</v>
      </c>
      <c r="F755" t="inlineStr">
        <is>
          <t>GÄVLEBORGS LÄN</t>
        </is>
      </c>
      <c r="G755" t="inlineStr">
        <is>
          <t>SANDVIKEN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53007-2023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45226</v>
      </c>
      <c r="E756" s="1" t="n">
        <v>46316</v>
      </c>
      <c r="F756" t="inlineStr">
        <is>
          <t>GÄVLEBORGS LÄN</t>
        </is>
      </c>
      <c r="G756" t="inlineStr">
        <is>
          <t>SANDVIKEN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39566-2022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44818</v>
      </c>
      <c r="E757" s="1" t="n">
        <v>46316</v>
      </c>
      <c r="F757" t="inlineStr">
        <is>
          <t>GÄVLEBORGS LÄN</t>
        </is>
      </c>
      <c r="G757" t="inlineStr">
        <is>
          <t>SANDVIKEN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28349-2026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46196</v>
      </c>
      <c r="E758" s="1" t="n">
        <v>46316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11385-2023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46316</v>
      </c>
      <c r="F759" t="inlineStr">
        <is>
          <t>GÄVLEBORGS LÄN</t>
        </is>
      </c>
      <c r="G759" t="inlineStr">
        <is>
          <t>SANDVIKEN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46190</v>
      </c>
      <c r="E760" s="1" t="n">
        <v>46316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52932-2022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44875</v>
      </c>
      <c r="E761" s="1" t="n">
        <v>46316</v>
      </c>
      <c r="F761" t="inlineStr">
        <is>
          <t>GÄVLEBORGS LÄN</t>
        </is>
      </c>
      <c r="G761" t="inlineStr">
        <is>
          <t>SANDVIKEN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46316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46316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32989-2026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46244</v>
      </c>
      <c r="E764" s="1" t="n">
        <v>46316</v>
      </c>
      <c r="F764" t="inlineStr">
        <is>
          <t>GÄVLEBORGS LÄN</t>
        </is>
      </c>
      <c r="G764" t="inlineStr">
        <is>
          <t>SANDVIKEN</t>
        </is>
      </c>
      <c r="H764" t="inlineStr">
        <is>
          <t>Kommuner</t>
        </is>
      </c>
      <c r="I764" t="n">
        <v>8.6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46316</v>
      </c>
      <c r="F765" t="inlineStr">
        <is>
          <t>GÄVLEBORGS LÄN</t>
        </is>
      </c>
      <c r="G765" t="inlineStr">
        <is>
          <t>SANDVIKEN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46049</v>
      </c>
      <c r="E766" s="1" t="n">
        <v>46316</v>
      </c>
      <c r="F766" t="inlineStr">
        <is>
          <t>GÄVLEBORGS LÄN</t>
        </is>
      </c>
      <c r="G766" t="inlineStr">
        <is>
          <t>SANDVIKEN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61301-2025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46000</v>
      </c>
      <c r="E767" s="1" t="n">
        <v>46316</v>
      </c>
      <c r="F767" t="inlineStr">
        <is>
          <t>GÄVLEBORGS LÄN</t>
        </is>
      </c>
      <c r="G767" t="inlineStr">
        <is>
          <t>SANDVIKEN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30721-2023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45112</v>
      </c>
      <c r="E768" s="1" t="n">
        <v>46316</v>
      </c>
      <c r="F768" t="inlineStr">
        <is>
          <t>GÄVLEBORGS LÄN</t>
        </is>
      </c>
      <c r="G768" t="inlineStr">
        <is>
          <t>SANDVIKEN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34946-2022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44796</v>
      </c>
      <c r="E769" s="1" t="n">
        <v>46316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58200-2025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45984</v>
      </c>
      <c r="E770" s="1" t="n">
        <v>46316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46316</v>
      </c>
      <c r="F771" t="inlineStr">
        <is>
          <t>GÄVLEBORGS LÄN</t>
        </is>
      </c>
      <c r="G771" t="inlineStr">
        <is>
          <t>SANDVIKEN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46058</v>
      </c>
      <c r="E772" s="1" t="n">
        <v>46316</v>
      </c>
      <c r="F772" t="inlineStr">
        <is>
          <t>GÄVLEBORGS LÄN</t>
        </is>
      </c>
      <c r="G772" t="inlineStr">
        <is>
          <t>SANDVIKEN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25837-2026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46178</v>
      </c>
      <c r="E773" s="1" t="n">
        <v>46316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34408-2026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46254</v>
      </c>
      <c r="E774" s="1" t="n">
        <v>46316</v>
      </c>
      <c r="F774" t="inlineStr">
        <is>
          <t>GÄVLEBORGS LÄN</t>
        </is>
      </c>
      <c r="G774" t="inlineStr">
        <is>
          <t>SANDVIKEN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46058</v>
      </c>
      <c r="E775" s="1" t="n">
        <v>46316</v>
      </c>
      <c r="F775" t="inlineStr">
        <is>
          <t>GÄVLEBORGS LÄN</t>
        </is>
      </c>
      <c r="G775" t="inlineStr">
        <is>
          <t>SANDVIKEN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33874-2026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46251</v>
      </c>
      <c r="E776" s="1" t="n">
        <v>46316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46316</v>
      </c>
      <c r="F777" t="inlineStr">
        <is>
          <t>GÄVLEBORGS LÄN</t>
        </is>
      </c>
      <c r="G777" t="inlineStr">
        <is>
          <t>SANDVIKEN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45545</v>
      </c>
      <c r="E778" s="1" t="n">
        <v>46316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25835-2026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46178</v>
      </c>
      <c r="E779" s="1" t="n">
        <v>46316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32998-2026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46244</v>
      </c>
      <c r="E780" s="1" t="n">
        <v>46316</v>
      </c>
      <c r="F780" t="inlineStr">
        <is>
          <t>GÄVLEBORGS LÄN</t>
        </is>
      </c>
      <c r="G780" t="inlineStr">
        <is>
          <t>SANDVIKEN</t>
        </is>
      </c>
      <c r="H780" t="inlineStr">
        <is>
          <t>Kommuner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33873-2026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46251</v>
      </c>
      <c r="E781" s="1" t="n">
        <v>46316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58198-2025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45984</v>
      </c>
      <c r="E782" s="1" t="n">
        <v>46316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22238-2023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45070</v>
      </c>
      <c r="E783" s="1" t="n">
        <v>46316</v>
      </c>
      <c r="F783" t="inlineStr">
        <is>
          <t>GÄVLEBORGS LÄN</t>
        </is>
      </c>
      <c r="G783" t="inlineStr">
        <is>
          <t>SANDVIKEN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29616-2026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46316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46316</v>
      </c>
      <c r="F785" t="inlineStr">
        <is>
          <t>GÄVLEBORGS LÄN</t>
        </is>
      </c>
      <c r="G785" t="inlineStr">
        <is>
          <t>SANDVIKEN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46316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4461-2023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44956</v>
      </c>
      <c r="E787" s="1" t="n">
        <v>46316</v>
      </c>
      <c r="F787" t="inlineStr">
        <is>
          <t>GÄVLEBORGS LÄN</t>
        </is>
      </c>
      <c r="G787" t="inlineStr">
        <is>
          <t>SANDVIKEN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45300</v>
      </c>
      <c r="E788" s="1" t="n">
        <v>46316</v>
      </c>
      <c r="F788" t="inlineStr">
        <is>
          <t>GÄVLEBORGS LÄN</t>
        </is>
      </c>
      <c r="G788" t="inlineStr">
        <is>
          <t>SANDVIKEN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46607-2025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45926</v>
      </c>
      <c r="E789" s="1" t="n">
        <v>46316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64801-2023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45282</v>
      </c>
      <c r="E790" s="1" t="n">
        <v>46316</v>
      </c>
      <c r="F790" t="inlineStr">
        <is>
          <t>GÄVLEBORGS LÄN</t>
        </is>
      </c>
      <c r="G790" t="inlineStr">
        <is>
          <t>SANDVIKEN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29608-2026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46316</v>
      </c>
      <c r="F791" t="inlineStr">
        <is>
          <t>GÄVLEBORGS LÄN</t>
        </is>
      </c>
      <c r="G791" t="inlineStr">
        <is>
          <t>SANDVIKEN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34879-2026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46316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12656-2026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46091</v>
      </c>
      <c r="E793" s="1" t="n">
        <v>46316</v>
      </c>
      <c r="F793" t="inlineStr">
        <is>
          <t>GÄVLEBORGS LÄN</t>
        </is>
      </c>
      <c r="G793" t="inlineStr">
        <is>
          <t>SANDVIKEN</t>
        </is>
      </c>
      <c r="H793" t="inlineStr">
        <is>
          <t>Naturvårdsverket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46095</v>
      </c>
      <c r="E794" s="1" t="n">
        <v>46316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41328-2026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46301</v>
      </c>
      <c r="E795" s="1" t="n">
        <v>46316</v>
      </c>
      <c r="F795" t="inlineStr">
        <is>
          <t>GÄVLEBORGS LÄN</t>
        </is>
      </c>
      <c r="G795" t="inlineStr">
        <is>
          <t>SANDVIKEN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46095</v>
      </c>
      <c r="E796" s="1" t="n">
        <v>46316</v>
      </c>
      <c r="F796" t="inlineStr">
        <is>
          <t>GÄVLEBORGS LÄN</t>
        </is>
      </c>
      <c r="G796" t="inlineStr">
        <is>
          <t>SANDVIKEN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17164-2026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46115</v>
      </c>
      <c r="E797" s="1" t="n">
        <v>46316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18218-2026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46126</v>
      </c>
      <c r="E798" s="1" t="n">
        <v>46316</v>
      </c>
      <c r="F798" t="inlineStr">
        <is>
          <t>GÄVLEBORGS LÄN</t>
        </is>
      </c>
      <c r="G798" t="inlineStr">
        <is>
          <t>SANDVIKEN</t>
        </is>
      </c>
      <c r="I798" t="n">
        <v>4.8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46316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18752-2026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46128</v>
      </c>
      <c r="E800" s="1" t="n">
        <v>46316</v>
      </c>
      <c r="F800" t="inlineStr">
        <is>
          <t>GÄVLEBORGS LÄN</t>
        </is>
      </c>
      <c r="G800" t="inlineStr">
        <is>
          <t>SANDVIKEN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50765-2024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45602</v>
      </c>
      <c r="E801" s="1" t="n">
        <v>46316</v>
      </c>
      <c r="F801" t="inlineStr">
        <is>
          <t>GÄVLEBORGS LÄN</t>
        </is>
      </c>
      <c r="G801" t="inlineStr">
        <is>
          <t>SANDVIKEN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58363-2022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44901</v>
      </c>
      <c r="E802" s="1" t="n">
        <v>46316</v>
      </c>
      <c r="F802" t="inlineStr">
        <is>
          <t>GÄVLEBORGS LÄN</t>
        </is>
      </c>
      <c r="G802" t="inlineStr">
        <is>
          <t>SANDVIKEN</t>
        </is>
      </c>
      <c r="I802" t="n">
        <v>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29613-2026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46316</v>
      </c>
      <c r="F803" t="inlineStr">
        <is>
          <t>GÄVLEBORGS LÄN</t>
        </is>
      </c>
      <c r="G803" t="inlineStr">
        <is>
          <t>SANDVIKEN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58983-2023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45252</v>
      </c>
      <c r="E804" s="1" t="n">
        <v>46316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24465-2023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45082</v>
      </c>
      <c r="E805" s="1" t="n">
        <v>46316</v>
      </c>
      <c r="F805" t="inlineStr">
        <is>
          <t>GÄVLEBORGS LÄN</t>
        </is>
      </c>
      <c r="G805" t="inlineStr">
        <is>
          <t>SANDVIKEN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34603-2026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46255</v>
      </c>
      <c r="E806" s="1" t="n">
        <v>46316</v>
      </c>
      <c r="F806" t="inlineStr">
        <is>
          <t>GÄVLEBORGS LÄN</t>
        </is>
      </c>
      <c r="G806" t="inlineStr">
        <is>
          <t>SANDVIKEN</t>
        </is>
      </c>
      <c r="H806" t="inlineStr">
        <is>
          <t>Sveaskog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45673</v>
      </c>
      <c r="E807" s="1" t="n">
        <v>46316</v>
      </c>
      <c r="F807" t="inlineStr">
        <is>
          <t>GÄVLEBORGS LÄN</t>
        </is>
      </c>
      <c r="G807" t="inlineStr">
        <is>
          <t>SANDVIKEN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34608-2026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46316</v>
      </c>
      <c r="F808" t="inlineStr">
        <is>
          <t>GÄVLEBORGS LÄN</t>
        </is>
      </c>
      <c r="G808" t="inlineStr">
        <is>
          <t>SANDVIKEN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46316</v>
      </c>
      <c r="F809" t="inlineStr">
        <is>
          <t>GÄVLEBORGS LÄN</t>
        </is>
      </c>
      <c r="G809" t="inlineStr">
        <is>
          <t>SANDVIKEN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23539-2026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46163</v>
      </c>
      <c r="E810" s="1" t="n">
        <v>46316</v>
      </c>
      <c r="F810" t="inlineStr">
        <is>
          <t>GÄVLEBORGS LÄN</t>
        </is>
      </c>
      <c r="G810" t="inlineStr">
        <is>
          <t>SANDVIKEN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46044</v>
      </c>
      <c r="E811" s="1" t="n">
        <v>46316</v>
      </c>
      <c r="F811" t="inlineStr">
        <is>
          <t>GÄVLEBORGS LÄN</t>
        </is>
      </c>
      <c r="G811" t="inlineStr">
        <is>
          <t>SANDVIKEN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7825-2026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46062</v>
      </c>
      <c r="E812" s="1" t="n">
        <v>46316</v>
      </c>
      <c r="F812" t="inlineStr">
        <is>
          <t>GÄVLEBORGS LÄN</t>
        </is>
      </c>
      <c r="G812" t="inlineStr">
        <is>
          <t>SANDVIKEN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34997-2026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46259</v>
      </c>
      <c r="E813" s="1" t="n">
        <v>46316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11800-2026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46085</v>
      </c>
      <c r="E814" s="1" t="n">
        <v>46316</v>
      </c>
      <c r="F814" t="inlineStr">
        <is>
          <t>GÄVLEBORGS LÄN</t>
        </is>
      </c>
      <c r="G814" t="inlineStr">
        <is>
          <t>SANDVIKEN</t>
        </is>
      </c>
      <c r="H814" t="inlineStr">
        <is>
          <t>Naturvårdsverket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12857-2026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46092</v>
      </c>
      <c r="E815" s="1" t="n">
        <v>46316</v>
      </c>
      <c r="F815" t="inlineStr">
        <is>
          <t>GÄVLEBORGS LÄN</t>
        </is>
      </c>
      <c r="G815" t="inlineStr">
        <is>
          <t>SANDVIKEN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45668</v>
      </c>
      <c r="E816" s="1" t="n">
        <v>46316</v>
      </c>
      <c r="F816" t="inlineStr">
        <is>
          <t>GÄVLEBORGS LÄN</t>
        </is>
      </c>
      <c r="G816" t="inlineStr">
        <is>
          <t>SANDVIKEN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60908-2022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44914</v>
      </c>
      <c r="E817" s="1" t="n">
        <v>46316</v>
      </c>
      <c r="F817" t="inlineStr">
        <is>
          <t>GÄVLEBORGS LÄN</t>
        </is>
      </c>
      <c r="G817" t="inlineStr">
        <is>
          <t>SANDVIKEN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42243-2026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46307</v>
      </c>
      <c r="E818" s="1" t="n">
        <v>46316</v>
      </c>
      <c r="F818" t="inlineStr">
        <is>
          <t>GÄVLEBORGS LÄN</t>
        </is>
      </c>
      <c r="G818" t="inlineStr">
        <is>
          <t>SANDVIKEN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59841-2023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45257</v>
      </c>
      <c r="E819" s="1" t="n">
        <v>46316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46262</v>
      </c>
      <c r="E820" s="1" t="n">
        <v>46316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35576-2026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46262</v>
      </c>
      <c r="E821" s="1" t="n">
        <v>46316</v>
      </c>
      <c r="F821" t="inlineStr">
        <is>
          <t>GÄVLEBORGS LÄN</t>
        </is>
      </c>
      <c r="G821" t="inlineStr">
        <is>
          <t>SANDVIKEN</t>
        </is>
      </c>
      <c r="H821" t="inlineStr">
        <is>
          <t>Naturvårdsverket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35320-2026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46316</v>
      </c>
      <c r="F822" t="inlineStr">
        <is>
          <t>GÄVLEBORGS LÄN</t>
        </is>
      </c>
      <c r="G822" t="inlineStr">
        <is>
          <t>SANDVIKEN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35370-2026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46316</v>
      </c>
      <c r="F823" t="inlineStr">
        <is>
          <t>GÄVLEBORGS LÄN</t>
        </is>
      </c>
      <c r="G823" t="inlineStr">
        <is>
          <t>SANDVIKEN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46316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35578-2026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46262</v>
      </c>
      <c r="E825" s="1" t="n">
        <v>46316</v>
      </c>
      <c r="F825" t="inlineStr">
        <is>
          <t>GÄVLEBORGS LÄN</t>
        </is>
      </c>
      <c r="G825" t="inlineStr">
        <is>
          <t>SANDVIKEN</t>
        </is>
      </c>
      <c r="H825" t="inlineStr">
        <is>
          <t>Naturvårdsverket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45688</v>
      </c>
      <c r="E826" s="1" t="n">
        <v>46316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35324-2026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46261</v>
      </c>
      <c r="E827" s="1" t="n">
        <v>46316</v>
      </c>
      <c r="F827" t="inlineStr">
        <is>
          <t>GÄVLEBORGS LÄN</t>
        </is>
      </c>
      <c r="G827" t="inlineStr">
        <is>
          <t>SANDVIKEN</t>
        </is>
      </c>
      <c r="H827" t="inlineStr">
        <is>
          <t>Naturvårdsverket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46316</v>
      </c>
      <c r="F828" t="inlineStr">
        <is>
          <t>GÄVLEBORGS LÄN</t>
        </is>
      </c>
      <c r="G828" t="inlineStr">
        <is>
          <t>SANDVIKEN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27006-2023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45094</v>
      </c>
      <c r="E829" s="1" t="n">
        <v>46316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9.5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46177-2022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44847</v>
      </c>
      <c r="E830" s="1" t="n">
        <v>46316</v>
      </c>
      <c r="F830" t="inlineStr">
        <is>
          <t>GÄVLEBORGS LÄN</t>
        </is>
      </c>
      <c r="G830" t="inlineStr">
        <is>
          <t>SANDVIKEN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46316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46316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46316</v>
      </c>
      <c r="F833" t="inlineStr">
        <is>
          <t>GÄVLEBORGS LÄN</t>
        </is>
      </c>
      <c r="G833" t="inlineStr">
        <is>
          <t>SANDVIKEN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23476-2026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46163</v>
      </c>
      <c r="E834" s="1" t="n">
        <v>46316</v>
      </c>
      <c r="F834" t="inlineStr">
        <is>
          <t>GÄVLEBORGS LÄN</t>
        </is>
      </c>
      <c r="G834" t="inlineStr">
        <is>
          <t>SANDVIKEN</t>
        </is>
      </c>
      <c r="H834" t="inlineStr">
        <is>
          <t>Övriga statliga verk och myndigheter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19346-2023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45049</v>
      </c>
      <c r="E835" s="1" t="n">
        <v>46316</v>
      </c>
      <c r="F835" t="inlineStr">
        <is>
          <t>GÄVLEBORGS LÄN</t>
        </is>
      </c>
      <c r="G835" t="inlineStr">
        <is>
          <t>SANDVIKEN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42325-2026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46307</v>
      </c>
      <c r="E836" s="1" t="n">
        <v>46316</v>
      </c>
      <c r="F836" t="inlineStr">
        <is>
          <t>GÄVLEBORGS LÄN</t>
        </is>
      </c>
      <c r="G836" t="inlineStr">
        <is>
          <t>SANDVIKEN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61363-2023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45264</v>
      </c>
      <c r="E837" s="1" t="n">
        <v>46316</v>
      </c>
      <c r="F837" t="inlineStr">
        <is>
          <t>GÄVLEBORGS LÄN</t>
        </is>
      </c>
      <c r="G837" t="inlineStr">
        <is>
          <t>SANDVIKEN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35253-2026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46316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46316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35345-2026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46261</v>
      </c>
      <c r="E840" s="1" t="n">
        <v>46316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35575-2026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46262</v>
      </c>
      <c r="E841" s="1" t="n">
        <v>46316</v>
      </c>
      <c r="F841" t="inlineStr">
        <is>
          <t>GÄVLEBORGS LÄN</t>
        </is>
      </c>
      <c r="G841" t="inlineStr">
        <is>
          <t>SANDVIKEN</t>
        </is>
      </c>
      <c r="H841" t="inlineStr">
        <is>
          <t>Naturvårdsverket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35432-2026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46262</v>
      </c>
      <c r="E842" s="1" t="n">
        <v>46316</v>
      </c>
      <c r="F842" t="inlineStr">
        <is>
          <t>GÄVLEBORGS LÄN</t>
        </is>
      </c>
      <c r="G842" t="inlineStr">
        <is>
          <t>SANDVIKEN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46316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46262</v>
      </c>
      <c r="E844" s="1" t="n">
        <v>46316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35414-2026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46316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46261</v>
      </c>
      <c r="E846" s="1" t="n">
        <v>46316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46482-2023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45197</v>
      </c>
      <c r="E847" s="1" t="n">
        <v>46316</v>
      </c>
      <c r="F847" t="inlineStr">
        <is>
          <t>GÄVLEBORGS LÄN</t>
        </is>
      </c>
      <c r="G847" t="inlineStr">
        <is>
          <t>SANDVIKEN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35416-2026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46316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46316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35434-2026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46262</v>
      </c>
      <c r="E850" s="1" t="n">
        <v>46316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41125-2026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46300</v>
      </c>
      <c r="E851" s="1" t="n">
        <v>46316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35863-2026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46266</v>
      </c>
      <c r="E852" s="1" t="n">
        <v>46316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50797-2023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45217</v>
      </c>
      <c r="E853" s="1" t="n">
        <v>46316</v>
      </c>
      <c r="F853" t="inlineStr">
        <is>
          <t>GÄVLEBORGS LÄN</t>
        </is>
      </c>
      <c r="G853" t="inlineStr">
        <is>
          <t>SANDVIKEN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44564</v>
      </c>
      <c r="E854" s="1" t="n">
        <v>46316</v>
      </c>
      <c r="F854" t="inlineStr">
        <is>
          <t>GÄVLEBORGS LÄN</t>
        </is>
      </c>
      <c r="G854" t="inlineStr">
        <is>
          <t>SANDVIKEN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35865-2026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46266</v>
      </c>
      <c r="E855" s="1" t="n">
        <v>46316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36203-2025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45867</v>
      </c>
      <c r="E856" s="1" t="n">
        <v>46316</v>
      </c>
      <c r="F856" t="inlineStr">
        <is>
          <t>GÄVLEBORGS LÄN</t>
        </is>
      </c>
      <c r="G856" t="inlineStr">
        <is>
          <t>SANDVIKEN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42925-2026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46310</v>
      </c>
      <c r="E857" s="1" t="n">
        <v>46316</v>
      </c>
      <c r="F857" t="inlineStr">
        <is>
          <t>GÄVLEBORGS LÄN</t>
        </is>
      </c>
      <c r="G857" t="inlineStr">
        <is>
          <t>SANDVIKEN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73331-2021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44551</v>
      </c>
      <c r="E858" s="1" t="n">
        <v>46316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46316</v>
      </c>
      <c r="F859" t="inlineStr">
        <is>
          <t>GÄVLEBORGS LÄN</t>
        </is>
      </c>
      <c r="G859" t="inlineStr">
        <is>
          <t>SANDVIKEN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35492-2026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46262</v>
      </c>
      <c r="E860" s="1" t="n">
        <v>46316</v>
      </c>
      <c r="F860" t="inlineStr">
        <is>
          <t>GÄVLEBORGS LÄN</t>
        </is>
      </c>
      <c r="G860" t="inlineStr">
        <is>
          <t>SANDVIKEN</t>
        </is>
      </c>
      <c r="I860" t="n">
        <v>5.2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15340-2026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46105</v>
      </c>
      <c r="E861" s="1" t="n">
        <v>46316</v>
      </c>
      <c r="F861" t="inlineStr">
        <is>
          <t>GÄVLEBORGS LÄN</t>
        </is>
      </c>
      <c r="G861" t="inlineStr">
        <is>
          <t>SANDVIKEN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41790-2024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45561</v>
      </c>
      <c r="E862" s="1" t="n">
        <v>46316</v>
      </c>
      <c r="F862" t="inlineStr">
        <is>
          <t>GÄVLEBORGS LÄN</t>
        </is>
      </c>
      <c r="G862" t="inlineStr">
        <is>
          <t>SANDVIKEN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21456-2023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45063</v>
      </c>
      <c r="E863" s="1" t="n">
        <v>46316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15788-2025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45748</v>
      </c>
      <c r="E864" s="1" t="n">
        <v>46316</v>
      </c>
      <c r="F864" t="inlineStr">
        <is>
          <t>GÄVLEBORGS LÄN</t>
        </is>
      </c>
      <c r="G864" t="inlineStr">
        <is>
          <t>SANDVIKEN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58797-2024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45636</v>
      </c>
      <c r="E865" s="1" t="n">
        <v>46316</v>
      </c>
      <c r="F865" t="inlineStr">
        <is>
          <t>GÄVLEBORGS LÄN</t>
        </is>
      </c>
      <c r="G865" t="inlineStr">
        <is>
          <t>SANDVIKEN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43283-2026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46314</v>
      </c>
      <c r="E866" s="1" t="n">
        <v>46316</v>
      </c>
      <c r="F866" t="inlineStr">
        <is>
          <t>GÄVLEBORGS LÄN</t>
        </is>
      </c>
      <c r="G866" t="inlineStr">
        <is>
          <t>SANDVIKEN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43286-2026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46314</v>
      </c>
      <c r="E867" s="1" t="n">
        <v>46316</v>
      </c>
      <c r="F867" t="inlineStr">
        <is>
          <t>GÄVLEBORGS LÄN</t>
        </is>
      </c>
      <c r="G867" t="inlineStr">
        <is>
          <t>SANDVIKEN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37024-2026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46273</v>
      </c>
      <c r="E868" s="1" t="n">
        <v>46316</v>
      </c>
      <c r="F868" t="inlineStr">
        <is>
          <t>GÄVLEBORGS LÄN</t>
        </is>
      </c>
      <c r="G868" t="inlineStr">
        <is>
          <t>SANDVIKEN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43284-2026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46314</v>
      </c>
      <c r="E869" s="1" t="n">
        <v>46316</v>
      </c>
      <c r="F869" t="inlineStr">
        <is>
          <t>GÄVLEBORGS LÄN</t>
        </is>
      </c>
      <c r="G869" t="inlineStr">
        <is>
          <t>SANDVIKEN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43304-2026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46314</v>
      </c>
      <c r="E870" s="1" t="n">
        <v>46316</v>
      </c>
      <c r="F870" t="inlineStr">
        <is>
          <t>GÄVLEBORGS LÄN</t>
        </is>
      </c>
      <c r="G870" t="inlineStr">
        <is>
          <t>SANDVIKEN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24992-2023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45085</v>
      </c>
      <c r="E871" s="1" t="n">
        <v>46316</v>
      </c>
      <c r="F871" t="inlineStr">
        <is>
          <t>GÄVLEBORGS LÄN</t>
        </is>
      </c>
      <c r="G871" t="inlineStr">
        <is>
          <t>SANDVIKEN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7056-2025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45701</v>
      </c>
      <c r="E872" s="1" t="n">
        <v>46316</v>
      </c>
      <c r="F872" t="inlineStr">
        <is>
          <t>GÄVLEBORGS LÄN</t>
        </is>
      </c>
      <c r="G872" t="inlineStr">
        <is>
          <t>SANDVIKEN</t>
        </is>
      </c>
      <c r="I872" t="n">
        <v>6.4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6765-2025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45700</v>
      </c>
      <c r="E873" s="1" t="n">
        <v>46316</v>
      </c>
      <c r="F873" t="inlineStr">
        <is>
          <t>GÄVLEBORGS LÄN</t>
        </is>
      </c>
      <c r="G873" t="inlineStr">
        <is>
          <t>SANDVIKEN</t>
        </is>
      </c>
      <c r="I873" t="n">
        <v>7.1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47889-2022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44855</v>
      </c>
      <c r="E874" s="1" t="n">
        <v>46316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44756</v>
      </c>
      <c r="E875" s="1" t="n">
        <v>46316</v>
      </c>
      <c r="F875" t="inlineStr">
        <is>
          <t>GÄVLEBORGS LÄN</t>
        </is>
      </c>
      <c r="G875" t="inlineStr">
        <is>
          <t>SANDVIKEN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16385-2023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45022</v>
      </c>
      <c r="E876" s="1" t="n">
        <v>46316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25544-2024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45463</v>
      </c>
      <c r="E877" s="1" t="n">
        <v>46316</v>
      </c>
      <c r="F877" t="inlineStr">
        <is>
          <t>GÄVLEBORGS LÄN</t>
        </is>
      </c>
      <c r="G877" t="inlineStr">
        <is>
          <t>SANDVIKEN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37641-2024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45541</v>
      </c>
      <c r="E878" s="1" t="n">
        <v>46316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4.8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37643-2024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45541</v>
      </c>
      <c r="E879" s="1" t="n">
        <v>46316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3899-2022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44587</v>
      </c>
      <c r="E880" s="1" t="n">
        <v>46316</v>
      </c>
      <c r="F880" t="inlineStr">
        <is>
          <t>GÄVLEBORGS LÄN</t>
        </is>
      </c>
      <c r="G880" t="inlineStr">
        <is>
          <t>SANDVIKEN</t>
        </is>
      </c>
      <c r="H880" t="inlineStr">
        <is>
          <t>Kyrkan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4511-2024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45327</v>
      </c>
      <c r="E881" s="1" t="n">
        <v>46316</v>
      </c>
      <c r="F881" t="inlineStr">
        <is>
          <t>GÄVLEBORGS LÄN</t>
        </is>
      </c>
      <c r="G881" t="inlineStr">
        <is>
          <t>SANDVIKEN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19269-2025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45769</v>
      </c>
      <c r="E882" s="1" t="n">
        <v>46316</v>
      </c>
      <c r="F882" t="inlineStr">
        <is>
          <t>GÄVLEBORGS LÄN</t>
        </is>
      </c>
      <c r="G882" t="inlineStr">
        <is>
          <t>SANDVIKEN</t>
        </is>
      </c>
      <c r="I882" t="n">
        <v>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48435-2024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45590</v>
      </c>
      <c r="E883" s="1" t="n">
        <v>46316</v>
      </c>
      <c r="F883" t="inlineStr">
        <is>
          <t>GÄVLEBORGS LÄN</t>
        </is>
      </c>
      <c r="G883" t="inlineStr">
        <is>
          <t>SANDVIKEN</t>
        </is>
      </c>
      <c r="I883" t="n">
        <v>6.7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45672</v>
      </c>
      <c r="E884" s="1" t="n">
        <v>46316</v>
      </c>
      <c r="F884" t="inlineStr">
        <is>
          <t>GÄVLEBORGS LÄN</t>
        </is>
      </c>
      <c r="G884" t="inlineStr">
        <is>
          <t>SANDVIKEN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49518-2023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45211</v>
      </c>
      <c r="E885" s="1" t="n">
        <v>46316</v>
      </c>
      <c r="F885" t="inlineStr">
        <is>
          <t>GÄVLEBORGS LÄN</t>
        </is>
      </c>
      <c r="G885" t="inlineStr">
        <is>
          <t>SANDVIKEN</t>
        </is>
      </c>
      <c r="I885" t="n">
        <v>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44566</v>
      </c>
      <c r="E886" s="1" t="n">
        <v>46316</v>
      </c>
      <c r="F886" t="inlineStr">
        <is>
          <t>GÄVLEBORGS LÄN</t>
        </is>
      </c>
      <c r="G886" t="inlineStr">
        <is>
          <t>SANDVIKEN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36656-2023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45153</v>
      </c>
      <c r="E887" s="1" t="n">
        <v>46316</v>
      </c>
      <c r="F887" t="inlineStr">
        <is>
          <t>GÄVLEBORGS LÄN</t>
        </is>
      </c>
      <c r="G887" t="inlineStr">
        <is>
          <t>SANDVIKEN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16258-2023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45022</v>
      </c>
      <c r="E888" s="1" t="n">
        <v>46316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väst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21182-2025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45779</v>
      </c>
      <c r="E889" s="1" t="n">
        <v>46316</v>
      </c>
      <c r="F889" t="inlineStr">
        <is>
          <t>GÄVLEBORGS LÄN</t>
        </is>
      </c>
      <c r="G889" t="inlineStr">
        <is>
          <t>SANDVIKEN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37459-2024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45540</v>
      </c>
      <c r="E890" s="1" t="n">
        <v>46316</v>
      </c>
      <c r="F890" t="inlineStr">
        <is>
          <t>GÄVLEBORGS LÄN</t>
        </is>
      </c>
      <c r="G890" t="inlineStr">
        <is>
          <t>SANDVIKEN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48319-2023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45205</v>
      </c>
      <c r="E891" s="1" t="n">
        <v>46316</v>
      </c>
      <c r="F891" t="inlineStr">
        <is>
          <t>GÄVLEBORGS LÄN</t>
        </is>
      </c>
      <c r="G891" t="inlineStr">
        <is>
          <t>SANDVIKEN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55446-2024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45622</v>
      </c>
      <c r="E892" s="1" t="n">
        <v>46316</v>
      </c>
      <c r="F892" t="inlineStr">
        <is>
          <t>GÄVLEBORGS LÄN</t>
        </is>
      </c>
      <c r="G892" t="inlineStr">
        <is>
          <t>SANDVIKEN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3256-2025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45679</v>
      </c>
      <c r="E893" s="1" t="n">
        <v>46316</v>
      </c>
      <c r="F893" t="inlineStr">
        <is>
          <t>GÄVLEBORGS LÄN</t>
        </is>
      </c>
      <c r="G893" t="inlineStr">
        <is>
          <t>SANDVIKEN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40460-2024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45555</v>
      </c>
      <c r="E894" s="1" t="n">
        <v>46316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41284-2023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45174</v>
      </c>
      <c r="E895" s="1" t="n">
        <v>46316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69521-2021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44531</v>
      </c>
      <c r="E896" s="1" t="n">
        <v>46316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56019-2023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45240</v>
      </c>
      <c r="E897" s="1" t="n">
        <v>46316</v>
      </c>
      <c r="F897" t="inlineStr">
        <is>
          <t>GÄVLEBORGS LÄN</t>
        </is>
      </c>
      <c r="G897" t="inlineStr">
        <is>
          <t>SANDVIKEN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42950-2023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45178</v>
      </c>
      <c r="E898" s="1" t="n">
        <v>46316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väst AB</t>
        </is>
      </c>
      <c r="I898" t="n">
        <v>16.5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33623-2024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45520</v>
      </c>
      <c r="E899" s="1" t="n">
        <v>46316</v>
      </c>
      <c r="F899" t="inlineStr">
        <is>
          <t>GÄVLEBORGS LÄN</t>
        </is>
      </c>
      <c r="G899" t="inlineStr">
        <is>
          <t>SANDVIKEN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34429-2024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45525</v>
      </c>
      <c r="E900" s="1" t="n">
        <v>46316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46316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46316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46316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46316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10363-2021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44550</v>
      </c>
      <c r="E905" s="1" t="n">
        <v>46316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73.3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513-2025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45706</v>
      </c>
      <c r="E906" s="1" t="n">
        <v>46316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46316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46316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46316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46316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46316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46316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46316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2026-10-21T02:00:15Z</dcterms:created>
  <dcterms:modified xmlns:dcterms="http://purl.org/dc/terms/" xmlns:xsi="http://www.w3.org/2001/XMLSchema-instance" xsi:type="dcterms:W3CDTF">2026-10-21T02:00:16Z</dcterms:modified>
</cp:coreProperties>
</file>