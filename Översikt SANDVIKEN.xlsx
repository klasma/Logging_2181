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46192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46192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46192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46192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Rödvingetrast
Brandticka
Mörk husmossa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46192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Strandskinnlav
Koralltaggsvamp
Brandticka
Rävticka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37635-2024</t>
        </is>
      </c>
      <c r="B7" s="1" t="n">
        <v>45541</v>
      </c>
      <c r="C7" s="1" t="n">
        <v>46192</v>
      </c>
      <c r="D7" t="inlineStr">
        <is>
          <t>GÄVLEBORGS LÄN</t>
        </is>
      </c>
      <c r="E7" t="inlineStr">
        <is>
          <t>SANDVIKEN</t>
        </is>
      </c>
      <c r="F7" t="inlineStr">
        <is>
          <t>Sveaskog</t>
        </is>
      </c>
      <c r="G7" t="n">
        <v>25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Tjäder
Kungsfågel
Revlummer</t>
        </is>
      </c>
      <c r="S7">
        <f>HYPERLINK("https://klasma.github.io/Logging_2181/artfynd/A 37635-2024 artfynd.xlsx", "A 37635-2024")</f>
        <v/>
      </c>
      <c r="T7">
        <f>HYPERLINK("https://klasma.github.io/Logging_2181/kartor/A 37635-2024 karta.png", "A 37635-2024")</f>
        <v/>
      </c>
      <c r="V7">
        <f>HYPERLINK("https://klasma.github.io/Logging_2181/klagomål/A 37635-2024 FSC-klagomål.docx", "A 37635-2024")</f>
        <v/>
      </c>
      <c r="W7">
        <f>HYPERLINK("https://klasma.github.io/Logging_2181/klagomålsmail/A 37635-2024 FSC-klagomål mail.docx", "A 37635-2024")</f>
        <v/>
      </c>
      <c r="X7">
        <f>HYPERLINK("https://klasma.github.io/Logging_2181/tillsyn/A 37635-2024 tillsynsbegäran.docx", "A 37635-2024")</f>
        <v/>
      </c>
      <c r="Y7">
        <f>HYPERLINK("https://klasma.github.io/Logging_2181/tillsynsmail/A 37635-2024 tillsynsbegäran mail.docx", "A 37635-2024")</f>
        <v/>
      </c>
      <c r="Z7">
        <f>HYPERLINK("https://klasma.github.io/Logging_2181/fåglar/A 37635-2024 prioriterade fågelarter.docx", "A 37635-2024")</f>
        <v/>
      </c>
    </row>
    <row r="8" ht="15" customHeight="1">
      <c r="A8" t="inlineStr">
        <is>
          <t>A 49333-2025</t>
        </is>
      </c>
      <c r="B8" s="1" t="n">
        <v>45938</v>
      </c>
      <c r="C8" s="1" t="n">
        <v>46192</v>
      </c>
      <c r="D8" t="inlineStr">
        <is>
          <t>GÄVLEBORGS LÄN</t>
        </is>
      </c>
      <c r="E8" t="inlineStr">
        <is>
          <t>SANDVIKEN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Järpe
Tjäder
Fläcknycklar</t>
        </is>
      </c>
      <c r="S8">
        <f>HYPERLINK("https://klasma.github.io/Logging_2181/artfynd/A 49333-2025 artfynd.xlsx", "A 49333-2025")</f>
        <v/>
      </c>
      <c r="T8">
        <f>HYPERLINK("https://klasma.github.io/Logging_2181/kartor/A 49333-2025 karta.png", "A 49333-2025")</f>
        <v/>
      </c>
      <c r="V8">
        <f>HYPERLINK("https://klasma.github.io/Logging_2181/klagomål/A 49333-2025 FSC-klagomål.docx", "A 49333-2025")</f>
        <v/>
      </c>
      <c r="W8">
        <f>HYPERLINK("https://klasma.github.io/Logging_2181/klagomålsmail/A 49333-2025 FSC-klagomål mail.docx", "A 49333-2025")</f>
        <v/>
      </c>
      <c r="X8">
        <f>HYPERLINK("https://klasma.github.io/Logging_2181/tillsyn/A 49333-2025 tillsynsbegäran.docx", "A 49333-2025")</f>
        <v/>
      </c>
      <c r="Y8">
        <f>HYPERLINK("https://klasma.github.io/Logging_2181/tillsynsmail/A 49333-2025 tillsynsbegäran mail.docx", "A 49333-2025")</f>
        <v/>
      </c>
      <c r="Z8">
        <f>HYPERLINK("https://klasma.github.io/Logging_2181/fåglar/A 49333-2025 prioriterade fågelarter.docx", "A 49333-2025")</f>
        <v/>
      </c>
    </row>
    <row r="9" ht="15" customHeight="1">
      <c r="A9" t="inlineStr">
        <is>
          <t>A 52784-2025</t>
        </is>
      </c>
      <c r="B9" s="1" t="n">
        <v>45957</v>
      </c>
      <c r="C9" s="1" t="n">
        <v>46192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1.6</v>
      </c>
      <c r="H9" t="n">
        <v>1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Garnlav
Knärot
Dropptaggsvamp
Bronshjon</t>
        </is>
      </c>
      <c r="S9">
        <f>HYPERLINK("https://klasma.github.io/Logging_2181/artfynd/A 52784-2025 artfynd.xlsx", "A 52784-2025")</f>
        <v/>
      </c>
      <c r="T9">
        <f>HYPERLINK("https://klasma.github.io/Logging_2181/kartor/A 52784-2025 karta.png", "A 52784-2025")</f>
        <v/>
      </c>
      <c r="U9">
        <f>HYPERLINK("https://klasma.github.io/Logging_2181/knärot/A 52784-2025 karta knärot.png", "A 52784-2025")</f>
        <v/>
      </c>
      <c r="V9">
        <f>HYPERLINK("https://klasma.github.io/Logging_2181/klagomål/A 52784-2025 FSC-klagomål.docx", "A 52784-2025")</f>
        <v/>
      </c>
      <c r="W9">
        <f>HYPERLINK("https://klasma.github.io/Logging_2181/klagomålsmail/A 52784-2025 FSC-klagomål mail.docx", "A 52784-2025")</f>
        <v/>
      </c>
      <c r="X9">
        <f>HYPERLINK("https://klasma.github.io/Logging_2181/tillsyn/A 52784-2025 tillsynsbegäran.docx", "A 52784-2025")</f>
        <v/>
      </c>
      <c r="Y9">
        <f>HYPERLINK("https://klasma.github.io/Logging_2181/tillsynsmail/A 52784-2025 tillsynsbegäran mail.docx", "A 52784-2025")</f>
        <v/>
      </c>
    </row>
    <row r="10" ht="15" customHeight="1">
      <c r="A10" t="inlineStr">
        <is>
          <t>A 52785-2025</t>
        </is>
      </c>
      <c r="B10" s="1" t="n">
        <v>45957</v>
      </c>
      <c r="C10" s="1" t="n">
        <v>46192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1.6</v>
      </c>
      <c r="H10" t="n">
        <v>1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Garnlav
Knärot
Dropptaggsvamp
Bronshjon</t>
        </is>
      </c>
      <c r="S10">
        <f>HYPERLINK("https://klasma.github.io/Logging_2181/artfynd/A 52785-2025 artfynd.xlsx", "A 52785-2025")</f>
        <v/>
      </c>
      <c r="T10">
        <f>HYPERLINK("https://klasma.github.io/Logging_2181/kartor/A 52785-2025 karta.png", "A 52785-2025")</f>
        <v/>
      </c>
      <c r="U10">
        <f>HYPERLINK("https://klasma.github.io/Logging_2181/knärot/A 52785-2025 karta knärot.png", "A 52785-2025")</f>
        <v/>
      </c>
      <c r="V10">
        <f>HYPERLINK("https://klasma.github.io/Logging_2181/klagomål/A 52785-2025 FSC-klagomål.docx", "A 52785-2025")</f>
        <v/>
      </c>
      <c r="W10">
        <f>HYPERLINK("https://klasma.github.io/Logging_2181/klagomålsmail/A 52785-2025 FSC-klagomål mail.docx", "A 52785-2025")</f>
        <v/>
      </c>
      <c r="X10">
        <f>HYPERLINK("https://klasma.github.io/Logging_2181/tillsyn/A 52785-2025 tillsynsbegäran.docx", "A 52785-2025")</f>
        <v/>
      </c>
      <c r="Y10">
        <f>HYPERLINK("https://klasma.github.io/Logging_2181/tillsynsmail/A 52785-2025 tillsynsbegäran mail.docx", "A 52785-2025")</f>
        <v/>
      </c>
    </row>
    <row r="11" ht="15" customHeight="1">
      <c r="A11" t="inlineStr">
        <is>
          <t>A 52782-2025</t>
        </is>
      </c>
      <c r="B11" s="1" t="n">
        <v>45957</v>
      </c>
      <c r="C11" s="1" t="n">
        <v>46192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3.6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Motaggsvamp
Tvåblad
Fläcknycklar</t>
        </is>
      </c>
      <c r="S11">
        <f>HYPERLINK("https://klasma.github.io/Logging_2181/artfynd/A 52782-2025 artfynd.xlsx", "A 52782-2025")</f>
        <v/>
      </c>
      <c r="T11">
        <f>HYPERLINK("https://klasma.github.io/Logging_2181/kartor/A 52782-2025 karta.png", "A 52782-2025")</f>
        <v/>
      </c>
      <c r="U11">
        <f>HYPERLINK("https://klasma.github.io/Logging_2181/knärot/A 52782-2025 karta knärot.png", "A 52782-2025")</f>
        <v/>
      </c>
      <c r="V11">
        <f>HYPERLINK("https://klasma.github.io/Logging_2181/klagomål/A 52782-2025 FSC-klagomål.docx", "A 52782-2025")</f>
        <v/>
      </c>
      <c r="W11">
        <f>HYPERLINK("https://klasma.github.io/Logging_2181/klagomålsmail/A 52782-2025 FSC-klagomål mail.docx", "A 52782-2025")</f>
        <v/>
      </c>
      <c r="X11">
        <f>HYPERLINK("https://klasma.github.io/Logging_2181/tillsyn/A 52782-2025 tillsynsbegäran.docx", "A 52782-2025")</f>
        <v/>
      </c>
      <c r="Y11">
        <f>HYPERLINK("https://klasma.github.io/Logging_2181/tillsynsmail/A 52782-2025 tillsynsbegäran mail.docx", "A 52782-2025")</f>
        <v/>
      </c>
    </row>
    <row r="12" ht="15" customHeight="1">
      <c r="A12" t="inlineStr">
        <is>
          <t>A 15650-2024</t>
        </is>
      </c>
      <c r="B12" s="1" t="n">
        <v>45404</v>
      </c>
      <c r="C12" s="1" t="n">
        <v>46192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9.300000000000001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Dropptaggsvamp
Fjällig taggsvamp s.str.
Grönpyrola</t>
        </is>
      </c>
      <c r="S12">
        <f>HYPERLINK("https://klasma.github.io/Logging_2181/artfynd/A 15650-2024 artfynd.xlsx", "A 15650-2024")</f>
        <v/>
      </c>
      <c r="T12">
        <f>HYPERLINK("https://klasma.github.io/Logging_2181/kartor/A 15650-2024 karta.png", "A 15650-2024")</f>
        <v/>
      </c>
      <c r="U12">
        <f>HYPERLINK("https://klasma.github.io/Logging_2181/knärot/A 15650-2024 karta knärot.png", "A 15650-2024")</f>
        <v/>
      </c>
      <c r="V12">
        <f>HYPERLINK("https://klasma.github.io/Logging_2181/klagomål/A 15650-2024 FSC-klagomål.docx", "A 15650-2024")</f>
        <v/>
      </c>
      <c r="W12">
        <f>HYPERLINK("https://klasma.github.io/Logging_2181/klagomålsmail/A 15650-2024 FSC-klagomål mail.docx", "A 15650-2024")</f>
        <v/>
      </c>
      <c r="X12">
        <f>HYPERLINK("https://klasma.github.io/Logging_2181/tillsyn/A 15650-2024 tillsynsbegäran.docx", "A 15650-2024")</f>
        <v/>
      </c>
      <c r="Y12">
        <f>HYPERLINK("https://klasma.github.io/Logging_2181/tillsynsmail/A 15650-2024 tillsynsbegäran mail.docx", "A 15650-2024")</f>
        <v/>
      </c>
    </row>
    <row r="13" ht="15" customHeight="1">
      <c r="A13" t="inlineStr">
        <is>
          <t>A 14696-2026</t>
        </is>
      </c>
      <c r="B13" s="1" t="n">
        <v>46101</v>
      </c>
      <c r="C13" s="1" t="n">
        <v>46192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3.1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Garnlav
Knärot
Dropptaggsvamp
Motaggsvamp</t>
        </is>
      </c>
      <c r="S13">
        <f>HYPERLINK("https://klasma.github.io/Logging_2181/artfynd/A 14696-2026 artfynd.xlsx", "A 14696-2026")</f>
        <v/>
      </c>
      <c r="T13">
        <f>HYPERLINK("https://klasma.github.io/Logging_2181/kartor/A 14696-2026 karta.png", "A 14696-2026")</f>
        <v/>
      </c>
      <c r="U13">
        <f>HYPERLINK("https://klasma.github.io/Logging_2181/knärot/A 14696-2026 karta knärot.png", "A 14696-2026")</f>
        <v/>
      </c>
      <c r="V13">
        <f>HYPERLINK("https://klasma.github.io/Logging_2181/klagomål/A 14696-2026 FSC-klagomål.docx", "A 14696-2026")</f>
        <v/>
      </c>
      <c r="W13">
        <f>HYPERLINK("https://klasma.github.io/Logging_2181/klagomålsmail/A 14696-2026 FSC-klagomål mail.docx", "A 14696-2026")</f>
        <v/>
      </c>
      <c r="X13">
        <f>HYPERLINK("https://klasma.github.io/Logging_2181/tillsyn/A 14696-2026 tillsynsbegäran.docx", "A 14696-2026")</f>
        <v/>
      </c>
      <c r="Y13">
        <f>HYPERLINK("https://klasma.github.io/Logging_2181/tillsynsmail/A 14696-2026 tillsynsbegäran mail.docx", "A 14696-2026")</f>
        <v/>
      </c>
    </row>
    <row r="14" ht="15" customHeight="1">
      <c r="A14" t="inlineStr">
        <is>
          <t>A 2857-2025</t>
        </is>
      </c>
      <c r="B14" s="1" t="n">
        <v>45677</v>
      </c>
      <c r="C14" s="1" t="n">
        <v>46192</v>
      </c>
      <c r="D14" t="inlineStr">
        <is>
          <t>GÄVLEBORGS LÄN</t>
        </is>
      </c>
      <c r="E14" t="inlineStr">
        <is>
          <t>SANDVIKEN</t>
        </is>
      </c>
      <c r="G14" t="n">
        <v>1.3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Större flatbagge
Tallticka
Bronshjon
Thomsons trägnagare</t>
        </is>
      </c>
      <c r="S14">
        <f>HYPERLINK("https://klasma.github.io/Logging_2181/artfynd/A 2857-2025 artfynd.xlsx", "A 2857-2025")</f>
        <v/>
      </c>
      <c r="T14">
        <f>HYPERLINK("https://klasma.github.io/Logging_2181/kartor/A 2857-2025 karta.png", "A 2857-2025")</f>
        <v/>
      </c>
      <c r="V14">
        <f>HYPERLINK("https://klasma.github.io/Logging_2181/klagomål/A 2857-2025 FSC-klagomål.docx", "A 2857-2025")</f>
        <v/>
      </c>
      <c r="W14">
        <f>HYPERLINK("https://klasma.github.io/Logging_2181/klagomålsmail/A 2857-2025 FSC-klagomål mail.docx", "A 2857-2025")</f>
        <v/>
      </c>
      <c r="X14">
        <f>HYPERLINK("https://klasma.github.io/Logging_2181/tillsyn/A 2857-2025 tillsynsbegäran.docx", "A 2857-2025")</f>
        <v/>
      </c>
      <c r="Y14">
        <f>HYPERLINK("https://klasma.github.io/Logging_2181/tillsynsmail/A 2857-2025 tillsynsbegäran mail.docx", "A 2857-2025")</f>
        <v/>
      </c>
    </row>
    <row r="15" ht="15" customHeight="1">
      <c r="A15" t="inlineStr">
        <is>
          <t>A 36672-2023</t>
        </is>
      </c>
      <c r="B15" s="1" t="n">
        <v>45153</v>
      </c>
      <c r="C15" s="1" t="n">
        <v>46192</v>
      </c>
      <c r="D15" t="inlineStr">
        <is>
          <t>GÄVLEBORGS LÄN</t>
        </is>
      </c>
      <c r="E15" t="inlineStr">
        <is>
          <t>SANDVIKEN</t>
        </is>
      </c>
      <c r="G15" t="n">
        <v>6.4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Större vattensalamander
Åkergroda
Mindre vattensalamander
Vanlig groda</t>
        </is>
      </c>
      <c r="S15">
        <f>HYPERLINK("https://klasma.github.io/Logging_2181/artfynd/A 36672-2023 artfynd.xlsx", "A 36672-2023")</f>
        <v/>
      </c>
      <c r="T15">
        <f>HYPERLINK("https://klasma.github.io/Logging_2181/kartor/A 36672-2023 karta.png", "A 36672-2023")</f>
        <v/>
      </c>
      <c r="V15">
        <f>HYPERLINK("https://klasma.github.io/Logging_2181/klagomål/A 36672-2023 FSC-klagomål.docx", "A 36672-2023")</f>
        <v/>
      </c>
      <c r="W15">
        <f>HYPERLINK("https://klasma.github.io/Logging_2181/klagomålsmail/A 36672-2023 FSC-klagomål mail.docx", "A 36672-2023")</f>
        <v/>
      </c>
      <c r="X15">
        <f>HYPERLINK("https://klasma.github.io/Logging_2181/tillsyn/A 36672-2023 tillsynsbegäran.docx", "A 36672-2023")</f>
        <v/>
      </c>
      <c r="Y15">
        <f>HYPERLINK("https://klasma.github.io/Logging_2181/tillsynsmail/A 36672-2023 tillsynsbegäran mail.docx", "A 36672-2023")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46192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6108-2026</t>
        </is>
      </c>
      <c r="B17" s="1" t="n">
        <v>46053</v>
      </c>
      <c r="C17" s="1" t="n">
        <v>46192</v>
      </c>
      <c r="D17" t="inlineStr">
        <is>
          <t>GÄVLEBORGS LÄN</t>
        </is>
      </c>
      <c r="E17" t="inlineStr">
        <is>
          <t>SANDVIKEN</t>
        </is>
      </c>
      <c r="G17" t="n">
        <v>3.9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Granvivel
Linnea</t>
        </is>
      </c>
      <c r="S17">
        <f>HYPERLINK("https://klasma.github.io/Logging_2181/artfynd/A 6108-2026 artfynd.xlsx", "A 6108-2026")</f>
        <v/>
      </c>
      <c r="T17">
        <f>HYPERLINK("https://klasma.github.io/Logging_2181/kartor/A 6108-2026 karta.png", "A 6108-2026")</f>
        <v/>
      </c>
      <c r="U17">
        <f>HYPERLINK("https://klasma.github.io/Logging_2181/knärot/A 6108-2026 karta knärot.png", "A 6108-2026")</f>
        <v/>
      </c>
      <c r="V17">
        <f>HYPERLINK("https://klasma.github.io/Logging_2181/klagomål/A 6108-2026 FSC-klagomål.docx", "A 6108-2026")</f>
        <v/>
      </c>
      <c r="W17">
        <f>HYPERLINK("https://klasma.github.io/Logging_2181/klagomålsmail/A 6108-2026 FSC-klagomål mail.docx", "A 6108-2026")</f>
        <v/>
      </c>
      <c r="X17">
        <f>HYPERLINK("https://klasma.github.io/Logging_2181/tillsyn/A 6108-2026 tillsynsbegäran.docx", "A 6108-2026")</f>
        <v/>
      </c>
      <c r="Y17">
        <f>HYPERLINK("https://klasma.github.io/Logging_2181/tillsynsmail/A 6108-2026 tillsynsbegäran mail.docx", "A 6108-2026")</f>
        <v/>
      </c>
    </row>
    <row r="18" ht="15" customHeight="1">
      <c r="A18" t="inlineStr">
        <is>
          <t>A 12192-2026</t>
        </is>
      </c>
      <c r="B18" s="1" t="n">
        <v>46086</v>
      </c>
      <c r="C18" s="1" t="n">
        <v>46192</v>
      </c>
      <c r="D18" t="inlineStr">
        <is>
          <t>GÄVLEBORGS LÄN</t>
        </is>
      </c>
      <c r="E18" t="inlineStr">
        <is>
          <t>SANDVIKEN</t>
        </is>
      </c>
      <c r="G18" t="n">
        <v>0.6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Tretåig hackspett
Spillkråka</t>
        </is>
      </c>
      <c r="S18">
        <f>HYPERLINK("https://klasma.github.io/Logging_2181/artfynd/A 12192-2026 artfynd.xlsx", "A 12192-2026")</f>
        <v/>
      </c>
      <c r="T18">
        <f>HYPERLINK("https://klasma.github.io/Logging_2181/kartor/A 12192-2026 karta.png", "A 12192-2026")</f>
        <v/>
      </c>
      <c r="U18">
        <f>HYPERLINK("https://klasma.github.io/Logging_2181/knärot/A 12192-2026 karta knärot.png", "A 12192-2026")</f>
        <v/>
      </c>
      <c r="V18">
        <f>HYPERLINK("https://klasma.github.io/Logging_2181/klagomål/A 12192-2026 FSC-klagomål.docx", "A 12192-2026")</f>
        <v/>
      </c>
      <c r="W18">
        <f>HYPERLINK("https://klasma.github.io/Logging_2181/klagomålsmail/A 12192-2026 FSC-klagomål mail.docx", "A 12192-2026")</f>
        <v/>
      </c>
      <c r="X18">
        <f>HYPERLINK("https://klasma.github.io/Logging_2181/tillsyn/A 12192-2026 tillsynsbegäran.docx", "A 12192-2026")</f>
        <v/>
      </c>
      <c r="Y18">
        <f>HYPERLINK("https://klasma.github.io/Logging_2181/tillsynsmail/A 12192-2026 tillsynsbegäran mail.docx", "A 12192-2026")</f>
        <v/>
      </c>
      <c r="Z18">
        <f>HYPERLINK("https://klasma.github.io/Logging_2181/fåglar/A 12192-2026 prioriterade fågelarter.docx", "A 12192-2026")</f>
        <v/>
      </c>
    </row>
    <row r="19" ht="15" customHeight="1">
      <c r="A19" t="inlineStr">
        <is>
          <t>A 12696-2026</t>
        </is>
      </c>
      <c r="B19" s="1" t="n">
        <v>46091</v>
      </c>
      <c r="C19" s="1" t="n">
        <v>46192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Fläcknycklar
Äkta lopplummer</t>
        </is>
      </c>
      <c r="S19">
        <f>HYPERLINK("https://klasma.github.io/Logging_2181/artfynd/A 12696-2026 artfynd.xlsx", "A 12696-2026")</f>
        <v/>
      </c>
      <c r="T19">
        <f>HYPERLINK("https://klasma.github.io/Logging_2181/kartor/A 12696-2026 karta.png", "A 12696-2026")</f>
        <v/>
      </c>
      <c r="V19">
        <f>HYPERLINK("https://klasma.github.io/Logging_2181/klagomål/A 12696-2026 FSC-klagomål.docx", "A 12696-2026")</f>
        <v/>
      </c>
      <c r="W19">
        <f>HYPERLINK("https://klasma.github.io/Logging_2181/klagomålsmail/A 12696-2026 FSC-klagomål mail.docx", "A 12696-2026")</f>
        <v/>
      </c>
      <c r="X19">
        <f>HYPERLINK("https://klasma.github.io/Logging_2181/tillsyn/A 12696-2026 tillsynsbegäran.docx", "A 12696-2026")</f>
        <v/>
      </c>
      <c r="Y19">
        <f>HYPERLINK("https://klasma.github.io/Logging_2181/tillsynsmail/A 12696-2026 tillsynsbegäran mail.docx", "A 12696-2026")</f>
        <v/>
      </c>
    </row>
    <row r="20" ht="15" customHeight="1">
      <c r="A20" t="inlineStr">
        <is>
          <t>A 6378-2023</t>
        </is>
      </c>
      <c r="B20" s="1" t="n">
        <v>44965</v>
      </c>
      <c r="C20" s="1" t="n">
        <v>46192</v>
      </c>
      <c r="D20" t="inlineStr">
        <is>
          <t>GÄVLEBORGS LÄN</t>
        </is>
      </c>
      <c r="E20" t="inlineStr">
        <is>
          <t>SANDVIKEN</t>
        </is>
      </c>
      <c r="G20" t="n">
        <v>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Törnskata
Vanlig groda</t>
        </is>
      </c>
      <c r="S20">
        <f>HYPERLINK("https://klasma.github.io/Logging_2181/artfynd/A 6378-2023 artfynd.xlsx", "A 6378-2023")</f>
        <v/>
      </c>
      <c r="T20">
        <f>HYPERLINK("https://klasma.github.io/Logging_2181/kartor/A 6378-2023 karta.png", "A 6378-2023")</f>
        <v/>
      </c>
      <c r="V20">
        <f>HYPERLINK("https://klasma.github.io/Logging_2181/klagomål/A 6378-2023 FSC-klagomål.docx", "A 6378-2023")</f>
        <v/>
      </c>
      <c r="W20">
        <f>HYPERLINK("https://klasma.github.io/Logging_2181/klagomålsmail/A 6378-2023 FSC-klagomål mail.docx", "A 6378-2023")</f>
        <v/>
      </c>
      <c r="X20">
        <f>HYPERLINK("https://klasma.github.io/Logging_2181/tillsyn/A 6378-2023 tillsynsbegäran.docx", "A 6378-2023")</f>
        <v/>
      </c>
      <c r="Y20">
        <f>HYPERLINK("https://klasma.github.io/Logging_2181/tillsynsmail/A 6378-2023 tillsynsbegäran mail.docx", "A 6378-2023")</f>
        <v/>
      </c>
      <c r="Z20">
        <f>HYPERLINK("https://klasma.github.io/Logging_2181/fåglar/A 6378-2023 prioriterade fågelarter.docx", "A 6378-2023")</f>
        <v/>
      </c>
    </row>
    <row r="21" ht="15" customHeight="1">
      <c r="A21" t="inlineStr">
        <is>
          <t>A 26047-2026</t>
        </is>
      </c>
      <c r="B21" s="1" t="n">
        <v>46181</v>
      </c>
      <c r="C21" s="1" t="n">
        <v>46192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8.199999999999999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Blå taggsvamp
Talltita
Kungsfågel</t>
        </is>
      </c>
      <c r="S21">
        <f>HYPERLINK("https://klasma.github.io/Logging_2181/artfynd/A 26047-2026 artfynd.xlsx", "A 26047-2026")</f>
        <v/>
      </c>
      <c r="T21">
        <f>HYPERLINK("https://klasma.github.io/Logging_2181/kartor/A 26047-2026 karta.png", "A 26047-2026")</f>
        <v/>
      </c>
      <c r="V21">
        <f>HYPERLINK("https://klasma.github.io/Logging_2181/klagomål/A 26047-2026 FSC-klagomål.docx", "A 26047-2026")</f>
        <v/>
      </c>
      <c r="W21">
        <f>HYPERLINK("https://klasma.github.io/Logging_2181/klagomålsmail/A 26047-2026 FSC-klagomål mail.docx", "A 26047-2026")</f>
        <v/>
      </c>
      <c r="X21">
        <f>HYPERLINK("https://klasma.github.io/Logging_2181/tillsyn/A 26047-2026 tillsynsbegäran.docx", "A 26047-2026")</f>
        <v/>
      </c>
      <c r="Y21">
        <f>HYPERLINK("https://klasma.github.io/Logging_2181/tillsynsmail/A 26047-2026 tillsynsbegäran mail.docx", "A 26047-2026")</f>
        <v/>
      </c>
      <c r="Z21">
        <f>HYPERLINK("https://klasma.github.io/Logging_2181/fåglar/A 26047-2026 prioriterade fågelarter.docx", "A 26047-2026")</f>
        <v/>
      </c>
    </row>
    <row r="22" ht="15" customHeight="1">
      <c r="A22" t="inlineStr">
        <is>
          <t>A 6311-2026</t>
        </is>
      </c>
      <c r="B22" s="1" t="n">
        <v>46055</v>
      </c>
      <c r="C22" s="1" t="n">
        <v>46192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Tjäder
Vanlig groda
Vanlig padda</t>
        </is>
      </c>
      <c r="S22">
        <f>HYPERLINK("https://klasma.github.io/Logging_2181/artfynd/A 6311-2026 artfynd.xlsx", "A 6311-2026")</f>
        <v/>
      </c>
      <c r="T22">
        <f>HYPERLINK("https://klasma.github.io/Logging_2181/kartor/A 6311-2026 karta.png", "A 6311-2026")</f>
        <v/>
      </c>
      <c r="V22">
        <f>HYPERLINK("https://klasma.github.io/Logging_2181/klagomål/A 6311-2026 FSC-klagomål.docx", "A 6311-2026")</f>
        <v/>
      </c>
      <c r="W22">
        <f>HYPERLINK("https://klasma.github.io/Logging_2181/klagomålsmail/A 6311-2026 FSC-klagomål mail.docx", "A 6311-2026")</f>
        <v/>
      </c>
      <c r="X22">
        <f>HYPERLINK("https://klasma.github.io/Logging_2181/tillsyn/A 6311-2026 tillsynsbegäran.docx", "A 6311-2026")</f>
        <v/>
      </c>
      <c r="Y22">
        <f>HYPERLINK("https://klasma.github.io/Logging_2181/tillsynsmail/A 6311-2026 tillsynsbegäran mail.docx", "A 6311-2026")</f>
        <v/>
      </c>
      <c r="Z22">
        <f>HYPERLINK("https://klasma.github.io/Logging_2181/fåglar/A 6311-2026 prioriterade fågelarter.docx", "A 6311-2026")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46192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46729-2025</t>
        </is>
      </c>
      <c r="B24" s="1" t="n">
        <v>45926</v>
      </c>
      <c r="C24" s="1" t="n">
        <v>46192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7.6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Ullticka</t>
        </is>
      </c>
      <c r="S24">
        <f>HYPERLINK("https://klasma.github.io/Logging_2181/artfynd/A 46729-2025 artfynd.xlsx", "A 46729-2025")</f>
        <v/>
      </c>
      <c r="T24">
        <f>HYPERLINK("https://klasma.github.io/Logging_2181/kartor/A 46729-2025 karta.png", "A 46729-2025")</f>
        <v/>
      </c>
      <c r="V24">
        <f>HYPERLINK("https://klasma.github.io/Logging_2181/klagomål/A 46729-2025 FSC-klagomål.docx", "A 46729-2025")</f>
        <v/>
      </c>
      <c r="W24">
        <f>HYPERLINK("https://klasma.github.io/Logging_2181/klagomålsmail/A 46729-2025 FSC-klagomål mail.docx", "A 46729-2025")</f>
        <v/>
      </c>
      <c r="X24">
        <f>HYPERLINK("https://klasma.github.io/Logging_2181/tillsyn/A 46729-2025 tillsynsbegäran.docx", "A 46729-2025")</f>
        <v/>
      </c>
      <c r="Y24">
        <f>HYPERLINK("https://klasma.github.io/Logging_2181/tillsynsmail/A 46729-2025 tillsynsbegäran mail.docx", "A 46729-2025")</f>
        <v/>
      </c>
    </row>
    <row r="25" ht="15" customHeight="1">
      <c r="A25" t="inlineStr">
        <is>
          <t>A 42869-2024</t>
        </is>
      </c>
      <c r="B25" s="1" t="n">
        <v>45566</v>
      </c>
      <c r="C25" s="1" t="n">
        <v>46192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Rödgul trumpetsvamp
Vanlig padda</t>
        </is>
      </c>
      <c r="S25">
        <f>HYPERLINK("https://klasma.github.io/Logging_2181/artfynd/A 42869-2024 artfynd.xlsx", "A 42869-2024")</f>
        <v/>
      </c>
      <c r="T25">
        <f>HYPERLINK("https://klasma.github.io/Logging_2181/kartor/A 42869-2024 karta.png", "A 42869-2024")</f>
        <v/>
      </c>
      <c r="V25">
        <f>HYPERLINK("https://klasma.github.io/Logging_2181/klagomål/A 42869-2024 FSC-klagomål.docx", "A 42869-2024")</f>
        <v/>
      </c>
      <c r="W25">
        <f>HYPERLINK("https://klasma.github.io/Logging_2181/klagomålsmail/A 42869-2024 FSC-klagomål mail.docx", "A 42869-2024")</f>
        <v/>
      </c>
      <c r="X25">
        <f>HYPERLINK("https://klasma.github.io/Logging_2181/tillsyn/A 42869-2024 tillsynsbegäran.docx", "A 42869-2024")</f>
        <v/>
      </c>
      <c r="Y25">
        <f>HYPERLINK("https://klasma.github.io/Logging_2181/tillsynsmail/A 42869-2024 tillsynsbegäran mail.docx", "A 42869-2024")</f>
        <v/>
      </c>
    </row>
    <row r="26" ht="15" customHeight="1">
      <c r="A26" t="inlineStr">
        <is>
          <t>A 21196-2024</t>
        </is>
      </c>
      <c r="B26" s="1" t="n">
        <v>45440</v>
      </c>
      <c r="C26" s="1" t="n">
        <v>46192</v>
      </c>
      <c r="D26" t="inlineStr">
        <is>
          <t>GÄVLEBORGS LÄN</t>
        </is>
      </c>
      <c r="E26" t="inlineStr">
        <is>
          <t>SANDVIKEN</t>
        </is>
      </c>
      <c r="F26" t="inlineStr">
        <is>
          <t>Kommuner</t>
        </is>
      </c>
      <c r="G26" t="n">
        <v>45.5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Lappuggla
Ullticka</t>
        </is>
      </c>
      <c r="S26">
        <f>HYPERLINK("https://klasma.github.io/Logging_2181/artfynd/A 21196-2024 artfynd.xlsx", "A 21196-2024")</f>
        <v/>
      </c>
      <c r="T26">
        <f>HYPERLINK("https://klasma.github.io/Logging_2181/kartor/A 21196-2024 karta.png", "A 21196-2024")</f>
        <v/>
      </c>
      <c r="V26">
        <f>HYPERLINK("https://klasma.github.io/Logging_2181/klagomål/A 21196-2024 FSC-klagomål.docx", "A 21196-2024")</f>
        <v/>
      </c>
      <c r="W26">
        <f>HYPERLINK("https://klasma.github.io/Logging_2181/klagomålsmail/A 21196-2024 FSC-klagomål mail.docx", "A 21196-2024")</f>
        <v/>
      </c>
      <c r="X26">
        <f>HYPERLINK("https://klasma.github.io/Logging_2181/tillsyn/A 21196-2024 tillsynsbegäran.docx", "A 21196-2024")</f>
        <v/>
      </c>
      <c r="Y26">
        <f>HYPERLINK("https://klasma.github.io/Logging_2181/tillsynsmail/A 21196-2024 tillsynsbegäran mail.docx", "A 21196-2024")</f>
        <v/>
      </c>
      <c r="Z26">
        <f>HYPERLINK("https://klasma.github.io/Logging_2181/fåglar/A 21196-2024 prioriterade fågelarter.docx", "A 21196-2024")</f>
        <v/>
      </c>
    </row>
    <row r="27" ht="15" customHeight="1">
      <c r="A27" t="inlineStr">
        <is>
          <t>A 43716-2023</t>
        </is>
      </c>
      <c r="B27" s="1" t="n">
        <v>45187</v>
      </c>
      <c r="C27" s="1" t="n">
        <v>46192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1.6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HYPERLINK("https://klasma.github.io/Logging_2181/artfynd/A 43716-2023 artfynd.xlsx", "A 43716-2023")</f>
        <v/>
      </c>
      <c r="T27">
        <f>HYPERLINK("https://klasma.github.io/Logging_2181/kartor/A 43716-2023 karta.png", "A 43716-2023")</f>
        <v/>
      </c>
      <c r="U27">
        <f>HYPERLINK("https://klasma.github.io/Logging_2181/knärot/A 43716-2023 karta knärot.png", "A 43716-2023")</f>
        <v/>
      </c>
      <c r="V27">
        <f>HYPERLINK("https://klasma.github.io/Logging_2181/klagomål/A 43716-2023 FSC-klagomål.docx", "A 43716-2023")</f>
        <v/>
      </c>
      <c r="W27">
        <f>HYPERLINK("https://klasma.github.io/Logging_2181/klagomålsmail/A 43716-2023 FSC-klagomål mail.docx", "A 43716-2023")</f>
        <v/>
      </c>
      <c r="X27">
        <f>HYPERLINK("https://klasma.github.io/Logging_2181/tillsyn/A 43716-2023 tillsynsbegäran.docx", "A 43716-2023")</f>
        <v/>
      </c>
      <c r="Y27">
        <f>HYPERLINK("https://klasma.github.io/Logging_2181/tillsynsmail/A 43716-2023 tillsynsbegäran mail.docx", "A 43716-2023")</f>
        <v/>
      </c>
    </row>
    <row r="28" ht="15" customHeight="1">
      <c r="A28" t="inlineStr">
        <is>
          <t>A 1179-2026</t>
        </is>
      </c>
      <c r="B28" s="1" t="n">
        <v>46031</v>
      </c>
      <c r="C28" s="1" t="n">
        <v>46192</v>
      </c>
      <c r="D28" t="inlineStr">
        <is>
          <t>GÄVLEBORGS LÄN</t>
        </is>
      </c>
      <c r="E28" t="inlineStr">
        <is>
          <t>SANDVIKEN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Strutbräken
Revlummer</t>
        </is>
      </c>
      <c r="S28">
        <f>HYPERLINK("https://klasma.github.io/Logging_2181/artfynd/A 1179-2026 artfynd.xlsx", "A 1179-2026")</f>
        <v/>
      </c>
      <c r="T28">
        <f>HYPERLINK("https://klasma.github.io/Logging_2181/kartor/A 1179-2026 karta.png", "A 1179-2026")</f>
        <v/>
      </c>
      <c r="V28">
        <f>HYPERLINK("https://klasma.github.io/Logging_2181/klagomål/A 1179-2026 FSC-klagomål.docx", "A 1179-2026")</f>
        <v/>
      </c>
      <c r="W28">
        <f>HYPERLINK("https://klasma.github.io/Logging_2181/klagomålsmail/A 1179-2026 FSC-klagomål mail.docx", "A 1179-2026")</f>
        <v/>
      </c>
      <c r="X28">
        <f>HYPERLINK("https://klasma.github.io/Logging_2181/tillsyn/A 1179-2026 tillsynsbegäran.docx", "A 1179-2026")</f>
        <v/>
      </c>
      <c r="Y28">
        <f>HYPERLINK("https://klasma.github.io/Logging_2181/tillsynsmail/A 1179-2026 tillsynsbegäran mail.docx", "A 1179-2026")</f>
        <v/>
      </c>
    </row>
    <row r="29" ht="15" customHeight="1">
      <c r="A29" t="inlineStr">
        <is>
          <t>A 35523-2022</t>
        </is>
      </c>
      <c r="B29" s="1" t="n">
        <v>44799</v>
      </c>
      <c r="C29" s="1" t="n">
        <v>46192</v>
      </c>
      <c r="D29" t="inlineStr">
        <is>
          <t>GÄVLEBORGS LÄN</t>
        </is>
      </c>
      <c r="E29" t="inlineStr">
        <is>
          <t>SANDVIKEN</t>
        </is>
      </c>
      <c r="G29" t="n">
        <v>2.1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Nattviol</t>
        </is>
      </c>
      <c r="S29">
        <f>HYPERLINK("https://klasma.github.io/Logging_2181/artfynd/A 35523-2022 artfynd.xlsx", "A 35523-2022")</f>
        <v/>
      </c>
      <c r="T29">
        <f>HYPERLINK("https://klasma.github.io/Logging_2181/kartor/A 35523-2022 karta.png", "A 35523-2022")</f>
        <v/>
      </c>
      <c r="U29">
        <f>HYPERLINK("https://klasma.github.io/Logging_2181/knärot/A 35523-2022 karta knärot.png", "A 35523-2022")</f>
        <v/>
      </c>
      <c r="V29">
        <f>HYPERLINK("https://klasma.github.io/Logging_2181/klagomål/A 35523-2022 FSC-klagomål.docx", "A 35523-2022")</f>
        <v/>
      </c>
      <c r="W29">
        <f>HYPERLINK("https://klasma.github.io/Logging_2181/klagomålsmail/A 35523-2022 FSC-klagomål mail.docx", "A 35523-2022")</f>
        <v/>
      </c>
      <c r="X29">
        <f>HYPERLINK("https://klasma.github.io/Logging_2181/tillsyn/A 35523-2022 tillsynsbegäran.docx", "A 35523-2022")</f>
        <v/>
      </c>
      <c r="Y29">
        <f>HYPERLINK("https://klasma.github.io/Logging_2181/tillsynsmail/A 35523-2022 tillsynsbegäran mail.docx", "A 35523-2022")</f>
        <v/>
      </c>
    </row>
    <row r="30" ht="15" customHeight="1">
      <c r="A30" t="inlineStr">
        <is>
          <t>A 15895-2026</t>
        </is>
      </c>
      <c r="B30" s="1" t="n">
        <v>46107</v>
      </c>
      <c r="C30" s="1" t="n">
        <v>46192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10.2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HYPERLINK("https://klasma.github.io/Logging_2181/artfynd/A 15895-2026 artfynd.xlsx", "A 15895-2026")</f>
        <v/>
      </c>
      <c r="T30">
        <f>HYPERLINK("https://klasma.github.io/Logging_2181/kartor/A 15895-2026 karta.png", "A 15895-2026")</f>
        <v/>
      </c>
      <c r="V30">
        <f>HYPERLINK("https://klasma.github.io/Logging_2181/klagomål/A 15895-2026 FSC-klagomål.docx", "A 15895-2026")</f>
        <v/>
      </c>
      <c r="W30">
        <f>HYPERLINK("https://klasma.github.io/Logging_2181/klagomålsmail/A 15895-2026 FSC-klagomål mail.docx", "A 15895-2026")</f>
        <v/>
      </c>
      <c r="X30">
        <f>HYPERLINK("https://klasma.github.io/Logging_2181/tillsyn/A 15895-2026 tillsynsbegäran.docx", "A 15895-2026")</f>
        <v/>
      </c>
      <c r="Y30">
        <f>HYPERLINK("https://klasma.github.io/Logging_2181/tillsynsmail/A 15895-2026 tillsynsbegäran mail.docx", "A 15895-2026")</f>
        <v/>
      </c>
    </row>
    <row r="31" ht="15" customHeight="1">
      <c r="A31" t="inlineStr">
        <is>
          <t>A 10623-2025</t>
        </is>
      </c>
      <c r="B31" s="1" t="n">
        <v>45721</v>
      </c>
      <c r="C31" s="1" t="n">
        <v>46192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4.6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HYPERLINK("https://klasma.github.io/Logging_2181/artfynd/A 10623-2025 artfynd.xlsx", "A 10623-2025")</f>
        <v/>
      </c>
      <c r="T31">
        <f>HYPERLINK("https://klasma.github.io/Logging_2181/kartor/A 10623-2025 karta.png", "A 10623-2025")</f>
        <v/>
      </c>
      <c r="U31">
        <f>HYPERLINK("https://klasma.github.io/Logging_2181/knärot/A 10623-2025 karta knärot.png", "A 10623-2025")</f>
        <v/>
      </c>
      <c r="V31">
        <f>HYPERLINK("https://klasma.github.io/Logging_2181/klagomål/A 10623-2025 FSC-klagomål.docx", "A 10623-2025")</f>
        <v/>
      </c>
      <c r="W31">
        <f>HYPERLINK("https://klasma.github.io/Logging_2181/klagomålsmail/A 10623-2025 FSC-klagomål mail.docx", "A 10623-2025")</f>
        <v/>
      </c>
      <c r="X31">
        <f>HYPERLINK("https://klasma.github.io/Logging_2181/tillsyn/A 10623-2025 tillsynsbegäran.docx", "A 10623-2025")</f>
        <v/>
      </c>
      <c r="Y31">
        <f>HYPERLINK("https://klasma.github.io/Logging_2181/tillsynsmail/A 10623-2025 tillsynsbegäran mail.docx", "A 10623-2025")</f>
        <v/>
      </c>
    </row>
    <row r="32" ht="15" customHeight="1">
      <c r="A32" t="inlineStr">
        <is>
          <t>A 7733-2026</t>
        </is>
      </c>
      <c r="B32" s="1" t="n">
        <v>46062</v>
      </c>
      <c r="C32" s="1" t="n">
        <v>46192</v>
      </c>
      <c r="D32" t="inlineStr">
        <is>
          <t>GÄVLEBORGS LÄN</t>
        </is>
      </c>
      <c r="E32" t="inlineStr">
        <is>
          <t>SANDVIKEN</t>
        </is>
      </c>
      <c r="G32" t="n">
        <v>6.9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HYPERLINK("https://klasma.github.io/Logging_2181/artfynd/A 7733-2026 artfynd.xlsx", "A 7733-2026")</f>
        <v/>
      </c>
      <c r="T32">
        <f>HYPERLINK("https://klasma.github.io/Logging_2181/kartor/A 7733-2026 karta.png", "A 7733-2026")</f>
        <v/>
      </c>
      <c r="U32">
        <f>HYPERLINK("https://klasma.github.io/Logging_2181/knärot/A 7733-2026 karta knärot.png", "A 7733-2026")</f>
        <v/>
      </c>
      <c r="V32">
        <f>HYPERLINK("https://klasma.github.io/Logging_2181/klagomål/A 7733-2026 FSC-klagomål.docx", "A 7733-2026")</f>
        <v/>
      </c>
      <c r="W32">
        <f>HYPERLINK("https://klasma.github.io/Logging_2181/klagomålsmail/A 7733-2026 FSC-klagomål mail.docx", "A 7733-2026")</f>
        <v/>
      </c>
      <c r="X32">
        <f>HYPERLINK("https://klasma.github.io/Logging_2181/tillsyn/A 7733-2026 tillsynsbegäran.docx", "A 7733-2026")</f>
        <v/>
      </c>
      <c r="Y32">
        <f>HYPERLINK("https://klasma.github.io/Logging_2181/tillsynsmail/A 7733-2026 tillsynsbegäran mail.docx", "A 7733-2026")</f>
        <v/>
      </c>
    </row>
    <row r="33" ht="15" customHeight="1">
      <c r="A33" t="inlineStr">
        <is>
          <t>A 19526-2026</t>
        </is>
      </c>
      <c r="B33" s="1" t="n">
        <v>46134</v>
      </c>
      <c r="C33" s="1" t="n">
        <v>46192</v>
      </c>
      <c r="D33" t="inlineStr">
        <is>
          <t>GÄVLEBORGS LÄN</t>
        </is>
      </c>
      <c r="E33" t="inlineStr">
        <is>
          <t>SANDVIKEN</t>
        </is>
      </c>
      <c r="G33" t="n">
        <v>3.1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Kambräken
Lopplummer (aggregat)</t>
        </is>
      </c>
      <c r="S33">
        <f>HYPERLINK("https://klasma.github.io/Logging_2181/artfynd/A 19526-2026 artfynd.xlsx", "A 19526-2026")</f>
        <v/>
      </c>
      <c r="T33">
        <f>HYPERLINK("https://klasma.github.io/Logging_2181/kartor/A 19526-2026 karta.png", "A 19526-2026")</f>
        <v/>
      </c>
      <c r="V33">
        <f>HYPERLINK("https://klasma.github.io/Logging_2181/klagomål/A 19526-2026 FSC-klagomål.docx", "A 19526-2026")</f>
        <v/>
      </c>
      <c r="W33">
        <f>HYPERLINK("https://klasma.github.io/Logging_2181/klagomålsmail/A 19526-2026 FSC-klagomål mail.docx", "A 19526-2026")</f>
        <v/>
      </c>
      <c r="X33">
        <f>HYPERLINK("https://klasma.github.io/Logging_2181/tillsyn/A 19526-2026 tillsynsbegäran.docx", "A 19526-2026")</f>
        <v/>
      </c>
      <c r="Y33">
        <f>HYPERLINK("https://klasma.github.io/Logging_2181/tillsynsmail/A 19526-2026 tillsynsbegäran mail.docx", "A 19526-2026")</f>
        <v/>
      </c>
    </row>
    <row r="34" ht="15" customHeight="1">
      <c r="A34" t="inlineStr">
        <is>
          <t>A 27014-2026</t>
        </is>
      </c>
      <c r="B34" s="1" t="n">
        <v>46185</v>
      </c>
      <c r="C34" s="1" t="n">
        <v>46192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4.8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Tjäder</t>
        </is>
      </c>
      <c r="S34">
        <f>HYPERLINK("https://klasma.github.io/Logging_2181/artfynd/A 27014-2026 artfynd.xlsx", "A 27014-2026")</f>
        <v/>
      </c>
      <c r="T34">
        <f>HYPERLINK("https://klasma.github.io/Logging_2181/kartor/A 27014-2026 karta.png", "A 27014-2026")</f>
        <v/>
      </c>
      <c r="V34">
        <f>HYPERLINK("https://klasma.github.io/Logging_2181/klagomål/A 27014-2026 FSC-klagomål.docx", "A 27014-2026")</f>
        <v/>
      </c>
      <c r="W34">
        <f>HYPERLINK("https://klasma.github.io/Logging_2181/klagomålsmail/A 27014-2026 FSC-klagomål mail.docx", "A 27014-2026")</f>
        <v/>
      </c>
      <c r="X34">
        <f>HYPERLINK("https://klasma.github.io/Logging_2181/tillsyn/A 27014-2026 tillsynsbegäran.docx", "A 27014-2026")</f>
        <v/>
      </c>
      <c r="Y34">
        <f>HYPERLINK("https://klasma.github.io/Logging_2181/tillsynsmail/A 27014-2026 tillsynsbegäran mail.docx", "A 27014-2026")</f>
        <v/>
      </c>
      <c r="Z34">
        <f>HYPERLINK("https://klasma.github.io/Logging_2181/fåglar/A 27014-2026 prioriterade fågelarter.docx", "A 27014-2026")</f>
        <v/>
      </c>
    </row>
    <row r="35" ht="15" customHeight="1">
      <c r="A35" t="inlineStr">
        <is>
          <t>A 27184-2026</t>
        </is>
      </c>
      <c r="B35" s="1" t="n">
        <v>46188</v>
      </c>
      <c r="C35" s="1" t="n">
        <v>46192</v>
      </c>
      <c r="D35" t="inlineStr">
        <is>
          <t>GÄVLEBORGS LÄN</t>
        </is>
      </c>
      <c r="E35" t="inlineStr">
        <is>
          <t>SANDVIKEN</t>
        </is>
      </c>
      <c r="G35" t="n">
        <v>1.5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Dropptaggsvamp
Talltita</t>
        </is>
      </c>
      <c r="S35">
        <f>HYPERLINK("https://klasma.github.io/Logging_2181/artfynd/A 27184-2026 artfynd.xlsx", "A 27184-2026")</f>
        <v/>
      </c>
      <c r="T35">
        <f>HYPERLINK("https://klasma.github.io/Logging_2181/kartor/A 27184-2026 karta.png", "A 27184-2026")</f>
        <v/>
      </c>
      <c r="V35">
        <f>HYPERLINK("https://klasma.github.io/Logging_2181/klagomål/A 27184-2026 FSC-klagomål.docx", "A 27184-2026")</f>
        <v/>
      </c>
      <c r="W35">
        <f>HYPERLINK("https://klasma.github.io/Logging_2181/klagomålsmail/A 27184-2026 FSC-klagomål mail.docx", "A 27184-2026")</f>
        <v/>
      </c>
      <c r="X35">
        <f>HYPERLINK("https://klasma.github.io/Logging_2181/tillsyn/A 27184-2026 tillsynsbegäran.docx", "A 27184-2026")</f>
        <v/>
      </c>
      <c r="Y35">
        <f>HYPERLINK("https://klasma.github.io/Logging_2181/tillsynsmail/A 27184-2026 tillsynsbegäran mail.docx", "A 27184-2026")</f>
        <v/>
      </c>
      <c r="Z35">
        <f>HYPERLINK("https://klasma.github.io/Logging_2181/fåglar/A 27184-2026 prioriterade fågelarter.docx", "A 27184-2026")</f>
        <v/>
      </c>
    </row>
    <row r="36" ht="15" customHeight="1">
      <c r="A36" t="inlineStr">
        <is>
          <t>A 11905-2026</t>
        </is>
      </c>
      <c r="B36" s="1" t="n">
        <v>46085</v>
      </c>
      <c r="C36" s="1" t="n">
        <v>46192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Rödgul trumpetsvamp
Fläcknycklar</t>
        </is>
      </c>
      <c r="S36">
        <f>HYPERLINK("https://klasma.github.io/Logging_2181/artfynd/A 11905-2026 artfynd.xlsx", "A 11905-2026")</f>
        <v/>
      </c>
      <c r="T36">
        <f>HYPERLINK("https://klasma.github.io/Logging_2181/kartor/A 11905-2026 karta.png", "A 11905-2026")</f>
        <v/>
      </c>
      <c r="V36">
        <f>HYPERLINK("https://klasma.github.io/Logging_2181/klagomål/A 11905-2026 FSC-klagomål.docx", "A 11905-2026")</f>
        <v/>
      </c>
      <c r="W36">
        <f>HYPERLINK("https://klasma.github.io/Logging_2181/klagomålsmail/A 11905-2026 FSC-klagomål mail.docx", "A 11905-2026")</f>
        <v/>
      </c>
      <c r="X36">
        <f>HYPERLINK("https://klasma.github.io/Logging_2181/tillsyn/A 11905-2026 tillsynsbegäran.docx", "A 11905-2026")</f>
        <v/>
      </c>
      <c r="Y36">
        <f>HYPERLINK("https://klasma.github.io/Logging_2181/tillsynsmail/A 11905-2026 tillsynsbegäran mail.docx", "A 11905-2026")</f>
        <v/>
      </c>
    </row>
    <row r="37" ht="15" customHeight="1">
      <c r="A37" t="inlineStr">
        <is>
          <t>A 63084-2021</t>
        </is>
      </c>
      <c r="B37" s="1" t="n">
        <v>44505</v>
      </c>
      <c r="C37" s="1" t="n">
        <v>46192</v>
      </c>
      <c r="D37" t="inlineStr">
        <is>
          <t>GÄVLEBORGS LÄN</t>
        </is>
      </c>
      <c r="E37" t="inlineStr">
        <is>
          <t>SANDVIKEN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HYPERLINK("https://klasma.github.io/Logging_2181/artfynd/A 63084-2021 artfynd.xlsx", "A 63084-2021")</f>
        <v/>
      </c>
      <c r="T37">
        <f>HYPERLINK("https://klasma.github.io/Logging_2181/kartor/A 63084-2021 karta.png", "A 63084-2021")</f>
        <v/>
      </c>
      <c r="V37">
        <f>HYPERLINK("https://klasma.github.io/Logging_2181/klagomål/A 63084-2021 FSC-klagomål.docx", "A 63084-2021")</f>
        <v/>
      </c>
      <c r="W37">
        <f>HYPERLINK("https://klasma.github.io/Logging_2181/klagomålsmail/A 63084-2021 FSC-klagomål mail.docx", "A 63084-2021")</f>
        <v/>
      </c>
      <c r="X37">
        <f>HYPERLINK("https://klasma.github.io/Logging_2181/tillsyn/A 63084-2021 tillsynsbegäran.docx", "A 63084-2021")</f>
        <v/>
      </c>
      <c r="Y37">
        <f>HYPERLINK("https://klasma.github.io/Logging_2181/tillsynsmail/A 63084-2021 tillsynsbegäran mail.docx", "A 63084-2021")</f>
        <v/>
      </c>
      <c r="Z37">
        <f>HYPERLINK("https://klasma.github.io/Logging_2181/fåglar/A 63084-2021 prioriterade fågelarter.docx", "A 63084-2021")</f>
        <v/>
      </c>
    </row>
    <row r="38" ht="15" customHeight="1">
      <c r="A38" t="inlineStr">
        <is>
          <t>A 27966-2022</t>
        </is>
      </c>
      <c r="B38" s="1" t="n">
        <v>44744</v>
      </c>
      <c r="C38" s="1" t="n">
        <v>46192</v>
      </c>
      <c r="D38" t="inlineStr">
        <is>
          <t>GÄVLEBORGS LÄN</t>
        </is>
      </c>
      <c r="E38" t="inlineStr">
        <is>
          <t>SANDVIKEN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HYPERLINK("https://klasma.github.io/Logging_2181/artfynd/A 27966-2022 artfynd.xlsx", "A 27966-2022")</f>
        <v/>
      </c>
      <c r="T38">
        <f>HYPERLINK("https://klasma.github.io/Logging_2181/kartor/A 27966-2022 karta.png", "A 27966-2022")</f>
        <v/>
      </c>
      <c r="V38">
        <f>HYPERLINK("https://klasma.github.io/Logging_2181/klagomål/A 27966-2022 FSC-klagomål.docx", "A 27966-2022")</f>
        <v/>
      </c>
      <c r="W38">
        <f>HYPERLINK("https://klasma.github.io/Logging_2181/klagomålsmail/A 27966-2022 FSC-klagomål mail.docx", "A 27966-2022")</f>
        <v/>
      </c>
      <c r="X38">
        <f>HYPERLINK("https://klasma.github.io/Logging_2181/tillsyn/A 27966-2022 tillsynsbegäran.docx", "A 27966-2022")</f>
        <v/>
      </c>
      <c r="Y38">
        <f>HYPERLINK("https://klasma.github.io/Logging_2181/tillsynsmail/A 27966-2022 tillsynsbegäran mail.docx", "A 27966-2022")</f>
        <v/>
      </c>
    </row>
    <row r="39" ht="15" customHeight="1">
      <c r="A39" t="inlineStr">
        <is>
          <t>A 65270-2021</t>
        </is>
      </c>
      <c r="B39" s="1" t="n">
        <v>44515</v>
      </c>
      <c r="C39" s="1" t="n">
        <v>46192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HYPERLINK("https://klasma.github.io/Logging_2181/artfynd/A 65270-2021 artfynd.xlsx", "A 65270-2021")</f>
        <v/>
      </c>
      <c r="T39">
        <f>HYPERLINK("https://klasma.github.io/Logging_2181/kartor/A 65270-2021 karta.png", "A 65270-2021")</f>
        <v/>
      </c>
      <c r="V39">
        <f>HYPERLINK("https://klasma.github.io/Logging_2181/klagomål/A 65270-2021 FSC-klagomål.docx", "A 65270-2021")</f>
        <v/>
      </c>
      <c r="W39">
        <f>HYPERLINK("https://klasma.github.io/Logging_2181/klagomålsmail/A 65270-2021 FSC-klagomål mail.docx", "A 65270-2021")</f>
        <v/>
      </c>
      <c r="X39">
        <f>HYPERLINK("https://klasma.github.io/Logging_2181/tillsyn/A 65270-2021 tillsynsbegäran.docx", "A 65270-2021")</f>
        <v/>
      </c>
      <c r="Y39">
        <f>HYPERLINK("https://klasma.github.io/Logging_2181/tillsynsmail/A 65270-2021 tillsynsbegäran mail.docx", "A 65270-2021")</f>
        <v/>
      </c>
      <c r="Z39">
        <f>HYPERLINK("https://klasma.github.io/Logging_2181/fåglar/A 65270-2021 prioriterade fågelarter.docx", "A 65270-2021")</f>
        <v/>
      </c>
    </row>
    <row r="40" ht="15" customHeight="1">
      <c r="A40" t="inlineStr">
        <is>
          <t>A 35525-2022</t>
        </is>
      </c>
      <c r="B40" s="1" t="n">
        <v>44799</v>
      </c>
      <c r="C40" s="1" t="n">
        <v>46192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HYPERLINK("https://klasma.github.io/Logging_2181/artfynd/A 35525-2022 artfynd.xlsx", "A 35525-2022")</f>
        <v/>
      </c>
      <c r="T40">
        <f>HYPERLINK("https://klasma.github.io/Logging_2181/kartor/A 35525-2022 karta.png", "A 35525-2022")</f>
        <v/>
      </c>
      <c r="V40">
        <f>HYPERLINK("https://klasma.github.io/Logging_2181/klagomål/A 35525-2022 FSC-klagomål.docx", "A 35525-2022")</f>
        <v/>
      </c>
      <c r="W40">
        <f>HYPERLINK("https://klasma.github.io/Logging_2181/klagomålsmail/A 35525-2022 FSC-klagomål mail.docx", "A 35525-2022")</f>
        <v/>
      </c>
      <c r="X40">
        <f>HYPERLINK("https://klasma.github.io/Logging_2181/tillsyn/A 35525-2022 tillsynsbegäran.docx", "A 35525-2022")</f>
        <v/>
      </c>
      <c r="Y40">
        <f>HYPERLINK("https://klasma.github.io/Logging_2181/tillsynsmail/A 35525-2022 tillsynsbegäran mail.docx", "A 35525-2022")</f>
        <v/>
      </c>
    </row>
    <row r="41" ht="15" customHeight="1">
      <c r="A41" t="inlineStr">
        <is>
          <t>A 41862-2022</t>
        </is>
      </c>
      <c r="B41" s="1" t="n">
        <v>44829</v>
      </c>
      <c r="C41" s="1" t="n">
        <v>46192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Tvåblad</t>
        </is>
      </c>
      <c r="S41">
        <f>HYPERLINK("https://klasma.github.io/Logging_2181/artfynd/A 41862-2022 artfynd.xlsx", "A 41862-2022")</f>
        <v/>
      </c>
      <c r="T41">
        <f>HYPERLINK("https://klasma.github.io/Logging_2181/kartor/A 41862-2022 karta.png", "A 41862-2022")</f>
        <v/>
      </c>
      <c r="V41">
        <f>HYPERLINK("https://klasma.github.io/Logging_2181/klagomål/A 41862-2022 FSC-klagomål.docx", "A 41862-2022")</f>
        <v/>
      </c>
      <c r="W41">
        <f>HYPERLINK("https://klasma.github.io/Logging_2181/klagomålsmail/A 41862-2022 FSC-klagomål mail.docx", "A 41862-2022")</f>
        <v/>
      </c>
      <c r="X41">
        <f>HYPERLINK("https://klasma.github.io/Logging_2181/tillsyn/A 41862-2022 tillsynsbegäran.docx", "A 41862-2022")</f>
        <v/>
      </c>
      <c r="Y41">
        <f>HYPERLINK("https://klasma.github.io/Logging_2181/tillsynsmail/A 41862-2022 tillsynsbegäran mail.docx", "A 41862-2022")</f>
        <v/>
      </c>
    </row>
    <row r="42" ht="15" customHeight="1">
      <c r="A42" t="inlineStr">
        <is>
          <t>A 58845-2023</t>
        </is>
      </c>
      <c r="B42" s="1" t="n">
        <v>45252</v>
      </c>
      <c r="C42" s="1" t="n">
        <v>46192</v>
      </c>
      <c r="D42" t="inlineStr">
        <is>
          <t>GÄVLEBORGS LÄN</t>
        </is>
      </c>
      <c r="E42" t="inlineStr">
        <is>
          <t>SANDVIKEN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HYPERLINK("https://klasma.github.io/Logging_2181/artfynd/A 58845-2023 artfynd.xlsx", "A 58845-2023")</f>
        <v/>
      </c>
      <c r="T42">
        <f>HYPERLINK("https://klasma.github.io/Logging_2181/kartor/A 58845-2023 karta.png", "A 58845-2023")</f>
        <v/>
      </c>
      <c r="V42">
        <f>HYPERLINK("https://klasma.github.io/Logging_2181/klagomål/A 58845-2023 FSC-klagomål.docx", "A 58845-2023")</f>
        <v/>
      </c>
      <c r="W42">
        <f>HYPERLINK("https://klasma.github.io/Logging_2181/klagomålsmail/A 58845-2023 FSC-klagomål mail.docx", "A 58845-2023")</f>
        <v/>
      </c>
      <c r="X42">
        <f>HYPERLINK("https://klasma.github.io/Logging_2181/tillsyn/A 58845-2023 tillsynsbegäran.docx", "A 58845-2023")</f>
        <v/>
      </c>
      <c r="Y42">
        <f>HYPERLINK("https://klasma.github.io/Logging_2181/tillsynsmail/A 58845-2023 tillsynsbegäran mail.docx", "A 58845-2023")</f>
        <v/>
      </c>
    </row>
    <row r="43" ht="15" customHeight="1">
      <c r="A43" t="inlineStr">
        <is>
          <t>A 46610-2025</t>
        </is>
      </c>
      <c r="B43" s="1" t="n">
        <v>45926</v>
      </c>
      <c r="C43" s="1" t="n">
        <v>46192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16.3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HYPERLINK("https://klasma.github.io/Logging_2181/artfynd/A 46610-2025 artfynd.xlsx", "A 46610-2025")</f>
        <v/>
      </c>
      <c r="T43">
        <f>HYPERLINK("https://klasma.github.io/Logging_2181/kartor/A 46610-2025 karta.png", "A 46610-2025")</f>
        <v/>
      </c>
      <c r="V43">
        <f>HYPERLINK("https://klasma.github.io/Logging_2181/klagomål/A 46610-2025 FSC-klagomål.docx", "A 46610-2025")</f>
        <v/>
      </c>
      <c r="W43">
        <f>HYPERLINK("https://klasma.github.io/Logging_2181/klagomålsmail/A 46610-2025 FSC-klagomål mail.docx", "A 46610-2025")</f>
        <v/>
      </c>
      <c r="X43">
        <f>HYPERLINK("https://klasma.github.io/Logging_2181/tillsyn/A 46610-2025 tillsynsbegäran.docx", "A 46610-2025")</f>
        <v/>
      </c>
      <c r="Y43">
        <f>HYPERLINK("https://klasma.github.io/Logging_2181/tillsynsmail/A 46610-2025 tillsynsbegäran mail.docx", "A 46610-2025")</f>
        <v/>
      </c>
    </row>
    <row r="44" ht="15" customHeight="1">
      <c r="A44" t="inlineStr">
        <is>
          <t>A 47174-2025</t>
        </is>
      </c>
      <c r="B44" s="1" t="n">
        <v>45930</v>
      </c>
      <c r="C44" s="1" t="n">
        <v>46192</v>
      </c>
      <c r="D44" t="inlineStr">
        <is>
          <t>GÄVLEBORGS LÄN</t>
        </is>
      </c>
      <c r="E44" t="inlineStr">
        <is>
          <t>SANDVIKEN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Garnlav</t>
        </is>
      </c>
      <c r="S44">
        <f>HYPERLINK("https://klasma.github.io/Logging_2181/artfynd/A 47174-2025 artfynd.xlsx", "A 47174-2025")</f>
        <v/>
      </c>
      <c r="T44">
        <f>HYPERLINK("https://klasma.github.io/Logging_2181/kartor/A 47174-2025 karta.png", "A 47174-2025")</f>
        <v/>
      </c>
      <c r="V44">
        <f>HYPERLINK("https://klasma.github.io/Logging_2181/klagomål/A 47174-2025 FSC-klagomål.docx", "A 47174-2025")</f>
        <v/>
      </c>
      <c r="W44">
        <f>HYPERLINK("https://klasma.github.io/Logging_2181/klagomålsmail/A 47174-2025 FSC-klagomål mail.docx", "A 47174-2025")</f>
        <v/>
      </c>
      <c r="X44">
        <f>HYPERLINK("https://klasma.github.io/Logging_2181/tillsyn/A 47174-2025 tillsynsbegäran.docx", "A 47174-2025")</f>
        <v/>
      </c>
      <c r="Y44">
        <f>HYPERLINK("https://klasma.github.io/Logging_2181/tillsynsmail/A 47174-2025 tillsynsbegäran mail.docx", "A 47174-2025")</f>
        <v/>
      </c>
    </row>
    <row r="45" ht="15" customHeight="1">
      <c r="A45" t="inlineStr">
        <is>
          <t>A 39872-2025</t>
        </is>
      </c>
      <c r="B45" s="1" t="n">
        <v>45891</v>
      </c>
      <c r="C45" s="1" t="n">
        <v>46192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HYPERLINK("https://klasma.github.io/Logging_2181/artfynd/A 39872-2025 artfynd.xlsx", "A 39872-2025")</f>
        <v/>
      </c>
      <c r="T45">
        <f>HYPERLINK("https://klasma.github.io/Logging_2181/kartor/A 39872-2025 karta.png", "A 39872-2025")</f>
        <v/>
      </c>
      <c r="V45">
        <f>HYPERLINK("https://klasma.github.io/Logging_2181/klagomål/A 39872-2025 FSC-klagomål.docx", "A 39872-2025")</f>
        <v/>
      </c>
      <c r="W45">
        <f>HYPERLINK("https://klasma.github.io/Logging_2181/klagomålsmail/A 39872-2025 FSC-klagomål mail.docx", "A 39872-2025")</f>
        <v/>
      </c>
      <c r="X45">
        <f>HYPERLINK("https://klasma.github.io/Logging_2181/tillsyn/A 39872-2025 tillsynsbegäran.docx", "A 39872-2025")</f>
        <v/>
      </c>
      <c r="Y45">
        <f>HYPERLINK("https://klasma.github.io/Logging_2181/tillsynsmail/A 39872-2025 tillsynsbegäran mail.docx", "A 39872-2025")</f>
        <v/>
      </c>
    </row>
    <row r="46" ht="15" customHeight="1">
      <c r="A46" t="inlineStr">
        <is>
          <t>A 39873-2025</t>
        </is>
      </c>
      <c r="B46" s="1" t="n">
        <v>45891</v>
      </c>
      <c r="C46" s="1" t="n">
        <v>46192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HYPERLINK("https://klasma.github.io/Logging_2181/artfynd/A 39873-2025 artfynd.xlsx", "A 39873-2025")</f>
        <v/>
      </c>
      <c r="T46">
        <f>HYPERLINK("https://klasma.github.io/Logging_2181/kartor/A 39873-2025 karta.png", "A 39873-2025")</f>
        <v/>
      </c>
      <c r="V46">
        <f>HYPERLINK("https://klasma.github.io/Logging_2181/klagomål/A 39873-2025 FSC-klagomål.docx", "A 39873-2025")</f>
        <v/>
      </c>
      <c r="W46">
        <f>HYPERLINK("https://klasma.github.io/Logging_2181/klagomålsmail/A 39873-2025 FSC-klagomål mail.docx", "A 39873-2025")</f>
        <v/>
      </c>
      <c r="X46">
        <f>HYPERLINK("https://klasma.github.io/Logging_2181/tillsyn/A 39873-2025 tillsynsbegäran.docx", "A 39873-2025")</f>
        <v/>
      </c>
      <c r="Y46">
        <f>HYPERLINK("https://klasma.github.io/Logging_2181/tillsynsmail/A 39873-2025 tillsynsbegäran mail.docx", "A 39873-2025")</f>
        <v/>
      </c>
    </row>
    <row r="47" ht="15" customHeight="1">
      <c r="A47" t="inlineStr">
        <is>
          <t>A 47971-2024</t>
        </is>
      </c>
      <c r="B47" s="1" t="n">
        <v>45589</v>
      </c>
      <c r="C47" s="1" t="n">
        <v>46192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HYPERLINK("https://klasma.github.io/Logging_2181/artfynd/A 47971-2024 artfynd.xlsx", "A 47971-2024")</f>
        <v/>
      </c>
      <c r="T47">
        <f>HYPERLINK("https://klasma.github.io/Logging_2181/kartor/A 47971-2024 karta.png", "A 47971-2024")</f>
        <v/>
      </c>
      <c r="V47">
        <f>HYPERLINK("https://klasma.github.io/Logging_2181/klagomål/A 47971-2024 FSC-klagomål.docx", "A 47971-2024")</f>
        <v/>
      </c>
      <c r="W47">
        <f>HYPERLINK("https://klasma.github.io/Logging_2181/klagomålsmail/A 47971-2024 FSC-klagomål mail.docx", "A 47971-2024")</f>
        <v/>
      </c>
      <c r="X47">
        <f>HYPERLINK("https://klasma.github.io/Logging_2181/tillsyn/A 47971-2024 tillsynsbegäran.docx", "A 47971-2024")</f>
        <v/>
      </c>
      <c r="Y47">
        <f>HYPERLINK("https://klasma.github.io/Logging_2181/tillsynsmail/A 47971-2024 tillsynsbegäran mail.docx", "A 47971-2024")</f>
        <v/>
      </c>
    </row>
    <row r="48" ht="15" customHeight="1">
      <c r="A48" t="inlineStr">
        <is>
          <t>A 48188-2025</t>
        </is>
      </c>
      <c r="B48" s="1" t="n">
        <v>45933</v>
      </c>
      <c r="C48" s="1" t="n">
        <v>46192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48188-2025 artfynd.xlsx", "A 48188-2025")</f>
        <v/>
      </c>
      <c r="T48">
        <f>HYPERLINK("https://klasma.github.io/Logging_2181/kartor/A 48188-2025 karta.png", "A 48188-2025")</f>
        <v/>
      </c>
      <c r="V48">
        <f>HYPERLINK("https://klasma.github.io/Logging_2181/klagomål/A 48188-2025 FSC-klagomål.docx", "A 48188-2025")</f>
        <v/>
      </c>
      <c r="W48">
        <f>HYPERLINK("https://klasma.github.io/Logging_2181/klagomålsmail/A 48188-2025 FSC-klagomål mail.docx", "A 48188-2025")</f>
        <v/>
      </c>
      <c r="X48">
        <f>HYPERLINK("https://klasma.github.io/Logging_2181/tillsyn/A 48188-2025 tillsynsbegäran.docx", "A 48188-2025")</f>
        <v/>
      </c>
      <c r="Y48">
        <f>HYPERLINK("https://klasma.github.io/Logging_2181/tillsynsmail/A 48188-2025 tillsynsbegäran mail.docx", "A 48188-2025")</f>
        <v/>
      </c>
      <c r="Z48">
        <f>HYPERLINK("https://klasma.github.io/Logging_2181/fåglar/A 48188-2025 prioriterade fågelarter.docx", "A 48188-2025")</f>
        <v/>
      </c>
    </row>
    <row r="49" ht="15" customHeight="1">
      <c r="A49" t="inlineStr">
        <is>
          <t>A 57934-2025</t>
        </is>
      </c>
      <c r="B49" s="1" t="n">
        <v>45981</v>
      </c>
      <c r="C49" s="1" t="n">
        <v>46192</v>
      </c>
      <c r="D49" t="inlineStr">
        <is>
          <t>GÄVLEBORGS LÄN</t>
        </is>
      </c>
      <c r="E49" t="inlineStr">
        <is>
          <t>SANDVIKEN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HYPERLINK("https://klasma.github.io/Logging_2181/artfynd/A 57934-2025 artfynd.xlsx", "A 57934-2025")</f>
        <v/>
      </c>
      <c r="T49">
        <f>HYPERLINK("https://klasma.github.io/Logging_2181/kartor/A 57934-2025 karta.png", "A 57934-2025")</f>
        <v/>
      </c>
      <c r="V49">
        <f>HYPERLINK("https://klasma.github.io/Logging_2181/klagomål/A 57934-2025 FSC-klagomål.docx", "A 57934-2025")</f>
        <v/>
      </c>
      <c r="W49">
        <f>HYPERLINK("https://klasma.github.io/Logging_2181/klagomålsmail/A 57934-2025 FSC-klagomål mail.docx", "A 57934-2025")</f>
        <v/>
      </c>
      <c r="X49">
        <f>HYPERLINK("https://klasma.github.io/Logging_2181/tillsyn/A 57934-2025 tillsynsbegäran.docx", "A 57934-2025")</f>
        <v/>
      </c>
      <c r="Y49">
        <f>HYPERLINK("https://klasma.github.io/Logging_2181/tillsynsmail/A 57934-2025 tillsynsbegäran mail.docx", "A 57934-2025")</f>
        <v/>
      </c>
      <c r="Z49">
        <f>HYPERLINK("https://klasma.github.io/Logging_2181/fåglar/A 57934-2025 prioriterade fågelarter.docx", "A 57934-2025")</f>
        <v/>
      </c>
    </row>
    <row r="50" ht="15" customHeight="1">
      <c r="A50" t="inlineStr">
        <is>
          <t>A 3316-2023</t>
        </is>
      </c>
      <c r="B50" s="1" t="n">
        <v>44949</v>
      </c>
      <c r="C50" s="1" t="n">
        <v>46192</v>
      </c>
      <c r="D50" t="inlineStr">
        <is>
          <t>GÄVLEBORGS LÄN</t>
        </is>
      </c>
      <c r="E50" t="inlineStr">
        <is>
          <t>SANDVIKEN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Orre</t>
        </is>
      </c>
      <c r="S50">
        <f>HYPERLINK("https://klasma.github.io/Logging_2181/artfynd/A 3316-2023 artfynd.xlsx", "A 3316-2023")</f>
        <v/>
      </c>
      <c r="T50">
        <f>HYPERLINK("https://klasma.github.io/Logging_2181/kartor/A 3316-2023 karta.png", "A 3316-2023")</f>
        <v/>
      </c>
      <c r="V50">
        <f>HYPERLINK("https://klasma.github.io/Logging_2181/klagomål/A 3316-2023 FSC-klagomål.docx", "A 3316-2023")</f>
        <v/>
      </c>
      <c r="W50">
        <f>HYPERLINK("https://klasma.github.io/Logging_2181/klagomålsmail/A 3316-2023 FSC-klagomål mail.docx", "A 3316-2023")</f>
        <v/>
      </c>
      <c r="X50">
        <f>HYPERLINK("https://klasma.github.io/Logging_2181/tillsyn/A 3316-2023 tillsynsbegäran.docx", "A 3316-2023")</f>
        <v/>
      </c>
      <c r="Y50">
        <f>HYPERLINK("https://klasma.github.io/Logging_2181/tillsynsmail/A 3316-2023 tillsynsbegäran mail.docx", "A 3316-2023")</f>
        <v/>
      </c>
      <c r="Z50">
        <f>HYPERLINK("https://klasma.github.io/Logging_2181/fåglar/A 3316-2023 prioriterade fågelarter.docx", "A 3316-2023")</f>
        <v/>
      </c>
    </row>
    <row r="51" ht="15" customHeight="1">
      <c r="A51" t="inlineStr">
        <is>
          <t>A 448-2026</t>
        </is>
      </c>
      <c r="B51" s="1" t="n">
        <v>46021</v>
      </c>
      <c r="C51" s="1" t="n">
        <v>46192</v>
      </c>
      <c r="D51" t="inlineStr">
        <is>
          <t>GÄVLEBORGS LÄN</t>
        </is>
      </c>
      <c r="E51" t="inlineStr">
        <is>
          <t>SANDVIKEN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HYPERLINK("https://klasma.github.io/Logging_2181/artfynd/A 448-2026 artfynd.xlsx", "A 448-2026")</f>
        <v/>
      </c>
      <c r="T51">
        <f>HYPERLINK("https://klasma.github.io/Logging_2181/kartor/A 448-2026 karta.png", "A 448-2026")</f>
        <v/>
      </c>
      <c r="V51">
        <f>HYPERLINK("https://klasma.github.io/Logging_2181/klagomål/A 448-2026 FSC-klagomål.docx", "A 448-2026")</f>
        <v/>
      </c>
      <c r="W51">
        <f>HYPERLINK("https://klasma.github.io/Logging_2181/klagomålsmail/A 448-2026 FSC-klagomål mail.docx", "A 448-2026")</f>
        <v/>
      </c>
      <c r="X51">
        <f>HYPERLINK("https://klasma.github.io/Logging_2181/tillsyn/A 448-2026 tillsynsbegäran.docx", "A 448-2026")</f>
        <v/>
      </c>
      <c r="Y51">
        <f>HYPERLINK("https://klasma.github.io/Logging_2181/tillsynsmail/A 448-2026 tillsynsbegäran mail.docx", "A 448-2026")</f>
        <v/>
      </c>
    </row>
    <row r="52" ht="15" customHeight="1">
      <c r="A52" t="inlineStr">
        <is>
          <t>A 4384-2023</t>
        </is>
      </c>
      <c r="B52" s="1" t="n">
        <v>44955</v>
      </c>
      <c r="C52" s="1" t="n">
        <v>46192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Sångsvan</t>
        </is>
      </c>
      <c r="S52">
        <f>HYPERLINK("https://klasma.github.io/Logging_2181/artfynd/A 4384-2023 artfynd.xlsx", "A 4384-2023")</f>
        <v/>
      </c>
      <c r="T52">
        <f>HYPERLINK("https://klasma.github.io/Logging_2181/kartor/A 4384-2023 karta.png", "A 4384-2023")</f>
        <v/>
      </c>
      <c r="V52">
        <f>HYPERLINK("https://klasma.github.io/Logging_2181/klagomål/A 4384-2023 FSC-klagomål.docx", "A 4384-2023")</f>
        <v/>
      </c>
      <c r="W52">
        <f>HYPERLINK("https://klasma.github.io/Logging_2181/klagomålsmail/A 4384-2023 FSC-klagomål mail.docx", "A 4384-2023")</f>
        <v/>
      </c>
      <c r="X52">
        <f>HYPERLINK("https://klasma.github.io/Logging_2181/tillsyn/A 4384-2023 tillsynsbegäran.docx", "A 4384-2023")</f>
        <v/>
      </c>
      <c r="Y52">
        <f>HYPERLINK("https://klasma.github.io/Logging_2181/tillsynsmail/A 4384-2023 tillsynsbegäran mail.docx", "A 4384-2023")</f>
        <v/>
      </c>
      <c r="Z52">
        <f>HYPERLINK("https://klasma.github.io/Logging_2181/fåglar/A 4384-2023 prioriterade fågelarter.docx", "A 4384-2023")</f>
        <v/>
      </c>
    </row>
    <row r="53" ht="15" customHeight="1">
      <c r="A53" t="inlineStr">
        <is>
          <t>A 12419-2025</t>
        </is>
      </c>
      <c r="B53" s="1" t="n">
        <v>45730</v>
      </c>
      <c r="C53" s="1" t="n">
        <v>46192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öst AB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Månlåsbräken</t>
        </is>
      </c>
      <c r="S53">
        <f>HYPERLINK("https://klasma.github.io/Logging_2181/artfynd/A 12419-2025 artfynd.xlsx", "A 12419-2025")</f>
        <v/>
      </c>
      <c r="T53">
        <f>HYPERLINK("https://klasma.github.io/Logging_2181/kartor/A 12419-2025 karta.png", "A 12419-2025")</f>
        <v/>
      </c>
      <c r="V53">
        <f>HYPERLINK("https://klasma.github.io/Logging_2181/klagomål/A 12419-2025 FSC-klagomål.docx", "A 12419-2025")</f>
        <v/>
      </c>
      <c r="W53">
        <f>HYPERLINK("https://klasma.github.io/Logging_2181/klagomålsmail/A 12419-2025 FSC-klagomål mail.docx", "A 12419-2025")</f>
        <v/>
      </c>
      <c r="X53">
        <f>HYPERLINK("https://klasma.github.io/Logging_2181/tillsyn/A 12419-2025 tillsynsbegäran.docx", "A 12419-2025")</f>
        <v/>
      </c>
      <c r="Y53">
        <f>HYPERLINK("https://klasma.github.io/Logging_2181/tillsynsmail/A 12419-2025 tillsynsbegäran mail.docx", "A 12419-2025")</f>
        <v/>
      </c>
    </row>
    <row r="54" ht="15" customHeight="1">
      <c r="A54" t="inlineStr">
        <is>
          <t>A 15729-2022</t>
        </is>
      </c>
      <c r="B54" s="1" t="n">
        <v>44663</v>
      </c>
      <c r="C54" s="1" t="n">
        <v>46192</v>
      </c>
      <c r="D54" t="inlineStr">
        <is>
          <t>GÄVLEBORGS LÄN</t>
        </is>
      </c>
      <c r="E54" t="inlineStr">
        <is>
          <t>SANDVIKEN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HYPERLINK("https://klasma.github.io/Logging_2181/artfynd/A 15729-2022 artfynd.xlsx", "A 15729-2022")</f>
        <v/>
      </c>
      <c r="T54">
        <f>HYPERLINK("https://klasma.github.io/Logging_2181/kartor/A 15729-2022 karta.png", "A 15729-2022")</f>
        <v/>
      </c>
      <c r="U54">
        <f>HYPERLINK("https://klasma.github.io/Logging_2181/knärot/A 15729-2022 karta knärot.png", "A 15729-2022")</f>
        <v/>
      </c>
      <c r="V54">
        <f>HYPERLINK("https://klasma.github.io/Logging_2181/klagomål/A 15729-2022 FSC-klagomål.docx", "A 15729-2022")</f>
        <v/>
      </c>
      <c r="W54">
        <f>HYPERLINK("https://klasma.github.io/Logging_2181/klagomålsmail/A 15729-2022 FSC-klagomål mail.docx", "A 15729-2022")</f>
        <v/>
      </c>
      <c r="X54">
        <f>HYPERLINK("https://klasma.github.io/Logging_2181/tillsyn/A 15729-2022 tillsynsbegäran.docx", "A 15729-2022")</f>
        <v/>
      </c>
      <c r="Y54">
        <f>HYPERLINK("https://klasma.github.io/Logging_2181/tillsynsmail/A 15729-2022 tillsynsbegäran mail.docx", "A 15729-2022")</f>
        <v/>
      </c>
    </row>
    <row r="55" ht="15" customHeight="1">
      <c r="A55" t="inlineStr">
        <is>
          <t>A 1083-2026</t>
        </is>
      </c>
      <c r="B55" s="1" t="n">
        <v>46030</v>
      </c>
      <c r="C55" s="1" t="n">
        <v>46192</v>
      </c>
      <c r="D55" t="inlineStr">
        <is>
          <t>GÄVLEBORGS LÄN</t>
        </is>
      </c>
      <c r="E55" t="inlineStr">
        <is>
          <t>SANDVIKEN</t>
        </is>
      </c>
      <c r="G55" t="n">
        <v>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HYPERLINK("https://klasma.github.io/Logging_2181/artfynd/A 1083-2026 artfynd.xlsx", "A 1083-2026")</f>
        <v/>
      </c>
      <c r="T55">
        <f>HYPERLINK("https://klasma.github.io/Logging_2181/kartor/A 1083-2026 karta.png", "A 1083-2026")</f>
        <v/>
      </c>
      <c r="V55">
        <f>HYPERLINK("https://klasma.github.io/Logging_2181/klagomål/A 1083-2026 FSC-klagomål.docx", "A 1083-2026")</f>
        <v/>
      </c>
      <c r="W55">
        <f>HYPERLINK("https://klasma.github.io/Logging_2181/klagomålsmail/A 1083-2026 FSC-klagomål mail.docx", "A 1083-2026")</f>
        <v/>
      </c>
      <c r="X55">
        <f>HYPERLINK("https://klasma.github.io/Logging_2181/tillsyn/A 1083-2026 tillsynsbegäran.docx", "A 1083-2026")</f>
        <v/>
      </c>
      <c r="Y55">
        <f>HYPERLINK("https://klasma.github.io/Logging_2181/tillsynsmail/A 1083-2026 tillsynsbegäran mail.docx", "A 1083-2026")</f>
        <v/>
      </c>
    </row>
    <row r="56" ht="15" customHeight="1">
      <c r="A56" t="inlineStr">
        <is>
          <t>A 45427-2023</t>
        </is>
      </c>
      <c r="B56" s="1" t="n">
        <v>45194</v>
      </c>
      <c r="C56" s="1" t="n">
        <v>46192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HYPERLINK("https://klasma.github.io/Logging_2181/artfynd/A 45427-2023 artfynd.xlsx", "A 45427-2023")</f>
        <v/>
      </c>
      <c r="T56">
        <f>HYPERLINK("https://klasma.github.io/Logging_2181/kartor/A 45427-2023 karta.png", "A 45427-2023")</f>
        <v/>
      </c>
      <c r="V56">
        <f>HYPERLINK("https://klasma.github.io/Logging_2181/klagomål/A 45427-2023 FSC-klagomål.docx", "A 45427-2023")</f>
        <v/>
      </c>
      <c r="W56">
        <f>HYPERLINK("https://klasma.github.io/Logging_2181/klagomålsmail/A 45427-2023 FSC-klagomål mail.docx", "A 45427-2023")</f>
        <v/>
      </c>
      <c r="X56">
        <f>HYPERLINK("https://klasma.github.io/Logging_2181/tillsyn/A 45427-2023 tillsynsbegäran.docx", "A 45427-2023")</f>
        <v/>
      </c>
      <c r="Y56">
        <f>HYPERLINK("https://klasma.github.io/Logging_2181/tillsynsmail/A 45427-2023 tillsynsbegäran mail.docx", "A 45427-2023")</f>
        <v/>
      </c>
    </row>
    <row r="57" ht="15" customHeight="1">
      <c r="A57" t="inlineStr">
        <is>
          <t>A 4350-2026</t>
        </is>
      </c>
      <c r="B57" s="1" t="n">
        <v>46045</v>
      </c>
      <c r="C57" s="1" t="n">
        <v>46192</v>
      </c>
      <c r="D57" t="inlineStr">
        <is>
          <t>GÄVLEBORGS LÄN</t>
        </is>
      </c>
      <c r="E57" t="inlineStr">
        <is>
          <t>SANDVIKEN</t>
        </is>
      </c>
      <c r="F57" t="inlineStr">
        <is>
          <t>Kommuner</t>
        </is>
      </c>
      <c r="G57" t="n">
        <v>5.3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Scharlakansskål</t>
        </is>
      </c>
      <c r="S57">
        <f>HYPERLINK("https://klasma.github.io/Logging_2181/artfynd/A 4350-2026 artfynd.xlsx", "A 4350-2026")</f>
        <v/>
      </c>
      <c r="T57">
        <f>HYPERLINK("https://klasma.github.io/Logging_2181/kartor/A 4350-2026 karta.png", "A 4350-2026")</f>
        <v/>
      </c>
      <c r="V57">
        <f>HYPERLINK("https://klasma.github.io/Logging_2181/klagomål/A 4350-2026 FSC-klagomål.docx", "A 4350-2026")</f>
        <v/>
      </c>
      <c r="W57">
        <f>HYPERLINK("https://klasma.github.io/Logging_2181/klagomålsmail/A 4350-2026 FSC-klagomål mail.docx", "A 4350-2026")</f>
        <v/>
      </c>
      <c r="X57">
        <f>HYPERLINK("https://klasma.github.io/Logging_2181/tillsyn/A 4350-2026 tillsynsbegäran.docx", "A 4350-2026")</f>
        <v/>
      </c>
      <c r="Y57">
        <f>HYPERLINK("https://klasma.github.io/Logging_2181/tillsynsmail/A 4350-2026 tillsynsbegäran mail.docx", "A 4350-2026")</f>
        <v/>
      </c>
    </row>
    <row r="58" ht="15" customHeight="1">
      <c r="A58" t="inlineStr">
        <is>
          <t>A 7393-2026</t>
        </is>
      </c>
      <c r="B58" s="1" t="n">
        <v>46059</v>
      </c>
      <c r="C58" s="1" t="n">
        <v>46192</v>
      </c>
      <c r="D58" t="inlineStr">
        <is>
          <t>GÄVLEBORGS LÄN</t>
        </is>
      </c>
      <c r="E58" t="inlineStr">
        <is>
          <t>SANDVIKEN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HYPERLINK("https://klasma.github.io/Logging_2181/artfynd/A 7393-2026 artfynd.xlsx", "A 7393-2026")</f>
        <v/>
      </c>
      <c r="T58">
        <f>HYPERLINK("https://klasma.github.io/Logging_2181/kartor/A 7393-2026 karta.png", "A 7393-2026")</f>
        <v/>
      </c>
      <c r="V58">
        <f>HYPERLINK("https://klasma.github.io/Logging_2181/klagomål/A 7393-2026 FSC-klagomål.docx", "A 7393-2026")</f>
        <v/>
      </c>
      <c r="W58">
        <f>HYPERLINK("https://klasma.github.io/Logging_2181/klagomålsmail/A 7393-2026 FSC-klagomål mail.docx", "A 7393-2026")</f>
        <v/>
      </c>
      <c r="X58">
        <f>HYPERLINK("https://klasma.github.io/Logging_2181/tillsyn/A 7393-2026 tillsynsbegäran.docx", "A 7393-2026")</f>
        <v/>
      </c>
      <c r="Y58">
        <f>HYPERLINK("https://klasma.github.io/Logging_2181/tillsynsmail/A 7393-2026 tillsynsbegäran mail.docx", "A 7393-2026")</f>
        <v/>
      </c>
    </row>
    <row r="59" ht="15" customHeight="1">
      <c r="A59" t="inlineStr">
        <is>
          <t>A 9267-2026</t>
        </is>
      </c>
      <c r="B59" s="1" t="n">
        <v>46069</v>
      </c>
      <c r="C59" s="1" t="n">
        <v>46192</v>
      </c>
      <c r="D59" t="inlineStr">
        <is>
          <t>GÄVLEBORGS LÄN</t>
        </is>
      </c>
      <c r="E59" t="inlineStr">
        <is>
          <t>SANDVIKEN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Gullpudra</t>
        </is>
      </c>
      <c r="S59">
        <f>HYPERLINK("https://klasma.github.io/Logging_2181/artfynd/A 9267-2026 artfynd.xlsx", "A 9267-2026")</f>
        <v/>
      </c>
      <c r="T59">
        <f>HYPERLINK("https://klasma.github.io/Logging_2181/kartor/A 9267-2026 karta.png", "A 9267-2026")</f>
        <v/>
      </c>
      <c r="V59">
        <f>HYPERLINK("https://klasma.github.io/Logging_2181/klagomål/A 9267-2026 FSC-klagomål.docx", "A 9267-2026")</f>
        <v/>
      </c>
      <c r="W59">
        <f>HYPERLINK("https://klasma.github.io/Logging_2181/klagomålsmail/A 9267-2026 FSC-klagomål mail.docx", "A 9267-2026")</f>
        <v/>
      </c>
      <c r="X59">
        <f>HYPERLINK("https://klasma.github.io/Logging_2181/tillsyn/A 9267-2026 tillsynsbegäran.docx", "A 9267-2026")</f>
        <v/>
      </c>
      <c r="Y59">
        <f>HYPERLINK("https://klasma.github.io/Logging_2181/tillsynsmail/A 9267-2026 tillsynsbegäran mail.docx", "A 9267-2026")</f>
        <v/>
      </c>
    </row>
    <row r="60" ht="15" customHeight="1">
      <c r="A60" t="inlineStr">
        <is>
          <t>A 11784-2026</t>
        </is>
      </c>
      <c r="B60" s="1" t="n">
        <v>46084</v>
      </c>
      <c r="C60" s="1" t="n">
        <v>46192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HYPERLINK("https://klasma.github.io/Logging_2181/artfynd/A 11784-2026 artfynd.xlsx", "A 11784-2026")</f>
        <v/>
      </c>
      <c r="T60">
        <f>HYPERLINK("https://klasma.github.io/Logging_2181/kartor/A 11784-2026 karta.png", "A 11784-2026")</f>
        <v/>
      </c>
      <c r="V60">
        <f>HYPERLINK("https://klasma.github.io/Logging_2181/klagomål/A 11784-2026 FSC-klagomål.docx", "A 11784-2026")</f>
        <v/>
      </c>
      <c r="W60">
        <f>HYPERLINK("https://klasma.github.io/Logging_2181/klagomålsmail/A 11784-2026 FSC-klagomål mail.docx", "A 11784-2026")</f>
        <v/>
      </c>
      <c r="X60">
        <f>HYPERLINK("https://klasma.github.io/Logging_2181/tillsyn/A 11784-2026 tillsynsbegäran.docx", "A 11784-2026")</f>
        <v/>
      </c>
      <c r="Y60">
        <f>HYPERLINK("https://klasma.github.io/Logging_2181/tillsynsmail/A 11784-2026 tillsynsbegäran mail.docx", "A 11784-2026")</f>
        <v/>
      </c>
    </row>
    <row r="61" ht="15" customHeight="1">
      <c r="A61" t="inlineStr">
        <is>
          <t>A 12193-2026</t>
        </is>
      </c>
      <c r="B61" s="1" t="n">
        <v>46086</v>
      </c>
      <c r="C61" s="1" t="n">
        <v>46192</v>
      </c>
      <c r="D61" t="inlineStr">
        <is>
          <t>GÄVLEBORGS LÄN</t>
        </is>
      </c>
      <c r="E61" t="inlineStr">
        <is>
          <t>SANDVIKEN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HYPERLINK("https://klasma.github.io/Logging_2181/artfynd/A 12193-2026 artfynd.xlsx", "A 12193-2026")</f>
        <v/>
      </c>
      <c r="T61">
        <f>HYPERLINK("https://klasma.github.io/Logging_2181/kartor/A 12193-2026 karta.png", "A 12193-2026")</f>
        <v/>
      </c>
      <c r="U61">
        <f>HYPERLINK("https://klasma.github.io/Logging_2181/knärot/A 12193-2026 karta knärot.png", "A 12193-2026")</f>
        <v/>
      </c>
      <c r="V61">
        <f>HYPERLINK("https://klasma.github.io/Logging_2181/klagomål/A 12193-2026 FSC-klagomål.docx", "A 12193-2026")</f>
        <v/>
      </c>
      <c r="W61">
        <f>HYPERLINK("https://klasma.github.io/Logging_2181/klagomålsmail/A 12193-2026 FSC-klagomål mail.docx", "A 12193-2026")</f>
        <v/>
      </c>
      <c r="X61">
        <f>HYPERLINK("https://klasma.github.io/Logging_2181/tillsyn/A 12193-2026 tillsynsbegäran.docx", "A 12193-2026")</f>
        <v/>
      </c>
      <c r="Y61">
        <f>HYPERLINK("https://klasma.github.io/Logging_2181/tillsynsmail/A 12193-2026 tillsynsbegäran mail.docx", "A 12193-2026")</f>
        <v/>
      </c>
    </row>
    <row r="62" ht="15" customHeight="1">
      <c r="A62" t="inlineStr">
        <is>
          <t>A 25479-2023</t>
        </is>
      </c>
      <c r="B62" s="1" t="n">
        <v>45089</v>
      </c>
      <c r="C62" s="1" t="n">
        <v>46192</v>
      </c>
      <c r="D62" t="inlineStr">
        <is>
          <t>GÄVLEBORGS LÄN</t>
        </is>
      </c>
      <c r="E62" t="inlineStr">
        <is>
          <t>SANDVIKEN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HYPERLINK("https://klasma.github.io/Logging_2181/artfynd/A 25479-2023 artfynd.xlsx", "A 25479-2023")</f>
        <v/>
      </c>
      <c r="T62">
        <f>HYPERLINK("https://klasma.github.io/Logging_2181/kartor/A 25479-2023 karta.png", "A 25479-2023")</f>
        <v/>
      </c>
      <c r="V62">
        <f>HYPERLINK("https://klasma.github.io/Logging_2181/klagomål/A 25479-2023 FSC-klagomål.docx", "A 25479-2023")</f>
        <v/>
      </c>
      <c r="W62">
        <f>HYPERLINK("https://klasma.github.io/Logging_2181/klagomålsmail/A 25479-2023 FSC-klagomål mail.docx", "A 25479-2023")</f>
        <v/>
      </c>
      <c r="X62">
        <f>HYPERLINK("https://klasma.github.io/Logging_2181/tillsyn/A 25479-2023 tillsynsbegäran.docx", "A 25479-2023")</f>
        <v/>
      </c>
      <c r="Y62">
        <f>HYPERLINK("https://klasma.github.io/Logging_2181/tillsynsmail/A 25479-2023 tillsynsbegäran mail.docx", "A 25479-2023")</f>
        <v/>
      </c>
    </row>
    <row r="63" ht="15" customHeight="1">
      <c r="A63" t="inlineStr">
        <is>
          <t>A 13135-2026</t>
        </is>
      </c>
      <c r="B63" s="1" t="n">
        <v>46093</v>
      </c>
      <c r="C63" s="1" t="n">
        <v>46192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HYPERLINK("https://klasma.github.io/Logging_2181/artfynd/A 13135-2026 artfynd.xlsx", "A 13135-2026")</f>
        <v/>
      </c>
      <c r="T63">
        <f>HYPERLINK("https://klasma.github.io/Logging_2181/kartor/A 13135-2026 karta.png", "A 13135-2026")</f>
        <v/>
      </c>
      <c r="V63">
        <f>HYPERLINK("https://klasma.github.io/Logging_2181/klagomål/A 13135-2026 FSC-klagomål.docx", "A 13135-2026")</f>
        <v/>
      </c>
      <c r="W63">
        <f>HYPERLINK("https://klasma.github.io/Logging_2181/klagomålsmail/A 13135-2026 FSC-klagomål mail.docx", "A 13135-2026")</f>
        <v/>
      </c>
      <c r="X63">
        <f>HYPERLINK("https://klasma.github.io/Logging_2181/tillsyn/A 13135-2026 tillsynsbegäran.docx", "A 13135-2026")</f>
        <v/>
      </c>
      <c r="Y63">
        <f>HYPERLINK("https://klasma.github.io/Logging_2181/tillsynsmail/A 13135-2026 tillsynsbegäran mail.docx", "A 13135-2026")</f>
        <v/>
      </c>
    </row>
    <row r="64" ht="15" customHeight="1">
      <c r="A64" t="inlineStr">
        <is>
          <t>A 13645-2026</t>
        </is>
      </c>
      <c r="B64" s="1" t="n">
        <v>46097</v>
      </c>
      <c r="C64" s="1" t="n">
        <v>46192</v>
      </c>
      <c r="D64" t="inlineStr">
        <is>
          <t>GÄVLEBORGS LÄN</t>
        </is>
      </c>
      <c r="E64" t="inlineStr">
        <is>
          <t>SANDVIKEN</t>
        </is>
      </c>
      <c r="F64" t="inlineStr">
        <is>
          <t>Kommuner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HYPERLINK("https://klasma.github.io/Logging_2181/artfynd/A 13645-2026 artfynd.xlsx", "A 13645-2026")</f>
        <v/>
      </c>
      <c r="T64">
        <f>HYPERLINK("https://klasma.github.io/Logging_2181/kartor/A 13645-2026 karta.png", "A 13645-2026")</f>
        <v/>
      </c>
      <c r="V64">
        <f>HYPERLINK("https://klasma.github.io/Logging_2181/klagomål/A 13645-2026 FSC-klagomål.docx", "A 13645-2026")</f>
        <v/>
      </c>
      <c r="W64">
        <f>HYPERLINK("https://klasma.github.io/Logging_2181/klagomålsmail/A 13645-2026 FSC-klagomål mail.docx", "A 13645-2026")</f>
        <v/>
      </c>
      <c r="X64">
        <f>HYPERLINK("https://klasma.github.io/Logging_2181/tillsyn/A 13645-2026 tillsynsbegäran.docx", "A 13645-2026")</f>
        <v/>
      </c>
      <c r="Y64">
        <f>HYPERLINK("https://klasma.github.io/Logging_2181/tillsynsmail/A 13645-2026 tillsynsbegäran mail.docx", "A 13645-2026")</f>
        <v/>
      </c>
      <c r="Z64">
        <f>HYPERLINK("https://klasma.github.io/Logging_2181/fåglar/A 13645-2026 prioriterade fågelarter.docx", "A 13645-2026")</f>
        <v/>
      </c>
    </row>
    <row r="65" ht="15" customHeight="1">
      <c r="A65" t="inlineStr">
        <is>
          <t>A 14835-2026</t>
        </is>
      </c>
      <c r="B65" s="1" t="n">
        <v>46104</v>
      </c>
      <c r="C65" s="1" t="n">
        <v>46192</v>
      </c>
      <c r="D65" t="inlineStr">
        <is>
          <t>GÄVLEBORGS LÄN</t>
        </is>
      </c>
      <c r="E65" t="inlineStr">
        <is>
          <t>SANDVIKEN</t>
        </is>
      </c>
      <c r="F65" t="inlineStr">
        <is>
          <t>Bergvik skog öst AB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Höstlåsbräken</t>
        </is>
      </c>
      <c r="S65">
        <f>HYPERLINK("https://klasma.github.io/Logging_2181/artfynd/A 14835-2026 artfynd.xlsx", "A 14835-2026")</f>
        <v/>
      </c>
      <c r="T65">
        <f>HYPERLINK("https://klasma.github.io/Logging_2181/kartor/A 14835-2026 karta.png", "A 14835-2026")</f>
        <v/>
      </c>
      <c r="V65">
        <f>HYPERLINK("https://klasma.github.io/Logging_2181/klagomål/A 14835-2026 FSC-klagomål.docx", "A 14835-2026")</f>
        <v/>
      </c>
      <c r="W65">
        <f>HYPERLINK("https://klasma.github.io/Logging_2181/klagomålsmail/A 14835-2026 FSC-klagomål mail.docx", "A 14835-2026")</f>
        <v/>
      </c>
      <c r="X65">
        <f>HYPERLINK("https://klasma.github.io/Logging_2181/tillsyn/A 14835-2026 tillsynsbegäran.docx", "A 14835-2026")</f>
        <v/>
      </c>
      <c r="Y65">
        <f>HYPERLINK("https://klasma.github.io/Logging_2181/tillsynsmail/A 14835-2026 tillsynsbegäran mail.docx", "A 14835-2026")</f>
        <v/>
      </c>
    </row>
    <row r="66" ht="15" customHeight="1">
      <c r="A66" t="inlineStr">
        <is>
          <t>A 15121-2026</t>
        </is>
      </c>
      <c r="B66" s="1" t="n">
        <v>46105</v>
      </c>
      <c r="C66" s="1" t="n">
        <v>46192</v>
      </c>
      <c r="D66" t="inlineStr">
        <is>
          <t>GÄVLEBORGS LÄN</t>
        </is>
      </c>
      <c r="E66" t="inlineStr">
        <is>
          <t>SANDVIKEN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HYPERLINK("https://klasma.github.io/Logging_2181/artfynd/A 15121-2026 artfynd.xlsx", "A 15121-2026")</f>
        <v/>
      </c>
      <c r="T66">
        <f>HYPERLINK("https://klasma.github.io/Logging_2181/kartor/A 15121-2026 karta.png", "A 15121-2026")</f>
        <v/>
      </c>
      <c r="V66">
        <f>HYPERLINK("https://klasma.github.io/Logging_2181/klagomål/A 15121-2026 FSC-klagomål.docx", "A 15121-2026")</f>
        <v/>
      </c>
      <c r="W66">
        <f>HYPERLINK("https://klasma.github.io/Logging_2181/klagomålsmail/A 15121-2026 FSC-klagomål mail.docx", "A 15121-2026")</f>
        <v/>
      </c>
      <c r="X66">
        <f>HYPERLINK("https://klasma.github.io/Logging_2181/tillsyn/A 15121-2026 tillsynsbegäran.docx", "A 15121-2026")</f>
        <v/>
      </c>
      <c r="Y66">
        <f>HYPERLINK("https://klasma.github.io/Logging_2181/tillsynsmail/A 15121-2026 tillsynsbegäran mail.docx", "A 15121-2026")</f>
        <v/>
      </c>
    </row>
    <row r="67" ht="15" customHeight="1">
      <c r="A67" t="inlineStr">
        <is>
          <t>A 25314-2025</t>
        </is>
      </c>
      <c r="B67" s="1" t="n">
        <v>45800</v>
      </c>
      <c r="C67" s="1" t="n">
        <v>46192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Garnlav</t>
        </is>
      </c>
      <c r="S67">
        <f>HYPERLINK("https://klasma.github.io/Logging_2181/artfynd/A 25314-2025 artfynd.xlsx", "A 25314-2025")</f>
        <v/>
      </c>
      <c r="T67">
        <f>HYPERLINK("https://klasma.github.io/Logging_2181/kartor/A 25314-2025 karta.png", "A 25314-2025")</f>
        <v/>
      </c>
      <c r="V67">
        <f>HYPERLINK("https://klasma.github.io/Logging_2181/klagomål/A 25314-2025 FSC-klagomål.docx", "A 25314-2025")</f>
        <v/>
      </c>
      <c r="W67">
        <f>HYPERLINK("https://klasma.github.io/Logging_2181/klagomålsmail/A 25314-2025 FSC-klagomål mail.docx", "A 25314-2025")</f>
        <v/>
      </c>
      <c r="X67">
        <f>HYPERLINK("https://klasma.github.io/Logging_2181/tillsyn/A 25314-2025 tillsynsbegäran.docx", "A 25314-2025")</f>
        <v/>
      </c>
      <c r="Y67">
        <f>HYPERLINK("https://klasma.github.io/Logging_2181/tillsynsmail/A 25314-2025 tillsynsbegäran mail.docx", "A 25314-2025")</f>
        <v/>
      </c>
    </row>
    <row r="68" ht="15" customHeight="1">
      <c r="A68" t="inlineStr">
        <is>
          <t>A 25323-2025</t>
        </is>
      </c>
      <c r="B68" s="1" t="n">
        <v>45800</v>
      </c>
      <c r="C68" s="1" t="n">
        <v>46192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3.8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HYPERLINK("https://klasma.github.io/Logging_2181/artfynd/A 25323-2025 artfynd.xlsx", "A 25323-2025")</f>
        <v/>
      </c>
      <c r="T68">
        <f>HYPERLINK("https://klasma.github.io/Logging_2181/kartor/A 25323-2025 karta.png", "A 25323-2025")</f>
        <v/>
      </c>
      <c r="V68">
        <f>HYPERLINK("https://klasma.github.io/Logging_2181/klagomål/A 25323-2025 FSC-klagomål.docx", "A 25323-2025")</f>
        <v/>
      </c>
      <c r="W68">
        <f>HYPERLINK("https://klasma.github.io/Logging_2181/klagomålsmail/A 25323-2025 FSC-klagomål mail.docx", "A 25323-2025")</f>
        <v/>
      </c>
      <c r="X68">
        <f>HYPERLINK("https://klasma.github.io/Logging_2181/tillsyn/A 25323-2025 tillsynsbegäran.docx", "A 25323-2025")</f>
        <v/>
      </c>
      <c r="Y68">
        <f>HYPERLINK("https://klasma.github.io/Logging_2181/tillsynsmail/A 25323-2025 tillsynsbegäran mail.docx", "A 25323-2025")</f>
        <v/>
      </c>
    </row>
    <row r="69" ht="15" customHeight="1">
      <c r="A69" t="inlineStr">
        <is>
          <t>A 17062-2026</t>
        </is>
      </c>
      <c r="B69" s="1" t="n">
        <v>46114</v>
      </c>
      <c r="C69" s="1" t="n">
        <v>46192</v>
      </c>
      <c r="D69" t="inlineStr">
        <is>
          <t>GÄVLEBORGS LÄN</t>
        </is>
      </c>
      <c r="E69" t="inlineStr">
        <is>
          <t>SANDVIKEN</t>
        </is>
      </c>
      <c r="F69" t="inlineStr">
        <is>
          <t>Bergvik skog öst AB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HYPERLINK("https://klasma.github.io/Logging_2181/artfynd/A 17062-2026 artfynd.xlsx", "A 17062-2026")</f>
        <v/>
      </c>
      <c r="T69">
        <f>HYPERLINK("https://klasma.github.io/Logging_2181/kartor/A 17062-2026 karta.png", "A 17062-2026")</f>
        <v/>
      </c>
      <c r="V69">
        <f>HYPERLINK("https://klasma.github.io/Logging_2181/klagomål/A 17062-2026 FSC-klagomål.docx", "A 17062-2026")</f>
        <v/>
      </c>
      <c r="W69">
        <f>HYPERLINK("https://klasma.github.io/Logging_2181/klagomålsmail/A 17062-2026 FSC-klagomål mail.docx", "A 17062-2026")</f>
        <v/>
      </c>
      <c r="X69">
        <f>HYPERLINK("https://klasma.github.io/Logging_2181/tillsyn/A 17062-2026 tillsynsbegäran.docx", "A 17062-2026")</f>
        <v/>
      </c>
      <c r="Y69">
        <f>HYPERLINK("https://klasma.github.io/Logging_2181/tillsynsmail/A 17062-2026 tillsynsbegäran mail.docx", "A 17062-2026")</f>
        <v/>
      </c>
    </row>
    <row r="70" ht="15" customHeight="1">
      <c r="A70" t="inlineStr">
        <is>
          <t>A 17364-2026</t>
        </is>
      </c>
      <c r="B70" s="1" t="n">
        <v>46119</v>
      </c>
      <c r="C70" s="1" t="n">
        <v>46192</v>
      </c>
      <c r="D70" t="inlineStr">
        <is>
          <t>GÄVLEBORGS LÄN</t>
        </is>
      </c>
      <c r="E70" t="inlineStr">
        <is>
          <t>SANDVIKEN</t>
        </is>
      </c>
      <c r="F70" t="inlineStr">
        <is>
          <t>Bergvik skog öst AB</t>
        </is>
      </c>
      <c r="G70" t="n">
        <v>3.2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Höstlåsbräken</t>
        </is>
      </c>
      <c r="S70">
        <f>HYPERLINK("https://klasma.github.io/Logging_2181/artfynd/A 17364-2026 artfynd.xlsx", "A 17364-2026")</f>
        <v/>
      </c>
      <c r="T70">
        <f>HYPERLINK("https://klasma.github.io/Logging_2181/kartor/A 17364-2026 karta.png", "A 17364-2026")</f>
        <v/>
      </c>
      <c r="V70">
        <f>HYPERLINK("https://klasma.github.io/Logging_2181/klagomål/A 17364-2026 FSC-klagomål.docx", "A 17364-2026")</f>
        <v/>
      </c>
      <c r="W70">
        <f>HYPERLINK("https://klasma.github.io/Logging_2181/klagomålsmail/A 17364-2026 FSC-klagomål mail.docx", "A 17364-2026")</f>
        <v/>
      </c>
      <c r="X70">
        <f>HYPERLINK("https://klasma.github.io/Logging_2181/tillsyn/A 17364-2026 tillsynsbegäran.docx", "A 17364-2026")</f>
        <v/>
      </c>
      <c r="Y70">
        <f>HYPERLINK("https://klasma.github.io/Logging_2181/tillsynsmail/A 17364-2026 tillsynsbegäran mail.docx", "A 17364-2026")</f>
        <v/>
      </c>
    </row>
    <row r="71" ht="15" customHeight="1">
      <c r="A71" t="inlineStr">
        <is>
          <t>A 23225-2026</t>
        </is>
      </c>
      <c r="B71" s="1" t="n">
        <v>46162</v>
      </c>
      <c r="C71" s="1" t="n">
        <v>46192</v>
      </c>
      <c r="D71" t="inlineStr">
        <is>
          <t>GÄVLEBORGS LÄN</t>
        </is>
      </c>
      <c r="E71" t="inlineStr">
        <is>
          <t>SANDVIKEN</t>
        </is>
      </c>
      <c r="F71" t="inlineStr">
        <is>
          <t>Bergvik skog öst AB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HYPERLINK("https://klasma.github.io/Logging_2181/artfynd/A 23225-2026 artfynd.xlsx", "A 23225-2026")</f>
        <v/>
      </c>
      <c r="T71">
        <f>HYPERLINK("https://klasma.github.io/Logging_2181/kartor/A 23225-2026 karta.png", "A 23225-2026")</f>
        <v/>
      </c>
      <c r="V71">
        <f>HYPERLINK("https://klasma.github.io/Logging_2181/klagomål/A 23225-2026 FSC-klagomål.docx", "A 23225-2026")</f>
        <v/>
      </c>
      <c r="W71">
        <f>HYPERLINK("https://klasma.github.io/Logging_2181/klagomålsmail/A 23225-2026 FSC-klagomål mail.docx", "A 23225-2026")</f>
        <v/>
      </c>
      <c r="X71">
        <f>HYPERLINK("https://klasma.github.io/Logging_2181/tillsyn/A 23225-2026 tillsynsbegäran.docx", "A 23225-2026")</f>
        <v/>
      </c>
      <c r="Y71">
        <f>HYPERLINK("https://klasma.github.io/Logging_2181/tillsynsmail/A 23225-2026 tillsynsbegäran mail.docx", "A 23225-2026")</f>
        <v/>
      </c>
      <c r="Z71">
        <f>HYPERLINK("https://klasma.github.io/Logging_2181/fåglar/A 23225-2026 prioriterade fågelarter.docx", "A 23225-2026")</f>
        <v/>
      </c>
    </row>
    <row r="72" ht="15" customHeight="1">
      <c r="A72" t="inlineStr">
        <is>
          <t>A 23289-2024</t>
        </is>
      </c>
      <c r="B72" s="1" t="n">
        <v>45453</v>
      </c>
      <c r="C72" s="1" t="n">
        <v>46192</v>
      </c>
      <c r="D72" t="inlineStr">
        <is>
          <t>GÄVLEBORGS LÄN</t>
        </is>
      </c>
      <c r="E72" t="inlineStr">
        <is>
          <t>SANDVIKEN</t>
        </is>
      </c>
      <c r="F72" t="inlineStr">
        <is>
          <t>Kyrkan</t>
        </is>
      </c>
      <c r="G72" t="n">
        <v>3.8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HYPERLINK("https://klasma.github.io/Logging_2181/artfynd/A 23289-2024 artfynd.xlsx", "A 23289-2024")</f>
        <v/>
      </c>
      <c r="T72">
        <f>HYPERLINK("https://klasma.github.io/Logging_2181/kartor/A 23289-2024 karta.png", "A 23289-2024")</f>
        <v/>
      </c>
      <c r="V72">
        <f>HYPERLINK("https://klasma.github.io/Logging_2181/klagomål/A 23289-2024 FSC-klagomål.docx", "A 23289-2024")</f>
        <v/>
      </c>
      <c r="W72">
        <f>HYPERLINK("https://klasma.github.io/Logging_2181/klagomålsmail/A 23289-2024 FSC-klagomål mail.docx", "A 23289-2024")</f>
        <v/>
      </c>
      <c r="X72">
        <f>HYPERLINK("https://klasma.github.io/Logging_2181/tillsyn/A 23289-2024 tillsynsbegäran.docx", "A 23289-2024")</f>
        <v/>
      </c>
      <c r="Y72">
        <f>HYPERLINK("https://klasma.github.io/Logging_2181/tillsynsmail/A 23289-2024 tillsynsbegäran mail.docx", "A 23289-2024")</f>
        <v/>
      </c>
    </row>
    <row r="73" ht="15" customHeight="1">
      <c r="A73" t="inlineStr">
        <is>
          <t>A 24171-2026</t>
        </is>
      </c>
      <c r="B73" s="1" t="n">
        <v>46168</v>
      </c>
      <c r="C73" s="1" t="n">
        <v>46192</v>
      </c>
      <c r="D73" t="inlineStr">
        <is>
          <t>GÄVLEBORGS LÄN</t>
        </is>
      </c>
      <c r="E73" t="inlineStr">
        <is>
          <t>SANDVIKEN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HYPERLINK("https://klasma.github.io/Logging_2181/artfynd/A 24171-2026 artfynd.xlsx", "A 24171-2026")</f>
        <v/>
      </c>
      <c r="T73">
        <f>HYPERLINK("https://klasma.github.io/Logging_2181/kartor/A 24171-2026 karta.png", "A 24171-2026")</f>
        <v/>
      </c>
      <c r="V73">
        <f>HYPERLINK("https://klasma.github.io/Logging_2181/klagomål/A 24171-2026 FSC-klagomål.docx", "A 24171-2026")</f>
        <v/>
      </c>
      <c r="W73">
        <f>HYPERLINK("https://klasma.github.io/Logging_2181/klagomålsmail/A 24171-2026 FSC-klagomål mail.docx", "A 24171-2026")</f>
        <v/>
      </c>
      <c r="X73">
        <f>HYPERLINK("https://klasma.github.io/Logging_2181/tillsyn/A 24171-2026 tillsynsbegäran.docx", "A 24171-2026")</f>
        <v/>
      </c>
      <c r="Y73">
        <f>HYPERLINK("https://klasma.github.io/Logging_2181/tillsynsmail/A 24171-2026 tillsynsbegäran mail.docx", "A 24171-2026")</f>
        <v/>
      </c>
    </row>
    <row r="74" ht="15" customHeight="1">
      <c r="A74" t="inlineStr">
        <is>
          <t>A 5015-2023</t>
        </is>
      </c>
      <c r="B74" s="1" t="n">
        <v>44958</v>
      </c>
      <c r="C74" s="1" t="n">
        <v>46192</v>
      </c>
      <c r="D74" t="inlineStr">
        <is>
          <t>GÄVLEBORGS LÄN</t>
        </is>
      </c>
      <c r="E74" t="inlineStr">
        <is>
          <t>SANDVIKEN</t>
        </is>
      </c>
      <c r="G74" t="n">
        <v>7.8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HYPERLINK("https://klasma.github.io/Logging_2181/artfynd/A 5015-2023 artfynd.xlsx", "A 5015-2023")</f>
        <v/>
      </c>
      <c r="T74">
        <f>HYPERLINK("https://klasma.github.io/Logging_2181/kartor/A 5015-2023 karta.png", "A 5015-2023")</f>
        <v/>
      </c>
      <c r="V74">
        <f>HYPERLINK("https://klasma.github.io/Logging_2181/klagomål/A 5015-2023 FSC-klagomål.docx", "A 5015-2023")</f>
        <v/>
      </c>
      <c r="W74">
        <f>HYPERLINK("https://klasma.github.io/Logging_2181/klagomålsmail/A 5015-2023 FSC-klagomål mail.docx", "A 5015-2023")</f>
        <v/>
      </c>
      <c r="X74">
        <f>HYPERLINK("https://klasma.github.io/Logging_2181/tillsyn/A 5015-2023 tillsynsbegäran.docx", "A 5015-2023")</f>
        <v/>
      </c>
      <c r="Y74">
        <f>HYPERLINK("https://klasma.github.io/Logging_2181/tillsynsmail/A 5015-2023 tillsynsbegäran mail.docx", "A 5015-2023")</f>
        <v/>
      </c>
    </row>
    <row r="75" ht="15" customHeight="1">
      <c r="A75" t="inlineStr">
        <is>
          <t>A 36417-2025</t>
        </is>
      </c>
      <c r="B75" s="1" t="n">
        <v>45868</v>
      </c>
      <c r="C75" s="1" t="n">
        <v>46192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3.9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HYPERLINK("https://klasma.github.io/Logging_2181/artfynd/A 36417-2025 artfynd.xlsx", "A 36417-2025")</f>
        <v/>
      </c>
      <c r="T75">
        <f>HYPERLINK("https://klasma.github.io/Logging_2181/kartor/A 36417-2025 karta.png", "A 36417-2025")</f>
        <v/>
      </c>
      <c r="U75">
        <f>HYPERLINK("https://klasma.github.io/Logging_2181/knärot/A 36417-2025 karta knärot.png", "A 36417-2025")</f>
        <v/>
      </c>
      <c r="V75">
        <f>HYPERLINK("https://klasma.github.io/Logging_2181/klagomål/A 36417-2025 FSC-klagomål.docx", "A 36417-2025")</f>
        <v/>
      </c>
      <c r="W75">
        <f>HYPERLINK("https://klasma.github.io/Logging_2181/klagomålsmail/A 36417-2025 FSC-klagomål mail.docx", "A 36417-2025")</f>
        <v/>
      </c>
      <c r="X75">
        <f>HYPERLINK("https://klasma.github.io/Logging_2181/tillsyn/A 36417-2025 tillsynsbegäran.docx", "A 36417-2025")</f>
        <v/>
      </c>
      <c r="Y75">
        <f>HYPERLINK("https://klasma.github.io/Logging_2181/tillsynsmail/A 36417-2025 tillsynsbegäran mail.docx", "A 36417-2025")</f>
        <v/>
      </c>
    </row>
    <row r="76" ht="15" customHeight="1">
      <c r="A76" t="inlineStr">
        <is>
          <t>A 19272-2026</t>
        </is>
      </c>
      <c r="B76" s="1" t="n">
        <v>46133</v>
      </c>
      <c r="C76" s="1" t="n">
        <v>46192</v>
      </c>
      <c r="D76" t="inlineStr">
        <is>
          <t>GÄVLEBORGS LÄN</t>
        </is>
      </c>
      <c r="E76" t="inlineStr">
        <is>
          <t>SANDVIKEN</t>
        </is>
      </c>
      <c r="F76" t="inlineStr">
        <is>
          <t>Bergvik skog öst AB</t>
        </is>
      </c>
      <c r="G76" t="n">
        <v>9.4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HYPERLINK("https://klasma.github.io/Logging_2181/artfynd/A 19272-2026 artfynd.xlsx", "A 19272-2026")</f>
        <v/>
      </c>
      <c r="T76">
        <f>HYPERLINK("https://klasma.github.io/Logging_2181/kartor/A 19272-2026 karta.png", "A 19272-2026")</f>
        <v/>
      </c>
      <c r="V76">
        <f>HYPERLINK("https://klasma.github.io/Logging_2181/klagomål/A 19272-2026 FSC-klagomål.docx", "A 19272-2026")</f>
        <v/>
      </c>
      <c r="W76">
        <f>HYPERLINK("https://klasma.github.io/Logging_2181/klagomålsmail/A 19272-2026 FSC-klagomål mail.docx", "A 19272-2026")</f>
        <v/>
      </c>
      <c r="X76">
        <f>HYPERLINK("https://klasma.github.io/Logging_2181/tillsyn/A 19272-2026 tillsynsbegäran.docx", "A 19272-2026")</f>
        <v/>
      </c>
      <c r="Y76">
        <f>HYPERLINK("https://klasma.github.io/Logging_2181/tillsynsmail/A 19272-2026 tillsynsbegäran mail.docx", "A 19272-2026")</f>
        <v/>
      </c>
    </row>
    <row r="77" ht="15" customHeight="1">
      <c r="A77" t="inlineStr">
        <is>
          <t>A 38350-2025</t>
        </is>
      </c>
      <c r="B77" s="1" t="n">
        <v>45883</v>
      </c>
      <c r="C77" s="1" t="n">
        <v>46192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väst AB</t>
        </is>
      </c>
      <c r="G77" t="n">
        <v>25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HYPERLINK("https://klasma.github.io/Logging_2181/artfynd/A 38350-2025 artfynd.xlsx", "A 38350-2025")</f>
        <v/>
      </c>
      <c r="T77">
        <f>HYPERLINK("https://klasma.github.io/Logging_2181/kartor/A 38350-2025 karta.png", "A 38350-2025")</f>
        <v/>
      </c>
      <c r="V77">
        <f>HYPERLINK("https://klasma.github.io/Logging_2181/klagomål/A 38350-2025 FSC-klagomål.docx", "A 38350-2025")</f>
        <v/>
      </c>
      <c r="W77">
        <f>HYPERLINK("https://klasma.github.io/Logging_2181/klagomålsmail/A 38350-2025 FSC-klagomål mail.docx", "A 38350-2025")</f>
        <v/>
      </c>
      <c r="X77">
        <f>HYPERLINK("https://klasma.github.io/Logging_2181/tillsyn/A 38350-2025 tillsynsbegäran.docx", "A 38350-2025")</f>
        <v/>
      </c>
      <c r="Y77">
        <f>HYPERLINK("https://klasma.github.io/Logging_2181/tillsynsmail/A 38350-2025 tillsynsbegäran mail.docx", "A 38350-2025")</f>
        <v/>
      </c>
    </row>
    <row r="78" ht="15" customHeight="1">
      <c r="A78" t="inlineStr">
        <is>
          <t>A 4324-2026</t>
        </is>
      </c>
      <c r="B78" s="1" t="n">
        <v>46045</v>
      </c>
      <c r="C78" s="1" t="n">
        <v>46192</v>
      </c>
      <c r="D78" t="inlineStr">
        <is>
          <t>GÄVLEBORGS LÄN</t>
        </is>
      </c>
      <c r="E78" t="inlineStr">
        <is>
          <t>SANDVIKEN</t>
        </is>
      </c>
      <c r="F78" t="inlineStr">
        <is>
          <t>Kommuner</t>
        </is>
      </c>
      <c r="G78" t="n">
        <v>11.2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HYPERLINK("https://klasma.github.io/Logging_2181/artfynd/A 4324-2026 artfynd.xlsx", "A 4324-2026")</f>
        <v/>
      </c>
      <c r="T78">
        <f>HYPERLINK("https://klasma.github.io/Logging_2181/kartor/A 4324-2026 karta.png", "A 4324-2026")</f>
        <v/>
      </c>
      <c r="V78">
        <f>HYPERLINK("https://klasma.github.io/Logging_2181/klagomål/A 4324-2026 FSC-klagomål.docx", "A 4324-2026")</f>
        <v/>
      </c>
      <c r="W78">
        <f>HYPERLINK("https://klasma.github.io/Logging_2181/klagomålsmail/A 4324-2026 FSC-klagomål mail.docx", "A 4324-2026")</f>
        <v/>
      </c>
      <c r="X78">
        <f>HYPERLINK("https://klasma.github.io/Logging_2181/tillsyn/A 4324-2026 tillsynsbegäran.docx", "A 4324-2026")</f>
        <v/>
      </c>
      <c r="Y78">
        <f>HYPERLINK("https://klasma.github.io/Logging_2181/tillsynsmail/A 4324-2026 tillsynsbegäran mail.docx", "A 4324-2026")</f>
        <v/>
      </c>
      <c r="Z78">
        <f>HYPERLINK("https://klasma.github.io/Logging_2181/fåglar/A 4324-2026 prioriterade fågelarter.docx", "A 4324-2026")</f>
        <v/>
      </c>
    </row>
    <row r="79" ht="15" customHeight="1">
      <c r="A79" t="inlineStr">
        <is>
          <t>A 42115-2023</t>
        </is>
      </c>
      <c r="B79" s="1" t="n">
        <v>45177</v>
      </c>
      <c r="C79" s="1" t="n">
        <v>46192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2.4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HYPERLINK("https://klasma.github.io/Logging_2181/artfynd/A 42115-2023 artfynd.xlsx", "A 42115-2023")</f>
        <v/>
      </c>
      <c r="T79">
        <f>HYPERLINK("https://klasma.github.io/Logging_2181/kartor/A 42115-2023 karta.png", "A 42115-2023")</f>
        <v/>
      </c>
      <c r="V79">
        <f>HYPERLINK("https://klasma.github.io/Logging_2181/klagomål/A 42115-2023 FSC-klagomål.docx", "A 42115-2023")</f>
        <v/>
      </c>
      <c r="W79">
        <f>HYPERLINK("https://klasma.github.io/Logging_2181/klagomålsmail/A 42115-2023 FSC-klagomål mail.docx", "A 42115-2023")</f>
        <v/>
      </c>
      <c r="X79">
        <f>HYPERLINK("https://klasma.github.io/Logging_2181/tillsyn/A 42115-2023 tillsynsbegäran.docx", "A 42115-2023")</f>
        <v/>
      </c>
      <c r="Y79">
        <f>HYPERLINK("https://klasma.github.io/Logging_2181/tillsynsmail/A 42115-2023 tillsynsbegäran mail.docx", "A 42115-2023")</f>
        <v/>
      </c>
      <c r="Z79">
        <f>HYPERLINK("https://klasma.github.io/Logging_2181/fåglar/A 42115-2023 prioriterade fågelarter.docx", "A 42115-2023")</f>
        <v/>
      </c>
    </row>
    <row r="80" ht="15" customHeight="1">
      <c r="A80" t="inlineStr">
        <is>
          <t>A 6972-2026</t>
        </is>
      </c>
      <c r="B80" s="1" t="n">
        <v>46057</v>
      </c>
      <c r="C80" s="1" t="n">
        <v>46192</v>
      </c>
      <c r="D80" t="inlineStr">
        <is>
          <t>GÄVLEBORGS LÄN</t>
        </is>
      </c>
      <c r="E80" t="inlineStr">
        <is>
          <t>SANDVIKEN</t>
        </is>
      </c>
      <c r="F80" t="inlineStr">
        <is>
          <t>Naturvårdsverket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HYPERLINK("https://klasma.github.io/Logging_2181/artfynd/A 6972-2026 artfynd.xlsx", "A 6972-2026")</f>
        <v/>
      </c>
      <c r="T80">
        <f>HYPERLINK("https://klasma.github.io/Logging_2181/kartor/A 6972-2026 karta.png", "A 6972-2026")</f>
        <v/>
      </c>
      <c r="V80">
        <f>HYPERLINK("https://klasma.github.io/Logging_2181/klagomål/A 6972-2026 FSC-klagomål.docx", "A 6972-2026")</f>
        <v/>
      </c>
      <c r="W80">
        <f>HYPERLINK("https://klasma.github.io/Logging_2181/klagomålsmail/A 6972-2026 FSC-klagomål mail.docx", "A 6972-2026")</f>
        <v/>
      </c>
      <c r="X80">
        <f>HYPERLINK("https://klasma.github.io/Logging_2181/tillsyn/A 6972-2026 tillsynsbegäran.docx", "A 6972-2026")</f>
        <v/>
      </c>
      <c r="Y80">
        <f>HYPERLINK("https://klasma.github.io/Logging_2181/tillsynsmail/A 6972-2026 tillsynsbegäran mail.docx", "A 6972-2026")</f>
        <v/>
      </c>
      <c r="Z80">
        <f>HYPERLINK("https://klasma.github.io/Logging_2181/fåglar/A 6972-2026 prioriterade fågelarter.docx", "A 6972-2026")</f>
        <v/>
      </c>
    </row>
    <row r="81" ht="15" customHeight="1">
      <c r="A81" t="inlineStr">
        <is>
          <t>A 41349-2025</t>
        </is>
      </c>
      <c r="B81" s="1" t="n">
        <v>45899</v>
      </c>
      <c r="C81" s="1" t="n">
        <v>46192</v>
      </c>
      <c r="D81" t="inlineStr">
        <is>
          <t>GÄVLEBORGS LÄN</t>
        </is>
      </c>
      <c r="E81" t="inlineStr">
        <is>
          <t>SANDVIKEN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HYPERLINK("https://klasma.github.io/Logging_2181/artfynd/A 41349-2025 artfynd.xlsx", "A 41349-2025")</f>
        <v/>
      </c>
      <c r="T81">
        <f>HYPERLINK("https://klasma.github.io/Logging_2181/kartor/A 41349-2025 karta.png", "A 41349-2025")</f>
        <v/>
      </c>
      <c r="V81">
        <f>HYPERLINK("https://klasma.github.io/Logging_2181/klagomål/A 41349-2025 FSC-klagomål.docx", "A 41349-2025")</f>
        <v/>
      </c>
      <c r="W81">
        <f>HYPERLINK("https://klasma.github.io/Logging_2181/klagomålsmail/A 41349-2025 FSC-klagomål mail.docx", "A 41349-2025")</f>
        <v/>
      </c>
      <c r="X81">
        <f>HYPERLINK("https://klasma.github.io/Logging_2181/tillsyn/A 41349-2025 tillsynsbegäran.docx", "A 41349-2025")</f>
        <v/>
      </c>
      <c r="Y81">
        <f>HYPERLINK("https://klasma.github.io/Logging_2181/tillsynsmail/A 41349-2025 tillsynsbegäran mail.docx", "A 41349-2025")</f>
        <v/>
      </c>
    </row>
    <row r="82" ht="15" customHeight="1">
      <c r="A82" t="inlineStr">
        <is>
          <t>A 26212-2026</t>
        </is>
      </c>
      <c r="B82" s="1" t="n">
        <v>46182</v>
      </c>
      <c r="C82" s="1" t="n">
        <v>46192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0.7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HYPERLINK("https://klasma.github.io/Logging_2181/artfynd/A 26212-2026 artfynd.xlsx", "A 26212-2026")</f>
        <v/>
      </c>
      <c r="T82">
        <f>HYPERLINK("https://klasma.github.io/Logging_2181/kartor/A 26212-2026 karta.png", "A 26212-2026")</f>
        <v/>
      </c>
      <c r="U82">
        <f>HYPERLINK("https://klasma.github.io/Logging_2181/knärot/A 26212-2026 karta knärot.png", "A 26212-2026")</f>
        <v/>
      </c>
      <c r="V82">
        <f>HYPERLINK("https://klasma.github.io/Logging_2181/klagomål/A 26212-2026 FSC-klagomål.docx", "A 26212-2026")</f>
        <v/>
      </c>
      <c r="W82">
        <f>HYPERLINK("https://klasma.github.io/Logging_2181/klagomålsmail/A 26212-2026 FSC-klagomål mail.docx", "A 26212-2026")</f>
        <v/>
      </c>
      <c r="X82">
        <f>HYPERLINK("https://klasma.github.io/Logging_2181/tillsyn/A 26212-2026 tillsynsbegäran.docx", "A 26212-2026")</f>
        <v/>
      </c>
      <c r="Y82">
        <f>HYPERLINK("https://klasma.github.io/Logging_2181/tillsynsmail/A 26212-2026 tillsynsbegäran mail.docx", "A 26212-2026")</f>
        <v/>
      </c>
    </row>
    <row r="83" ht="15" customHeight="1">
      <c r="A83" t="inlineStr">
        <is>
          <t>A 25247-2026</t>
        </is>
      </c>
      <c r="B83" s="1" t="n">
        <v>46175</v>
      </c>
      <c r="C83" s="1" t="n">
        <v>46192</v>
      </c>
      <c r="D83" t="inlineStr">
        <is>
          <t>GÄVLEBORGS LÄN</t>
        </is>
      </c>
      <c r="E83" t="inlineStr">
        <is>
          <t>SANDVIKEN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Skinnlav</t>
        </is>
      </c>
      <c r="S83">
        <f>HYPERLINK("https://klasma.github.io/Logging_2181/artfynd/A 25247-2026 artfynd.xlsx", "A 25247-2026")</f>
        <v/>
      </c>
      <c r="T83">
        <f>HYPERLINK("https://klasma.github.io/Logging_2181/kartor/A 25247-2026 karta.png", "A 25247-2026")</f>
        <v/>
      </c>
      <c r="V83">
        <f>HYPERLINK("https://klasma.github.io/Logging_2181/klagomål/A 25247-2026 FSC-klagomål.docx", "A 25247-2026")</f>
        <v/>
      </c>
      <c r="W83">
        <f>HYPERLINK("https://klasma.github.io/Logging_2181/klagomålsmail/A 25247-2026 FSC-klagomål mail.docx", "A 25247-2026")</f>
        <v/>
      </c>
      <c r="X83">
        <f>HYPERLINK("https://klasma.github.io/Logging_2181/tillsyn/A 25247-2026 tillsynsbegäran.docx", "A 25247-2026")</f>
        <v/>
      </c>
      <c r="Y83">
        <f>HYPERLINK("https://klasma.github.io/Logging_2181/tillsynsmail/A 25247-2026 tillsynsbegäran mail.docx", "A 25247-2026")</f>
        <v/>
      </c>
    </row>
    <row r="84" ht="15" customHeight="1">
      <c r="A84" t="inlineStr">
        <is>
          <t>A 27207-2026</t>
        </is>
      </c>
      <c r="B84" s="1" t="n">
        <v>46188</v>
      </c>
      <c r="C84" s="1" t="n">
        <v>46192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HYPERLINK("https://klasma.github.io/Logging_2181/artfynd/A 27207-2026 artfynd.xlsx", "A 27207-2026")</f>
        <v/>
      </c>
      <c r="T84">
        <f>HYPERLINK("https://klasma.github.io/Logging_2181/kartor/A 27207-2026 karta.png", "A 27207-2026")</f>
        <v/>
      </c>
      <c r="V84">
        <f>HYPERLINK("https://klasma.github.io/Logging_2181/klagomål/A 27207-2026 FSC-klagomål.docx", "A 27207-2026")</f>
        <v/>
      </c>
      <c r="W84">
        <f>HYPERLINK("https://klasma.github.io/Logging_2181/klagomålsmail/A 27207-2026 FSC-klagomål mail.docx", "A 27207-2026")</f>
        <v/>
      </c>
      <c r="X84">
        <f>HYPERLINK("https://klasma.github.io/Logging_2181/tillsyn/A 27207-2026 tillsynsbegäran.docx", "A 27207-2026")</f>
        <v/>
      </c>
      <c r="Y84">
        <f>HYPERLINK("https://klasma.github.io/Logging_2181/tillsynsmail/A 27207-2026 tillsynsbegäran mail.docx", "A 27207-2026")</f>
        <v/>
      </c>
      <c r="Z84">
        <f>HYPERLINK("https://klasma.github.io/Logging_2181/fåglar/A 27207-2026 prioriterade fågelarter.docx", "A 27207-2026")</f>
        <v/>
      </c>
    </row>
    <row r="85" ht="15" customHeight="1">
      <c r="A85" t="inlineStr">
        <is>
          <t>A 21532-2026</t>
        </is>
      </c>
      <c r="B85" s="1" t="n">
        <v>46148</v>
      </c>
      <c r="C85" s="1" t="n">
        <v>46192</v>
      </c>
      <c r="D85" t="inlineStr">
        <is>
          <t>GÄVLEBORGS LÄN</t>
        </is>
      </c>
      <c r="E85" t="inlineStr">
        <is>
          <t>SANDVIKEN</t>
        </is>
      </c>
      <c r="F85" t="inlineStr">
        <is>
          <t>Kommuner</t>
        </is>
      </c>
      <c r="G85" t="n">
        <v>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Svartvit flugsnappare</t>
        </is>
      </c>
      <c r="S85">
        <f>HYPERLINK("https://klasma.github.io/Logging_2181/artfynd/A 21532-2026 artfynd.xlsx", "A 21532-2026")</f>
        <v/>
      </c>
      <c r="T85">
        <f>HYPERLINK("https://klasma.github.io/Logging_2181/kartor/A 21532-2026 karta.png", "A 21532-2026")</f>
        <v/>
      </c>
      <c r="V85">
        <f>HYPERLINK("https://klasma.github.io/Logging_2181/klagomål/A 21532-2026 FSC-klagomål.docx", "A 21532-2026")</f>
        <v/>
      </c>
      <c r="W85">
        <f>HYPERLINK("https://klasma.github.io/Logging_2181/klagomålsmail/A 21532-2026 FSC-klagomål mail.docx", "A 21532-2026")</f>
        <v/>
      </c>
      <c r="X85">
        <f>HYPERLINK("https://klasma.github.io/Logging_2181/tillsyn/A 21532-2026 tillsynsbegäran.docx", "A 21532-2026")</f>
        <v/>
      </c>
      <c r="Y85">
        <f>HYPERLINK("https://klasma.github.io/Logging_2181/tillsynsmail/A 21532-2026 tillsynsbegäran mail.docx", "A 21532-2026")</f>
        <v/>
      </c>
      <c r="Z85">
        <f>HYPERLINK("https://klasma.github.io/Logging_2181/fåglar/A 21532-2026 prioriterade fågelarter.docx", "A 21532-2026")</f>
        <v/>
      </c>
    </row>
    <row r="86" ht="15" customHeight="1">
      <c r="A86" t="inlineStr">
        <is>
          <t>A 24357-2026</t>
        </is>
      </c>
      <c r="B86" s="1" t="n">
        <v>46169</v>
      </c>
      <c r="C86" s="1" t="n">
        <v>46192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HYPERLINK("https://klasma.github.io/Logging_2181/artfynd/A 24357-2026 artfynd.xlsx", "A 24357-2026")</f>
        <v/>
      </c>
      <c r="T86">
        <f>HYPERLINK("https://klasma.github.io/Logging_2181/kartor/A 24357-2026 karta.png", "A 24357-2026")</f>
        <v/>
      </c>
      <c r="V86">
        <f>HYPERLINK("https://klasma.github.io/Logging_2181/klagomål/A 24357-2026 FSC-klagomål.docx", "A 24357-2026")</f>
        <v/>
      </c>
      <c r="W86">
        <f>HYPERLINK("https://klasma.github.io/Logging_2181/klagomålsmail/A 24357-2026 FSC-klagomål mail.docx", "A 24357-2026")</f>
        <v/>
      </c>
      <c r="X86">
        <f>HYPERLINK("https://klasma.github.io/Logging_2181/tillsyn/A 24357-2026 tillsynsbegäran.docx", "A 24357-2026")</f>
        <v/>
      </c>
      <c r="Y86">
        <f>HYPERLINK("https://klasma.github.io/Logging_2181/tillsynsmail/A 24357-2026 tillsynsbegäran mail.docx", "A 24357-2026")</f>
        <v/>
      </c>
    </row>
    <row r="87" ht="15" customHeight="1">
      <c r="A87" t="inlineStr">
        <is>
          <t>A 51162-2022</t>
        </is>
      </c>
      <c r="B87" s="1" t="n">
        <v>44868</v>
      </c>
      <c r="C87" s="1" t="n">
        <v>46192</v>
      </c>
      <c r="D87" t="inlineStr">
        <is>
          <t>GÄVLEBORGS LÄN</t>
        </is>
      </c>
      <c r="E87" t="inlineStr">
        <is>
          <t>SANDVIKEN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63086-2021</t>
        </is>
      </c>
      <c r="B88" s="1" t="n">
        <v>44505</v>
      </c>
      <c r="C88" s="1" t="n">
        <v>46192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50277-2022</t>
        </is>
      </c>
      <c r="B89" s="1" t="n">
        <v>44865</v>
      </c>
      <c r="C89" s="1" t="n">
        <v>46192</v>
      </c>
      <c r="D89" t="inlineStr">
        <is>
          <t>GÄVLEBORGS LÄN</t>
        </is>
      </c>
      <c r="E89" t="inlineStr">
        <is>
          <t>SANDVIKEN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31419-2022</t>
        </is>
      </c>
      <c r="B90" s="1" t="n">
        <v>44774</v>
      </c>
      <c r="C90" s="1" t="n">
        <v>46192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50876-2021</t>
        </is>
      </c>
      <c r="B91" s="1" t="n">
        <v>44460</v>
      </c>
      <c r="C91" s="1" t="n">
        <v>46192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64068-2021</t>
        </is>
      </c>
      <c r="B92" s="1" t="n">
        <v>44510</v>
      </c>
      <c r="C92" s="1" t="n">
        <v>46192</v>
      </c>
      <c r="D92" t="inlineStr">
        <is>
          <t>GÄVLEBORGS LÄN</t>
        </is>
      </c>
      <c r="E92" t="inlineStr">
        <is>
          <t>SANDVIKEN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61729-2021</t>
        </is>
      </c>
      <c r="B93" s="1" t="n">
        <v>44501</v>
      </c>
      <c r="C93" s="1" t="n">
        <v>46192</v>
      </c>
      <c r="D93" t="inlineStr">
        <is>
          <t>GÄVLEBORGS LÄN</t>
        </is>
      </c>
      <c r="E93" t="inlineStr">
        <is>
          <t>SANDVIKEN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45985-2021</t>
        </is>
      </c>
      <c r="B94" s="1" t="n">
        <v>44441</v>
      </c>
      <c r="C94" s="1" t="n">
        <v>46192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40926-2021</t>
        </is>
      </c>
      <c r="B95" s="1" t="n">
        <v>44421</v>
      </c>
      <c r="C95" s="1" t="n">
        <v>46192</v>
      </c>
      <c r="D95" t="inlineStr">
        <is>
          <t>GÄVLEBORGS LÄN</t>
        </is>
      </c>
      <c r="E95" t="inlineStr">
        <is>
          <t>SANDVIKEN</t>
        </is>
      </c>
      <c r="F95" t="inlineStr">
        <is>
          <t>Naturvårdsverket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47632-2021</t>
        </is>
      </c>
      <c r="B96" s="1" t="n">
        <v>44448</v>
      </c>
      <c r="C96" s="1" t="n">
        <v>46192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33410-2021</t>
        </is>
      </c>
      <c r="B97" s="1" t="n">
        <v>44377</v>
      </c>
      <c r="C97" s="1" t="n">
        <v>46192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43465-2021</t>
        </is>
      </c>
      <c r="B98" s="1" t="n">
        <v>44432</v>
      </c>
      <c r="C98" s="1" t="n">
        <v>46192</v>
      </c>
      <c r="D98" t="inlineStr">
        <is>
          <t>GÄVLEBORGS LÄN</t>
        </is>
      </c>
      <c r="E98" t="inlineStr">
        <is>
          <t>SANDVIKEN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30391-2022</t>
        </is>
      </c>
      <c r="B99" s="1" t="n">
        <v>44760</v>
      </c>
      <c r="C99" s="1" t="n">
        <v>46192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52276-2022</t>
        </is>
      </c>
      <c r="B100" s="1" t="n">
        <v>44873</v>
      </c>
      <c r="C100" s="1" t="n">
        <v>46192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55082-2021</t>
        </is>
      </c>
      <c r="B101" s="1" t="n">
        <v>44474</v>
      </c>
      <c r="C101" s="1" t="n">
        <v>46192</v>
      </c>
      <c r="D101" t="inlineStr">
        <is>
          <t>GÄVLEBORGS LÄN</t>
        </is>
      </c>
      <c r="E101" t="inlineStr">
        <is>
          <t>SANDVIKEN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47720-2022</t>
        </is>
      </c>
      <c r="B102" s="1" t="n">
        <v>44854</v>
      </c>
      <c r="C102" s="1" t="n">
        <v>46192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64720-2021</t>
        </is>
      </c>
      <c r="B103" s="1" t="n">
        <v>44512</v>
      </c>
      <c r="C103" s="1" t="n">
        <v>46192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11923-2022</t>
        </is>
      </c>
      <c r="B104" s="1" t="n">
        <v>44635</v>
      </c>
      <c r="C104" s="1" t="n">
        <v>46192</v>
      </c>
      <c r="D104" t="inlineStr">
        <is>
          <t>GÄVLEBORGS LÄN</t>
        </is>
      </c>
      <c r="E104" t="inlineStr">
        <is>
          <t>SANDVIKEN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5825-2022</t>
        </is>
      </c>
      <c r="B105" s="1" t="n">
        <v>44596</v>
      </c>
      <c r="C105" s="1" t="n">
        <v>46192</v>
      </c>
      <c r="D105" t="inlineStr">
        <is>
          <t>GÄVLEBORGS LÄN</t>
        </is>
      </c>
      <c r="E105" t="inlineStr">
        <is>
          <t>SANDVIKEN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53258-2022</t>
        </is>
      </c>
      <c r="B106" s="1" t="n">
        <v>44876</v>
      </c>
      <c r="C106" s="1" t="n">
        <v>46192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5610-2022</t>
        </is>
      </c>
      <c r="B107" s="1" t="n">
        <v>44595</v>
      </c>
      <c r="C107" s="1" t="n">
        <v>46192</v>
      </c>
      <c r="D107" t="inlineStr">
        <is>
          <t>GÄVLEBORGS LÄN</t>
        </is>
      </c>
      <c r="E107" t="inlineStr">
        <is>
          <t>SANDVIKEN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60405-2021</t>
        </is>
      </c>
      <c r="B108" s="1" t="n">
        <v>44496</v>
      </c>
      <c r="C108" s="1" t="n">
        <v>46192</v>
      </c>
      <c r="D108" t="inlineStr">
        <is>
          <t>GÄVLEBORGS LÄN</t>
        </is>
      </c>
      <c r="E108" t="inlineStr">
        <is>
          <t>SANDVIKEN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61616-2021</t>
        </is>
      </c>
      <c r="B109" s="1" t="n">
        <v>44501</v>
      </c>
      <c r="C109" s="1" t="n">
        <v>46192</v>
      </c>
      <c r="D109" t="inlineStr">
        <is>
          <t>GÄVLEBORGS LÄN</t>
        </is>
      </c>
      <c r="E109" t="inlineStr">
        <is>
          <t>SANDVIKEN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66590-2021</t>
        </is>
      </c>
      <c r="B110" s="1" t="n">
        <v>44519</v>
      </c>
      <c r="C110" s="1" t="n">
        <v>46192</v>
      </c>
      <c r="D110" t="inlineStr">
        <is>
          <t>GÄVLEBORGS LÄN</t>
        </is>
      </c>
      <c r="E110" t="inlineStr">
        <is>
          <t>SANDVIKEN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5430-2022</t>
        </is>
      </c>
      <c r="B111" s="1" t="n">
        <v>44595</v>
      </c>
      <c r="C111" s="1" t="n">
        <v>46192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46854-2021</t>
        </is>
      </c>
      <c r="B112" s="1" t="n">
        <v>44446</v>
      </c>
      <c r="C112" s="1" t="n">
        <v>46192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34930-2021</t>
        </is>
      </c>
      <c r="B113" s="1" t="n">
        <v>44383</v>
      </c>
      <c r="C113" s="1" t="n">
        <v>46192</v>
      </c>
      <c r="D113" t="inlineStr">
        <is>
          <t>GÄVLEBORGS LÄN</t>
        </is>
      </c>
      <c r="E113" t="inlineStr">
        <is>
          <t>SANDVIKEN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49493-2022</t>
        </is>
      </c>
      <c r="B114" s="1" t="n">
        <v>44861</v>
      </c>
      <c r="C114" s="1" t="n">
        <v>46192</v>
      </c>
      <c r="D114" t="inlineStr">
        <is>
          <t>GÄVLEBORGS LÄN</t>
        </is>
      </c>
      <c r="E114" t="inlineStr">
        <is>
          <t>SANDVIKEN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39241-2022</t>
        </is>
      </c>
      <c r="B115" s="1" t="n">
        <v>44817</v>
      </c>
      <c r="C115" s="1" t="n">
        <v>46192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47718-2022</t>
        </is>
      </c>
      <c r="B116" s="1" t="n">
        <v>44854</v>
      </c>
      <c r="C116" s="1" t="n">
        <v>46192</v>
      </c>
      <c r="D116" t="inlineStr">
        <is>
          <t>GÄVLEBORGS LÄN</t>
        </is>
      </c>
      <c r="E116" t="inlineStr">
        <is>
          <t>SANDVIKEN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67180-2021</t>
        </is>
      </c>
      <c r="B117" s="1" t="n">
        <v>44523</v>
      </c>
      <c r="C117" s="1" t="n">
        <v>46192</v>
      </c>
      <c r="D117" t="inlineStr">
        <is>
          <t>GÄVLEBORGS LÄN</t>
        </is>
      </c>
      <c r="E117" t="inlineStr">
        <is>
          <t>SANDVIKEN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22654-2022</t>
        </is>
      </c>
      <c r="B118" s="1" t="n">
        <v>44714</v>
      </c>
      <c r="C118" s="1" t="n">
        <v>46192</v>
      </c>
      <c r="D118" t="inlineStr">
        <is>
          <t>GÄVLEBORGS LÄN</t>
        </is>
      </c>
      <c r="E118" t="inlineStr">
        <is>
          <t>SANDVIKEN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61537-2023</t>
        </is>
      </c>
      <c r="B119" s="1" t="n">
        <v>45265</v>
      </c>
      <c r="C119" s="1" t="n">
        <v>46192</v>
      </c>
      <c r="D119" t="inlineStr">
        <is>
          <t>GÄVLEBORGS LÄN</t>
        </is>
      </c>
      <c r="E119" t="inlineStr">
        <is>
          <t>SANDVIKEN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42287-2021</t>
        </is>
      </c>
      <c r="B120" s="1" t="n">
        <v>44427</v>
      </c>
      <c r="C120" s="1" t="n">
        <v>46192</v>
      </c>
      <c r="D120" t="inlineStr">
        <is>
          <t>GÄVLEBORGS LÄN</t>
        </is>
      </c>
      <c r="E120" t="inlineStr">
        <is>
          <t>SANDVIKEN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39170-2022</t>
        </is>
      </c>
      <c r="B121" s="1" t="n">
        <v>44817</v>
      </c>
      <c r="C121" s="1" t="n">
        <v>46192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5244-2024</t>
        </is>
      </c>
      <c r="B122" s="1" t="n">
        <v>45330</v>
      </c>
      <c r="C122" s="1" t="n">
        <v>46192</v>
      </c>
      <c r="D122" t="inlineStr">
        <is>
          <t>GÄVLEBORGS LÄN</t>
        </is>
      </c>
      <c r="E122" t="inlineStr">
        <is>
          <t>SANDVIKEN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3748-2022</t>
        </is>
      </c>
      <c r="B123" s="1" t="n">
        <v>44586</v>
      </c>
      <c r="C123" s="1" t="n">
        <v>46192</v>
      </c>
      <c r="D123" t="inlineStr">
        <is>
          <t>GÄVLEBORGS LÄN</t>
        </is>
      </c>
      <c r="E123" t="inlineStr">
        <is>
          <t>SANDVIKEN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38845-2025</t>
        </is>
      </c>
      <c r="B124" s="1" t="n">
        <v>45887</v>
      </c>
      <c r="C124" s="1" t="n">
        <v>46192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38524-2025</t>
        </is>
      </c>
      <c r="B125" s="1" t="n">
        <v>45884</v>
      </c>
      <c r="C125" s="1" t="n">
        <v>46192</v>
      </c>
      <c r="D125" t="inlineStr">
        <is>
          <t>GÄVLEBORGS LÄN</t>
        </is>
      </c>
      <c r="E125" t="inlineStr">
        <is>
          <t>SANDVIKEN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58911-2023</t>
        </is>
      </c>
      <c r="B126" s="1" t="n">
        <v>45250</v>
      </c>
      <c r="C126" s="1" t="n">
        <v>46192</v>
      </c>
      <c r="D126" t="inlineStr">
        <is>
          <t>GÄVLEBORGS LÄN</t>
        </is>
      </c>
      <c r="E126" t="inlineStr">
        <is>
          <t>SANDVIKEN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39591-2024</t>
        </is>
      </c>
      <c r="B127" s="1" t="n">
        <v>45552</v>
      </c>
      <c r="C127" s="1" t="n">
        <v>46192</v>
      </c>
      <c r="D127" t="inlineStr">
        <is>
          <t>GÄVLEBORGS LÄN</t>
        </is>
      </c>
      <c r="E127" t="inlineStr">
        <is>
          <t>SANDVIKEN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16603-2022</t>
        </is>
      </c>
      <c r="B128" s="1" t="n">
        <v>44672</v>
      </c>
      <c r="C128" s="1" t="n">
        <v>46192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38673-2025</t>
        </is>
      </c>
      <c r="B129" s="1" t="n">
        <v>45884</v>
      </c>
      <c r="C129" s="1" t="n">
        <v>46192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38846-2025</t>
        </is>
      </c>
      <c r="B130" s="1" t="n">
        <v>45887</v>
      </c>
      <c r="C130" s="1" t="n">
        <v>46192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30714-2023</t>
        </is>
      </c>
      <c r="B131" s="1" t="n">
        <v>45112</v>
      </c>
      <c r="C131" s="1" t="n">
        <v>46192</v>
      </c>
      <c r="D131" t="inlineStr">
        <is>
          <t>GÄVLEBORGS LÄN</t>
        </is>
      </c>
      <c r="E131" t="inlineStr">
        <is>
          <t>SANDVIKEN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11993-2022</t>
        </is>
      </c>
      <c r="B132" s="1" t="n">
        <v>44635</v>
      </c>
      <c r="C132" s="1" t="n">
        <v>46192</v>
      </c>
      <c r="D132" t="inlineStr">
        <is>
          <t>GÄVLEBORGS LÄN</t>
        </is>
      </c>
      <c r="E132" t="inlineStr">
        <is>
          <t>SANDVIKEN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25265-2025</t>
        </is>
      </c>
      <c r="B133" s="1" t="n">
        <v>45800</v>
      </c>
      <c r="C133" s="1" t="n">
        <v>46192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6947-2022</t>
        </is>
      </c>
      <c r="B134" s="1" t="n">
        <v>44603</v>
      </c>
      <c r="C134" s="1" t="n">
        <v>46192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38676-2025</t>
        </is>
      </c>
      <c r="B135" s="1" t="n">
        <v>45884</v>
      </c>
      <c r="C135" s="1" t="n">
        <v>46192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38677-2025</t>
        </is>
      </c>
      <c r="B136" s="1" t="n">
        <v>45884</v>
      </c>
      <c r="C136" s="1" t="n">
        <v>46192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15907-2023</t>
        </is>
      </c>
      <c r="B137" s="1" t="n">
        <v>45022</v>
      </c>
      <c r="C137" s="1" t="n">
        <v>46192</v>
      </c>
      <c r="D137" t="inlineStr">
        <is>
          <t>GÄVLEBORGS LÄN</t>
        </is>
      </c>
      <c r="E137" t="inlineStr">
        <is>
          <t>SANDVIKEN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63309-2023</t>
        </is>
      </c>
      <c r="B138" s="1" t="n">
        <v>45274</v>
      </c>
      <c r="C138" s="1" t="n">
        <v>46192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39283-2025</t>
        </is>
      </c>
      <c r="B139" s="1" t="n">
        <v>45889</v>
      </c>
      <c r="C139" s="1" t="n">
        <v>46192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17818-2025</t>
        </is>
      </c>
      <c r="B140" s="1" t="n">
        <v>45758</v>
      </c>
      <c r="C140" s="1" t="n">
        <v>46192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29928-2024</t>
        </is>
      </c>
      <c r="B141" s="1" t="n">
        <v>45488</v>
      </c>
      <c r="C141" s="1" t="n">
        <v>46192</v>
      </c>
      <c r="D141" t="inlineStr">
        <is>
          <t>GÄVLEBORGS LÄN</t>
        </is>
      </c>
      <c r="E141" t="inlineStr">
        <is>
          <t>SANDVIKEN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53719-2024</t>
        </is>
      </c>
      <c r="B142" s="1" t="n">
        <v>45615</v>
      </c>
      <c r="C142" s="1" t="n">
        <v>46192</v>
      </c>
      <c r="D142" t="inlineStr">
        <is>
          <t>GÄVLEBORGS LÄN</t>
        </is>
      </c>
      <c r="E142" t="inlineStr">
        <is>
          <t>SANDVIKEN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64225-2021</t>
        </is>
      </c>
      <c r="B143" s="1" t="n">
        <v>44510</v>
      </c>
      <c r="C143" s="1" t="n">
        <v>46192</v>
      </c>
      <c r="D143" t="inlineStr">
        <is>
          <t>GÄVLEBORGS LÄN</t>
        </is>
      </c>
      <c r="E143" t="inlineStr">
        <is>
          <t>SANDVIKEN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27987-2024</t>
        </is>
      </c>
      <c r="B144" s="1" t="n">
        <v>45476</v>
      </c>
      <c r="C144" s="1" t="n">
        <v>46192</v>
      </c>
      <c r="D144" t="inlineStr">
        <is>
          <t>GÄVLEBORGS LÄN</t>
        </is>
      </c>
      <c r="E144" t="inlineStr">
        <is>
          <t>SANDVIKEN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46269-2025</t>
        </is>
      </c>
      <c r="B145" s="1" t="n">
        <v>45925</v>
      </c>
      <c r="C145" s="1" t="n">
        <v>46192</v>
      </c>
      <c r="D145" t="inlineStr">
        <is>
          <t>GÄVLEBORGS LÄN</t>
        </is>
      </c>
      <c r="E145" t="inlineStr">
        <is>
          <t>SANDVIKEN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46618-2025</t>
        </is>
      </c>
      <c r="B146" s="1" t="n">
        <v>45926</v>
      </c>
      <c r="C146" s="1" t="n">
        <v>46192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46730-2025</t>
        </is>
      </c>
      <c r="B147" s="1" t="n">
        <v>45926</v>
      </c>
      <c r="C147" s="1" t="n">
        <v>46192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39049-2025</t>
        </is>
      </c>
      <c r="B148" s="1" t="n">
        <v>45888</v>
      </c>
      <c r="C148" s="1" t="n">
        <v>46192</v>
      </c>
      <c r="D148" t="inlineStr">
        <is>
          <t>GÄVLEBORGS LÄN</t>
        </is>
      </c>
      <c r="E148" t="inlineStr">
        <is>
          <t>SANDVIKEN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46727-2025</t>
        </is>
      </c>
      <c r="B149" s="1" t="n">
        <v>45926</v>
      </c>
      <c r="C149" s="1" t="n">
        <v>46192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45221-2021</t>
        </is>
      </c>
      <c r="B150" s="1" t="n">
        <v>44439</v>
      </c>
      <c r="C150" s="1" t="n">
        <v>46192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46621-2025</t>
        </is>
      </c>
      <c r="B151" s="1" t="n">
        <v>45926</v>
      </c>
      <c r="C151" s="1" t="n">
        <v>46192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46607-2025</t>
        </is>
      </c>
      <c r="B152" s="1" t="n">
        <v>45926</v>
      </c>
      <c r="C152" s="1" t="n">
        <v>46192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47396-2025</t>
        </is>
      </c>
      <c r="B153" s="1" t="n">
        <v>45930</v>
      </c>
      <c r="C153" s="1" t="n">
        <v>46192</v>
      </c>
      <c r="D153" t="inlineStr">
        <is>
          <t>GÄVLEBORGS LÄN</t>
        </is>
      </c>
      <c r="E153" t="inlineStr">
        <is>
          <t>SANDVIKEN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47770-2025</t>
        </is>
      </c>
      <c r="B154" s="1" t="n">
        <v>45931</v>
      </c>
      <c r="C154" s="1" t="n">
        <v>46192</v>
      </c>
      <c r="D154" t="inlineStr">
        <is>
          <t>GÄVLEBORGS LÄN</t>
        </is>
      </c>
      <c r="E154" t="inlineStr">
        <is>
          <t>SANDVIKEN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39877-2025</t>
        </is>
      </c>
      <c r="B155" s="1" t="n">
        <v>45891</v>
      </c>
      <c r="C155" s="1" t="n">
        <v>46192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48261-2025</t>
        </is>
      </c>
      <c r="B156" s="1" t="n">
        <v>45933</v>
      </c>
      <c r="C156" s="1" t="n">
        <v>46192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48268-2025</t>
        </is>
      </c>
      <c r="B157" s="1" t="n">
        <v>45933</v>
      </c>
      <c r="C157" s="1" t="n">
        <v>46192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29832-2025</t>
        </is>
      </c>
      <c r="B158" s="1" t="n">
        <v>45825</v>
      </c>
      <c r="C158" s="1" t="n">
        <v>46192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19419-2025</t>
        </is>
      </c>
      <c r="B159" s="1" t="n">
        <v>45769</v>
      </c>
      <c r="C159" s="1" t="n">
        <v>46192</v>
      </c>
      <c r="D159" t="inlineStr">
        <is>
          <t>GÄVLEBORGS LÄN</t>
        </is>
      </c>
      <c r="E159" t="inlineStr">
        <is>
          <t>SANDVIKEN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48263-2025</t>
        </is>
      </c>
      <c r="B160" s="1" t="n">
        <v>45933</v>
      </c>
      <c r="C160" s="1" t="n">
        <v>46192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48963-2025</t>
        </is>
      </c>
      <c r="B161" s="1" t="n">
        <v>45936</v>
      </c>
      <c r="C161" s="1" t="n">
        <v>46192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14840-2022</t>
        </is>
      </c>
      <c r="B162" s="1" t="n">
        <v>44656</v>
      </c>
      <c r="C162" s="1" t="n">
        <v>46192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11438-2023</t>
        </is>
      </c>
      <c r="B163" s="1" t="n">
        <v>44988</v>
      </c>
      <c r="C163" s="1" t="n">
        <v>46192</v>
      </c>
      <c r="D163" t="inlineStr">
        <is>
          <t>GÄVLEBORGS LÄN</t>
        </is>
      </c>
      <c r="E163" t="inlineStr">
        <is>
          <t>SANDVIKEN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11447-2023</t>
        </is>
      </c>
      <c r="B164" s="1" t="n">
        <v>44988</v>
      </c>
      <c r="C164" s="1" t="n">
        <v>46192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40588-2025</t>
        </is>
      </c>
      <c r="B165" s="1" t="n">
        <v>45896</v>
      </c>
      <c r="C165" s="1" t="n">
        <v>46192</v>
      </c>
      <c r="D165" t="inlineStr">
        <is>
          <t>GÄVLEBORGS LÄN</t>
        </is>
      </c>
      <c r="E165" t="inlineStr">
        <is>
          <t>SANDVIKEN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45299-2023</t>
        </is>
      </c>
      <c r="B166" s="1" t="n">
        <v>45191</v>
      </c>
      <c r="C166" s="1" t="n">
        <v>46192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45920-2022</t>
        </is>
      </c>
      <c r="B167" s="1" t="n">
        <v>44846</v>
      </c>
      <c r="C167" s="1" t="n">
        <v>46192</v>
      </c>
      <c r="D167" t="inlineStr">
        <is>
          <t>GÄVLEBORGS LÄN</t>
        </is>
      </c>
      <c r="E167" t="inlineStr">
        <is>
          <t>SANDVIKEN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49021-2025</t>
        </is>
      </c>
      <c r="B168" s="1" t="n">
        <v>45937</v>
      </c>
      <c r="C168" s="1" t="n">
        <v>46192</v>
      </c>
      <c r="D168" t="inlineStr">
        <is>
          <t>GÄVLEBORGS LÄN</t>
        </is>
      </c>
      <c r="E168" t="inlineStr">
        <is>
          <t>SANDVIKEN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48761-2025</t>
        </is>
      </c>
      <c r="B169" s="1" t="n">
        <v>45936</v>
      </c>
      <c r="C169" s="1" t="n">
        <v>46192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34013-2024</t>
        </is>
      </c>
      <c r="B170" s="1" t="n">
        <v>45523</v>
      </c>
      <c r="C170" s="1" t="n">
        <v>46192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41348-2025</t>
        </is>
      </c>
      <c r="B171" s="1" t="n">
        <v>45899</v>
      </c>
      <c r="C171" s="1" t="n">
        <v>46192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41111-2025</t>
        </is>
      </c>
      <c r="B172" s="1" t="n">
        <v>45898</v>
      </c>
      <c r="C172" s="1" t="n">
        <v>46192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49446-2025</t>
        </is>
      </c>
      <c r="B173" s="1" t="n">
        <v>45938</v>
      </c>
      <c r="C173" s="1" t="n">
        <v>46192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49454-2025</t>
        </is>
      </c>
      <c r="B174" s="1" t="n">
        <v>45939</v>
      </c>
      <c r="C174" s="1" t="n">
        <v>46192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49217-2025</t>
        </is>
      </c>
      <c r="B175" s="1" t="n">
        <v>45938</v>
      </c>
      <c r="C175" s="1" t="n">
        <v>46192</v>
      </c>
      <c r="D175" t="inlineStr">
        <is>
          <t>GÄVLEBORGS LÄN</t>
        </is>
      </c>
      <c r="E175" t="inlineStr">
        <is>
          <t>SANDVIKEN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49042-2025</t>
        </is>
      </c>
      <c r="B176" s="1" t="n">
        <v>45937</v>
      </c>
      <c r="C176" s="1" t="n">
        <v>46192</v>
      </c>
      <c r="D176" t="inlineStr">
        <is>
          <t>GÄVLEBORGS LÄN</t>
        </is>
      </c>
      <c r="E176" t="inlineStr">
        <is>
          <t>SANDVIKEN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49320-2025</t>
        </is>
      </c>
      <c r="B177" s="1" t="n">
        <v>45938</v>
      </c>
      <c r="C177" s="1" t="n">
        <v>46192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50012-2025</t>
        </is>
      </c>
      <c r="B178" s="1" t="n">
        <v>45943</v>
      </c>
      <c r="C178" s="1" t="n">
        <v>46192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16.6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1712-2025</t>
        </is>
      </c>
      <c r="B179" s="1" t="n">
        <v>45671</v>
      </c>
      <c r="C179" s="1" t="n">
        <v>46192</v>
      </c>
      <c r="D179" t="inlineStr">
        <is>
          <t>GÄVLEBORGS LÄN</t>
        </is>
      </c>
      <c r="E179" t="inlineStr">
        <is>
          <t>SANDVIKEN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50665-2025</t>
        </is>
      </c>
      <c r="B180" s="1" t="n">
        <v>45945</v>
      </c>
      <c r="C180" s="1" t="n">
        <v>46192</v>
      </c>
      <c r="D180" t="inlineStr">
        <is>
          <t>GÄVLEBORGS LÄN</t>
        </is>
      </c>
      <c r="E180" t="inlineStr">
        <is>
          <t>SANDVIKEN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45279-2023</t>
        </is>
      </c>
      <c r="B181" s="1" t="n">
        <v>45191</v>
      </c>
      <c r="C181" s="1" t="n">
        <v>46192</v>
      </c>
      <c r="D181" t="inlineStr">
        <is>
          <t>GÄVLEBORGS LÄN</t>
        </is>
      </c>
      <c r="E181" t="inlineStr">
        <is>
          <t>SANDVIKEN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47395-2025</t>
        </is>
      </c>
      <c r="B182" s="1" t="n">
        <v>45930</v>
      </c>
      <c r="C182" s="1" t="n">
        <v>46192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47398-2025</t>
        </is>
      </c>
      <c r="B183" s="1" t="n">
        <v>45930</v>
      </c>
      <c r="C183" s="1" t="n">
        <v>46192</v>
      </c>
      <c r="D183" t="inlineStr">
        <is>
          <t>GÄVLEBORGS LÄN</t>
        </is>
      </c>
      <c r="E183" t="inlineStr">
        <is>
          <t>SANDVIKEN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50552-2025</t>
        </is>
      </c>
      <c r="B184" s="1" t="n">
        <v>45945</v>
      </c>
      <c r="C184" s="1" t="n">
        <v>46192</v>
      </c>
      <c r="D184" t="inlineStr">
        <is>
          <t>GÄVLEBORGS LÄN</t>
        </is>
      </c>
      <c r="E184" t="inlineStr">
        <is>
          <t>SANDVIKEN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50851-2025</t>
        </is>
      </c>
      <c r="B185" s="1" t="n">
        <v>45946</v>
      </c>
      <c r="C185" s="1" t="n">
        <v>46192</v>
      </c>
      <c r="D185" t="inlineStr">
        <is>
          <t>GÄVLEBORGS LÄN</t>
        </is>
      </c>
      <c r="E185" t="inlineStr">
        <is>
          <t>SANDVIKEN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48187-2025</t>
        </is>
      </c>
      <c r="B186" s="1" t="n">
        <v>45933</v>
      </c>
      <c r="C186" s="1" t="n">
        <v>46192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50833-2025</t>
        </is>
      </c>
      <c r="B187" s="1" t="n">
        <v>45946</v>
      </c>
      <c r="C187" s="1" t="n">
        <v>46192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11897-2024</t>
        </is>
      </c>
      <c r="B188" s="1" t="n">
        <v>45376</v>
      </c>
      <c r="C188" s="1" t="n">
        <v>46192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45562-2022</t>
        </is>
      </c>
      <c r="B189" s="1" t="n">
        <v>44845</v>
      </c>
      <c r="C189" s="1" t="n">
        <v>46192</v>
      </c>
      <c r="D189" t="inlineStr">
        <is>
          <t>GÄVLEBORGS LÄN</t>
        </is>
      </c>
      <c r="E189" t="inlineStr">
        <is>
          <t>SANDVIKEN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64587-2023</t>
        </is>
      </c>
      <c r="B190" s="1" t="n">
        <v>45281</v>
      </c>
      <c r="C190" s="1" t="n">
        <v>46192</v>
      </c>
      <c r="D190" t="inlineStr">
        <is>
          <t>GÄVLEBORGS LÄN</t>
        </is>
      </c>
      <c r="E190" t="inlineStr">
        <is>
          <t>SANDVIKEN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49704-2023</t>
        </is>
      </c>
      <c r="B191" s="1" t="n">
        <v>45212</v>
      </c>
      <c r="C191" s="1" t="n">
        <v>46192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23217-2023</t>
        </is>
      </c>
      <c r="B192" s="1" t="n">
        <v>45075</v>
      </c>
      <c r="C192" s="1" t="n">
        <v>46192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61848-2023</t>
        </is>
      </c>
      <c r="B193" s="1" t="n">
        <v>45265</v>
      </c>
      <c r="C193" s="1" t="n">
        <v>46192</v>
      </c>
      <c r="D193" t="inlineStr">
        <is>
          <t>GÄVLEBORGS LÄN</t>
        </is>
      </c>
      <c r="E193" t="inlineStr">
        <is>
          <t>SANDVIKEN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42069-2024</t>
        </is>
      </c>
      <c r="B194" s="1" t="n">
        <v>45562</v>
      </c>
      <c r="C194" s="1" t="n">
        <v>46192</v>
      </c>
      <c r="D194" t="inlineStr">
        <is>
          <t>GÄVLEBORGS LÄN</t>
        </is>
      </c>
      <c r="E194" t="inlineStr">
        <is>
          <t>SANDVIKEN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22070-2023</t>
        </is>
      </c>
      <c r="B195" s="1" t="n">
        <v>45069</v>
      </c>
      <c r="C195" s="1" t="n">
        <v>46192</v>
      </c>
      <c r="D195" t="inlineStr">
        <is>
          <t>GÄVLEBORGS LÄN</t>
        </is>
      </c>
      <c r="E195" t="inlineStr">
        <is>
          <t>SANDVIKEN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37458-2024</t>
        </is>
      </c>
      <c r="B196" s="1" t="n">
        <v>45540</v>
      </c>
      <c r="C196" s="1" t="n">
        <v>46192</v>
      </c>
      <c r="D196" t="inlineStr">
        <is>
          <t>GÄVLEBORGS LÄN</t>
        </is>
      </c>
      <c r="E196" t="inlineStr">
        <is>
          <t>SANDVIKEN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61859-2024</t>
        </is>
      </c>
      <c r="B197" s="1" t="n">
        <v>45649</v>
      </c>
      <c r="C197" s="1" t="n">
        <v>46192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52786-2025</t>
        </is>
      </c>
      <c r="B198" s="1" t="n">
        <v>45957</v>
      </c>
      <c r="C198" s="1" t="n">
        <v>46192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HYPERLINK("https://klasma.github.io/Logging_2181/knärot/A 52786-2025 karta knärot.png", "A 52786-2025")</f>
        <v/>
      </c>
      <c r="V198">
        <f>HYPERLINK("https://klasma.github.io/Logging_2181/klagomål/A 52786-2025 FSC-klagomål.docx", "A 52786-2025")</f>
        <v/>
      </c>
      <c r="W198">
        <f>HYPERLINK("https://klasma.github.io/Logging_2181/klagomålsmail/A 52786-2025 FSC-klagomål mail.docx", "A 52786-2025")</f>
        <v/>
      </c>
      <c r="X198">
        <f>HYPERLINK("https://klasma.github.io/Logging_2181/tillsyn/A 52786-2025 tillsynsbegäran.docx", "A 52786-2025")</f>
        <v/>
      </c>
      <c r="Y198">
        <f>HYPERLINK("https://klasma.github.io/Logging_2181/tillsynsmail/A 52786-2025 tillsynsbegäran mail.docx", "A 52786-2025")</f>
        <v/>
      </c>
    </row>
    <row r="199" ht="15" customHeight="1">
      <c r="A199" t="inlineStr">
        <is>
          <t>A 19771-2025</t>
        </is>
      </c>
      <c r="B199" s="1" t="n">
        <v>45771</v>
      </c>
      <c r="C199" s="1" t="n">
        <v>46192</v>
      </c>
      <c r="D199" t="inlineStr">
        <is>
          <t>GÄVLEBORGS LÄN</t>
        </is>
      </c>
      <c r="E199" t="inlineStr">
        <is>
          <t>SANDVIKEN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23085-2023</t>
        </is>
      </c>
      <c r="B200" s="1" t="n">
        <v>45075</v>
      </c>
      <c r="C200" s="1" t="n">
        <v>46192</v>
      </c>
      <c r="D200" t="inlineStr">
        <is>
          <t>GÄVLEBORGS LÄN</t>
        </is>
      </c>
      <c r="E200" t="inlineStr">
        <is>
          <t>SANDVIKEN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36833-2022</t>
        </is>
      </c>
      <c r="B201" s="1" t="n">
        <v>44805</v>
      </c>
      <c r="C201" s="1" t="n">
        <v>46192</v>
      </c>
      <c r="D201" t="inlineStr">
        <is>
          <t>GÄVLEBORGS LÄN</t>
        </is>
      </c>
      <c r="E201" t="inlineStr">
        <is>
          <t>SANDVIKEN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57302-2024</t>
        </is>
      </c>
      <c r="B202" s="1" t="n">
        <v>45629</v>
      </c>
      <c r="C202" s="1" t="n">
        <v>46192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37232-2024</t>
        </is>
      </c>
      <c r="B203" s="1" t="n">
        <v>45540</v>
      </c>
      <c r="C203" s="1" t="n">
        <v>46192</v>
      </c>
      <c r="D203" t="inlineStr">
        <is>
          <t>GÄVLEBORGS LÄN</t>
        </is>
      </c>
      <c r="E203" t="inlineStr">
        <is>
          <t>SANDVIKEN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28063-2023</t>
        </is>
      </c>
      <c r="B204" s="1" t="n">
        <v>45099</v>
      </c>
      <c r="C204" s="1" t="n">
        <v>46192</v>
      </c>
      <c r="D204" t="inlineStr">
        <is>
          <t>GÄVLEBORGS LÄN</t>
        </is>
      </c>
      <c r="E204" t="inlineStr">
        <is>
          <t>SANDVIKEN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43230-2025</t>
        </is>
      </c>
      <c r="B205" s="1" t="n">
        <v>45910</v>
      </c>
      <c r="C205" s="1" t="n">
        <v>46192</v>
      </c>
      <c r="D205" t="inlineStr">
        <is>
          <t>GÄVLEBORGS LÄN</t>
        </is>
      </c>
      <c r="E205" t="inlineStr">
        <is>
          <t>SANDVIKEN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43210-2025</t>
        </is>
      </c>
      <c r="B206" s="1" t="n">
        <v>45910</v>
      </c>
      <c r="C206" s="1" t="n">
        <v>46192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56036-2023</t>
        </is>
      </c>
      <c r="B207" s="1" t="n">
        <v>45240</v>
      </c>
      <c r="C207" s="1" t="n">
        <v>46192</v>
      </c>
      <c r="D207" t="inlineStr">
        <is>
          <t>GÄVLEBORGS LÄN</t>
        </is>
      </c>
      <c r="E207" t="inlineStr">
        <is>
          <t>SANDVIKEN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59738-2022</t>
        </is>
      </c>
      <c r="B208" s="1" t="n">
        <v>44908</v>
      </c>
      <c r="C208" s="1" t="n">
        <v>46192</v>
      </c>
      <c r="D208" t="inlineStr">
        <is>
          <t>GÄVLEBORGS LÄN</t>
        </is>
      </c>
      <c r="E208" t="inlineStr">
        <is>
          <t>SANDVIKEN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44450-2025</t>
        </is>
      </c>
      <c r="B209" s="1" t="n">
        <v>45916</v>
      </c>
      <c r="C209" s="1" t="n">
        <v>46192</v>
      </c>
      <c r="D209" t="inlineStr">
        <is>
          <t>GÄVLEBORGS LÄN</t>
        </is>
      </c>
      <c r="E209" t="inlineStr">
        <is>
          <t>SANDVIKEN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45103-2025</t>
        </is>
      </c>
      <c r="B210" s="1" t="n">
        <v>45919</v>
      </c>
      <c r="C210" s="1" t="n">
        <v>46192</v>
      </c>
      <c r="D210" t="inlineStr">
        <is>
          <t>GÄVLEBORGS LÄN</t>
        </is>
      </c>
      <c r="E210" t="inlineStr">
        <is>
          <t>SANDVIKEN</t>
        </is>
      </c>
      <c r="F210" t="inlineStr">
        <is>
          <t>Kyrkan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56017-2023</t>
        </is>
      </c>
      <c r="B211" s="1" t="n">
        <v>45240</v>
      </c>
      <c r="C211" s="1" t="n">
        <v>46192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45090-2025</t>
        </is>
      </c>
      <c r="B212" s="1" t="n">
        <v>45919</v>
      </c>
      <c r="C212" s="1" t="n">
        <v>46192</v>
      </c>
      <c r="D212" t="inlineStr">
        <is>
          <t>GÄVLEBORGS LÄN</t>
        </is>
      </c>
      <c r="E212" t="inlineStr">
        <is>
          <t>SANDVIKEN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46321-2025</t>
        </is>
      </c>
      <c r="B213" s="1" t="n">
        <v>45925</v>
      </c>
      <c r="C213" s="1" t="n">
        <v>46192</v>
      </c>
      <c r="D213" t="inlineStr">
        <is>
          <t>GÄVLEBORGS LÄN</t>
        </is>
      </c>
      <c r="E213" t="inlineStr">
        <is>
          <t>SANDVIKEN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59661-2024</t>
        </is>
      </c>
      <c r="B214" s="1" t="n">
        <v>45639</v>
      </c>
      <c r="C214" s="1" t="n">
        <v>46192</v>
      </c>
      <c r="D214" t="inlineStr">
        <is>
          <t>GÄVLEBORGS LÄN</t>
        </is>
      </c>
      <c r="E214" t="inlineStr">
        <is>
          <t>SANDVIKEN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5586-2025</t>
        </is>
      </c>
      <c r="B215" s="1" t="n">
        <v>45693</v>
      </c>
      <c r="C215" s="1" t="n">
        <v>46192</v>
      </c>
      <c r="D215" t="inlineStr">
        <is>
          <t>GÄVLEBORGS LÄN</t>
        </is>
      </c>
      <c r="E215" t="inlineStr">
        <is>
          <t>SANDVIKEN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55106-2024</t>
        </is>
      </c>
      <c r="B216" s="1" t="n">
        <v>45621</v>
      </c>
      <c r="C216" s="1" t="n">
        <v>46192</v>
      </c>
      <c r="D216" t="inlineStr">
        <is>
          <t>GÄVLEBORGS LÄN</t>
        </is>
      </c>
      <c r="E216" t="inlineStr">
        <is>
          <t>SANDVIKEN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3456-2024</t>
        </is>
      </c>
      <c r="B217" s="1" t="n">
        <v>45320</v>
      </c>
      <c r="C217" s="1" t="n">
        <v>46192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11778-2024</t>
        </is>
      </c>
      <c r="B218" s="1" t="n">
        <v>45374</v>
      </c>
      <c r="C218" s="1" t="n">
        <v>46192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47710-2022</t>
        </is>
      </c>
      <c r="B219" s="1" t="n">
        <v>44854</v>
      </c>
      <c r="C219" s="1" t="n">
        <v>46192</v>
      </c>
      <c r="D219" t="inlineStr">
        <is>
          <t>GÄVLEBORGS LÄN</t>
        </is>
      </c>
      <c r="E219" t="inlineStr">
        <is>
          <t>SANDVIKEN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10260-2024</t>
        </is>
      </c>
      <c r="B220" s="1" t="n">
        <v>45365</v>
      </c>
      <c r="C220" s="1" t="n">
        <v>46192</v>
      </c>
      <c r="D220" t="inlineStr">
        <is>
          <t>GÄVLEBORGS LÄN</t>
        </is>
      </c>
      <c r="E220" t="inlineStr">
        <is>
          <t>SANDVIKEN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55595-2025</t>
        </is>
      </c>
      <c r="B221" s="1" t="n">
        <v>45971</v>
      </c>
      <c r="C221" s="1" t="n">
        <v>46192</v>
      </c>
      <c r="D221" t="inlineStr">
        <is>
          <t>GÄVLEBORGS LÄN</t>
        </is>
      </c>
      <c r="E221" t="inlineStr">
        <is>
          <t>SANDVIKEN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55355-2025</t>
        </is>
      </c>
      <c r="B222" s="1" t="n">
        <v>45971</v>
      </c>
      <c r="C222" s="1" t="n">
        <v>46192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48300-2023</t>
        </is>
      </c>
      <c r="B223" s="1" t="n">
        <v>45205</v>
      </c>
      <c r="C223" s="1" t="n">
        <v>46192</v>
      </c>
      <c r="D223" t="inlineStr">
        <is>
          <t>GÄVLEBORGS LÄN</t>
        </is>
      </c>
      <c r="E223" t="inlineStr">
        <is>
          <t>SANDVIKEN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55099-2025</t>
        </is>
      </c>
      <c r="B224" s="1" t="n">
        <v>45968</v>
      </c>
      <c r="C224" s="1" t="n">
        <v>46192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10578-2025</t>
        </is>
      </c>
      <c r="B225" s="1" t="n">
        <v>45721</v>
      </c>
      <c r="C225" s="1" t="n">
        <v>46192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44101-2023</t>
        </is>
      </c>
      <c r="B226" s="1" t="n">
        <v>45188</v>
      </c>
      <c r="C226" s="1" t="n">
        <v>46192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55607-2025</t>
        </is>
      </c>
      <c r="B227" s="1" t="n">
        <v>45971</v>
      </c>
      <c r="C227" s="1" t="n">
        <v>46192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29297-2024</t>
        </is>
      </c>
      <c r="B228" s="1" t="n">
        <v>45483</v>
      </c>
      <c r="C228" s="1" t="n">
        <v>46192</v>
      </c>
      <c r="D228" t="inlineStr">
        <is>
          <t>GÄVLEBORGS LÄN</t>
        </is>
      </c>
      <c r="E228" t="inlineStr">
        <is>
          <t>SANDVIKEN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11810-2023</t>
        </is>
      </c>
      <c r="B229" s="1" t="n">
        <v>44994</v>
      </c>
      <c r="C229" s="1" t="n">
        <v>46192</v>
      </c>
      <c r="D229" t="inlineStr">
        <is>
          <t>GÄVLEBORGS LÄN</t>
        </is>
      </c>
      <c r="E229" t="inlineStr">
        <is>
          <t>SANDVIKEN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53007-2023</t>
        </is>
      </c>
      <c r="B230" s="1" t="n">
        <v>45226</v>
      </c>
      <c r="C230" s="1" t="n">
        <v>46192</v>
      </c>
      <c r="D230" t="inlineStr">
        <is>
          <t>GÄVLEBORGS LÄN</t>
        </is>
      </c>
      <c r="E230" t="inlineStr">
        <is>
          <t>SANDVIKEN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7031-2025</t>
        </is>
      </c>
      <c r="B231" s="1" t="n">
        <v>45701</v>
      </c>
      <c r="C231" s="1" t="n">
        <v>46192</v>
      </c>
      <c r="D231" t="inlineStr">
        <is>
          <t>GÄVLEBORGS LÄN</t>
        </is>
      </c>
      <c r="E231" t="inlineStr">
        <is>
          <t>SANDVIKEN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37996-2024</t>
        </is>
      </c>
      <c r="B232" s="1" t="n">
        <v>45544</v>
      </c>
      <c r="C232" s="1" t="n">
        <v>46192</v>
      </c>
      <c r="D232" t="inlineStr">
        <is>
          <t>GÄVLEBORGS LÄN</t>
        </is>
      </c>
      <c r="E232" t="inlineStr">
        <is>
          <t>SANDVIKEN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56310-2021</t>
        </is>
      </c>
      <c r="B233" s="1" t="n">
        <v>44477</v>
      </c>
      <c r="C233" s="1" t="n">
        <v>46192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39566-2022</t>
        </is>
      </c>
      <c r="B234" s="1" t="n">
        <v>44818</v>
      </c>
      <c r="C234" s="1" t="n">
        <v>46192</v>
      </c>
      <c r="D234" t="inlineStr">
        <is>
          <t>GÄVLEBORGS LÄN</t>
        </is>
      </c>
      <c r="E234" t="inlineStr">
        <is>
          <t>SANDVIKEN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56587-2025</t>
        </is>
      </c>
      <c r="B235" s="1" t="n">
        <v>45975</v>
      </c>
      <c r="C235" s="1" t="n">
        <v>46192</v>
      </c>
      <c r="D235" t="inlineStr">
        <is>
          <t>GÄVLEBORGS LÄN</t>
        </is>
      </c>
      <c r="E235" t="inlineStr">
        <is>
          <t>SANDVIKEN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45284-2023</t>
        </is>
      </c>
      <c r="B236" s="1" t="n">
        <v>45191</v>
      </c>
      <c r="C236" s="1" t="n">
        <v>46192</v>
      </c>
      <c r="D236" t="inlineStr">
        <is>
          <t>GÄVLEBORGS LÄN</t>
        </is>
      </c>
      <c r="E236" t="inlineStr">
        <is>
          <t>SANDVIKEN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59614-2024</t>
        </is>
      </c>
      <c r="B237" s="1" t="n">
        <v>45638</v>
      </c>
      <c r="C237" s="1" t="n">
        <v>46192</v>
      </c>
      <c r="D237" t="inlineStr">
        <is>
          <t>GÄVLEBORGS LÄN</t>
        </is>
      </c>
      <c r="E237" t="inlineStr">
        <is>
          <t>SANDVIKEN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11385-2023</t>
        </is>
      </c>
      <c r="B238" s="1" t="n">
        <v>44988</v>
      </c>
      <c r="C238" s="1" t="n">
        <v>46192</v>
      </c>
      <c r="D238" t="inlineStr">
        <is>
          <t>GÄVLEBORGS LÄN</t>
        </is>
      </c>
      <c r="E238" t="inlineStr">
        <is>
          <t>SANDVIKEN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56703-2025</t>
        </is>
      </c>
      <c r="B239" s="1" t="n">
        <v>45977</v>
      </c>
      <c r="C239" s="1" t="n">
        <v>46192</v>
      </c>
      <c r="D239" t="inlineStr">
        <is>
          <t>GÄVLEBORGS LÄN</t>
        </is>
      </c>
      <c r="E239" t="inlineStr">
        <is>
          <t>SANDVIKEN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56755-2025</t>
        </is>
      </c>
      <c r="B240" s="1" t="n">
        <v>45978</v>
      </c>
      <c r="C240" s="1" t="n">
        <v>46192</v>
      </c>
      <c r="D240" t="inlineStr">
        <is>
          <t>GÄVLEBORGS LÄN</t>
        </is>
      </c>
      <c r="E240" t="inlineStr">
        <is>
          <t>SANDVIKEN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52932-2022</t>
        </is>
      </c>
      <c r="B241" s="1" t="n">
        <v>44875</v>
      </c>
      <c r="C241" s="1" t="n">
        <v>46192</v>
      </c>
      <c r="D241" t="inlineStr">
        <is>
          <t>GÄVLEBORGS LÄN</t>
        </is>
      </c>
      <c r="E241" t="inlineStr">
        <is>
          <t>SANDVIKEN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11393-2023</t>
        </is>
      </c>
      <c r="B242" s="1" t="n">
        <v>44988</v>
      </c>
      <c r="C242" s="1" t="n">
        <v>46192</v>
      </c>
      <c r="D242" t="inlineStr">
        <is>
          <t>GÄVLEBORGS LÄN</t>
        </is>
      </c>
      <c r="E242" t="inlineStr">
        <is>
          <t>SANDVIKEN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57261-2025</t>
        </is>
      </c>
      <c r="B243" s="1" t="n">
        <v>45979</v>
      </c>
      <c r="C243" s="1" t="n">
        <v>46192</v>
      </c>
      <c r="D243" t="inlineStr">
        <is>
          <t>GÄVLEBORGS LÄN</t>
        </is>
      </c>
      <c r="E243" t="inlineStr">
        <is>
          <t>SANDVIKEN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40363-2023</t>
        </is>
      </c>
      <c r="B244" s="1" t="n">
        <v>45169</v>
      </c>
      <c r="C244" s="1" t="n">
        <v>46192</v>
      </c>
      <c r="D244" t="inlineStr">
        <is>
          <t>GÄVLEBORGS LÄN</t>
        </is>
      </c>
      <c r="E244" t="inlineStr">
        <is>
          <t>SANDVIKEN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27967-2022</t>
        </is>
      </c>
      <c r="B245" s="1" t="n">
        <v>44744</v>
      </c>
      <c r="C245" s="1" t="n">
        <v>46192</v>
      </c>
      <c r="D245" t="inlineStr">
        <is>
          <t>GÄVLEBORGS LÄN</t>
        </is>
      </c>
      <c r="E245" t="inlineStr">
        <is>
          <t>SANDVIKEN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58184-2025</t>
        </is>
      </c>
      <c r="B246" s="1" t="n">
        <v>45983</v>
      </c>
      <c r="C246" s="1" t="n">
        <v>46192</v>
      </c>
      <c r="D246" t="inlineStr">
        <is>
          <t>GÄVLEBORGS LÄN</t>
        </is>
      </c>
      <c r="E246" t="inlineStr">
        <is>
          <t>SANDVIKEN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58197-2025</t>
        </is>
      </c>
      <c r="B247" s="1" t="n">
        <v>45984</v>
      </c>
      <c r="C247" s="1" t="n">
        <v>46192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58199-2025</t>
        </is>
      </c>
      <c r="B248" s="1" t="n">
        <v>45984</v>
      </c>
      <c r="C248" s="1" t="n">
        <v>46192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58201-2025</t>
        </is>
      </c>
      <c r="B249" s="1" t="n">
        <v>45984</v>
      </c>
      <c r="C249" s="1" t="n">
        <v>46192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30721-2023</t>
        </is>
      </c>
      <c r="B250" s="1" t="n">
        <v>45112</v>
      </c>
      <c r="C250" s="1" t="n">
        <v>46192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57932-2025</t>
        </is>
      </c>
      <c r="B251" s="1" t="n">
        <v>45981</v>
      </c>
      <c r="C251" s="1" t="n">
        <v>46192</v>
      </c>
      <c r="D251" t="inlineStr">
        <is>
          <t>GÄVLEBORGS LÄN</t>
        </is>
      </c>
      <c r="E251" t="inlineStr">
        <is>
          <t>SANDVIKEN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16683-2024</t>
        </is>
      </c>
      <c r="B252" s="1" t="n">
        <v>45408</v>
      </c>
      <c r="C252" s="1" t="n">
        <v>46192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34946-2022</t>
        </is>
      </c>
      <c r="B253" s="1" t="n">
        <v>44796</v>
      </c>
      <c r="C253" s="1" t="n">
        <v>46192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57933-2025</t>
        </is>
      </c>
      <c r="B254" s="1" t="n">
        <v>45981</v>
      </c>
      <c r="C254" s="1" t="n">
        <v>46192</v>
      </c>
      <c r="D254" t="inlineStr">
        <is>
          <t>GÄVLEBORGS LÄN</t>
        </is>
      </c>
      <c r="E254" t="inlineStr">
        <is>
          <t>SANDVIKEN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58207-2025</t>
        </is>
      </c>
      <c r="B255" s="1" t="n">
        <v>45985</v>
      </c>
      <c r="C255" s="1" t="n">
        <v>46192</v>
      </c>
      <c r="D255" t="inlineStr">
        <is>
          <t>GÄVLEBORGS LÄN</t>
        </is>
      </c>
      <c r="E255" t="inlineStr">
        <is>
          <t>SANDVIKEN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38200-2024</t>
        </is>
      </c>
      <c r="B256" s="1" t="n">
        <v>45545</v>
      </c>
      <c r="C256" s="1" t="n">
        <v>46192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58592-2025</t>
        </is>
      </c>
      <c r="B257" s="1" t="n">
        <v>45986</v>
      </c>
      <c r="C257" s="1" t="n">
        <v>46192</v>
      </c>
      <c r="D257" t="inlineStr">
        <is>
          <t>GÄVLEBORGS LÄN</t>
        </is>
      </c>
      <c r="E257" t="inlineStr">
        <is>
          <t>SANDVIKEN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38428-2023</t>
        </is>
      </c>
      <c r="B258" s="1" t="n">
        <v>45162</v>
      </c>
      <c r="C258" s="1" t="n">
        <v>46192</v>
      </c>
      <c r="D258" t="inlineStr">
        <is>
          <t>GÄVLEBORGS LÄN</t>
        </is>
      </c>
      <c r="E258" t="inlineStr">
        <is>
          <t>SANDVIKEN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38431-2023</t>
        </is>
      </c>
      <c r="B259" s="1" t="n">
        <v>45162</v>
      </c>
      <c r="C259" s="1" t="n">
        <v>46192</v>
      </c>
      <c r="D259" t="inlineStr">
        <is>
          <t>GÄVLEBORGS LÄN</t>
        </is>
      </c>
      <c r="E259" t="inlineStr">
        <is>
          <t>SANDVIKEN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38449-2023</t>
        </is>
      </c>
      <c r="B260" s="1" t="n">
        <v>45162</v>
      </c>
      <c r="C260" s="1" t="n">
        <v>46192</v>
      </c>
      <c r="D260" t="inlineStr">
        <is>
          <t>GÄVLEBORGS LÄN</t>
        </is>
      </c>
      <c r="E260" t="inlineStr">
        <is>
          <t>SANDVIKEN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58773-2025</t>
        </is>
      </c>
      <c r="B261" s="1" t="n">
        <v>45986</v>
      </c>
      <c r="C261" s="1" t="n">
        <v>46192</v>
      </c>
      <c r="D261" t="inlineStr">
        <is>
          <t>GÄVLEBORGS LÄN</t>
        </is>
      </c>
      <c r="E261" t="inlineStr">
        <is>
          <t>SANDVIKEN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61820-2024</t>
        </is>
      </c>
      <c r="B262" s="1" t="n">
        <v>45649</v>
      </c>
      <c r="C262" s="1" t="n">
        <v>46192</v>
      </c>
      <c r="D262" t="inlineStr">
        <is>
          <t>GÄVLEBORGS LÄN</t>
        </is>
      </c>
      <c r="E262" t="inlineStr">
        <is>
          <t>SANDVIKEN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48597-2023</t>
        </is>
      </c>
      <c r="B263" s="1" t="n">
        <v>45208</v>
      </c>
      <c r="C263" s="1" t="n">
        <v>46192</v>
      </c>
      <c r="D263" t="inlineStr">
        <is>
          <t>GÄVLEBORGS LÄN</t>
        </is>
      </c>
      <c r="E263" t="inlineStr">
        <is>
          <t>SANDVIKEN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22238-2023</t>
        </is>
      </c>
      <c r="B264" s="1" t="n">
        <v>45070</v>
      </c>
      <c r="C264" s="1" t="n">
        <v>46192</v>
      </c>
      <c r="D264" t="inlineStr">
        <is>
          <t>GÄVLEBORGS LÄN</t>
        </is>
      </c>
      <c r="E264" t="inlineStr">
        <is>
          <t>SANDVIKEN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7616-2025</t>
        </is>
      </c>
      <c r="B265" s="1" t="n">
        <v>45705</v>
      </c>
      <c r="C265" s="1" t="n">
        <v>46192</v>
      </c>
      <c r="D265" t="inlineStr">
        <is>
          <t>GÄVLEBORGS LÄN</t>
        </is>
      </c>
      <c r="E265" t="inlineStr">
        <is>
          <t>SANDVIKEN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59750-2025</t>
        </is>
      </c>
      <c r="B266" s="1" t="n">
        <v>45992</v>
      </c>
      <c r="C266" s="1" t="n">
        <v>46192</v>
      </c>
      <c r="D266" t="inlineStr">
        <is>
          <t>GÄVLEBORGS LÄN</t>
        </is>
      </c>
      <c r="E266" t="inlineStr">
        <is>
          <t>SANDVIKEN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59755-2025</t>
        </is>
      </c>
      <c r="B267" s="1" t="n">
        <v>45992</v>
      </c>
      <c r="C267" s="1" t="n">
        <v>46192</v>
      </c>
      <c r="D267" t="inlineStr">
        <is>
          <t>GÄVLEBORGS LÄN</t>
        </is>
      </c>
      <c r="E267" t="inlineStr">
        <is>
          <t>SANDVIKEN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59718-2025</t>
        </is>
      </c>
      <c r="B268" s="1" t="n">
        <v>45992</v>
      </c>
      <c r="C268" s="1" t="n">
        <v>46192</v>
      </c>
      <c r="D268" t="inlineStr">
        <is>
          <t>GÄVLEBORGS LÄN</t>
        </is>
      </c>
      <c r="E268" t="inlineStr">
        <is>
          <t>SANDVIKEN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4461-2023</t>
        </is>
      </c>
      <c r="B269" s="1" t="n">
        <v>44956</v>
      </c>
      <c r="C269" s="1" t="n">
        <v>46192</v>
      </c>
      <c r="D269" t="inlineStr">
        <is>
          <t>GÄVLEBORGS LÄN</t>
        </is>
      </c>
      <c r="E269" t="inlineStr">
        <is>
          <t>SANDVIKEN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716-2024</t>
        </is>
      </c>
      <c r="B270" s="1" t="n">
        <v>45300</v>
      </c>
      <c r="C270" s="1" t="n">
        <v>46192</v>
      </c>
      <c r="D270" t="inlineStr">
        <is>
          <t>GÄVLEBORGS LÄN</t>
        </is>
      </c>
      <c r="E270" t="inlineStr">
        <is>
          <t>SANDVIKEN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64801-2023</t>
        </is>
      </c>
      <c r="B271" s="1" t="n">
        <v>45282</v>
      </c>
      <c r="C271" s="1" t="n">
        <v>46192</v>
      </c>
      <c r="D271" t="inlineStr">
        <is>
          <t>GÄVLEBORGS LÄN</t>
        </is>
      </c>
      <c r="E271" t="inlineStr">
        <is>
          <t>SANDVIKEN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59623-2025</t>
        </is>
      </c>
      <c r="B272" s="1" t="n">
        <v>45992</v>
      </c>
      <c r="C272" s="1" t="n">
        <v>46192</v>
      </c>
      <c r="D272" t="inlineStr">
        <is>
          <t>GÄVLEBORGS LÄN</t>
        </is>
      </c>
      <c r="E272" t="inlineStr">
        <is>
          <t>SANDVIKEN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12421-2025</t>
        </is>
      </c>
      <c r="B273" s="1" t="n">
        <v>45730</v>
      </c>
      <c r="C273" s="1" t="n">
        <v>46192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61774-2024</t>
        </is>
      </c>
      <c r="B274" s="1" t="n">
        <v>45649</v>
      </c>
      <c r="C274" s="1" t="n">
        <v>46192</v>
      </c>
      <c r="D274" t="inlineStr">
        <is>
          <t>GÄVLEBORGS LÄN</t>
        </is>
      </c>
      <c r="E274" t="inlineStr">
        <is>
          <t>SANDVIKEN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50765-2024</t>
        </is>
      </c>
      <c r="B275" s="1" t="n">
        <v>45602</v>
      </c>
      <c r="C275" s="1" t="n">
        <v>46192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60952-2025</t>
        </is>
      </c>
      <c r="B276" s="1" t="n">
        <v>45999</v>
      </c>
      <c r="C276" s="1" t="n">
        <v>46192</v>
      </c>
      <c r="D276" t="inlineStr">
        <is>
          <t>GÄVLEBORGS LÄN</t>
        </is>
      </c>
      <c r="E276" t="inlineStr">
        <is>
          <t>SANDVIKEN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58363-2022</t>
        </is>
      </c>
      <c r="B277" s="1" t="n">
        <v>44901</v>
      </c>
      <c r="C277" s="1" t="n">
        <v>46192</v>
      </c>
      <c r="D277" t="inlineStr">
        <is>
          <t>GÄVLEBORGS LÄN</t>
        </is>
      </c>
      <c r="E277" t="inlineStr">
        <is>
          <t>SANDVIKEN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47974-2024</t>
        </is>
      </c>
      <c r="B278" s="1" t="n">
        <v>45589</v>
      </c>
      <c r="C278" s="1" t="n">
        <v>46192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58983-2023</t>
        </is>
      </c>
      <c r="B279" s="1" t="n">
        <v>45252</v>
      </c>
      <c r="C279" s="1" t="n">
        <v>46192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24465-2023</t>
        </is>
      </c>
      <c r="B280" s="1" t="n">
        <v>45082</v>
      </c>
      <c r="C280" s="1" t="n">
        <v>46192</v>
      </c>
      <c r="D280" t="inlineStr">
        <is>
          <t>GÄVLEBORGS LÄN</t>
        </is>
      </c>
      <c r="E280" t="inlineStr">
        <is>
          <t>SANDVIKEN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2290-2025</t>
        </is>
      </c>
      <c r="B281" s="1" t="n">
        <v>45673</v>
      </c>
      <c r="C281" s="1" t="n">
        <v>46192</v>
      </c>
      <c r="D281" t="inlineStr">
        <is>
          <t>GÄVLEBORGS LÄN</t>
        </is>
      </c>
      <c r="E281" t="inlineStr">
        <is>
          <t>SANDVIKEN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61299-2025</t>
        </is>
      </c>
      <c r="B282" s="1" t="n">
        <v>46000</v>
      </c>
      <c r="C282" s="1" t="n">
        <v>46192</v>
      </c>
      <c r="D282" t="inlineStr">
        <is>
          <t>GÄVLEBORGS LÄN</t>
        </is>
      </c>
      <c r="E282" t="inlineStr">
        <is>
          <t>SANDVIKEN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61303-2025</t>
        </is>
      </c>
      <c r="B283" s="1" t="n">
        <v>46000</v>
      </c>
      <c r="C283" s="1" t="n">
        <v>46192</v>
      </c>
      <c r="D283" t="inlineStr">
        <is>
          <t>GÄVLEBORGS LÄN</t>
        </is>
      </c>
      <c r="E283" t="inlineStr">
        <is>
          <t>SANDVIKEN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58198-2025</t>
        </is>
      </c>
      <c r="B284" s="1" t="n">
        <v>45984</v>
      </c>
      <c r="C284" s="1" t="n">
        <v>46192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58804-2025</t>
        </is>
      </c>
      <c r="B285" s="1" t="n">
        <v>45986</v>
      </c>
      <c r="C285" s="1" t="n">
        <v>46192</v>
      </c>
      <c r="D285" t="inlineStr">
        <is>
          <t>GÄVLEBORGS LÄN</t>
        </is>
      </c>
      <c r="E285" t="inlineStr">
        <is>
          <t>SANDVIKEN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43121-2024</t>
        </is>
      </c>
      <c r="B286" s="1" t="n">
        <v>45567</v>
      </c>
      <c r="C286" s="1" t="n">
        <v>46192</v>
      </c>
      <c r="D286" t="inlineStr">
        <is>
          <t>GÄVLEBORGS LÄN</t>
        </is>
      </c>
      <c r="E286" t="inlineStr">
        <is>
          <t>SANDVIKEN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61020-2025</t>
        </is>
      </c>
      <c r="B287" s="1" t="n">
        <v>45999</v>
      </c>
      <c r="C287" s="1" t="n">
        <v>46192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61022-2025</t>
        </is>
      </c>
      <c r="B288" s="1" t="n">
        <v>45999</v>
      </c>
      <c r="C288" s="1" t="n">
        <v>46192</v>
      </c>
      <c r="D288" t="inlineStr">
        <is>
          <t>GÄVLEBORGS LÄN</t>
        </is>
      </c>
      <c r="E288" t="inlineStr">
        <is>
          <t>SANDVIKEN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60798-2023</t>
        </is>
      </c>
      <c r="B289" s="1" t="n">
        <v>45260</v>
      </c>
      <c r="C289" s="1" t="n">
        <v>46192</v>
      </c>
      <c r="D289" t="inlineStr">
        <is>
          <t>GÄVLEBORGS LÄN</t>
        </is>
      </c>
      <c r="E289" t="inlineStr">
        <is>
          <t>SANDVIKEN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1418-2025</t>
        </is>
      </c>
      <c r="B290" s="1" t="n">
        <v>45668</v>
      </c>
      <c r="C290" s="1" t="n">
        <v>46192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61301-2025</t>
        </is>
      </c>
      <c r="B291" s="1" t="n">
        <v>46000</v>
      </c>
      <c r="C291" s="1" t="n">
        <v>46192</v>
      </c>
      <c r="D291" t="inlineStr">
        <is>
          <t>GÄVLEBORGS LÄN</t>
        </is>
      </c>
      <c r="E291" t="inlineStr">
        <is>
          <t>SANDVIKEN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53867-2024</t>
        </is>
      </c>
      <c r="B292" s="1" t="n">
        <v>45615</v>
      </c>
      <c r="C292" s="1" t="n">
        <v>46192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53718-2024</t>
        </is>
      </c>
      <c r="B293" s="1" t="n">
        <v>45615</v>
      </c>
      <c r="C293" s="1" t="n">
        <v>46192</v>
      </c>
      <c r="D293" t="inlineStr">
        <is>
          <t>GÄVLEBORGS LÄN</t>
        </is>
      </c>
      <c r="E293" t="inlineStr">
        <is>
          <t>SANDVIKEN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60908-2022</t>
        </is>
      </c>
      <c r="B294" s="1" t="n">
        <v>44914</v>
      </c>
      <c r="C294" s="1" t="n">
        <v>46192</v>
      </c>
      <c r="D294" t="inlineStr">
        <is>
          <t>GÄVLEBORGS LÄN</t>
        </is>
      </c>
      <c r="E294" t="inlineStr">
        <is>
          <t>SANDVIKEN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59841-2023</t>
        </is>
      </c>
      <c r="B295" s="1" t="n">
        <v>45257</v>
      </c>
      <c r="C295" s="1" t="n">
        <v>46192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58200-2025</t>
        </is>
      </c>
      <c r="B296" s="1" t="n">
        <v>45984</v>
      </c>
      <c r="C296" s="1" t="n">
        <v>46192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38609-2022</t>
        </is>
      </c>
      <c r="B297" s="1" t="n">
        <v>44813</v>
      </c>
      <c r="C297" s="1" t="n">
        <v>46192</v>
      </c>
      <c r="D297" t="inlineStr">
        <is>
          <t>GÄVLEBORGS LÄN</t>
        </is>
      </c>
      <c r="E297" t="inlineStr">
        <is>
          <t>SANDVIKEN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52772-2023</t>
        </is>
      </c>
      <c r="B298" s="1" t="n">
        <v>45226</v>
      </c>
      <c r="C298" s="1" t="n">
        <v>46192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4783-2025</t>
        </is>
      </c>
      <c r="B299" s="1" t="n">
        <v>45688</v>
      </c>
      <c r="C299" s="1" t="n">
        <v>46192</v>
      </c>
      <c r="D299" t="inlineStr">
        <is>
          <t>GÄVLEBORGS LÄN</t>
        </is>
      </c>
      <c r="E299" t="inlineStr">
        <is>
          <t>SANDVIKEN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27006-2023</t>
        </is>
      </c>
      <c r="B300" s="1" t="n">
        <v>45094</v>
      </c>
      <c r="C300" s="1" t="n">
        <v>46192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46177-2022</t>
        </is>
      </c>
      <c r="B301" s="1" t="n">
        <v>44847</v>
      </c>
      <c r="C301" s="1" t="n">
        <v>46192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19346-2023</t>
        </is>
      </c>
      <c r="B302" s="1" t="n">
        <v>45049</v>
      </c>
      <c r="C302" s="1" t="n">
        <v>46192</v>
      </c>
      <c r="D302" t="inlineStr">
        <is>
          <t>GÄVLEBORGS LÄN</t>
        </is>
      </c>
      <c r="E302" t="inlineStr">
        <is>
          <t>SANDVIKEN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61363-2023</t>
        </is>
      </c>
      <c r="B303" s="1" t="n">
        <v>45264</v>
      </c>
      <c r="C303" s="1" t="n">
        <v>46192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28897-2024</t>
        </is>
      </c>
      <c r="B304" s="1" t="n">
        <v>45480</v>
      </c>
      <c r="C304" s="1" t="n">
        <v>46192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58562-2023</t>
        </is>
      </c>
      <c r="B305" s="1" t="n">
        <v>45251</v>
      </c>
      <c r="C305" s="1" t="n">
        <v>46192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35184-2022</t>
        </is>
      </c>
      <c r="B306" s="1" t="n">
        <v>44797</v>
      </c>
      <c r="C306" s="1" t="n">
        <v>46192</v>
      </c>
      <c r="D306" t="inlineStr">
        <is>
          <t>GÄVLEBORGS LÄN</t>
        </is>
      </c>
      <c r="E306" t="inlineStr">
        <is>
          <t>SANDVIKEN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63486-2025</t>
        </is>
      </c>
      <c r="B307" s="1" t="n">
        <v>46013</v>
      </c>
      <c r="C307" s="1" t="n">
        <v>46192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46482-2023</t>
        </is>
      </c>
      <c r="B308" s="1" t="n">
        <v>45197</v>
      </c>
      <c r="C308" s="1" t="n">
        <v>46192</v>
      </c>
      <c r="D308" t="inlineStr">
        <is>
          <t>GÄVLEBORGS LÄN</t>
        </is>
      </c>
      <c r="E308" t="inlineStr">
        <is>
          <t>SANDVIKEN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436-2026</t>
        </is>
      </c>
      <c r="B309" s="1" t="n">
        <v>46021</v>
      </c>
      <c r="C309" s="1" t="n">
        <v>46192</v>
      </c>
      <c r="D309" t="inlineStr">
        <is>
          <t>GÄVLEBORGS LÄN</t>
        </is>
      </c>
      <c r="E309" t="inlineStr">
        <is>
          <t>SANDVIKEN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50797-2023</t>
        </is>
      </c>
      <c r="B310" s="1" t="n">
        <v>45217</v>
      </c>
      <c r="C310" s="1" t="n">
        <v>46192</v>
      </c>
      <c r="D310" t="inlineStr">
        <is>
          <t>GÄVLEBORGS LÄN</t>
        </is>
      </c>
      <c r="E310" t="inlineStr">
        <is>
          <t>SANDVIKEN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46192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46192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56217-2023</t>
        </is>
      </c>
      <c r="B313" s="1" t="n">
        <v>45240</v>
      </c>
      <c r="C313" s="1" t="n">
        <v>46192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36646-2022</t>
        </is>
      </c>
      <c r="B314" s="1" t="n">
        <v>44804</v>
      </c>
      <c r="C314" s="1" t="n">
        <v>46192</v>
      </c>
      <c r="D314" t="inlineStr">
        <is>
          <t>GÄVLEBORGS LÄN</t>
        </is>
      </c>
      <c r="E314" t="inlineStr">
        <is>
          <t>SANDVIKEN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64112-2023</t>
        </is>
      </c>
      <c r="B315" s="1" t="n">
        <v>45279</v>
      </c>
      <c r="C315" s="1" t="n">
        <v>46192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1283-2026</t>
        </is>
      </c>
      <c r="B316" s="1" t="n">
        <v>46031</v>
      </c>
      <c r="C316" s="1" t="n">
        <v>46192</v>
      </c>
      <c r="D316" t="inlineStr">
        <is>
          <t>GÄVLEBORGS LÄN</t>
        </is>
      </c>
      <c r="E316" t="inlineStr">
        <is>
          <t>SANDVIKEN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1418-2026</t>
        </is>
      </c>
      <c r="B317" s="1" t="n">
        <v>46031</v>
      </c>
      <c r="C317" s="1" t="n">
        <v>46192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2016-2026</t>
        </is>
      </c>
      <c r="B318" s="1" t="n">
        <v>46035</v>
      </c>
      <c r="C318" s="1" t="n">
        <v>46192</v>
      </c>
      <c r="D318" t="inlineStr">
        <is>
          <t>GÄVLEBORGS LÄN</t>
        </is>
      </c>
      <c r="E318" t="inlineStr">
        <is>
          <t>SANDVIKEN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73331-2021</t>
        </is>
      </c>
      <c r="B319" s="1" t="n">
        <v>44551</v>
      </c>
      <c r="C319" s="1" t="n">
        <v>46192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1576-2026</t>
        </is>
      </c>
      <c r="B320" s="1" t="n">
        <v>46034</v>
      </c>
      <c r="C320" s="1" t="n">
        <v>46192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1988-2026</t>
        </is>
      </c>
      <c r="B321" s="1" t="n">
        <v>46035</v>
      </c>
      <c r="C321" s="1" t="n">
        <v>46192</v>
      </c>
      <c r="D321" t="inlineStr">
        <is>
          <t>GÄVLEBORGS LÄN</t>
        </is>
      </c>
      <c r="E321" t="inlineStr">
        <is>
          <t>SANDVIKEN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2012-2026</t>
        </is>
      </c>
      <c r="B322" s="1" t="n">
        <v>46035</v>
      </c>
      <c r="C322" s="1" t="n">
        <v>46192</v>
      </c>
      <c r="D322" t="inlineStr">
        <is>
          <t>GÄVLEBORGS LÄN</t>
        </is>
      </c>
      <c r="E322" t="inlineStr">
        <is>
          <t>SANDVIKEN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1676-2026</t>
        </is>
      </c>
      <c r="B323" s="1" t="n">
        <v>46034</v>
      </c>
      <c r="C323" s="1" t="n">
        <v>46192</v>
      </c>
      <c r="D323" t="inlineStr">
        <is>
          <t>GÄVLEBORGS LÄN</t>
        </is>
      </c>
      <c r="E323" t="inlineStr">
        <is>
          <t>SANDVIKEN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1737-2026</t>
        </is>
      </c>
      <c r="B324" s="1" t="n">
        <v>46034</v>
      </c>
      <c r="C324" s="1" t="n">
        <v>46192</v>
      </c>
      <c r="D324" t="inlineStr">
        <is>
          <t>GÄVLEBORGS LÄN</t>
        </is>
      </c>
      <c r="E324" t="inlineStr">
        <is>
          <t>SANDVIKEN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2004-2026</t>
        </is>
      </c>
      <c r="B325" s="1" t="n">
        <v>46035</v>
      </c>
      <c r="C325" s="1" t="n">
        <v>46192</v>
      </c>
      <c r="D325" t="inlineStr">
        <is>
          <t>GÄVLEBORGS LÄN</t>
        </is>
      </c>
      <c r="E325" t="inlineStr">
        <is>
          <t>SANDVIKEN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41790-2024</t>
        </is>
      </c>
      <c r="B326" s="1" t="n">
        <v>45561</v>
      </c>
      <c r="C326" s="1" t="n">
        <v>46192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30718-2023</t>
        </is>
      </c>
      <c r="B327" s="1" t="n">
        <v>45112</v>
      </c>
      <c r="C327" s="1" t="n">
        <v>46192</v>
      </c>
      <c r="D327" t="inlineStr">
        <is>
          <t>GÄVLEBORGS LÄN</t>
        </is>
      </c>
      <c r="E327" t="inlineStr">
        <is>
          <t>SANDVIKEN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21456-2023</t>
        </is>
      </c>
      <c r="B328" s="1" t="n">
        <v>45063</v>
      </c>
      <c r="C328" s="1" t="n">
        <v>46192</v>
      </c>
      <c r="D328" t="inlineStr">
        <is>
          <t>GÄVLEBORGS LÄN</t>
        </is>
      </c>
      <c r="E328" t="inlineStr">
        <is>
          <t>SANDVIKEN</t>
        </is>
      </c>
      <c r="F328" t="inlineStr">
        <is>
          <t>Kommuner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2641-2026</t>
        </is>
      </c>
      <c r="B329" s="1" t="n">
        <v>46037</v>
      </c>
      <c r="C329" s="1" t="n">
        <v>46192</v>
      </c>
      <c r="D329" t="inlineStr">
        <is>
          <t>GÄVLEBORGS LÄN</t>
        </is>
      </c>
      <c r="E329" t="inlineStr">
        <is>
          <t>SANDVIKEN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2094-2026</t>
        </is>
      </c>
      <c r="B330" s="1" t="n">
        <v>46036</v>
      </c>
      <c r="C330" s="1" t="n">
        <v>46192</v>
      </c>
      <c r="D330" t="inlineStr">
        <is>
          <t>GÄVLEBORGS LÄN</t>
        </is>
      </c>
      <c r="E330" t="inlineStr">
        <is>
          <t>SANDVIKEN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2238-2026</t>
        </is>
      </c>
      <c r="B331" s="1" t="n">
        <v>46036</v>
      </c>
      <c r="C331" s="1" t="n">
        <v>46192</v>
      </c>
      <c r="D331" t="inlineStr">
        <is>
          <t>GÄVLEBORGS LÄN</t>
        </is>
      </c>
      <c r="E331" t="inlineStr">
        <is>
          <t>SANDVIKEN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2126-2026</t>
        </is>
      </c>
      <c r="B332" s="1" t="n">
        <v>46036</v>
      </c>
      <c r="C332" s="1" t="n">
        <v>46192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2225-2026</t>
        </is>
      </c>
      <c r="B333" s="1" t="n">
        <v>46036</v>
      </c>
      <c r="C333" s="1" t="n">
        <v>46192</v>
      </c>
      <c r="D333" t="inlineStr">
        <is>
          <t>GÄVLEBORGS LÄN</t>
        </is>
      </c>
      <c r="E333" t="inlineStr">
        <is>
          <t>SANDVIKEN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2180-2026</t>
        </is>
      </c>
      <c r="B334" s="1" t="n">
        <v>46036</v>
      </c>
      <c r="C334" s="1" t="n">
        <v>46192</v>
      </c>
      <c r="D334" t="inlineStr">
        <is>
          <t>GÄVLEBORGS LÄN</t>
        </is>
      </c>
      <c r="E334" t="inlineStr">
        <is>
          <t>SANDVIKEN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15788-2025</t>
        </is>
      </c>
      <c r="B335" s="1" t="n">
        <v>45748</v>
      </c>
      <c r="C335" s="1" t="n">
        <v>46192</v>
      </c>
      <c r="D335" t="inlineStr">
        <is>
          <t>GÄVLEBORGS LÄN</t>
        </is>
      </c>
      <c r="E335" t="inlineStr">
        <is>
          <t>SANDVIKEN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3214-2026</t>
        </is>
      </c>
      <c r="B336" s="1" t="n">
        <v>46041</v>
      </c>
      <c r="C336" s="1" t="n">
        <v>46192</v>
      </c>
      <c r="D336" t="inlineStr">
        <is>
          <t>GÄVLEBORGS LÄN</t>
        </is>
      </c>
      <c r="E336" t="inlineStr">
        <is>
          <t>SANDVIKEN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1213-2025</t>
        </is>
      </c>
      <c r="B337" s="1" t="n">
        <v>45667</v>
      </c>
      <c r="C337" s="1" t="n">
        <v>46192</v>
      </c>
      <c r="D337" t="inlineStr">
        <is>
          <t>GÄVLEBORGS LÄN</t>
        </is>
      </c>
      <c r="E337" t="inlineStr">
        <is>
          <t>SANDVIKEN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1062-2026</t>
        </is>
      </c>
      <c r="B338" s="1" t="n">
        <v>46030</v>
      </c>
      <c r="C338" s="1" t="n">
        <v>46192</v>
      </c>
      <c r="D338" t="inlineStr">
        <is>
          <t>GÄVLEBORGS LÄN</t>
        </is>
      </c>
      <c r="E338" t="inlineStr">
        <is>
          <t>SANDVIKEN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2886-2026</t>
        </is>
      </c>
      <c r="B339" s="1" t="n">
        <v>46038</v>
      </c>
      <c r="C339" s="1" t="n">
        <v>46192</v>
      </c>
      <c r="D339" t="inlineStr">
        <is>
          <t>GÄVLEBORGS LÄN</t>
        </is>
      </c>
      <c r="E339" t="inlineStr">
        <is>
          <t>SANDVIKEN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58885-2023</t>
        </is>
      </c>
      <c r="B340" s="1" t="n">
        <v>45252</v>
      </c>
      <c r="C340" s="1" t="n">
        <v>46192</v>
      </c>
      <c r="D340" t="inlineStr">
        <is>
          <t>GÄVLEBORGS LÄN</t>
        </is>
      </c>
      <c r="E340" t="inlineStr">
        <is>
          <t>SANDVIKEN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3909-2026</t>
        </is>
      </c>
      <c r="B341" s="1" t="n">
        <v>46043</v>
      </c>
      <c r="C341" s="1" t="n">
        <v>46192</v>
      </c>
      <c r="D341" t="inlineStr">
        <is>
          <t>GÄVLEBORGS LÄN</t>
        </is>
      </c>
      <c r="E341" t="inlineStr">
        <is>
          <t>SANDVIKEN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3566-2026</t>
        </is>
      </c>
      <c r="B342" s="1" t="n">
        <v>46042</v>
      </c>
      <c r="C342" s="1" t="n">
        <v>46192</v>
      </c>
      <c r="D342" t="inlineStr">
        <is>
          <t>GÄVLEBORGS LÄN</t>
        </is>
      </c>
      <c r="E342" t="inlineStr">
        <is>
          <t>SANDVIKEN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3581-2026</t>
        </is>
      </c>
      <c r="B343" s="1" t="n">
        <v>46042</v>
      </c>
      <c r="C343" s="1" t="n">
        <v>46192</v>
      </c>
      <c r="D343" t="inlineStr">
        <is>
          <t>GÄVLEBORGS LÄN</t>
        </is>
      </c>
      <c r="E343" t="inlineStr">
        <is>
          <t>SANDVIKEN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3803-2026</t>
        </is>
      </c>
      <c r="B344" s="1" t="n">
        <v>46043</v>
      </c>
      <c r="C344" s="1" t="n">
        <v>46192</v>
      </c>
      <c r="D344" t="inlineStr">
        <is>
          <t>GÄVLEBORGS LÄN</t>
        </is>
      </c>
      <c r="E344" t="inlineStr">
        <is>
          <t>SANDVIKEN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37367-2024</t>
        </is>
      </c>
      <c r="B345" s="1" t="n">
        <v>45540</v>
      </c>
      <c r="C345" s="1" t="n">
        <v>46192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3523-2026</t>
        </is>
      </c>
      <c r="B346" s="1" t="n">
        <v>46042</v>
      </c>
      <c r="C346" s="1" t="n">
        <v>46192</v>
      </c>
      <c r="D346" t="inlineStr">
        <is>
          <t>GÄVLEBORGS LÄN</t>
        </is>
      </c>
      <c r="E346" t="inlineStr">
        <is>
          <t>SANDVIKEN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56150-2023</t>
        </is>
      </c>
      <c r="B347" s="1" t="n">
        <v>45240</v>
      </c>
      <c r="C347" s="1" t="n">
        <v>46192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58797-2024</t>
        </is>
      </c>
      <c r="B348" s="1" t="n">
        <v>45636</v>
      </c>
      <c r="C348" s="1" t="n">
        <v>46192</v>
      </c>
      <c r="D348" t="inlineStr">
        <is>
          <t>GÄVLEBORGS LÄN</t>
        </is>
      </c>
      <c r="E348" t="inlineStr">
        <is>
          <t>SANDVIKEN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24992-2023</t>
        </is>
      </c>
      <c r="B349" s="1" t="n">
        <v>45085</v>
      </c>
      <c r="C349" s="1" t="n">
        <v>46192</v>
      </c>
      <c r="D349" t="inlineStr">
        <is>
          <t>GÄVLEBORGS LÄN</t>
        </is>
      </c>
      <c r="E349" t="inlineStr">
        <is>
          <t>SANDVIKEN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3991-2026</t>
        </is>
      </c>
      <c r="B350" s="1" t="n">
        <v>46044</v>
      </c>
      <c r="C350" s="1" t="n">
        <v>46192</v>
      </c>
      <c r="D350" t="inlineStr">
        <is>
          <t>GÄVLEBORGS LÄN</t>
        </is>
      </c>
      <c r="E350" t="inlineStr">
        <is>
          <t>SANDVIKEN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4115-2026</t>
        </is>
      </c>
      <c r="B351" s="1" t="n">
        <v>46044</v>
      </c>
      <c r="C351" s="1" t="n">
        <v>46192</v>
      </c>
      <c r="D351" t="inlineStr">
        <is>
          <t>GÄVLEBORGS LÄN</t>
        </is>
      </c>
      <c r="E351" t="inlineStr">
        <is>
          <t>SANDVIKEN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48765-2021</t>
        </is>
      </c>
      <c r="B352" s="1" t="n">
        <v>44452</v>
      </c>
      <c r="C352" s="1" t="n">
        <v>46192</v>
      </c>
      <c r="D352" t="inlineStr">
        <is>
          <t>GÄVLEBORGS LÄN</t>
        </is>
      </c>
      <c r="E352" t="inlineStr">
        <is>
          <t>SANDVIKEN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7056-2025</t>
        </is>
      </c>
      <c r="B353" s="1" t="n">
        <v>45701</v>
      </c>
      <c r="C353" s="1" t="n">
        <v>46192</v>
      </c>
      <c r="D353" t="inlineStr">
        <is>
          <t>GÄVLEBORGS LÄN</t>
        </is>
      </c>
      <c r="E353" t="inlineStr">
        <is>
          <t>SANDVIKEN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4375-2026</t>
        </is>
      </c>
      <c r="B354" s="1" t="n">
        <v>46045</v>
      </c>
      <c r="C354" s="1" t="n">
        <v>46192</v>
      </c>
      <c r="D354" t="inlineStr">
        <is>
          <t>GÄVLEBORGS LÄN</t>
        </is>
      </c>
      <c r="E354" t="inlineStr">
        <is>
          <t>SANDVIKEN</t>
        </is>
      </c>
      <c r="F354" t="inlineStr">
        <is>
          <t>Kommuner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6765-2025</t>
        </is>
      </c>
      <c r="B355" s="1" t="n">
        <v>45700</v>
      </c>
      <c r="C355" s="1" t="n">
        <v>46192</v>
      </c>
      <c r="D355" t="inlineStr">
        <is>
          <t>GÄVLEBORGS LÄN</t>
        </is>
      </c>
      <c r="E355" t="inlineStr">
        <is>
          <t>SANDVIKEN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34312-2021</t>
        </is>
      </c>
      <c r="B356" s="1" t="n">
        <v>44379</v>
      </c>
      <c r="C356" s="1" t="n">
        <v>46192</v>
      </c>
      <c r="D356" t="inlineStr">
        <is>
          <t>GÄVLEBORGS LÄN</t>
        </is>
      </c>
      <c r="E356" t="inlineStr">
        <is>
          <t>SANDVIKEN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47889-2022</t>
        </is>
      </c>
      <c r="B357" s="1" t="n">
        <v>44855</v>
      </c>
      <c r="C357" s="1" t="n">
        <v>46192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5181-2026</t>
        </is>
      </c>
      <c r="B358" s="1" t="n">
        <v>46049</v>
      </c>
      <c r="C358" s="1" t="n">
        <v>46192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4848-2026</t>
        </is>
      </c>
      <c r="B359" s="1" t="n">
        <v>46048</v>
      </c>
      <c r="C359" s="1" t="n">
        <v>46192</v>
      </c>
      <c r="D359" t="inlineStr">
        <is>
          <t>GÄVLEBORGS LÄN</t>
        </is>
      </c>
      <c r="E359" t="inlineStr">
        <is>
          <t>SANDVIKEN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29972-2022</t>
        </is>
      </c>
      <c r="B360" s="1" t="n">
        <v>44756</v>
      </c>
      <c r="C360" s="1" t="n">
        <v>46192</v>
      </c>
      <c r="D360" t="inlineStr">
        <is>
          <t>GÄVLEBORGS LÄN</t>
        </is>
      </c>
      <c r="E360" t="inlineStr">
        <is>
          <t>SANDVIKEN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4512-2026</t>
        </is>
      </c>
      <c r="B361" s="1" t="n">
        <v>46045</v>
      </c>
      <c r="C361" s="1" t="n">
        <v>46192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16385-2023</t>
        </is>
      </c>
      <c r="B362" s="1" t="n">
        <v>45022</v>
      </c>
      <c r="C362" s="1" t="n">
        <v>46192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4513-2026</t>
        </is>
      </c>
      <c r="B363" s="1" t="n">
        <v>46045</v>
      </c>
      <c r="C363" s="1" t="n">
        <v>46192</v>
      </c>
      <c r="D363" t="inlineStr">
        <is>
          <t>GÄVLEBORGS LÄN</t>
        </is>
      </c>
      <c r="E363" t="inlineStr">
        <is>
          <t>SANDVIKEN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5567-2026</t>
        </is>
      </c>
      <c r="B364" s="1" t="n">
        <v>46050</v>
      </c>
      <c r="C364" s="1" t="n">
        <v>46192</v>
      </c>
      <c r="D364" t="inlineStr">
        <is>
          <t>GÄVLEBORGS LÄN</t>
        </is>
      </c>
      <c r="E364" t="inlineStr">
        <is>
          <t>SANDVIKEN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25544-2024</t>
        </is>
      </c>
      <c r="B365" s="1" t="n">
        <v>45463</v>
      </c>
      <c r="C365" s="1" t="n">
        <v>46192</v>
      </c>
      <c r="D365" t="inlineStr">
        <is>
          <t>GÄVLEBORGS LÄN</t>
        </is>
      </c>
      <c r="E365" t="inlineStr">
        <is>
          <t>SANDVIKEN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37641-2024</t>
        </is>
      </c>
      <c r="B366" s="1" t="n">
        <v>45541</v>
      </c>
      <c r="C366" s="1" t="n">
        <v>46192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5257-2026</t>
        </is>
      </c>
      <c r="B367" s="1" t="n">
        <v>46050</v>
      </c>
      <c r="C367" s="1" t="n">
        <v>46192</v>
      </c>
      <c r="D367" t="inlineStr">
        <is>
          <t>GÄVLEBORGS LÄN</t>
        </is>
      </c>
      <c r="E367" t="inlineStr">
        <is>
          <t>SANDVIKEN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37643-2024</t>
        </is>
      </c>
      <c r="B368" s="1" t="n">
        <v>45541</v>
      </c>
      <c r="C368" s="1" t="n">
        <v>46192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5547-2026</t>
        </is>
      </c>
      <c r="B369" s="1" t="n">
        <v>46050</v>
      </c>
      <c r="C369" s="1" t="n">
        <v>46192</v>
      </c>
      <c r="D369" t="inlineStr">
        <is>
          <t>GÄVLEBORGS LÄN</t>
        </is>
      </c>
      <c r="E369" t="inlineStr">
        <is>
          <t>SANDVIKEN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5552-2026</t>
        </is>
      </c>
      <c r="B370" s="1" t="n">
        <v>46050</v>
      </c>
      <c r="C370" s="1" t="n">
        <v>46192</v>
      </c>
      <c r="D370" t="inlineStr">
        <is>
          <t>GÄVLEBORGS LÄN</t>
        </is>
      </c>
      <c r="E370" t="inlineStr">
        <is>
          <t>SANDVIKEN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5558-2026</t>
        </is>
      </c>
      <c r="B371" s="1" t="n">
        <v>46050</v>
      </c>
      <c r="C371" s="1" t="n">
        <v>46192</v>
      </c>
      <c r="D371" t="inlineStr">
        <is>
          <t>GÄVLEBORGS LÄN</t>
        </is>
      </c>
      <c r="E371" t="inlineStr">
        <is>
          <t>SANDVIKEN</t>
        </is>
      </c>
      <c r="F371" t="inlineStr">
        <is>
          <t>Kyrkan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5574-2026</t>
        </is>
      </c>
      <c r="B372" s="1" t="n">
        <v>46051</v>
      </c>
      <c r="C372" s="1" t="n">
        <v>46192</v>
      </c>
      <c r="D372" t="inlineStr">
        <is>
          <t>GÄVLEBORGS LÄN</t>
        </is>
      </c>
      <c r="E372" t="inlineStr">
        <is>
          <t>SANDVIKEN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5755-2026</t>
        </is>
      </c>
      <c r="B373" s="1" t="n">
        <v>46051</v>
      </c>
      <c r="C373" s="1" t="n">
        <v>46192</v>
      </c>
      <c r="D373" t="inlineStr">
        <is>
          <t>GÄVLEBORGS LÄN</t>
        </is>
      </c>
      <c r="E373" t="inlineStr">
        <is>
          <t>SANDVIKEN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6274-2026</t>
        </is>
      </c>
      <c r="B374" s="1" t="n">
        <v>46055</v>
      </c>
      <c r="C374" s="1" t="n">
        <v>46192</v>
      </c>
      <c r="D374" t="inlineStr">
        <is>
          <t>GÄVLEBORGS LÄN</t>
        </is>
      </c>
      <c r="E374" t="inlineStr">
        <is>
          <t>SANDVIKEN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6793-2026</t>
        </is>
      </c>
      <c r="B375" s="1" t="n">
        <v>46055</v>
      </c>
      <c r="C375" s="1" t="n">
        <v>46192</v>
      </c>
      <c r="D375" t="inlineStr">
        <is>
          <t>GÄVLEBORGS LÄN</t>
        </is>
      </c>
      <c r="E375" t="inlineStr">
        <is>
          <t>SANDVIKEN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25828-2024</t>
        </is>
      </c>
      <c r="B376" s="1" t="n">
        <v>45467</v>
      </c>
      <c r="C376" s="1" t="n">
        <v>46192</v>
      </c>
      <c r="D376" t="inlineStr">
        <is>
          <t>GÄVLEBORGS LÄN</t>
        </is>
      </c>
      <c r="E376" t="inlineStr">
        <is>
          <t>SANDVIKEN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5964-2026</t>
        </is>
      </c>
      <c r="B377" s="1" t="n">
        <v>46052</v>
      </c>
      <c r="C377" s="1" t="n">
        <v>46192</v>
      </c>
      <c r="D377" t="inlineStr">
        <is>
          <t>GÄVLEBORGS LÄN</t>
        </is>
      </c>
      <c r="E377" t="inlineStr">
        <is>
          <t>SANDVIKEN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6426-2026</t>
        </is>
      </c>
      <c r="B378" s="1" t="n">
        <v>46055</v>
      </c>
      <c r="C378" s="1" t="n">
        <v>46192</v>
      </c>
      <c r="D378" t="inlineStr">
        <is>
          <t>GÄVLEBORGS LÄN</t>
        </is>
      </c>
      <c r="E378" t="inlineStr">
        <is>
          <t>SANDVIKEN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61694-2021</t>
        </is>
      </c>
      <c r="B379" s="1" t="n">
        <v>44501</v>
      </c>
      <c r="C379" s="1" t="n">
        <v>46192</v>
      </c>
      <c r="D379" t="inlineStr">
        <is>
          <t>GÄVLEBORGS LÄN</t>
        </is>
      </c>
      <c r="E379" t="inlineStr">
        <is>
          <t>SANDVIKEN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5986-2026</t>
        </is>
      </c>
      <c r="B380" s="1" t="n">
        <v>46052</v>
      </c>
      <c r="C380" s="1" t="n">
        <v>46192</v>
      </c>
      <c r="D380" t="inlineStr">
        <is>
          <t>GÄVLEBORGS LÄN</t>
        </is>
      </c>
      <c r="E380" t="inlineStr">
        <is>
          <t>SANDVIKEN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5932-2026</t>
        </is>
      </c>
      <c r="B381" s="1" t="n">
        <v>46052</v>
      </c>
      <c r="C381" s="1" t="n">
        <v>46192</v>
      </c>
      <c r="D381" t="inlineStr">
        <is>
          <t>GÄVLEBORGS LÄN</t>
        </is>
      </c>
      <c r="E381" t="inlineStr">
        <is>
          <t>SANDVIKEN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6227-2026</t>
        </is>
      </c>
      <c r="B382" s="1" t="n">
        <v>46055</v>
      </c>
      <c r="C382" s="1" t="n">
        <v>46192</v>
      </c>
      <c r="D382" t="inlineStr">
        <is>
          <t>GÄVLEBORGS LÄN</t>
        </is>
      </c>
      <c r="E382" t="inlineStr">
        <is>
          <t>SANDVIKEN</t>
        </is>
      </c>
      <c r="F382" t="inlineStr">
        <is>
          <t>Kommuner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72997-2021</t>
        </is>
      </c>
      <c r="B383" s="1" t="n">
        <v>44549</v>
      </c>
      <c r="C383" s="1" t="n">
        <v>46192</v>
      </c>
      <c r="D383" t="inlineStr">
        <is>
          <t>GÄVLEBORGS LÄN</t>
        </is>
      </c>
      <c r="E383" t="inlineStr">
        <is>
          <t>SANDVIKEN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7032-2025</t>
        </is>
      </c>
      <c r="B384" s="1" t="n">
        <v>45701</v>
      </c>
      <c r="C384" s="1" t="n">
        <v>46192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38215-2023</t>
        </is>
      </c>
      <c r="B385" s="1" t="n">
        <v>45161</v>
      </c>
      <c r="C385" s="1" t="n">
        <v>46192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32609-2023</t>
        </is>
      </c>
      <c r="B386" s="1" t="n">
        <v>45121</v>
      </c>
      <c r="C386" s="1" t="n">
        <v>46192</v>
      </c>
      <c r="D386" t="inlineStr">
        <is>
          <t>GÄVLEBORGS LÄN</t>
        </is>
      </c>
      <c r="E386" t="inlineStr">
        <is>
          <t>SANDVIKEN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5960-2026</t>
        </is>
      </c>
      <c r="B387" s="1" t="n">
        <v>46052</v>
      </c>
      <c r="C387" s="1" t="n">
        <v>46192</v>
      </c>
      <c r="D387" t="inlineStr">
        <is>
          <t>GÄVLEBORGS LÄN</t>
        </is>
      </c>
      <c r="E387" t="inlineStr">
        <is>
          <t>SANDVIKEN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19421-2025</t>
        </is>
      </c>
      <c r="B388" s="1" t="n">
        <v>45769</v>
      </c>
      <c r="C388" s="1" t="n">
        <v>46192</v>
      </c>
      <c r="D388" t="inlineStr">
        <is>
          <t>GÄVLEBORGS LÄN</t>
        </is>
      </c>
      <c r="E388" t="inlineStr">
        <is>
          <t>SANDVIKEN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6495-2026</t>
        </is>
      </c>
      <c r="B389" s="1" t="n">
        <v>46056</v>
      </c>
      <c r="C389" s="1" t="n">
        <v>46192</v>
      </c>
      <c r="D389" t="inlineStr">
        <is>
          <t>GÄVLEBORGS LÄN</t>
        </is>
      </c>
      <c r="E389" t="inlineStr">
        <is>
          <t>SANDVIKEN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6651-2026</t>
        </is>
      </c>
      <c r="B390" s="1" t="n">
        <v>46056</v>
      </c>
      <c r="C390" s="1" t="n">
        <v>46192</v>
      </c>
      <c r="D390" t="inlineStr">
        <is>
          <t>GÄVLEBORGS LÄN</t>
        </is>
      </c>
      <c r="E390" t="inlineStr">
        <is>
          <t>SANDVIKEN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3899-2022</t>
        </is>
      </c>
      <c r="B391" s="1" t="n">
        <v>44587</v>
      </c>
      <c r="C391" s="1" t="n">
        <v>46192</v>
      </c>
      <c r="D391" t="inlineStr">
        <is>
          <t>GÄVLEBORGS LÄN</t>
        </is>
      </c>
      <c r="E391" t="inlineStr">
        <is>
          <t>SANDVIKEN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6498-2026</t>
        </is>
      </c>
      <c r="B392" s="1" t="n">
        <v>46056</v>
      </c>
      <c r="C392" s="1" t="n">
        <v>46192</v>
      </c>
      <c r="D392" t="inlineStr">
        <is>
          <t>GÄVLEBORGS LÄN</t>
        </is>
      </c>
      <c r="E392" t="inlineStr">
        <is>
          <t>SANDVIKEN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7051-2026</t>
        </is>
      </c>
      <c r="B393" s="1" t="n">
        <v>46057</v>
      </c>
      <c r="C393" s="1" t="n">
        <v>46192</v>
      </c>
      <c r="D393" t="inlineStr">
        <is>
          <t>GÄVLEBORGS LÄN</t>
        </is>
      </c>
      <c r="E393" t="inlineStr">
        <is>
          <t>SANDVIKEN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4511-2024</t>
        </is>
      </c>
      <c r="B394" s="1" t="n">
        <v>45327</v>
      </c>
      <c r="C394" s="1" t="n">
        <v>46192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13632-2024</t>
        </is>
      </c>
      <c r="B395" s="1" t="n">
        <v>45390</v>
      </c>
      <c r="C395" s="1" t="n">
        <v>46192</v>
      </c>
      <c r="D395" t="inlineStr">
        <is>
          <t>GÄVLEBORGS LÄN</t>
        </is>
      </c>
      <c r="E395" t="inlineStr">
        <is>
          <t>SANDVIKEN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3694-2026</t>
        </is>
      </c>
      <c r="B396" s="1" t="n">
        <v>46043</v>
      </c>
      <c r="C396" s="1" t="n">
        <v>46192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6480-2026</t>
        </is>
      </c>
      <c r="B397" s="1" t="n">
        <v>46056</v>
      </c>
      <c r="C397" s="1" t="n">
        <v>46192</v>
      </c>
      <c r="D397" t="inlineStr">
        <is>
          <t>GÄVLEBORGS LÄN</t>
        </is>
      </c>
      <c r="E397" t="inlineStr">
        <is>
          <t>SANDVIKEN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6555-2026</t>
        </is>
      </c>
      <c r="B398" s="1" t="n">
        <v>46056</v>
      </c>
      <c r="C398" s="1" t="n">
        <v>46192</v>
      </c>
      <c r="D398" t="inlineStr">
        <is>
          <t>GÄVLEBORGS LÄN</t>
        </is>
      </c>
      <c r="E398" t="inlineStr">
        <is>
          <t>SANDVIKEN</t>
        </is>
      </c>
      <c r="F398" t="inlineStr">
        <is>
          <t>Kommuner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58916-2023</t>
        </is>
      </c>
      <c r="B399" s="1" t="n">
        <v>45252</v>
      </c>
      <c r="C399" s="1" t="n">
        <v>46192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7679-2025</t>
        </is>
      </c>
      <c r="B400" s="1" t="n">
        <v>45706</v>
      </c>
      <c r="C400" s="1" t="n">
        <v>46192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245-2025</t>
        </is>
      </c>
      <c r="B401" s="1" t="n">
        <v>45660</v>
      </c>
      <c r="C401" s="1" t="n">
        <v>46192</v>
      </c>
      <c r="D401" t="inlineStr">
        <is>
          <t>GÄVLEBORGS LÄN</t>
        </is>
      </c>
      <c r="E401" t="inlineStr">
        <is>
          <t>SANDVIKEN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7348-2026</t>
        </is>
      </c>
      <c r="B402" s="1" t="n">
        <v>46058</v>
      </c>
      <c r="C402" s="1" t="n">
        <v>46192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34242-2021</t>
        </is>
      </c>
      <c r="B403" s="1" t="n">
        <v>44379</v>
      </c>
      <c r="C403" s="1" t="n">
        <v>46192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1675-2025</t>
        </is>
      </c>
      <c r="B404" s="1" t="n">
        <v>45670</v>
      </c>
      <c r="C404" s="1" t="n">
        <v>46192</v>
      </c>
      <c r="D404" t="inlineStr">
        <is>
          <t>GÄVLEBORGS LÄN</t>
        </is>
      </c>
      <c r="E404" t="inlineStr">
        <is>
          <t>SANDVIKEN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7343-2026</t>
        </is>
      </c>
      <c r="B405" s="1" t="n">
        <v>46058</v>
      </c>
      <c r="C405" s="1" t="n">
        <v>46192</v>
      </c>
      <c r="D405" t="inlineStr">
        <is>
          <t>GÄVLEBORGS LÄN</t>
        </is>
      </c>
      <c r="E405" t="inlineStr">
        <is>
          <t>SANDVIKEN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7350-2026</t>
        </is>
      </c>
      <c r="B406" s="1" t="n">
        <v>46058</v>
      </c>
      <c r="C406" s="1" t="n">
        <v>46192</v>
      </c>
      <c r="D406" t="inlineStr">
        <is>
          <t>GÄVLEBORGS LÄN</t>
        </is>
      </c>
      <c r="E406" t="inlineStr">
        <is>
          <t>SANDVIKEN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7352-2026</t>
        </is>
      </c>
      <c r="B407" s="1" t="n">
        <v>46058</v>
      </c>
      <c r="C407" s="1" t="n">
        <v>46192</v>
      </c>
      <c r="D407" t="inlineStr">
        <is>
          <t>GÄVLEBORGS LÄN</t>
        </is>
      </c>
      <c r="E407" t="inlineStr">
        <is>
          <t>SANDVIKEN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7360-2026</t>
        </is>
      </c>
      <c r="B408" s="1" t="n">
        <v>46058</v>
      </c>
      <c r="C408" s="1" t="n">
        <v>46192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7344-2026</t>
        </is>
      </c>
      <c r="B409" s="1" t="n">
        <v>46058</v>
      </c>
      <c r="C409" s="1" t="n">
        <v>46192</v>
      </c>
      <c r="D409" t="inlineStr">
        <is>
          <t>GÄVLEBORGS LÄN</t>
        </is>
      </c>
      <c r="E409" t="inlineStr">
        <is>
          <t>SANDVIKEN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19269-2025</t>
        </is>
      </c>
      <c r="B410" s="1" t="n">
        <v>45769</v>
      </c>
      <c r="C410" s="1" t="n">
        <v>46192</v>
      </c>
      <c r="D410" t="inlineStr">
        <is>
          <t>GÄVLEBORGS LÄN</t>
        </is>
      </c>
      <c r="E410" t="inlineStr">
        <is>
          <t>SANDVIKEN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7342-2026</t>
        </is>
      </c>
      <c r="B411" s="1" t="n">
        <v>46058</v>
      </c>
      <c r="C411" s="1" t="n">
        <v>46192</v>
      </c>
      <c r="D411" t="inlineStr">
        <is>
          <t>GÄVLEBORGS LÄN</t>
        </is>
      </c>
      <c r="E411" t="inlineStr">
        <is>
          <t>SANDVIKEN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7890-2026</t>
        </is>
      </c>
      <c r="B412" s="1" t="n">
        <v>46063</v>
      </c>
      <c r="C412" s="1" t="n">
        <v>46192</v>
      </c>
      <c r="D412" t="inlineStr">
        <is>
          <t>GÄVLEBORGS LÄN</t>
        </is>
      </c>
      <c r="E412" t="inlineStr">
        <is>
          <t>SANDVIKEN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7885-2026</t>
        </is>
      </c>
      <c r="B413" s="1" t="n">
        <v>46063</v>
      </c>
      <c r="C413" s="1" t="n">
        <v>46192</v>
      </c>
      <c r="D413" t="inlineStr">
        <is>
          <t>GÄVLEBORGS LÄN</t>
        </is>
      </c>
      <c r="E413" t="inlineStr">
        <is>
          <t>SANDVIKEN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7886-2026</t>
        </is>
      </c>
      <c r="B414" s="1" t="n">
        <v>46063</v>
      </c>
      <c r="C414" s="1" t="n">
        <v>46192</v>
      </c>
      <c r="D414" t="inlineStr">
        <is>
          <t>GÄVLEBORGS LÄN</t>
        </is>
      </c>
      <c r="E414" t="inlineStr">
        <is>
          <t>SANDVIKEN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7725-2026</t>
        </is>
      </c>
      <c r="B415" s="1" t="n">
        <v>46062</v>
      </c>
      <c r="C415" s="1" t="n">
        <v>46192</v>
      </c>
      <c r="D415" t="inlineStr">
        <is>
          <t>GÄVLEBORGS LÄN</t>
        </is>
      </c>
      <c r="E415" t="inlineStr">
        <is>
          <t>SANDVIKEN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7910-2026</t>
        </is>
      </c>
      <c r="B416" s="1" t="n">
        <v>46063</v>
      </c>
      <c r="C416" s="1" t="n">
        <v>46192</v>
      </c>
      <c r="D416" t="inlineStr">
        <is>
          <t>GÄVLEBORGS LÄN</t>
        </is>
      </c>
      <c r="E416" t="inlineStr">
        <is>
          <t>SANDVIKEN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7914-2026</t>
        </is>
      </c>
      <c r="B417" s="1" t="n">
        <v>46063</v>
      </c>
      <c r="C417" s="1" t="n">
        <v>46192</v>
      </c>
      <c r="D417" t="inlineStr">
        <is>
          <t>GÄVLEBORGS LÄN</t>
        </is>
      </c>
      <c r="E417" t="inlineStr">
        <is>
          <t>SANDVIKEN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7877-2026</t>
        </is>
      </c>
      <c r="B418" s="1" t="n">
        <v>46063</v>
      </c>
      <c r="C418" s="1" t="n">
        <v>46192</v>
      </c>
      <c r="D418" t="inlineStr">
        <is>
          <t>GÄVLEBORGS LÄN</t>
        </is>
      </c>
      <c r="E418" t="inlineStr">
        <is>
          <t>SANDVIKEN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57609-2023</t>
        </is>
      </c>
      <c r="B419" s="1" t="n">
        <v>45246</v>
      </c>
      <c r="C419" s="1" t="n">
        <v>46192</v>
      </c>
      <c r="D419" t="inlineStr">
        <is>
          <t>GÄVLEBORGS LÄN</t>
        </is>
      </c>
      <c r="E419" t="inlineStr">
        <is>
          <t>SANDVIKEN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7892-2026</t>
        </is>
      </c>
      <c r="B420" s="1" t="n">
        <v>46063</v>
      </c>
      <c r="C420" s="1" t="n">
        <v>46192</v>
      </c>
      <c r="D420" t="inlineStr">
        <is>
          <t>GÄVLEBORGS LÄN</t>
        </is>
      </c>
      <c r="E420" t="inlineStr">
        <is>
          <t>SANDVIKEN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28523-2024</t>
        </is>
      </c>
      <c r="B421" s="1" t="n">
        <v>45478</v>
      </c>
      <c r="C421" s="1" t="n">
        <v>46192</v>
      </c>
      <c r="D421" t="inlineStr">
        <is>
          <t>GÄVLEBORGS LÄN</t>
        </is>
      </c>
      <c r="E421" t="inlineStr">
        <is>
          <t>SANDVIKEN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7694-2026</t>
        </is>
      </c>
      <c r="B422" s="1" t="n">
        <v>46062</v>
      </c>
      <c r="C422" s="1" t="n">
        <v>46192</v>
      </c>
      <c r="D422" t="inlineStr">
        <is>
          <t>GÄVLEBORGS LÄN</t>
        </is>
      </c>
      <c r="E422" t="inlineStr">
        <is>
          <t>SANDVIKEN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8295-2026</t>
        </is>
      </c>
      <c r="B423" s="1" t="n">
        <v>46063</v>
      </c>
      <c r="C423" s="1" t="n">
        <v>46192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8611-2026</t>
        </is>
      </c>
      <c r="B424" s="1" t="n">
        <v>46065</v>
      </c>
      <c r="C424" s="1" t="n">
        <v>46192</v>
      </c>
      <c r="D424" t="inlineStr">
        <is>
          <t>GÄVLEBORGS LÄN</t>
        </is>
      </c>
      <c r="E424" t="inlineStr">
        <is>
          <t>SANDVIKEN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8573-2026</t>
        </is>
      </c>
      <c r="B425" s="1" t="n">
        <v>46065</v>
      </c>
      <c r="C425" s="1" t="n">
        <v>46192</v>
      </c>
      <c r="D425" t="inlineStr">
        <is>
          <t>GÄVLEBORGS LÄN</t>
        </is>
      </c>
      <c r="E425" t="inlineStr">
        <is>
          <t>SANDVIKEN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8612-2026</t>
        </is>
      </c>
      <c r="B426" s="1" t="n">
        <v>46065</v>
      </c>
      <c r="C426" s="1" t="n">
        <v>46192</v>
      </c>
      <c r="D426" t="inlineStr">
        <is>
          <t>GÄVLEBORGS LÄN</t>
        </is>
      </c>
      <c r="E426" t="inlineStr">
        <is>
          <t>SANDVIKEN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8608-2026</t>
        </is>
      </c>
      <c r="B427" s="1" t="n">
        <v>46065</v>
      </c>
      <c r="C427" s="1" t="n">
        <v>46192</v>
      </c>
      <c r="D427" t="inlineStr">
        <is>
          <t>GÄVLEBORGS LÄN</t>
        </is>
      </c>
      <c r="E427" t="inlineStr">
        <is>
          <t>SANDVIKEN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8363-2026</t>
        </is>
      </c>
      <c r="B428" s="1" t="n">
        <v>46064</v>
      </c>
      <c r="C428" s="1" t="n">
        <v>46192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15671-2024</t>
        </is>
      </c>
      <c r="B429" s="1" t="n">
        <v>45404</v>
      </c>
      <c r="C429" s="1" t="n">
        <v>46192</v>
      </c>
      <c r="D429" t="inlineStr">
        <is>
          <t>GÄVLEBORGS LÄN</t>
        </is>
      </c>
      <c r="E429" t="inlineStr">
        <is>
          <t>SANDVIKEN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8574-2026</t>
        </is>
      </c>
      <c r="B430" s="1" t="n">
        <v>46065</v>
      </c>
      <c r="C430" s="1" t="n">
        <v>46192</v>
      </c>
      <c r="D430" t="inlineStr">
        <is>
          <t>GÄVLEBORGS LÄN</t>
        </is>
      </c>
      <c r="E430" t="inlineStr">
        <is>
          <t>SANDVIKEN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32260-2023</t>
        </is>
      </c>
      <c r="B431" s="1" t="n">
        <v>45120</v>
      </c>
      <c r="C431" s="1" t="n">
        <v>46192</v>
      </c>
      <c r="D431" t="inlineStr">
        <is>
          <t>GÄVLEBORGS LÄN</t>
        </is>
      </c>
      <c r="E431" t="inlineStr">
        <is>
          <t>SANDVIKEN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48435-2024</t>
        </is>
      </c>
      <c r="B432" s="1" t="n">
        <v>45590</v>
      </c>
      <c r="C432" s="1" t="n">
        <v>46192</v>
      </c>
      <c r="D432" t="inlineStr">
        <is>
          <t>GÄVLEBORGS LÄN</t>
        </is>
      </c>
      <c r="E432" t="inlineStr">
        <is>
          <t>SANDVIKEN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9093-2026</t>
        </is>
      </c>
      <c r="B433" s="1" t="n">
        <v>46069</v>
      </c>
      <c r="C433" s="1" t="n">
        <v>46192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8719-2026</t>
        </is>
      </c>
      <c r="B434" s="1" t="n">
        <v>46066</v>
      </c>
      <c r="C434" s="1" t="n">
        <v>46192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9142-2026</t>
        </is>
      </c>
      <c r="B435" s="1" t="n">
        <v>46069</v>
      </c>
      <c r="C435" s="1" t="n">
        <v>46192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2131-2025</t>
        </is>
      </c>
      <c r="B436" s="1" t="n">
        <v>45672</v>
      </c>
      <c r="C436" s="1" t="n">
        <v>46192</v>
      </c>
      <c r="D436" t="inlineStr">
        <is>
          <t>GÄVLEBORGS LÄN</t>
        </is>
      </c>
      <c r="E436" t="inlineStr">
        <is>
          <t>SANDVIKEN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8713-2026</t>
        </is>
      </c>
      <c r="B437" s="1" t="n">
        <v>46066</v>
      </c>
      <c r="C437" s="1" t="n">
        <v>46192</v>
      </c>
      <c r="D437" t="inlineStr">
        <is>
          <t>GÄVLEBORGS LÄN</t>
        </is>
      </c>
      <c r="E437" t="inlineStr">
        <is>
          <t>SANDVIKEN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8706-2026</t>
        </is>
      </c>
      <c r="B438" s="1" t="n">
        <v>46066</v>
      </c>
      <c r="C438" s="1" t="n">
        <v>46192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49518-2023</t>
        </is>
      </c>
      <c r="B439" s="1" t="n">
        <v>45211</v>
      </c>
      <c r="C439" s="1" t="n">
        <v>46192</v>
      </c>
      <c r="D439" t="inlineStr">
        <is>
          <t>GÄVLEBORGS LÄN</t>
        </is>
      </c>
      <c r="E439" t="inlineStr">
        <is>
          <t>SANDVIKEN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549-2022</t>
        </is>
      </c>
      <c r="B440" s="1" t="n">
        <v>44566</v>
      </c>
      <c r="C440" s="1" t="n">
        <v>46192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9347-2026</t>
        </is>
      </c>
      <c r="B441" s="1" t="n">
        <v>46070</v>
      </c>
      <c r="C441" s="1" t="n">
        <v>46192</v>
      </c>
      <c r="D441" t="inlineStr">
        <is>
          <t>GÄVLEBORGS LÄN</t>
        </is>
      </c>
      <c r="E441" t="inlineStr">
        <is>
          <t>SANDVIKEN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36656-2023</t>
        </is>
      </c>
      <c r="B442" s="1" t="n">
        <v>45153</v>
      </c>
      <c r="C442" s="1" t="n">
        <v>46192</v>
      </c>
      <c r="D442" t="inlineStr">
        <is>
          <t>GÄVLEBORGS LÄN</t>
        </is>
      </c>
      <c r="E442" t="inlineStr">
        <is>
          <t>SANDVIKEN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9480-2026</t>
        </is>
      </c>
      <c r="B443" s="1" t="n">
        <v>46071</v>
      </c>
      <c r="C443" s="1" t="n">
        <v>46192</v>
      </c>
      <c r="D443" t="inlineStr">
        <is>
          <t>GÄVLEBORGS LÄN</t>
        </is>
      </c>
      <c r="E443" t="inlineStr">
        <is>
          <t>SANDVIKEN</t>
        </is>
      </c>
      <c r="F443" t="inlineStr">
        <is>
          <t>Naturvårdsverket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10022-2026</t>
        </is>
      </c>
      <c r="B444" s="1" t="n">
        <v>46073</v>
      </c>
      <c r="C444" s="1" t="n">
        <v>46192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16258-2023</t>
        </is>
      </c>
      <c r="B445" s="1" t="n">
        <v>45022</v>
      </c>
      <c r="C445" s="1" t="n">
        <v>46192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10025-2026</t>
        </is>
      </c>
      <c r="B446" s="1" t="n">
        <v>46073</v>
      </c>
      <c r="C446" s="1" t="n">
        <v>46192</v>
      </c>
      <c r="D446" t="inlineStr">
        <is>
          <t>GÄVLEBORGS LÄN</t>
        </is>
      </c>
      <c r="E446" t="inlineStr">
        <is>
          <t>SANDVIKEN</t>
        </is>
      </c>
      <c r="F446" t="inlineStr">
        <is>
          <t>Kommuner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47651-2023</t>
        </is>
      </c>
      <c r="B447" s="1" t="n">
        <v>45203</v>
      </c>
      <c r="C447" s="1" t="n">
        <v>46192</v>
      </c>
      <c r="D447" t="inlineStr">
        <is>
          <t>GÄVLEBORGS LÄN</t>
        </is>
      </c>
      <c r="E447" t="inlineStr">
        <is>
          <t>SANDVIKEN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9651-2026</t>
        </is>
      </c>
      <c r="B448" s="1" t="n">
        <v>46072</v>
      </c>
      <c r="C448" s="1" t="n">
        <v>46192</v>
      </c>
      <c r="D448" t="inlineStr">
        <is>
          <t>GÄVLEBORGS LÄN</t>
        </is>
      </c>
      <c r="E448" t="inlineStr">
        <is>
          <t>SANDVIKEN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9653-2026</t>
        </is>
      </c>
      <c r="B449" s="1" t="n">
        <v>46072</v>
      </c>
      <c r="C449" s="1" t="n">
        <v>46192</v>
      </c>
      <c r="D449" t="inlineStr">
        <is>
          <t>GÄVLEBORGS LÄN</t>
        </is>
      </c>
      <c r="E449" t="inlineStr">
        <is>
          <t>SANDVIKEN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9718-2026</t>
        </is>
      </c>
      <c r="B450" s="1" t="n">
        <v>46072</v>
      </c>
      <c r="C450" s="1" t="n">
        <v>46192</v>
      </c>
      <c r="D450" t="inlineStr">
        <is>
          <t>GÄVLEBORGS LÄN</t>
        </is>
      </c>
      <c r="E450" t="inlineStr">
        <is>
          <t>SANDVIKEN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9714-2026</t>
        </is>
      </c>
      <c r="B451" s="1" t="n">
        <v>46072</v>
      </c>
      <c r="C451" s="1" t="n">
        <v>46192</v>
      </c>
      <c r="D451" t="inlineStr">
        <is>
          <t>GÄVLEBORGS LÄN</t>
        </is>
      </c>
      <c r="E451" t="inlineStr">
        <is>
          <t>SANDVIKEN</t>
        </is>
      </c>
      <c r="F451" t="inlineStr">
        <is>
          <t>Naturvårdsverket</t>
        </is>
      </c>
      <c r="G451" t="n">
        <v>19.5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3679-2022</t>
        </is>
      </c>
      <c r="B452" s="1" t="n">
        <v>44586</v>
      </c>
      <c r="C452" s="1" t="n">
        <v>46192</v>
      </c>
      <c r="D452" t="inlineStr">
        <is>
          <t>GÄVLEBORGS LÄN</t>
        </is>
      </c>
      <c r="E452" t="inlineStr">
        <is>
          <t>SANDVIKEN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10176-2026</t>
        </is>
      </c>
      <c r="B453" s="1" t="n">
        <v>46076</v>
      </c>
      <c r="C453" s="1" t="n">
        <v>46192</v>
      </c>
      <c r="D453" t="inlineStr">
        <is>
          <t>GÄVLEBORGS LÄN</t>
        </is>
      </c>
      <c r="E453" t="inlineStr">
        <is>
          <t>SANDVIKEN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10107-2026</t>
        </is>
      </c>
      <c r="B454" s="1" t="n">
        <v>46074</v>
      </c>
      <c r="C454" s="1" t="n">
        <v>46192</v>
      </c>
      <c r="D454" t="inlineStr">
        <is>
          <t>GÄVLEBORGS LÄN</t>
        </is>
      </c>
      <c r="E454" t="inlineStr">
        <is>
          <t>SANDVIKEN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10346-2026</t>
        </is>
      </c>
      <c r="B455" s="1" t="n">
        <v>46076</v>
      </c>
      <c r="C455" s="1" t="n">
        <v>46192</v>
      </c>
      <c r="D455" t="inlineStr">
        <is>
          <t>GÄVLEBORGS LÄN</t>
        </is>
      </c>
      <c r="E455" t="inlineStr">
        <is>
          <t>SANDVIKEN</t>
        </is>
      </c>
      <c r="F455" t="inlineStr">
        <is>
          <t>Kommuner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21182-2025</t>
        </is>
      </c>
      <c r="B456" s="1" t="n">
        <v>45779</v>
      </c>
      <c r="C456" s="1" t="n">
        <v>46192</v>
      </c>
      <c r="D456" t="inlineStr">
        <is>
          <t>GÄVLEBORGS LÄN</t>
        </is>
      </c>
      <c r="E456" t="inlineStr">
        <is>
          <t>SANDVIKEN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49512-2023</t>
        </is>
      </c>
      <c r="B457" s="1" t="n">
        <v>45211</v>
      </c>
      <c r="C457" s="1" t="n">
        <v>46192</v>
      </c>
      <c r="D457" t="inlineStr">
        <is>
          <t>GÄVLEBORGS LÄN</t>
        </is>
      </c>
      <c r="E457" t="inlineStr">
        <is>
          <t>SANDVIKEN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1372-2026</t>
        </is>
      </c>
      <c r="B458" s="1" t="n">
        <v>46031</v>
      </c>
      <c r="C458" s="1" t="n">
        <v>46192</v>
      </c>
      <c r="D458" t="inlineStr">
        <is>
          <t>GÄVLEBORGS LÄN</t>
        </is>
      </c>
      <c r="E458" t="inlineStr">
        <is>
          <t>SANDVIKEN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10808-2026</t>
        </is>
      </c>
      <c r="B459" s="1" t="n">
        <v>46078</v>
      </c>
      <c r="C459" s="1" t="n">
        <v>46192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1562-2026</t>
        </is>
      </c>
      <c r="B460" s="1" t="n">
        <v>46034</v>
      </c>
      <c r="C460" s="1" t="n">
        <v>46192</v>
      </c>
      <c r="D460" t="inlineStr">
        <is>
          <t>GÄVLEBORGS LÄN</t>
        </is>
      </c>
      <c r="E460" t="inlineStr">
        <is>
          <t>SANDVIKEN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11089-2026</t>
        </is>
      </c>
      <c r="B461" s="1" t="n">
        <v>46079</v>
      </c>
      <c r="C461" s="1" t="n">
        <v>46192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11191-2026</t>
        </is>
      </c>
      <c r="B462" s="1" t="n">
        <v>46080</v>
      </c>
      <c r="C462" s="1" t="n">
        <v>46192</v>
      </c>
      <c r="D462" t="inlineStr">
        <is>
          <t>GÄVLEBORGS LÄN</t>
        </is>
      </c>
      <c r="E462" t="inlineStr">
        <is>
          <t>SANDVIKEN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37459-2024</t>
        </is>
      </c>
      <c r="B463" s="1" t="n">
        <v>45540</v>
      </c>
      <c r="C463" s="1" t="n">
        <v>46192</v>
      </c>
      <c r="D463" t="inlineStr">
        <is>
          <t>GÄVLEBORGS LÄN</t>
        </is>
      </c>
      <c r="E463" t="inlineStr">
        <is>
          <t>SANDVIKEN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2257-2026</t>
        </is>
      </c>
      <c r="B464" s="1" t="n">
        <v>46036</v>
      </c>
      <c r="C464" s="1" t="n">
        <v>46192</v>
      </c>
      <c r="D464" t="inlineStr">
        <is>
          <t>GÄVLEBORGS LÄN</t>
        </is>
      </c>
      <c r="E464" t="inlineStr">
        <is>
          <t>SANDVIKEN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48319-2023</t>
        </is>
      </c>
      <c r="B465" s="1" t="n">
        <v>45205</v>
      </c>
      <c r="C465" s="1" t="n">
        <v>46192</v>
      </c>
      <c r="D465" t="inlineStr">
        <is>
          <t>GÄVLEBORGS LÄN</t>
        </is>
      </c>
      <c r="E465" t="inlineStr">
        <is>
          <t>SANDVIKEN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55446-2024</t>
        </is>
      </c>
      <c r="B466" s="1" t="n">
        <v>45622</v>
      </c>
      <c r="C466" s="1" t="n">
        <v>46192</v>
      </c>
      <c r="D466" t="inlineStr">
        <is>
          <t>GÄVLEBORGS LÄN</t>
        </is>
      </c>
      <c r="E466" t="inlineStr">
        <is>
          <t>SANDVIKEN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3256-2025</t>
        </is>
      </c>
      <c r="B467" s="1" t="n">
        <v>45679</v>
      </c>
      <c r="C467" s="1" t="n">
        <v>46192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11213-2026</t>
        </is>
      </c>
      <c r="B468" s="1" t="n">
        <v>46080</v>
      </c>
      <c r="C468" s="1" t="n">
        <v>46192</v>
      </c>
      <c r="D468" t="inlineStr">
        <is>
          <t>GÄVLEBORGS LÄN</t>
        </is>
      </c>
      <c r="E468" t="inlineStr">
        <is>
          <t>SANDVIKEN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40460-2024</t>
        </is>
      </c>
      <c r="B469" s="1" t="n">
        <v>45555</v>
      </c>
      <c r="C469" s="1" t="n">
        <v>46192</v>
      </c>
      <c r="D469" t="inlineStr">
        <is>
          <t>GÄVLEBORGS LÄN</t>
        </is>
      </c>
      <c r="E469" t="inlineStr">
        <is>
          <t>SANDVIKEN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11707-2026</t>
        </is>
      </c>
      <c r="B470" s="1" t="n">
        <v>46084</v>
      </c>
      <c r="C470" s="1" t="n">
        <v>46192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11725-2026</t>
        </is>
      </c>
      <c r="B471" s="1" t="n">
        <v>46084</v>
      </c>
      <c r="C471" s="1" t="n">
        <v>46192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11726-2026</t>
        </is>
      </c>
      <c r="B472" s="1" t="n">
        <v>46084</v>
      </c>
      <c r="C472" s="1" t="n">
        <v>46192</v>
      </c>
      <c r="D472" t="inlineStr">
        <is>
          <t>GÄVLEBORGS LÄN</t>
        </is>
      </c>
      <c r="E472" t="inlineStr">
        <is>
          <t>SANDVIKEN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11731-2026</t>
        </is>
      </c>
      <c r="B473" s="1" t="n">
        <v>46084</v>
      </c>
      <c r="C473" s="1" t="n">
        <v>46192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41284-2023</t>
        </is>
      </c>
      <c r="B474" s="1" t="n">
        <v>45174</v>
      </c>
      <c r="C474" s="1" t="n">
        <v>46192</v>
      </c>
      <c r="D474" t="inlineStr">
        <is>
          <t>GÄVLEBORGS LÄN</t>
        </is>
      </c>
      <c r="E474" t="inlineStr">
        <is>
          <t>SANDVIKEN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11494-2026</t>
        </is>
      </c>
      <c r="B475" s="1" t="n">
        <v>46083</v>
      </c>
      <c r="C475" s="1" t="n">
        <v>46192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69521-2021</t>
        </is>
      </c>
      <c r="B476" s="1" t="n">
        <v>44531</v>
      </c>
      <c r="C476" s="1" t="n">
        <v>46192</v>
      </c>
      <c r="D476" t="inlineStr">
        <is>
          <t>GÄVLEBORGS LÄN</t>
        </is>
      </c>
      <c r="E476" t="inlineStr">
        <is>
          <t>SANDVIKEN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22373-2023</t>
        </is>
      </c>
      <c r="B477" s="1" t="n">
        <v>45070</v>
      </c>
      <c r="C477" s="1" t="n">
        <v>46192</v>
      </c>
      <c r="D477" t="inlineStr">
        <is>
          <t>GÄVLEBORGS LÄN</t>
        </is>
      </c>
      <c r="E477" t="inlineStr">
        <is>
          <t>SANDVIKEN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56019-2023</t>
        </is>
      </c>
      <c r="B478" s="1" t="n">
        <v>45240</v>
      </c>
      <c r="C478" s="1" t="n">
        <v>46192</v>
      </c>
      <c r="D478" t="inlineStr">
        <is>
          <t>GÄVLEBORGS LÄN</t>
        </is>
      </c>
      <c r="E478" t="inlineStr">
        <is>
          <t>SANDVIKEN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58796-2024</t>
        </is>
      </c>
      <c r="B479" s="1" t="n">
        <v>45636</v>
      </c>
      <c r="C479" s="1" t="n">
        <v>46192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25357-2023</t>
        </is>
      </c>
      <c r="B480" s="1" t="n">
        <v>45087</v>
      </c>
      <c r="C480" s="1" t="n">
        <v>46192</v>
      </c>
      <c r="D480" t="inlineStr">
        <is>
          <t>GÄVLEBORGS LÄN</t>
        </is>
      </c>
      <c r="E480" t="inlineStr">
        <is>
          <t>SANDVIKEN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42950-2023</t>
        </is>
      </c>
      <c r="B481" s="1" t="n">
        <v>45178</v>
      </c>
      <c r="C481" s="1" t="n">
        <v>46192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väst AB</t>
        </is>
      </c>
      <c r="G481" t="n">
        <v>16.5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2712-2026</t>
        </is>
      </c>
      <c r="B482" s="1" t="n">
        <v>46037</v>
      </c>
      <c r="C482" s="1" t="n">
        <v>46192</v>
      </c>
      <c r="D482" t="inlineStr">
        <is>
          <t>GÄVLEBORGS LÄN</t>
        </is>
      </c>
      <c r="E482" t="inlineStr">
        <is>
          <t>SANDVIKEN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11786-2026</t>
        </is>
      </c>
      <c r="B483" s="1" t="n">
        <v>46084</v>
      </c>
      <c r="C483" s="1" t="n">
        <v>46192</v>
      </c>
      <c r="D483" t="inlineStr">
        <is>
          <t>GÄVLEBORGS LÄN</t>
        </is>
      </c>
      <c r="E483" t="inlineStr">
        <is>
          <t>SANDVIKEN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12064-2026</t>
        </is>
      </c>
      <c r="B484" s="1" t="n">
        <v>46086</v>
      </c>
      <c r="C484" s="1" t="n">
        <v>46192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35252-2024</t>
        </is>
      </c>
      <c r="B485" s="1" t="n">
        <v>45530</v>
      </c>
      <c r="C485" s="1" t="n">
        <v>46192</v>
      </c>
      <c r="D485" t="inlineStr">
        <is>
          <t>GÄVLEBORGS LÄN</t>
        </is>
      </c>
      <c r="E485" t="inlineStr">
        <is>
          <t>SANDVIKEN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11914-2026</t>
        </is>
      </c>
      <c r="B486" s="1" t="n">
        <v>46085</v>
      </c>
      <c r="C486" s="1" t="n">
        <v>46192</v>
      </c>
      <c r="D486" t="inlineStr">
        <is>
          <t>GÄVLEBORGS LÄN</t>
        </is>
      </c>
      <c r="E486" t="inlineStr">
        <is>
          <t>SANDVIKEN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12166-2026</t>
        </is>
      </c>
      <c r="B487" s="1" t="n">
        <v>46086</v>
      </c>
      <c r="C487" s="1" t="n">
        <v>46192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12132-2026</t>
        </is>
      </c>
      <c r="B488" s="1" t="n">
        <v>46086</v>
      </c>
      <c r="C488" s="1" t="n">
        <v>46192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öst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11940-2026</t>
        </is>
      </c>
      <c r="B489" s="1" t="n">
        <v>46085</v>
      </c>
      <c r="C489" s="1" t="n">
        <v>46192</v>
      </c>
      <c r="D489" t="inlineStr">
        <is>
          <t>GÄVLEBORGS LÄN</t>
        </is>
      </c>
      <c r="E489" t="inlineStr">
        <is>
          <t>SANDVIKEN</t>
        </is>
      </c>
      <c r="F489" t="inlineStr">
        <is>
          <t>Naturvårdsverket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12146-2026</t>
        </is>
      </c>
      <c r="B490" s="1" t="n">
        <v>46086</v>
      </c>
      <c r="C490" s="1" t="n">
        <v>46192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11976-2026</t>
        </is>
      </c>
      <c r="B491" s="1" t="n">
        <v>46085</v>
      </c>
      <c r="C491" s="1" t="n">
        <v>46192</v>
      </c>
      <c r="D491" t="inlineStr">
        <is>
          <t>GÄVLEBORGS LÄN</t>
        </is>
      </c>
      <c r="E491" t="inlineStr">
        <is>
          <t>SANDVIKEN</t>
        </is>
      </c>
      <c r="F491" t="inlineStr">
        <is>
          <t>Naturvårdsverket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32291-2024</t>
        </is>
      </c>
      <c r="B492" s="1" t="n">
        <v>45512</v>
      </c>
      <c r="C492" s="1" t="n">
        <v>46192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11800-2026</t>
        </is>
      </c>
      <c r="B493" s="1" t="n">
        <v>46085</v>
      </c>
      <c r="C493" s="1" t="n">
        <v>46192</v>
      </c>
      <c r="D493" t="inlineStr">
        <is>
          <t>GÄVLEBORGS LÄN</t>
        </is>
      </c>
      <c r="E493" t="inlineStr">
        <is>
          <t>SANDVIKEN</t>
        </is>
      </c>
      <c r="F493" t="inlineStr">
        <is>
          <t>Naturvårdsverket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11802-2026</t>
        </is>
      </c>
      <c r="B494" s="1" t="n">
        <v>46085</v>
      </c>
      <c r="C494" s="1" t="n">
        <v>46192</v>
      </c>
      <c r="D494" t="inlineStr">
        <is>
          <t>GÄVLEBORGS LÄN</t>
        </is>
      </c>
      <c r="E494" t="inlineStr">
        <is>
          <t>SANDVIKEN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11913-2026</t>
        </is>
      </c>
      <c r="B495" s="1" t="n">
        <v>46085</v>
      </c>
      <c r="C495" s="1" t="n">
        <v>46192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12089-2026</t>
        </is>
      </c>
      <c r="B496" s="1" t="n">
        <v>46086</v>
      </c>
      <c r="C496" s="1" t="n">
        <v>46192</v>
      </c>
      <c r="D496" t="inlineStr">
        <is>
          <t>GÄVLEBORGS LÄN</t>
        </is>
      </c>
      <c r="E496" t="inlineStr">
        <is>
          <t>SANDVIKEN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12091-2026</t>
        </is>
      </c>
      <c r="B497" s="1" t="n">
        <v>46086</v>
      </c>
      <c r="C497" s="1" t="n">
        <v>46192</v>
      </c>
      <c r="D497" t="inlineStr">
        <is>
          <t>GÄVLEBORGS LÄN</t>
        </is>
      </c>
      <c r="E497" t="inlineStr">
        <is>
          <t>SANDVIKEN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12099-2026</t>
        </is>
      </c>
      <c r="B498" s="1" t="n">
        <v>46086</v>
      </c>
      <c r="C498" s="1" t="n">
        <v>46192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12081-2026</t>
        </is>
      </c>
      <c r="B499" s="1" t="n">
        <v>46086</v>
      </c>
      <c r="C499" s="1" t="n">
        <v>46192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12062-2026</t>
        </is>
      </c>
      <c r="B500" s="1" t="n">
        <v>46086</v>
      </c>
      <c r="C500" s="1" t="n">
        <v>46192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12098-2026</t>
        </is>
      </c>
      <c r="B501" s="1" t="n">
        <v>46086</v>
      </c>
      <c r="C501" s="1" t="n">
        <v>46192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11898-2026</t>
        </is>
      </c>
      <c r="B502" s="1" t="n">
        <v>46085</v>
      </c>
      <c r="C502" s="1" t="n">
        <v>46192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11911-2026</t>
        </is>
      </c>
      <c r="B503" s="1" t="n">
        <v>46085</v>
      </c>
      <c r="C503" s="1" t="n">
        <v>46192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12079-2026</t>
        </is>
      </c>
      <c r="B504" s="1" t="n">
        <v>46086</v>
      </c>
      <c r="C504" s="1" t="n">
        <v>46192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24764-2024</t>
        </is>
      </c>
      <c r="B505" s="1" t="n">
        <v>45460</v>
      </c>
      <c r="C505" s="1" t="n">
        <v>46192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12208-2026</t>
        </is>
      </c>
      <c r="B506" s="1" t="n">
        <v>46087</v>
      </c>
      <c r="C506" s="1" t="n">
        <v>46192</v>
      </c>
      <c r="D506" t="inlineStr">
        <is>
          <t>GÄVLEBORGS LÄN</t>
        </is>
      </c>
      <c r="E506" t="inlineStr">
        <is>
          <t>SANDVIKEN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33623-2024</t>
        </is>
      </c>
      <c r="B507" s="1" t="n">
        <v>45520</v>
      </c>
      <c r="C507" s="1" t="n">
        <v>46192</v>
      </c>
      <c r="D507" t="inlineStr">
        <is>
          <t>GÄVLEBORGS LÄN</t>
        </is>
      </c>
      <c r="E507" t="inlineStr">
        <is>
          <t>SANDVIKEN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12433-2026</t>
        </is>
      </c>
      <c r="B508" s="1" t="n">
        <v>46090</v>
      </c>
      <c r="C508" s="1" t="n">
        <v>46192</v>
      </c>
      <c r="D508" t="inlineStr">
        <is>
          <t>GÄVLEBORGS LÄN</t>
        </is>
      </c>
      <c r="E508" t="inlineStr">
        <is>
          <t>SANDVIKEN</t>
        </is>
      </c>
      <c r="F508" t="inlineStr">
        <is>
          <t>Kommuner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36671-2023</t>
        </is>
      </c>
      <c r="B509" s="1" t="n">
        <v>45153</v>
      </c>
      <c r="C509" s="1" t="n">
        <v>46192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12293-2026</t>
        </is>
      </c>
      <c r="B510" s="1" t="n">
        <v>46087</v>
      </c>
      <c r="C510" s="1" t="n">
        <v>46192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22495-2025</t>
        </is>
      </c>
      <c r="B511" s="1" t="n">
        <v>45786</v>
      </c>
      <c r="C511" s="1" t="n">
        <v>46192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12317-2026</t>
        </is>
      </c>
      <c r="B512" s="1" t="n">
        <v>46087</v>
      </c>
      <c r="C512" s="1" t="n">
        <v>46192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27.2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12426-2026</t>
        </is>
      </c>
      <c r="B513" s="1" t="n">
        <v>46090</v>
      </c>
      <c r="C513" s="1" t="n">
        <v>46192</v>
      </c>
      <c r="D513" t="inlineStr">
        <is>
          <t>GÄVLEBORGS LÄN</t>
        </is>
      </c>
      <c r="E513" t="inlineStr">
        <is>
          <t>SANDVIKEN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34429-2024</t>
        </is>
      </c>
      <c r="B514" s="1" t="n">
        <v>45525</v>
      </c>
      <c r="C514" s="1" t="n">
        <v>46192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12586-2026</t>
        </is>
      </c>
      <c r="B515" s="1" t="n">
        <v>46090</v>
      </c>
      <c r="C515" s="1" t="n">
        <v>46192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12891-2026</t>
        </is>
      </c>
      <c r="B516" s="1" t="n">
        <v>46092</v>
      </c>
      <c r="C516" s="1" t="n">
        <v>46192</v>
      </c>
      <c r="D516" t="inlineStr">
        <is>
          <t>GÄVLEBORGS LÄN</t>
        </is>
      </c>
      <c r="E516" t="inlineStr">
        <is>
          <t>SANDVIKEN</t>
        </is>
      </c>
      <c r="F516" t="inlineStr">
        <is>
          <t>Naturvårdsverket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12826-2026</t>
        </is>
      </c>
      <c r="B517" s="1" t="n">
        <v>46092</v>
      </c>
      <c r="C517" s="1" t="n">
        <v>46192</v>
      </c>
      <c r="D517" t="inlineStr">
        <is>
          <t>GÄVLEBORGS LÄN</t>
        </is>
      </c>
      <c r="E517" t="inlineStr">
        <is>
          <t>SANDVIKEN</t>
        </is>
      </c>
      <c r="F517" t="inlineStr">
        <is>
          <t>Naturvårdsverket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12641-2026</t>
        </is>
      </c>
      <c r="B518" s="1" t="n">
        <v>46091</v>
      </c>
      <c r="C518" s="1" t="n">
        <v>46192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12672-2026</t>
        </is>
      </c>
      <c r="B519" s="1" t="n">
        <v>46091</v>
      </c>
      <c r="C519" s="1" t="n">
        <v>46192</v>
      </c>
      <c r="D519" t="inlineStr">
        <is>
          <t>GÄVLEBORGS LÄN</t>
        </is>
      </c>
      <c r="E519" t="inlineStr">
        <is>
          <t>SANDVIKEN</t>
        </is>
      </c>
      <c r="F519" t="inlineStr">
        <is>
          <t>Naturvårdsverket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12656-2026</t>
        </is>
      </c>
      <c r="B520" s="1" t="n">
        <v>46091</v>
      </c>
      <c r="C520" s="1" t="n">
        <v>46192</v>
      </c>
      <c r="D520" t="inlineStr">
        <is>
          <t>GÄVLEBORGS LÄN</t>
        </is>
      </c>
      <c r="E520" t="inlineStr">
        <is>
          <t>SANDVIKEN</t>
        </is>
      </c>
      <c r="F520" t="inlineStr">
        <is>
          <t>Naturvårdsverket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60897-2023</t>
        </is>
      </c>
      <c r="B521" s="1" t="n">
        <v>45261</v>
      </c>
      <c r="C521" s="1" t="n">
        <v>46192</v>
      </c>
      <c r="D521" t="inlineStr">
        <is>
          <t>GÄVLEBORGS LÄN</t>
        </is>
      </c>
      <c r="E521" t="inlineStr">
        <is>
          <t>SANDVIKEN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12847-2026</t>
        </is>
      </c>
      <c r="B522" s="1" t="n">
        <v>46092</v>
      </c>
      <c r="C522" s="1" t="n">
        <v>46192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62047-2022</t>
        </is>
      </c>
      <c r="B523" s="1" t="n">
        <v>44918</v>
      </c>
      <c r="C523" s="1" t="n">
        <v>46192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12857-2026</t>
        </is>
      </c>
      <c r="B524" s="1" t="n">
        <v>46092</v>
      </c>
      <c r="C524" s="1" t="n">
        <v>46192</v>
      </c>
      <c r="D524" t="inlineStr">
        <is>
          <t>GÄVLEBORGS LÄN</t>
        </is>
      </c>
      <c r="E524" t="inlineStr">
        <is>
          <t>SANDVIKEN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3788-2026</t>
        </is>
      </c>
      <c r="B525" s="1" t="n">
        <v>46043</v>
      </c>
      <c r="C525" s="1" t="n">
        <v>46192</v>
      </c>
      <c r="D525" t="inlineStr">
        <is>
          <t>GÄVLEBORGS LÄN</t>
        </is>
      </c>
      <c r="E525" t="inlineStr">
        <is>
          <t>SANDVIKEN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45331-2024</t>
        </is>
      </c>
      <c r="B526" s="1" t="n">
        <v>45576</v>
      </c>
      <c r="C526" s="1" t="n">
        <v>46192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12893-2026</t>
        </is>
      </c>
      <c r="B527" s="1" t="n">
        <v>46092</v>
      </c>
      <c r="C527" s="1" t="n">
        <v>46192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12704-2026</t>
        </is>
      </c>
      <c r="B528" s="1" t="n">
        <v>46091</v>
      </c>
      <c r="C528" s="1" t="n">
        <v>46192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13138-2026</t>
        </is>
      </c>
      <c r="B529" s="1" t="n">
        <v>46093</v>
      </c>
      <c r="C529" s="1" t="n">
        <v>46192</v>
      </c>
      <c r="D529" t="inlineStr">
        <is>
          <t>GÄVLEBORGS LÄN</t>
        </is>
      </c>
      <c r="E529" t="inlineStr">
        <is>
          <t>SANDVIKEN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13409-2026</t>
        </is>
      </c>
      <c r="B530" s="1" t="n">
        <v>46094</v>
      </c>
      <c r="C530" s="1" t="n">
        <v>46192</v>
      </c>
      <c r="D530" t="inlineStr">
        <is>
          <t>GÄVLEBORGS LÄN</t>
        </is>
      </c>
      <c r="E530" t="inlineStr">
        <is>
          <t>SANDVIKEN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62642-2023</t>
        </is>
      </c>
      <c r="B531" s="1" t="n">
        <v>45271</v>
      </c>
      <c r="C531" s="1" t="n">
        <v>46192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13416-2026</t>
        </is>
      </c>
      <c r="B532" s="1" t="n">
        <v>46094</v>
      </c>
      <c r="C532" s="1" t="n">
        <v>46192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62056-2022</t>
        </is>
      </c>
      <c r="B533" s="1" t="n">
        <v>44918</v>
      </c>
      <c r="C533" s="1" t="n">
        <v>46192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13223-2026</t>
        </is>
      </c>
      <c r="B534" s="1" t="n">
        <v>46093</v>
      </c>
      <c r="C534" s="1" t="n">
        <v>46192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3890-2026</t>
        </is>
      </c>
      <c r="B535" s="1" t="n">
        <v>46043</v>
      </c>
      <c r="C535" s="1" t="n">
        <v>46192</v>
      </c>
      <c r="D535" t="inlineStr">
        <is>
          <t>GÄVLEBORGS LÄN</t>
        </is>
      </c>
      <c r="E535" t="inlineStr">
        <is>
          <t>SANDVIKEN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13108-2026</t>
        </is>
      </c>
      <c r="B536" s="1" t="n">
        <v>46093</v>
      </c>
      <c r="C536" s="1" t="n">
        <v>46192</v>
      </c>
      <c r="D536" t="inlineStr">
        <is>
          <t>GÄVLEBORGS LÄN</t>
        </is>
      </c>
      <c r="E536" t="inlineStr">
        <is>
          <t>SANDVIKEN</t>
        </is>
      </c>
      <c r="G536" t="n">
        <v>22.5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2251-2026</t>
        </is>
      </c>
      <c r="B537" s="1" t="n">
        <v>46036</v>
      </c>
      <c r="C537" s="1" t="n">
        <v>46192</v>
      </c>
      <c r="D537" t="inlineStr">
        <is>
          <t>GÄVLEBORGS LÄN</t>
        </is>
      </c>
      <c r="E537" t="inlineStr">
        <is>
          <t>SANDVIKEN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13552-2026</t>
        </is>
      </c>
      <c r="B538" s="1" t="n">
        <v>46094</v>
      </c>
      <c r="C538" s="1" t="n">
        <v>46192</v>
      </c>
      <c r="D538" t="inlineStr">
        <is>
          <t>GÄVLEBORGS LÄN</t>
        </is>
      </c>
      <c r="E538" t="inlineStr">
        <is>
          <t>SANDVIKEN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13564-2026</t>
        </is>
      </c>
      <c r="B539" s="1" t="n">
        <v>46094</v>
      </c>
      <c r="C539" s="1" t="n">
        <v>46192</v>
      </c>
      <c r="D539" t="inlineStr">
        <is>
          <t>GÄVLEBORGS LÄN</t>
        </is>
      </c>
      <c r="E539" t="inlineStr">
        <is>
          <t>SANDVIKEN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13642-2026</t>
        </is>
      </c>
      <c r="B540" s="1" t="n">
        <v>46097</v>
      </c>
      <c r="C540" s="1" t="n">
        <v>46192</v>
      </c>
      <c r="D540" t="inlineStr">
        <is>
          <t>GÄVLEBORGS LÄN</t>
        </is>
      </c>
      <c r="E540" t="inlineStr">
        <is>
          <t>SANDVIKEN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13727-2026</t>
        </is>
      </c>
      <c r="B541" s="1" t="n">
        <v>46097</v>
      </c>
      <c r="C541" s="1" t="n">
        <v>46192</v>
      </c>
      <c r="D541" t="inlineStr">
        <is>
          <t>GÄVLEBORGS LÄN</t>
        </is>
      </c>
      <c r="E541" t="inlineStr">
        <is>
          <t>SANDVIKEN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58182-2023</t>
        </is>
      </c>
      <c r="B542" s="1" t="n">
        <v>45245</v>
      </c>
      <c r="C542" s="1" t="n">
        <v>46192</v>
      </c>
      <c r="D542" t="inlineStr">
        <is>
          <t>GÄVLEBORGS LÄN</t>
        </is>
      </c>
      <c r="E542" t="inlineStr">
        <is>
          <t>SANDVIKEN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15682-2024</t>
        </is>
      </c>
      <c r="B543" s="1" t="n">
        <v>45404</v>
      </c>
      <c r="C543" s="1" t="n">
        <v>46192</v>
      </c>
      <c r="D543" t="inlineStr">
        <is>
          <t>GÄVLEBORGS LÄN</t>
        </is>
      </c>
      <c r="E543" t="inlineStr">
        <is>
          <t>SANDVIKEN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13582-2026</t>
        </is>
      </c>
      <c r="B544" s="1" t="n">
        <v>46095</v>
      </c>
      <c r="C544" s="1" t="n">
        <v>46192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15674-2024</t>
        </is>
      </c>
      <c r="B545" s="1" t="n">
        <v>45404</v>
      </c>
      <c r="C545" s="1" t="n">
        <v>46192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13577-2026</t>
        </is>
      </c>
      <c r="B546" s="1" t="n">
        <v>46095</v>
      </c>
      <c r="C546" s="1" t="n">
        <v>46192</v>
      </c>
      <c r="D546" t="inlineStr">
        <is>
          <t>GÄVLEBORGS LÄN</t>
        </is>
      </c>
      <c r="E546" t="inlineStr">
        <is>
          <t>SANDVIKEN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13581-2026</t>
        </is>
      </c>
      <c r="B547" s="1" t="n">
        <v>46095</v>
      </c>
      <c r="C547" s="1" t="n">
        <v>46192</v>
      </c>
      <c r="D547" t="inlineStr">
        <is>
          <t>GÄVLEBORGS LÄN</t>
        </is>
      </c>
      <c r="E547" t="inlineStr">
        <is>
          <t>SANDVIKEN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13585-2026</t>
        </is>
      </c>
      <c r="B548" s="1" t="n">
        <v>46095</v>
      </c>
      <c r="C548" s="1" t="n">
        <v>46192</v>
      </c>
      <c r="D548" t="inlineStr">
        <is>
          <t>GÄVLEBORGS LÄN</t>
        </is>
      </c>
      <c r="E548" t="inlineStr">
        <is>
          <t>SANDVIKEN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44289-2023</t>
        </is>
      </c>
      <c r="B549" s="1" t="n">
        <v>45188</v>
      </c>
      <c r="C549" s="1" t="n">
        <v>46192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27872-2024</t>
        </is>
      </c>
      <c r="B550" s="1" t="n">
        <v>45475</v>
      </c>
      <c r="C550" s="1" t="n">
        <v>46192</v>
      </c>
      <c r="D550" t="inlineStr">
        <is>
          <t>GÄVLEBORGS LÄN</t>
        </is>
      </c>
      <c r="E550" t="inlineStr">
        <is>
          <t>SANDVIKEN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13580-2026</t>
        </is>
      </c>
      <c r="B551" s="1" t="n">
        <v>46095</v>
      </c>
      <c r="C551" s="1" t="n">
        <v>46192</v>
      </c>
      <c r="D551" t="inlineStr">
        <is>
          <t>GÄVLEBORGS LÄN</t>
        </is>
      </c>
      <c r="E551" t="inlineStr">
        <is>
          <t>SANDVIKEN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13584-2026</t>
        </is>
      </c>
      <c r="B552" s="1" t="n">
        <v>46095</v>
      </c>
      <c r="C552" s="1" t="n">
        <v>46192</v>
      </c>
      <c r="D552" t="inlineStr">
        <is>
          <t>GÄVLEBORGS LÄN</t>
        </is>
      </c>
      <c r="E552" t="inlineStr">
        <is>
          <t>SANDVIKEN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13966-2026</t>
        </is>
      </c>
      <c r="B553" s="1" t="n">
        <v>46098</v>
      </c>
      <c r="C553" s="1" t="n">
        <v>46192</v>
      </c>
      <c r="D553" t="inlineStr">
        <is>
          <t>GÄVLEBORGS LÄN</t>
        </is>
      </c>
      <c r="E553" t="inlineStr">
        <is>
          <t>SANDVIKEN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14044-2026</t>
        </is>
      </c>
      <c r="B554" s="1" t="n">
        <v>46098</v>
      </c>
      <c r="C554" s="1" t="n">
        <v>46192</v>
      </c>
      <c r="D554" t="inlineStr">
        <is>
          <t>GÄVLEBORGS LÄN</t>
        </is>
      </c>
      <c r="E554" t="inlineStr">
        <is>
          <t>SANDVIKEN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13586-2026</t>
        </is>
      </c>
      <c r="B555" s="1" t="n">
        <v>46095</v>
      </c>
      <c r="C555" s="1" t="n">
        <v>46192</v>
      </c>
      <c r="D555" t="inlineStr">
        <is>
          <t>GÄVLEBORGS LÄN</t>
        </is>
      </c>
      <c r="E555" t="inlineStr">
        <is>
          <t>SANDVIKEN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13605-2026</t>
        </is>
      </c>
      <c r="B556" s="1" t="n">
        <v>46097</v>
      </c>
      <c r="C556" s="1" t="n">
        <v>46192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14257-2026</t>
        </is>
      </c>
      <c r="B557" s="1" t="n">
        <v>46099</v>
      </c>
      <c r="C557" s="1" t="n">
        <v>46192</v>
      </c>
      <c r="D557" t="inlineStr">
        <is>
          <t>GÄVLEBORGS LÄN</t>
        </is>
      </c>
      <c r="E557" t="inlineStr">
        <is>
          <t>SANDVIKEN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22042-2023</t>
        </is>
      </c>
      <c r="B558" s="1" t="n">
        <v>45069</v>
      </c>
      <c r="C558" s="1" t="n">
        <v>46192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14423-2026</t>
        </is>
      </c>
      <c r="B559" s="1" t="n">
        <v>46100</v>
      </c>
      <c r="C559" s="1" t="n">
        <v>46192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1037-2025</t>
        </is>
      </c>
      <c r="B560" s="1" t="n">
        <v>45666</v>
      </c>
      <c r="C560" s="1" t="n">
        <v>46192</v>
      </c>
      <c r="D560" t="inlineStr">
        <is>
          <t>GÄVLEBORGS LÄN</t>
        </is>
      </c>
      <c r="E560" t="inlineStr">
        <is>
          <t>SANDVIKEN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14327-2026</t>
        </is>
      </c>
      <c r="B561" s="1" t="n">
        <v>46100</v>
      </c>
      <c r="C561" s="1" t="n">
        <v>46192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14330-2026</t>
        </is>
      </c>
      <c r="B562" s="1" t="n">
        <v>46100</v>
      </c>
      <c r="C562" s="1" t="n">
        <v>46192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14119-2026</t>
        </is>
      </c>
      <c r="B563" s="1" t="n">
        <v>46099</v>
      </c>
      <c r="C563" s="1" t="n">
        <v>46192</v>
      </c>
      <c r="D563" t="inlineStr">
        <is>
          <t>GÄVLEBORGS LÄN</t>
        </is>
      </c>
      <c r="E563" t="inlineStr">
        <is>
          <t>SANDVIKEN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16980-2025</t>
        </is>
      </c>
      <c r="B564" s="1" t="n">
        <v>45755</v>
      </c>
      <c r="C564" s="1" t="n">
        <v>46192</v>
      </c>
      <c r="D564" t="inlineStr">
        <is>
          <t>GÄVLEBORGS LÄN</t>
        </is>
      </c>
      <c r="E564" t="inlineStr">
        <is>
          <t>SANDVIKEN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14094-2026</t>
        </is>
      </c>
      <c r="B565" s="1" t="n">
        <v>46099</v>
      </c>
      <c r="C565" s="1" t="n">
        <v>46192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14192-2026</t>
        </is>
      </c>
      <c r="B566" s="1" t="n">
        <v>46099</v>
      </c>
      <c r="C566" s="1" t="n">
        <v>46192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2358-2025</t>
        </is>
      </c>
      <c r="B567" s="1" t="n">
        <v>45673</v>
      </c>
      <c r="C567" s="1" t="n">
        <v>46192</v>
      </c>
      <c r="D567" t="inlineStr">
        <is>
          <t>GÄVLEBORGS LÄN</t>
        </is>
      </c>
      <c r="E567" t="inlineStr">
        <is>
          <t>SANDVIKEN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14219-2026</t>
        </is>
      </c>
      <c r="B568" s="1" t="n">
        <v>46099</v>
      </c>
      <c r="C568" s="1" t="n">
        <v>46192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17498-2024</t>
        </is>
      </c>
      <c r="B569" s="1" t="n">
        <v>45415</v>
      </c>
      <c r="C569" s="1" t="n">
        <v>46192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14093-2026</t>
        </is>
      </c>
      <c r="B570" s="1" t="n">
        <v>46099</v>
      </c>
      <c r="C570" s="1" t="n">
        <v>46192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18725-2025</t>
        </is>
      </c>
      <c r="B571" s="1" t="n">
        <v>45763</v>
      </c>
      <c r="C571" s="1" t="n">
        <v>46192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11756-2023</t>
        </is>
      </c>
      <c r="B572" s="1" t="n">
        <v>44994</v>
      </c>
      <c r="C572" s="1" t="n">
        <v>46192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11764-2023</t>
        </is>
      </c>
      <c r="B573" s="1" t="n">
        <v>44994</v>
      </c>
      <c r="C573" s="1" t="n">
        <v>46192</v>
      </c>
      <c r="D573" t="inlineStr">
        <is>
          <t>GÄVLEBORGS LÄN</t>
        </is>
      </c>
      <c r="E573" t="inlineStr">
        <is>
          <t>SANDVIKEN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14676-2026</t>
        </is>
      </c>
      <c r="B574" s="1" t="n">
        <v>46101</v>
      </c>
      <c r="C574" s="1" t="n">
        <v>46192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14720-2026</t>
        </is>
      </c>
      <c r="B575" s="1" t="n">
        <v>46101</v>
      </c>
      <c r="C575" s="1" t="n">
        <v>46192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64000-2023</t>
        </is>
      </c>
      <c r="B576" s="1" t="n">
        <v>45278</v>
      </c>
      <c r="C576" s="1" t="n">
        <v>46192</v>
      </c>
      <c r="D576" t="inlineStr">
        <is>
          <t>GÄVLEBORGS LÄN</t>
        </is>
      </c>
      <c r="E576" t="inlineStr">
        <is>
          <t>SANDVIKEN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14663-2026</t>
        </is>
      </c>
      <c r="B577" s="1" t="n">
        <v>46101</v>
      </c>
      <c r="C577" s="1" t="n">
        <v>46192</v>
      </c>
      <c r="D577" t="inlineStr">
        <is>
          <t>GÄVLEBORGS LÄN</t>
        </is>
      </c>
      <c r="E577" t="inlineStr">
        <is>
          <t>SANDVIKEN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15000-2026</t>
        </is>
      </c>
      <c r="B578" s="1" t="n">
        <v>46104</v>
      </c>
      <c r="C578" s="1" t="n">
        <v>46192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17735-2024</t>
        </is>
      </c>
      <c r="B579" s="1" t="n">
        <v>45418</v>
      </c>
      <c r="C579" s="1" t="n">
        <v>46192</v>
      </c>
      <c r="D579" t="inlineStr">
        <is>
          <t>GÄVLEBORGS LÄN</t>
        </is>
      </c>
      <c r="E579" t="inlineStr">
        <is>
          <t>SANDVIKEN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14999-2026</t>
        </is>
      </c>
      <c r="B580" s="1" t="n">
        <v>46104</v>
      </c>
      <c r="C580" s="1" t="n">
        <v>46192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14649-2026</t>
        </is>
      </c>
      <c r="B581" s="1" t="n">
        <v>46101</v>
      </c>
      <c r="C581" s="1" t="n">
        <v>46192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15118-2026</t>
        </is>
      </c>
      <c r="B582" s="1" t="n">
        <v>46105</v>
      </c>
      <c r="C582" s="1" t="n">
        <v>46192</v>
      </c>
      <c r="D582" t="inlineStr">
        <is>
          <t>GÄVLEBORGS LÄN</t>
        </is>
      </c>
      <c r="E582" t="inlineStr">
        <is>
          <t>SANDVIKEN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7351-2026</t>
        </is>
      </c>
      <c r="B583" s="1" t="n">
        <v>46058</v>
      </c>
      <c r="C583" s="1" t="n">
        <v>46192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15131-2026</t>
        </is>
      </c>
      <c r="B584" s="1" t="n">
        <v>46105</v>
      </c>
      <c r="C584" s="1" t="n">
        <v>46192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53322-2024</t>
        </is>
      </c>
      <c r="B585" s="1" t="n">
        <v>45614</v>
      </c>
      <c r="C585" s="1" t="n">
        <v>46192</v>
      </c>
      <c r="D585" t="inlineStr">
        <is>
          <t>GÄVLEBORGS LÄN</t>
        </is>
      </c>
      <c r="E585" t="inlineStr">
        <is>
          <t>SANDVIKEN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15529-2026</t>
        </is>
      </c>
      <c r="B586" s="1" t="n">
        <v>46106</v>
      </c>
      <c r="C586" s="1" t="n">
        <v>46192</v>
      </c>
      <c r="D586" t="inlineStr">
        <is>
          <t>GÄVLEBORGS LÄN</t>
        </is>
      </c>
      <c r="E586" t="inlineStr">
        <is>
          <t>SANDVIKEN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15166-2026</t>
        </is>
      </c>
      <c r="B587" s="1" t="n">
        <v>46105</v>
      </c>
      <c r="C587" s="1" t="n">
        <v>46192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17256-2024</t>
        </is>
      </c>
      <c r="B588" s="1" t="n">
        <v>45414</v>
      </c>
      <c r="C588" s="1" t="n">
        <v>46192</v>
      </c>
      <c r="D588" t="inlineStr">
        <is>
          <t>GÄVLEBORGS LÄN</t>
        </is>
      </c>
      <c r="E588" t="inlineStr">
        <is>
          <t>SANDVIKEN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61858-2024</t>
        </is>
      </c>
      <c r="B589" s="1" t="n">
        <v>45649</v>
      </c>
      <c r="C589" s="1" t="n">
        <v>46192</v>
      </c>
      <c r="D589" t="inlineStr">
        <is>
          <t>GÄVLEBORGS LÄN</t>
        </is>
      </c>
      <c r="E589" t="inlineStr">
        <is>
          <t>SANDVIKEN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15113-2026</t>
        </is>
      </c>
      <c r="B590" s="1" t="n">
        <v>46105</v>
      </c>
      <c r="C590" s="1" t="n">
        <v>46192</v>
      </c>
      <c r="D590" t="inlineStr">
        <is>
          <t>GÄVLEBORGS LÄN</t>
        </is>
      </c>
      <c r="E590" t="inlineStr">
        <is>
          <t>SANDVIKEN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24940-2025</t>
        </is>
      </c>
      <c r="B591" s="1" t="n">
        <v>45799</v>
      </c>
      <c r="C591" s="1" t="n">
        <v>46192</v>
      </c>
      <c r="D591" t="inlineStr">
        <is>
          <t>GÄVLEBORGS LÄN</t>
        </is>
      </c>
      <c r="E591" t="inlineStr">
        <is>
          <t>SANDVIKEN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24948-2025</t>
        </is>
      </c>
      <c r="B592" s="1" t="n">
        <v>45799</v>
      </c>
      <c r="C592" s="1" t="n">
        <v>46192</v>
      </c>
      <c r="D592" t="inlineStr">
        <is>
          <t>GÄVLEBORGS LÄN</t>
        </is>
      </c>
      <c r="E592" t="inlineStr">
        <is>
          <t>SANDVIKEN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24953-2025</t>
        </is>
      </c>
      <c r="B593" s="1" t="n">
        <v>45799</v>
      </c>
      <c r="C593" s="1" t="n">
        <v>46192</v>
      </c>
      <c r="D593" t="inlineStr">
        <is>
          <t>GÄVLEBORGS LÄN</t>
        </is>
      </c>
      <c r="E593" t="inlineStr">
        <is>
          <t>SANDVIKEN</t>
        </is>
      </c>
      <c r="G593" t="n">
        <v>10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6951-2024</t>
        </is>
      </c>
      <c r="B594" s="1" t="n">
        <v>45343</v>
      </c>
      <c r="C594" s="1" t="n">
        <v>46192</v>
      </c>
      <c r="D594" t="inlineStr">
        <is>
          <t>GÄVLEBORGS LÄN</t>
        </is>
      </c>
      <c r="E594" t="inlineStr">
        <is>
          <t>SANDVIKEN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15770-2026</t>
        </is>
      </c>
      <c r="B595" s="1" t="n">
        <v>46107</v>
      </c>
      <c r="C595" s="1" t="n">
        <v>46192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15778-2026</t>
        </is>
      </c>
      <c r="B596" s="1" t="n">
        <v>46107</v>
      </c>
      <c r="C596" s="1" t="n">
        <v>46192</v>
      </c>
      <c r="D596" t="inlineStr">
        <is>
          <t>GÄVLEBORGS LÄN</t>
        </is>
      </c>
      <c r="E596" t="inlineStr">
        <is>
          <t>SANDVIKEN</t>
        </is>
      </c>
      <c r="F596" t="inlineStr">
        <is>
          <t>Kommuner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15861-2026</t>
        </is>
      </c>
      <c r="B597" s="1" t="n">
        <v>46107</v>
      </c>
      <c r="C597" s="1" t="n">
        <v>46192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16018-2026</t>
        </is>
      </c>
      <c r="B598" s="1" t="n">
        <v>46108</v>
      </c>
      <c r="C598" s="1" t="n">
        <v>46192</v>
      </c>
      <c r="D598" t="inlineStr">
        <is>
          <t>GÄVLEBORGS LÄN</t>
        </is>
      </c>
      <c r="E598" t="inlineStr">
        <is>
          <t>SANDVIKEN</t>
        </is>
      </c>
      <c r="F598" t="inlineStr">
        <is>
          <t>Kommuner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16019-2026</t>
        </is>
      </c>
      <c r="B599" s="1" t="n">
        <v>46108</v>
      </c>
      <c r="C599" s="1" t="n">
        <v>46192</v>
      </c>
      <c r="D599" t="inlineStr">
        <is>
          <t>GÄVLEBORGS LÄN</t>
        </is>
      </c>
      <c r="E599" t="inlineStr">
        <is>
          <t>SANDVIKEN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16060-2026</t>
        </is>
      </c>
      <c r="B600" s="1" t="n">
        <v>46108</v>
      </c>
      <c r="C600" s="1" t="n">
        <v>46192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16102-2026</t>
        </is>
      </c>
      <c r="B601" s="1" t="n">
        <v>46108</v>
      </c>
      <c r="C601" s="1" t="n">
        <v>46192</v>
      </c>
      <c r="D601" t="inlineStr">
        <is>
          <t>GÄVLEBORGS LÄN</t>
        </is>
      </c>
      <c r="E601" t="inlineStr">
        <is>
          <t>SANDVIKEN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33136-2023</t>
        </is>
      </c>
      <c r="B602" s="1" t="n">
        <v>45126</v>
      </c>
      <c r="C602" s="1" t="n">
        <v>46192</v>
      </c>
      <c r="D602" t="inlineStr">
        <is>
          <t>GÄVLEBORGS LÄN</t>
        </is>
      </c>
      <c r="E602" t="inlineStr">
        <is>
          <t>SANDVIKEN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16099-2026</t>
        </is>
      </c>
      <c r="B603" s="1" t="n">
        <v>46108</v>
      </c>
      <c r="C603" s="1" t="n">
        <v>46192</v>
      </c>
      <c r="D603" t="inlineStr">
        <is>
          <t>GÄVLEBORGS LÄN</t>
        </is>
      </c>
      <c r="E603" t="inlineStr">
        <is>
          <t>SANDVIKEN</t>
        </is>
      </c>
      <c r="F603" t="inlineStr">
        <is>
          <t>Kommuner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25300-2025</t>
        </is>
      </c>
      <c r="B604" s="1" t="n">
        <v>45800</v>
      </c>
      <c r="C604" s="1" t="n">
        <v>46192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25327-2025</t>
        </is>
      </c>
      <c r="B605" s="1" t="n">
        <v>45800</v>
      </c>
      <c r="C605" s="1" t="n">
        <v>46192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21773-2026</t>
        </is>
      </c>
      <c r="B606" s="1" t="n">
        <v>46150</v>
      </c>
      <c r="C606" s="1" t="n">
        <v>46192</v>
      </c>
      <c r="D606" t="inlineStr">
        <is>
          <t>GÄVLEBORGS LÄN</t>
        </is>
      </c>
      <c r="E606" t="inlineStr">
        <is>
          <t>SANDVIKEN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25111-2025</t>
        </is>
      </c>
      <c r="B607" s="1" t="n">
        <v>45800</v>
      </c>
      <c r="C607" s="1" t="n">
        <v>46192</v>
      </c>
      <c r="D607" t="inlineStr">
        <is>
          <t>GÄVLEBORGS LÄN</t>
        </is>
      </c>
      <c r="E607" t="inlineStr">
        <is>
          <t>SANDVIKEN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4483-2026</t>
        </is>
      </c>
      <c r="B608" s="1" t="n">
        <v>46045</v>
      </c>
      <c r="C608" s="1" t="n">
        <v>46192</v>
      </c>
      <c r="D608" t="inlineStr">
        <is>
          <t>GÄVLEBORGS LÄN</t>
        </is>
      </c>
      <c r="E608" t="inlineStr">
        <is>
          <t>SANDVIKEN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25317-2025</t>
        </is>
      </c>
      <c r="B609" s="1" t="n">
        <v>45800</v>
      </c>
      <c r="C609" s="1" t="n">
        <v>46192</v>
      </c>
      <c r="D609" t="inlineStr">
        <is>
          <t>GÄVLEBORGS LÄN</t>
        </is>
      </c>
      <c r="E609" t="inlineStr">
        <is>
          <t>SANDVIKEN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4488-2026</t>
        </is>
      </c>
      <c r="B610" s="1" t="n">
        <v>46045</v>
      </c>
      <c r="C610" s="1" t="n">
        <v>46192</v>
      </c>
      <c r="D610" t="inlineStr">
        <is>
          <t>GÄVLEBORGS LÄN</t>
        </is>
      </c>
      <c r="E610" t="inlineStr">
        <is>
          <t>SANDVIKEN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16012-2026</t>
        </is>
      </c>
      <c r="B611" s="1" t="n">
        <v>46108</v>
      </c>
      <c r="C611" s="1" t="n">
        <v>46192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26294-2025</t>
        </is>
      </c>
      <c r="B612" s="1" t="n">
        <v>45805</v>
      </c>
      <c r="C612" s="1" t="n">
        <v>46192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16242-2026</t>
        </is>
      </c>
      <c r="B613" s="1" t="n">
        <v>46111</v>
      </c>
      <c r="C613" s="1" t="n">
        <v>46192</v>
      </c>
      <c r="D613" t="inlineStr">
        <is>
          <t>GÄVLEBORGS LÄN</t>
        </is>
      </c>
      <c r="E613" t="inlineStr">
        <is>
          <t>SANDVIKEN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16270-2026</t>
        </is>
      </c>
      <c r="B614" s="1" t="n">
        <v>46111</v>
      </c>
      <c r="C614" s="1" t="n">
        <v>46192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16328-2026</t>
        </is>
      </c>
      <c r="B615" s="1" t="n">
        <v>46111</v>
      </c>
      <c r="C615" s="1" t="n">
        <v>46192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12417-2025</t>
        </is>
      </c>
      <c r="B616" s="1" t="n">
        <v>45730</v>
      </c>
      <c r="C616" s="1" t="n">
        <v>46192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12418-2025</t>
        </is>
      </c>
      <c r="B617" s="1" t="n">
        <v>45730</v>
      </c>
      <c r="C617" s="1" t="n">
        <v>46192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60891-2023</t>
        </is>
      </c>
      <c r="B618" s="1" t="n">
        <v>45261</v>
      </c>
      <c r="C618" s="1" t="n">
        <v>46192</v>
      </c>
      <c r="D618" t="inlineStr">
        <is>
          <t>GÄVLEBORGS LÄN</t>
        </is>
      </c>
      <c r="E618" t="inlineStr">
        <is>
          <t>SANDVIKEN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5247-2026</t>
        </is>
      </c>
      <c r="B619" s="1" t="n">
        <v>46049</v>
      </c>
      <c r="C619" s="1" t="n">
        <v>46192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22205-2026</t>
        </is>
      </c>
      <c r="B620" s="1" t="n">
        <v>46153</v>
      </c>
      <c r="C620" s="1" t="n">
        <v>46192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37-2024</t>
        </is>
      </c>
      <c r="B621" s="1" t="n">
        <v>45293</v>
      </c>
      <c r="C621" s="1" t="n">
        <v>46192</v>
      </c>
      <c r="D621" t="inlineStr">
        <is>
          <t>GÄVLEBORGS LÄN</t>
        </is>
      </c>
      <c r="E621" t="inlineStr">
        <is>
          <t>SANDVIKEN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39-2024</t>
        </is>
      </c>
      <c r="B622" s="1" t="n">
        <v>45293</v>
      </c>
      <c r="C622" s="1" t="n">
        <v>46192</v>
      </c>
      <c r="D622" t="inlineStr">
        <is>
          <t>GÄVLEBORGS LÄN</t>
        </is>
      </c>
      <c r="E622" t="inlineStr">
        <is>
          <t>SANDVIKEN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16569-2026</t>
        </is>
      </c>
      <c r="B623" s="1" t="n">
        <v>46112</v>
      </c>
      <c r="C623" s="1" t="n">
        <v>46192</v>
      </c>
      <c r="D623" t="inlineStr">
        <is>
          <t>GÄVLEBORGS LÄN</t>
        </is>
      </c>
      <c r="E623" t="inlineStr">
        <is>
          <t>SANDVIKEN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26787-2025</t>
        </is>
      </c>
      <c r="B624" s="1" t="n">
        <v>45810</v>
      </c>
      <c r="C624" s="1" t="n">
        <v>46192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4498-2024</t>
        </is>
      </c>
      <c r="B625" s="1" t="n">
        <v>45327</v>
      </c>
      <c r="C625" s="1" t="n">
        <v>46192</v>
      </c>
      <c r="D625" t="inlineStr">
        <is>
          <t>GÄVLEBORGS LÄN</t>
        </is>
      </c>
      <c r="E625" t="inlineStr">
        <is>
          <t>SANDVIKEN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28468-2025</t>
        </is>
      </c>
      <c r="B626" s="1" t="n">
        <v>45819</v>
      </c>
      <c r="C626" s="1" t="n">
        <v>46192</v>
      </c>
      <c r="D626" t="inlineStr">
        <is>
          <t>GÄVLEBORGS LÄN</t>
        </is>
      </c>
      <c r="E626" t="inlineStr">
        <is>
          <t>SANDVIKEN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16958-2026</t>
        </is>
      </c>
      <c r="B627" s="1" t="n">
        <v>46114</v>
      </c>
      <c r="C627" s="1" t="n">
        <v>46192</v>
      </c>
      <c r="D627" t="inlineStr">
        <is>
          <t>GÄVLEBORGS LÄN</t>
        </is>
      </c>
      <c r="E627" t="inlineStr">
        <is>
          <t>SANDVIKEN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17172-2026</t>
        </is>
      </c>
      <c r="B628" s="1" t="n">
        <v>46115</v>
      </c>
      <c r="C628" s="1" t="n">
        <v>46192</v>
      </c>
      <c r="D628" t="inlineStr">
        <is>
          <t>GÄVLEBORGS LÄN</t>
        </is>
      </c>
      <c r="E628" t="inlineStr">
        <is>
          <t>SANDVIKEN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17182-2026</t>
        </is>
      </c>
      <c r="B629" s="1" t="n">
        <v>46116</v>
      </c>
      <c r="C629" s="1" t="n">
        <v>46192</v>
      </c>
      <c r="D629" t="inlineStr">
        <is>
          <t>GÄVLEBORGS LÄN</t>
        </is>
      </c>
      <c r="E629" t="inlineStr">
        <is>
          <t>SANDVIKEN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17165-2026</t>
        </is>
      </c>
      <c r="B630" s="1" t="n">
        <v>46115</v>
      </c>
      <c r="C630" s="1" t="n">
        <v>46192</v>
      </c>
      <c r="D630" t="inlineStr">
        <is>
          <t>GÄVLEBORGS LÄN</t>
        </is>
      </c>
      <c r="E630" t="inlineStr">
        <is>
          <t>SANDVIKEN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17175-2026</t>
        </is>
      </c>
      <c r="B631" s="1" t="n">
        <v>46115</v>
      </c>
      <c r="C631" s="1" t="n">
        <v>46192</v>
      </c>
      <c r="D631" t="inlineStr">
        <is>
          <t>GÄVLEBORGS LÄN</t>
        </is>
      </c>
      <c r="E631" t="inlineStr">
        <is>
          <t>SANDVIKEN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17180-2026</t>
        </is>
      </c>
      <c r="B632" s="1" t="n">
        <v>46116</v>
      </c>
      <c r="C632" s="1" t="n">
        <v>46192</v>
      </c>
      <c r="D632" t="inlineStr">
        <is>
          <t>GÄVLEBORGS LÄN</t>
        </is>
      </c>
      <c r="E632" t="inlineStr">
        <is>
          <t>SANDVIKEN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22068-2026</t>
        </is>
      </c>
      <c r="B633" s="1" t="n">
        <v>46153</v>
      </c>
      <c r="C633" s="1" t="n">
        <v>46192</v>
      </c>
      <c r="D633" t="inlineStr">
        <is>
          <t>GÄVLEBORGS LÄN</t>
        </is>
      </c>
      <c r="E633" t="inlineStr">
        <is>
          <t>SANDVIKEN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17164-2026</t>
        </is>
      </c>
      <c r="B634" s="1" t="n">
        <v>46115</v>
      </c>
      <c r="C634" s="1" t="n">
        <v>46192</v>
      </c>
      <c r="D634" t="inlineStr">
        <is>
          <t>GÄVLEBORGS LÄN</t>
        </is>
      </c>
      <c r="E634" t="inlineStr">
        <is>
          <t>SANDVIKEN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28424-2025</t>
        </is>
      </c>
      <c r="B635" s="1" t="n">
        <v>45819</v>
      </c>
      <c r="C635" s="1" t="n">
        <v>46192</v>
      </c>
      <c r="D635" t="inlineStr">
        <is>
          <t>GÄVLEBORGS LÄN</t>
        </is>
      </c>
      <c r="E635" t="inlineStr">
        <is>
          <t>SANDVIKEN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28476-2025</t>
        </is>
      </c>
      <c r="B636" s="1" t="n">
        <v>45819</v>
      </c>
      <c r="C636" s="1" t="n">
        <v>46192</v>
      </c>
      <c r="D636" t="inlineStr">
        <is>
          <t>GÄVLEBORGS LÄN</t>
        </is>
      </c>
      <c r="E636" t="inlineStr">
        <is>
          <t>SANDVIKEN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22851-2026</t>
        </is>
      </c>
      <c r="B637" s="1" t="n">
        <v>46160</v>
      </c>
      <c r="C637" s="1" t="n">
        <v>46192</v>
      </c>
      <c r="D637" t="inlineStr">
        <is>
          <t>GÄVLEBORGS LÄN</t>
        </is>
      </c>
      <c r="E637" t="inlineStr">
        <is>
          <t>SANDVIKEN</t>
        </is>
      </c>
      <c r="F637" t="inlineStr">
        <is>
          <t>Kommuner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17171-2026</t>
        </is>
      </c>
      <c r="B638" s="1" t="n">
        <v>46115</v>
      </c>
      <c r="C638" s="1" t="n">
        <v>46192</v>
      </c>
      <c r="D638" t="inlineStr">
        <is>
          <t>GÄVLEBORGS LÄN</t>
        </is>
      </c>
      <c r="E638" t="inlineStr">
        <is>
          <t>SANDVIKEN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17183-2026</t>
        </is>
      </c>
      <c r="B639" s="1" t="n">
        <v>46116</v>
      </c>
      <c r="C639" s="1" t="n">
        <v>46192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17166-2026</t>
        </is>
      </c>
      <c r="B640" s="1" t="n">
        <v>46115</v>
      </c>
      <c r="C640" s="1" t="n">
        <v>46192</v>
      </c>
      <c r="D640" t="inlineStr">
        <is>
          <t>GÄVLEBORGS LÄN</t>
        </is>
      </c>
      <c r="E640" t="inlineStr">
        <is>
          <t>SANDVIKEN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17173-2026</t>
        </is>
      </c>
      <c r="B641" s="1" t="n">
        <v>46115</v>
      </c>
      <c r="C641" s="1" t="n">
        <v>46192</v>
      </c>
      <c r="D641" t="inlineStr">
        <is>
          <t>GÄVLEBORGS LÄN</t>
        </is>
      </c>
      <c r="E641" t="inlineStr">
        <is>
          <t>SANDVIKEN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17359-2026</t>
        </is>
      </c>
      <c r="B642" s="1" t="n">
        <v>46119</v>
      </c>
      <c r="C642" s="1" t="n">
        <v>46192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17363-2026</t>
        </is>
      </c>
      <c r="B643" s="1" t="n">
        <v>46119</v>
      </c>
      <c r="C643" s="1" t="n">
        <v>46192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17365-2026</t>
        </is>
      </c>
      <c r="B644" s="1" t="n">
        <v>46119</v>
      </c>
      <c r="C644" s="1" t="n">
        <v>46192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3833-2024</t>
        </is>
      </c>
      <c r="B645" s="1" t="n">
        <v>45321</v>
      </c>
      <c r="C645" s="1" t="n">
        <v>46192</v>
      </c>
      <c r="D645" t="inlineStr">
        <is>
          <t>GÄVLEBORGS LÄN</t>
        </is>
      </c>
      <c r="E645" t="inlineStr">
        <is>
          <t>SANDVIKEN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29738-2025</t>
        </is>
      </c>
      <c r="B646" s="1" t="n">
        <v>45825</v>
      </c>
      <c r="C646" s="1" t="n">
        <v>46192</v>
      </c>
      <c r="D646" t="inlineStr">
        <is>
          <t>GÄVLEBORGS LÄN</t>
        </is>
      </c>
      <c r="E646" t="inlineStr">
        <is>
          <t>SANDVIKEN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62459-2023</t>
        </is>
      </c>
      <c r="B647" s="1" t="n">
        <v>45268</v>
      </c>
      <c r="C647" s="1" t="n">
        <v>46192</v>
      </c>
      <c r="D647" t="inlineStr">
        <is>
          <t>GÄVLEBORGS LÄN</t>
        </is>
      </c>
      <c r="E647" t="inlineStr">
        <is>
          <t>SANDVIKEN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30203-2025</t>
        </is>
      </c>
      <c r="B648" s="1" t="n">
        <v>45827</v>
      </c>
      <c r="C648" s="1" t="n">
        <v>46192</v>
      </c>
      <c r="D648" t="inlineStr">
        <is>
          <t>GÄVLEBORGS LÄN</t>
        </is>
      </c>
      <c r="E648" t="inlineStr">
        <is>
          <t>SANDVIKEN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17361-2026</t>
        </is>
      </c>
      <c r="B649" s="1" t="n">
        <v>46119</v>
      </c>
      <c r="C649" s="1" t="n">
        <v>46192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23144-2026</t>
        </is>
      </c>
      <c r="B650" s="1" t="n">
        <v>46161</v>
      </c>
      <c r="C650" s="1" t="n">
        <v>46192</v>
      </c>
      <c r="D650" t="inlineStr">
        <is>
          <t>GÄVLEBORGS LÄN</t>
        </is>
      </c>
      <c r="E650" t="inlineStr">
        <is>
          <t>SANDVIKEN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17366-2026</t>
        </is>
      </c>
      <c r="B651" s="1" t="n">
        <v>46119</v>
      </c>
      <c r="C651" s="1" t="n">
        <v>46192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17360-2026</t>
        </is>
      </c>
      <c r="B652" s="1" t="n">
        <v>46119</v>
      </c>
      <c r="C652" s="1" t="n">
        <v>46192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17473-2026</t>
        </is>
      </c>
      <c r="B653" s="1" t="n">
        <v>46120</v>
      </c>
      <c r="C653" s="1" t="n">
        <v>46192</v>
      </c>
      <c r="D653" t="inlineStr">
        <is>
          <t>GÄVLEBORGS LÄN</t>
        </is>
      </c>
      <c r="E653" t="inlineStr">
        <is>
          <t>SANDVIKEN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17859-2026</t>
        </is>
      </c>
      <c r="B654" s="1" t="n">
        <v>46122</v>
      </c>
      <c r="C654" s="1" t="n">
        <v>46192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23429-2026</t>
        </is>
      </c>
      <c r="B655" s="1" t="n">
        <v>46163</v>
      </c>
      <c r="C655" s="1" t="n">
        <v>46192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31460-2025</t>
        </is>
      </c>
      <c r="B656" s="1" t="n">
        <v>45833</v>
      </c>
      <c r="C656" s="1" t="n">
        <v>46192</v>
      </c>
      <c r="D656" t="inlineStr">
        <is>
          <t>GÄVLEBORGS LÄN</t>
        </is>
      </c>
      <c r="E656" t="inlineStr">
        <is>
          <t>SANDVIKEN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21951-2026</t>
        </is>
      </c>
      <c r="B657" s="1" t="n">
        <v>46151</v>
      </c>
      <c r="C657" s="1" t="n">
        <v>46192</v>
      </c>
      <c r="D657" t="inlineStr">
        <is>
          <t>GÄVLEBORGS LÄN</t>
        </is>
      </c>
      <c r="E657" t="inlineStr">
        <is>
          <t>SANDVIKEN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31145-2025</t>
        </is>
      </c>
      <c r="B658" s="1" t="n">
        <v>45832</v>
      </c>
      <c r="C658" s="1" t="n">
        <v>46192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36660-2023</t>
        </is>
      </c>
      <c r="B659" s="1" t="n">
        <v>45153</v>
      </c>
      <c r="C659" s="1" t="n">
        <v>46192</v>
      </c>
      <c r="D659" t="inlineStr">
        <is>
          <t>GÄVLEBORGS LÄN</t>
        </is>
      </c>
      <c r="E659" t="inlineStr">
        <is>
          <t>SANDVIKEN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22008-2026</t>
        </is>
      </c>
      <c r="B660" s="1" t="n">
        <v>46153</v>
      </c>
      <c r="C660" s="1" t="n">
        <v>46192</v>
      </c>
      <c r="D660" t="inlineStr">
        <is>
          <t>GÄVLEBORGS LÄN</t>
        </is>
      </c>
      <c r="E660" t="inlineStr">
        <is>
          <t>SANDVIKEN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30843-2025</t>
        </is>
      </c>
      <c r="B661" s="1" t="n">
        <v>45831</v>
      </c>
      <c r="C661" s="1" t="n">
        <v>46192</v>
      </c>
      <c r="D661" t="inlineStr">
        <is>
          <t>GÄVLEBORGS LÄN</t>
        </is>
      </c>
      <c r="E661" t="inlineStr">
        <is>
          <t>SANDVIKEN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7622-2026</t>
        </is>
      </c>
      <c r="B662" s="1" t="n">
        <v>46062</v>
      </c>
      <c r="C662" s="1" t="n">
        <v>46192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17626-2026</t>
        </is>
      </c>
      <c r="B663" s="1" t="n">
        <v>46121</v>
      </c>
      <c r="C663" s="1" t="n">
        <v>46192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17596-2026</t>
        </is>
      </c>
      <c r="B664" s="1" t="n">
        <v>46121</v>
      </c>
      <c r="C664" s="1" t="n">
        <v>46192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23539-2026</t>
        </is>
      </c>
      <c r="B665" s="1" t="n">
        <v>46163</v>
      </c>
      <c r="C665" s="1" t="n">
        <v>46192</v>
      </c>
      <c r="D665" t="inlineStr">
        <is>
          <t>GÄVLEBORGS LÄN</t>
        </is>
      </c>
      <c r="E665" t="inlineStr">
        <is>
          <t>SANDVIKEN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8940-2026</t>
        </is>
      </c>
      <c r="B666" s="1" t="n">
        <v>46069</v>
      </c>
      <c r="C666" s="1" t="n">
        <v>46192</v>
      </c>
      <c r="D666" t="inlineStr">
        <is>
          <t>GÄVLEBORGS LÄN</t>
        </is>
      </c>
      <c r="E666" t="inlineStr">
        <is>
          <t>SANDVIKEN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9790-2026</t>
        </is>
      </c>
      <c r="B667" s="1" t="n">
        <v>46072</v>
      </c>
      <c r="C667" s="1" t="n">
        <v>46192</v>
      </c>
      <c r="D667" t="inlineStr">
        <is>
          <t>GÄVLEBORGS LÄN</t>
        </is>
      </c>
      <c r="E667" t="inlineStr">
        <is>
          <t>SANDVIKEN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12149-2026</t>
        </is>
      </c>
      <c r="B668" s="1" t="n">
        <v>46086</v>
      </c>
      <c r="C668" s="1" t="n">
        <v>46192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18218-2026</t>
        </is>
      </c>
      <c r="B669" s="1" t="n">
        <v>46126</v>
      </c>
      <c r="C669" s="1" t="n">
        <v>46192</v>
      </c>
      <c r="D669" t="inlineStr">
        <is>
          <t>GÄVLEBORGS LÄN</t>
        </is>
      </c>
      <c r="E669" t="inlineStr">
        <is>
          <t>SANDVIKEN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18224-2026</t>
        </is>
      </c>
      <c r="B670" s="1" t="n">
        <v>46126</v>
      </c>
      <c r="C670" s="1" t="n">
        <v>46192</v>
      </c>
      <c r="D670" t="inlineStr">
        <is>
          <t>GÄVLEBORGS LÄN</t>
        </is>
      </c>
      <c r="E670" t="inlineStr">
        <is>
          <t>SANDVIKEN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45989-2023</t>
        </is>
      </c>
      <c r="B671" s="1" t="n">
        <v>45196</v>
      </c>
      <c r="C671" s="1" t="n">
        <v>46192</v>
      </c>
      <c r="D671" t="inlineStr">
        <is>
          <t>GÄVLEBORGS LÄN</t>
        </is>
      </c>
      <c r="E671" t="inlineStr">
        <is>
          <t>SANDVIKEN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18395-2026</t>
        </is>
      </c>
      <c r="B672" s="1" t="n">
        <v>46126</v>
      </c>
      <c r="C672" s="1" t="n">
        <v>46192</v>
      </c>
      <c r="D672" t="inlineStr">
        <is>
          <t>GÄVLEBORGS LÄN</t>
        </is>
      </c>
      <c r="E672" t="inlineStr">
        <is>
          <t>SANDVIKEN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23848-2026</t>
        </is>
      </c>
      <c r="B673" s="1" t="n">
        <v>46167</v>
      </c>
      <c r="C673" s="1" t="n">
        <v>46192</v>
      </c>
      <c r="D673" t="inlineStr">
        <is>
          <t>GÄVLEBORGS LÄN</t>
        </is>
      </c>
      <c r="E673" t="inlineStr">
        <is>
          <t>SANDVIKEN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24177-2026</t>
        </is>
      </c>
      <c r="B674" s="1" t="n">
        <v>46168</v>
      </c>
      <c r="C674" s="1" t="n">
        <v>46192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33015-2025</t>
        </is>
      </c>
      <c r="B675" s="1" t="n">
        <v>45840</v>
      </c>
      <c r="C675" s="1" t="n">
        <v>46192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27.3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23823-2026</t>
        </is>
      </c>
      <c r="B676" s="1" t="n">
        <v>46165</v>
      </c>
      <c r="C676" s="1" t="n">
        <v>46192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33350-2025</t>
        </is>
      </c>
      <c r="B677" s="1" t="n">
        <v>45841</v>
      </c>
      <c r="C677" s="1" t="n">
        <v>46192</v>
      </c>
      <c r="D677" t="inlineStr">
        <is>
          <t>GÄVLEBORGS LÄN</t>
        </is>
      </c>
      <c r="E677" t="inlineStr">
        <is>
          <t>SANDVIKEN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65098-2023</t>
        </is>
      </c>
      <c r="B678" s="1" t="n">
        <v>45288</v>
      </c>
      <c r="C678" s="1" t="n">
        <v>46192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35185-2022</t>
        </is>
      </c>
      <c r="B679" s="1" t="n">
        <v>44797</v>
      </c>
      <c r="C679" s="1" t="n">
        <v>46192</v>
      </c>
      <c r="D679" t="inlineStr">
        <is>
          <t>GÄVLEBORGS LÄN</t>
        </is>
      </c>
      <c r="E679" t="inlineStr">
        <is>
          <t>SANDVIKEN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24149-2026</t>
        </is>
      </c>
      <c r="B680" s="1" t="n">
        <v>46168</v>
      </c>
      <c r="C680" s="1" t="n">
        <v>46192</v>
      </c>
      <c r="D680" t="inlineStr">
        <is>
          <t>GÄVLEBORGS LÄN</t>
        </is>
      </c>
      <c r="E680" t="inlineStr">
        <is>
          <t>SANDVIKEN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23821-2026</t>
        </is>
      </c>
      <c r="B681" s="1" t="n">
        <v>46165</v>
      </c>
      <c r="C681" s="1" t="n">
        <v>46192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23820-2026</t>
        </is>
      </c>
      <c r="B682" s="1" t="n">
        <v>46165</v>
      </c>
      <c r="C682" s="1" t="n">
        <v>46192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23824-2026</t>
        </is>
      </c>
      <c r="B683" s="1" t="n">
        <v>46165</v>
      </c>
      <c r="C683" s="1" t="n">
        <v>46192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61052-2024</t>
        </is>
      </c>
      <c r="B684" s="1" t="n">
        <v>45645</v>
      </c>
      <c r="C684" s="1" t="n">
        <v>46192</v>
      </c>
      <c r="D684" t="inlineStr">
        <is>
          <t>GÄVLEBORGS LÄN</t>
        </is>
      </c>
      <c r="E684" t="inlineStr">
        <is>
          <t>SANDVIKEN</t>
        </is>
      </c>
      <c r="F684" t="inlineStr">
        <is>
          <t>Naturvårdsverket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18219-2026</t>
        </is>
      </c>
      <c r="B685" s="1" t="n">
        <v>46126</v>
      </c>
      <c r="C685" s="1" t="n">
        <v>46192</v>
      </c>
      <c r="D685" t="inlineStr">
        <is>
          <t>GÄVLEBORGS LÄN</t>
        </is>
      </c>
      <c r="E685" t="inlineStr">
        <is>
          <t>SANDVIKEN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12120-2026</t>
        </is>
      </c>
      <c r="B686" s="1" t="n">
        <v>46086</v>
      </c>
      <c r="C686" s="1" t="n">
        <v>46192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52785-2023</t>
        </is>
      </c>
      <c r="B687" s="1" t="n">
        <v>45226</v>
      </c>
      <c r="C687" s="1" t="n">
        <v>46192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23822-2026</t>
        </is>
      </c>
      <c r="B688" s="1" t="n">
        <v>46165</v>
      </c>
      <c r="C688" s="1" t="n">
        <v>46192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34219-2025</t>
        </is>
      </c>
      <c r="B689" s="1" t="n">
        <v>45845</v>
      </c>
      <c r="C689" s="1" t="n">
        <v>46192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7038-2025</t>
        </is>
      </c>
      <c r="B690" s="1" t="n">
        <v>45701</v>
      </c>
      <c r="C690" s="1" t="n">
        <v>46192</v>
      </c>
      <c r="D690" t="inlineStr">
        <is>
          <t>GÄVLEBORGS LÄN</t>
        </is>
      </c>
      <c r="E690" t="inlineStr">
        <is>
          <t>SANDVIKEN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23465-2026</t>
        </is>
      </c>
      <c r="B691" s="1" t="n">
        <v>46163</v>
      </c>
      <c r="C691" s="1" t="n">
        <v>46192</v>
      </c>
      <c r="D691" t="inlineStr">
        <is>
          <t>GÄVLEBORGS LÄN</t>
        </is>
      </c>
      <c r="E691" t="inlineStr">
        <is>
          <t>SANDVIKEN</t>
        </is>
      </c>
      <c r="F691" t="inlineStr">
        <is>
          <t>Övriga statliga verk och myndigheter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23493-2026</t>
        </is>
      </c>
      <c r="B692" s="1" t="n">
        <v>46163</v>
      </c>
      <c r="C692" s="1" t="n">
        <v>46192</v>
      </c>
      <c r="D692" t="inlineStr">
        <is>
          <t>GÄVLEBORGS LÄN</t>
        </is>
      </c>
      <c r="E692" t="inlineStr">
        <is>
          <t>SANDVIKEN</t>
        </is>
      </c>
      <c r="F692" t="inlineStr">
        <is>
          <t>Övriga statliga verk och myndigheter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24313-2026</t>
        </is>
      </c>
      <c r="B693" s="1" t="n">
        <v>46169</v>
      </c>
      <c r="C693" s="1" t="n">
        <v>46192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18357-2025</t>
        </is>
      </c>
      <c r="B694" s="1" t="n">
        <v>45762</v>
      </c>
      <c r="C694" s="1" t="n">
        <v>46192</v>
      </c>
      <c r="D694" t="inlineStr">
        <is>
          <t>GÄVLEBORGS LÄN</t>
        </is>
      </c>
      <c r="E694" t="inlineStr">
        <is>
          <t>SANDVIKEN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22275-2024</t>
        </is>
      </c>
      <c r="B695" s="1" t="n">
        <v>45446</v>
      </c>
      <c r="C695" s="1" t="n">
        <v>46192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18988-2026</t>
        </is>
      </c>
      <c r="B696" s="1" t="n">
        <v>46129</v>
      </c>
      <c r="C696" s="1" t="n">
        <v>46192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18992-2026</t>
        </is>
      </c>
      <c r="B697" s="1" t="n">
        <v>46129</v>
      </c>
      <c r="C697" s="1" t="n">
        <v>46192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18997-2026</t>
        </is>
      </c>
      <c r="B698" s="1" t="n">
        <v>46129</v>
      </c>
      <c r="C698" s="1" t="n">
        <v>46192</v>
      </c>
      <c r="D698" t="inlineStr">
        <is>
          <t>GÄVLEBORGS LÄN</t>
        </is>
      </c>
      <c r="E698" t="inlineStr">
        <is>
          <t>SANDVIKEN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18750-2026</t>
        </is>
      </c>
      <c r="B699" s="1" t="n">
        <v>46128</v>
      </c>
      <c r="C699" s="1" t="n">
        <v>46192</v>
      </c>
      <c r="D699" t="inlineStr">
        <is>
          <t>GÄVLEBORGS LÄN</t>
        </is>
      </c>
      <c r="E699" t="inlineStr">
        <is>
          <t>SANDVIKEN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33757-2025</t>
        </is>
      </c>
      <c r="B700" s="1" t="n">
        <v>45842</v>
      </c>
      <c r="C700" s="1" t="n">
        <v>46192</v>
      </c>
      <c r="D700" t="inlineStr">
        <is>
          <t>GÄVLEBORGS LÄN</t>
        </is>
      </c>
      <c r="E700" t="inlineStr">
        <is>
          <t>SANDVIKEN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24297-2026</t>
        </is>
      </c>
      <c r="B701" s="1" t="n">
        <v>46169</v>
      </c>
      <c r="C701" s="1" t="n">
        <v>46192</v>
      </c>
      <c r="D701" t="inlineStr">
        <is>
          <t>GÄVLEBORGS LÄN</t>
        </is>
      </c>
      <c r="E701" t="inlineStr">
        <is>
          <t>SANDVIKEN</t>
        </is>
      </c>
      <c r="F701" t="inlineStr">
        <is>
          <t>Kommuner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24303-2026</t>
        </is>
      </c>
      <c r="B702" s="1" t="n">
        <v>46169</v>
      </c>
      <c r="C702" s="1" t="n">
        <v>46192</v>
      </c>
      <c r="D702" t="inlineStr">
        <is>
          <t>GÄVLEBORGS LÄN</t>
        </is>
      </c>
      <c r="E702" t="inlineStr">
        <is>
          <t>SANDVIKEN</t>
        </is>
      </c>
      <c r="F702" t="inlineStr">
        <is>
          <t>Kommuner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18656-2026</t>
        </is>
      </c>
      <c r="B703" s="1" t="n">
        <v>46128</v>
      </c>
      <c r="C703" s="1" t="n">
        <v>46192</v>
      </c>
      <c r="D703" t="inlineStr">
        <is>
          <t>GÄVLEBORGS LÄN</t>
        </is>
      </c>
      <c r="E703" t="inlineStr">
        <is>
          <t>SANDVIKEN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23459-2026</t>
        </is>
      </c>
      <c r="B704" s="1" t="n">
        <v>46163</v>
      </c>
      <c r="C704" s="1" t="n">
        <v>46192</v>
      </c>
      <c r="D704" t="inlineStr">
        <is>
          <t>GÄVLEBORGS LÄN</t>
        </is>
      </c>
      <c r="E704" t="inlineStr">
        <is>
          <t>SANDVIKEN</t>
        </is>
      </c>
      <c r="F704" t="inlineStr">
        <is>
          <t>Övriga statliga verk och myndigheter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71995-2021</t>
        </is>
      </c>
      <c r="B705" s="1" t="n">
        <v>44544</v>
      </c>
      <c r="C705" s="1" t="n">
        <v>46192</v>
      </c>
      <c r="D705" t="inlineStr">
        <is>
          <t>GÄVLEBORGS LÄN</t>
        </is>
      </c>
      <c r="E705" t="inlineStr">
        <is>
          <t>SANDVIKEN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38570-2023</t>
        </is>
      </c>
      <c r="B706" s="1" t="n">
        <v>45162</v>
      </c>
      <c r="C706" s="1" t="n">
        <v>46192</v>
      </c>
      <c r="D706" t="inlineStr">
        <is>
          <t>GÄVLEBORGS LÄN</t>
        </is>
      </c>
      <c r="E706" t="inlineStr">
        <is>
          <t>SANDVIKEN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18991-2026</t>
        </is>
      </c>
      <c r="B707" s="1" t="n">
        <v>46129</v>
      </c>
      <c r="C707" s="1" t="n">
        <v>46192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12450-2026</t>
        </is>
      </c>
      <c r="B708" s="1" t="n">
        <v>46090</v>
      </c>
      <c r="C708" s="1" t="n">
        <v>46192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14092-2026</t>
        </is>
      </c>
      <c r="B709" s="1" t="n">
        <v>46099</v>
      </c>
      <c r="C709" s="1" t="n">
        <v>46192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18990-2026</t>
        </is>
      </c>
      <c r="B710" s="1" t="n">
        <v>46129</v>
      </c>
      <c r="C710" s="1" t="n">
        <v>46192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18987-2026</t>
        </is>
      </c>
      <c r="B711" s="1" t="n">
        <v>46129</v>
      </c>
      <c r="C711" s="1" t="n">
        <v>46192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11397-2023</t>
        </is>
      </c>
      <c r="B712" s="1" t="n">
        <v>44988</v>
      </c>
      <c r="C712" s="1" t="n">
        <v>46192</v>
      </c>
      <c r="D712" t="inlineStr">
        <is>
          <t>GÄVLEBORGS LÄN</t>
        </is>
      </c>
      <c r="E712" t="inlineStr">
        <is>
          <t>SANDVIKEN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48799-2023</t>
        </is>
      </c>
      <c r="B713" s="1" t="n">
        <v>45209</v>
      </c>
      <c r="C713" s="1" t="n">
        <v>46192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18749-2026</t>
        </is>
      </c>
      <c r="B714" s="1" t="n">
        <v>46128</v>
      </c>
      <c r="C714" s="1" t="n">
        <v>46192</v>
      </c>
      <c r="D714" t="inlineStr">
        <is>
          <t>GÄVLEBORGS LÄN</t>
        </is>
      </c>
      <c r="E714" t="inlineStr">
        <is>
          <t>SANDVIKEN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18752-2026</t>
        </is>
      </c>
      <c r="B715" s="1" t="n">
        <v>46128</v>
      </c>
      <c r="C715" s="1" t="n">
        <v>46192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18811-2026</t>
        </is>
      </c>
      <c r="B716" s="1" t="n">
        <v>46128</v>
      </c>
      <c r="C716" s="1" t="n">
        <v>46192</v>
      </c>
      <c r="D716" t="inlineStr">
        <is>
          <t>GÄVLEBORGS LÄN</t>
        </is>
      </c>
      <c r="E716" t="inlineStr">
        <is>
          <t>SANDVIKEN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15855-2026</t>
        </is>
      </c>
      <c r="B717" s="1" t="n">
        <v>46107</v>
      </c>
      <c r="C717" s="1" t="n">
        <v>46192</v>
      </c>
      <c r="D717" t="inlineStr">
        <is>
          <t>GÄVLEBORGS LÄN</t>
        </is>
      </c>
      <c r="E717" t="inlineStr">
        <is>
          <t>SANDVIKEN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24627-2026</t>
        </is>
      </c>
      <c r="B718" s="1" t="n">
        <v>46171</v>
      </c>
      <c r="C718" s="1" t="n">
        <v>46192</v>
      </c>
      <c r="D718" t="inlineStr">
        <is>
          <t>GÄVLEBORGS LÄN</t>
        </is>
      </c>
      <c r="E718" t="inlineStr">
        <is>
          <t>SANDVIKEN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13576-2026</t>
        </is>
      </c>
      <c r="B719" s="1" t="n">
        <v>46095</v>
      </c>
      <c r="C719" s="1" t="n">
        <v>46192</v>
      </c>
      <c r="D719" t="inlineStr">
        <is>
          <t>GÄVLEBORGS LÄN</t>
        </is>
      </c>
      <c r="E719" t="inlineStr">
        <is>
          <t>SANDVIKEN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24261-2026</t>
        </is>
      </c>
      <c r="B720" s="1" t="n">
        <v>46169</v>
      </c>
      <c r="C720" s="1" t="n">
        <v>46192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24650-2026</t>
        </is>
      </c>
      <c r="B721" s="1" t="n">
        <v>46171</v>
      </c>
      <c r="C721" s="1" t="n">
        <v>46192</v>
      </c>
      <c r="D721" t="inlineStr">
        <is>
          <t>GÄVLEBORGS LÄN</t>
        </is>
      </c>
      <c r="E721" t="inlineStr">
        <is>
          <t>SANDVIKEN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37741-2023</t>
        </is>
      </c>
      <c r="B722" s="1" t="n">
        <v>45159</v>
      </c>
      <c r="C722" s="1" t="n">
        <v>46192</v>
      </c>
      <c r="D722" t="inlineStr">
        <is>
          <t>GÄVLEBORGS LÄN</t>
        </is>
      </c>
      <c r="E722" t="inlineStr">
        <is>
          <t>SANDVIKEN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23471-2026</t>
        </is>
      </c>
      <c r="B723" s="1" t="n">
        <v>46163</v>
      </c>
      <c r="C723" s="1" t="n">
        <v>46192</v>
      </c>
      <c r="D723" t="inlineStr">
        <is>
          <t>GÄVLEBORGS LÄN</t>
        </is>
      </c>
      <c r="E723" t="inlineStr">
        <is>
          <t>SANDVIKEN</t>
        </is>
      </c>
      <c r="F723" t="inlineStr">
        <is>
          <t>Övriga statliga verk och myndigheter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23474-2026</t>
        </is>
      </c>
      <c r="B724" s="1" t="n">
        <v>46163</v>
      </c>
      <c r="C724" s="1" t="n">
        <v>46192</v>
      </c>
      <c r="D724" t="inlineStr">
        <is>
          <t>GÄVLEBORGS LÄN</t>
        </is>
      </c>
      <c r="E724" t="inlineStr">
        <is>
          <t>SANDVIKEN</t>
        </is>
      </c>
      <c r="F724" t="inlineStr">
        <is>
          <t>Övriga statliga verk och myndigheter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3442-2023</t>
        </is>
      </c>
      <c r="B725" s="1" t="n">
        <v>44949</v>
      </c>
      <c r="C725" s="1" t="n">
        <v>46192</v>
      </c>
      <c r="D725" t="inlineStr">
        <is>
          <t>GÄVLEBORGS LÄN</t>
        </is>
      </c>
      <c r="E725" t="inlineStr">
        <is>
          <t>SANDVIKEN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19189-2026</t>
        </is>
      </c>
      <c r="B726" s="1" t="n">
        <v>46132</v>
      </c>
      <c r="C726" s="1" t="n">
        <v>46192</v>
      </c>
      <c r="D726" t="inlineStr">
        <is>
          <t>GÄVLEBORGS LÄN</t>
        </is>
      </c>
      <c r="E726" t="inlineStr">
        <is>
          <t>SANDVIKEN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25175-2026</t>
        </is>
      </c>
      <c r="B727" s="1" t="n">
        <v>46175</v>
      </c>
      <c r="C727" s="1" t="n">
        <v>46192</v>
      </c>
      <c r="D727" t="inlineStr">
        <is>
          <t>GÄVLEBORGS LÄN</t>
        </is>
      </c>
      <c r="E727" t="inlineStr">
        <is>
          <t>SANDVIKEN</t>
        </is>
      </c>
      <c r="F727" t="inlineStr">
        <is>
          <t>Kommuner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25249-2026</t>
        </is>
      </c>
      <c r="B728" s="1" t="n">
        <v>46175</v>
      </c>
      <c r="C728" s="1" t="n">
        <v>46192</v>
      </c>
      <c r="D728" t="inlineStr">
        <is>
          <t>GÄVLEBORGS LÄN</t>
        </is>
      </c>
      <c r="E728" t="inlineStr">
        <is>
          <t>SANDVIKEN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19186-2026</t>
        </is>
      </c>
      <c r="B729" s="1" t="n">
        <v>46132</v>
      </c>
      <c r="C729" s="1" t="n">
        <v>46192</v>
      </c>
      <c r="D729" t="inlineStr">
        <is>
          <t>GÄVLEBORGS LÄN</t>
        </is>
      </c>
      <c r="E729" t="inlineStr">
        <is>
          <t>SANDVIKEN</t>
        </is>
      </c>
      <c r="F729" t="inlineStr">
        <is>
          <t>Sveaskog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35995-2025</t>
        </is>
      </c>
      <c r="B730" s="1" t="n">
        <v>45863</v>
      </c>
      <c r="C730" s="1" t="n">
        <v>46192</v>
      </c>
      <c r="D730" t="inlineStr">
        <is>
          <t>GÄVLEBORGS LÄN</t>
        </is>
      </c>
      <c r="E730" t="inlineStr">
        <is>
          <t>SANDVIKEN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36107-2025</t>
        </is>
      </c>
      <c r="B731" s="1" t="n">
        <v>45866</v>
      </c>
      <c r="C731" s="1" t="n">
        <v>46192</v>
      </c>
      <c r="D731" t="inlineStr">
        <is>
          <t>GÄVLEBORGS LÄN</t>
        </is>
      </c>
      <c r="E731" t="inlineStr">
        <is>
          <t>SANDVIKEN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7825-2026</t>
        </is>
      </c>
      <c r="B732" s="1" t="n">
        <v>46062</v>
      </c>
      <c r="C732" s="1" t="n">
        <v>46192</v>
      </c>
      <c r="D732" t="inlineStr">
        <is>
          <t>GÄVLEBORGS LÄN</t>
        </is>
      </c>
      <c r="E732" t="inlineStr">
        <is>
          <t>SANDVIKEN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36091-2025</t>
        </is>
      </c>
      <c r="B733" s="1" t="n">
        <v>45866</v>
      </c>
      <c r="C733" s="1" t="n">
        <v>46192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19018-2026</t>
        </is>
      </c>
      <c r="B734" s="1" t="n">
        <v>46130</v>
      </c>
      <c r="C734" s="1" t="n">
        <v>46192</v>
      </c>
      <c r="D734" t="inlineStr">
        <is>
          <t>GÄVLEBORGS LÄN</t>
        </is>
      </c>
      <c r="E734" t="inlineStr">
        <is>
          <t>SANDVIKEN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19083-2026</t>
        </is>
      </c>
      <c r="B735" s="1" t="n">
        <v>46132</v>
      </c>
      <c r="C735" s="1" t="n">
        <v>46192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12732-2026</t>
        </is>
      </c>
      <c r="B736" s="1" t="n">
        <v>46091</v>
      </c>
      <c r="C736" s="1" t="n">
        <v>46192</v>
      </c>
      <c r="D736" t="inlineStr">
        <is>
          <t>GÄVLEBORGS LÄN</t>
        </is>
      </c>
      <c r="E736" t="inlineStr">
        <is>
          <t>SANDVIKEN</t>
        </is>
      </c>
      <c r="F736" t="inlineStr">
        <is>
          <t>Naturvårdsverket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36212-2025</t>
        </is>
      </c>
      <c r="B737" s="1" t="n">
        <v>45867</v>
      </c>
      <c r="C737" s="1" t="n">
        <v>46192</v>
      </c>
      <c r="D737" t="inlineStr">
        <is>
          <t>GÄVLEBORGS LÄN</t>
        </is>
      </c>
      <c r="E737" t="inlineStr">
        <is>
          <t>SANDVIKEN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19467-2026</t>
        </is>
      </c>
      <c r="B738" s="1" t="n">
        <v>46132</v>
      </c>
      <c r="C738" s="1" t="n">
        <v>46192</v>
      </c>
      <c r="D738" t="inlineStr">
        <is>
          <t>GÄVLEBORGS LÄN</t>
        </is>
      </c>
      <c r="E738" t="inlineStr">
        <is>
          <t>SANDVIKEN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32849-2022</t>
        </is>
      </c>
      <c r="B739" s="1" t="n">
        <v>44784</v>
      </c>
      <c r="C739" s="1" t="n">
        <v>46192</v>
      </c>
      <c r="D739" t="inlineStr">
        <is>
          <t>GÄVLEBORGS LÄN</t>
        </is>
      </c>
      <c r="E739" t="inlineStr">
        <is>
          <t>SANDVIKEN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19273-2026</t>
        </is>
      </c>
      <c r="B740" s="1" t="n">
        <v>46133</v>
      </c>
      <c r="C740" s="1" t="n">
        <v>46192</v>
      </c>
      <c r="D740" t="inlineStr">
        <is>
          <t>GÄVLEBORGS LÄN</t>
        </is>
      </c>
      <c r="E740" t="inlineStr">
        <is>
          <t>SANDVIKEN</t>
        </is>
      </c>
      <c r="F740" t="inlineStr">
        <is>
          <t>Bergvik skog öst AB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19080-2026</t>
        </is>
      </c>
      <c r="B741" s="1" t="n">
        <v>46132</v>
      </c>
      <c r="C741" s="1" t="n">
        <v>46192</v>
      </c>
      <c r="D741" t="inlineStr">
        <is>
          <t>GÄVLEBORGS LÄN</t>
        </is>
      </c>
      <c r="E741" t="inlineStr">
        <is>
          <t>SANDVIKEN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12675-2026</t>
        </is>
      </c>
      <c r="B742" s="1" t="n">
        <v>46091</v>
      </c>
      <c r="C742" s="1" t="n">
        <v>46192</v>
      </c>
      <c r="D742" t="inlineStr">
        <is>
          <t>GÄVLEBORGS LÄN</t>
        </is>
      </c>
      <c r="E742" t="inlineStr">
        <is>
          <t>SANDVIKEN</t>
        </is>
      </c>
      <c r="F742" t="inlineStr">
        <is>
          <t>Naturvårdsverket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25220-2026</t>
        </is>
      </c>
      <c r="B743" s="1" t="n">
        <v>46175</v>
      </c>
      <c r="C743" s="1" t="n">
        <v>46192</v>
      </c>
      <c r="D743" t="inlineStr">
        <is>
          <t>GÄVLEBORGS LÄN</t>
        </is>
      </c>
      <c r="E743" t="inlineStr">
        <is>
          <t>SANDVIKEN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36584-2025</t>
        </is>
      </c>
      <c r="B744" s="1" t="n">
        <v>45870</v>
      </c>
      <c r="C744" s="1" t="n">
        <v>46192</v>
      </c>
      <c r="D744" t="inlineStr">
        <is>
          <t>GÄVLEBORGS LÄN</t>
        </is>
      </c>
      <c r="E744" t="inlineStr">
        <is>
          <t>SANDVIKEN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36732-2025</t>
        </is>
      </c>
      <c r="B745" s="1" t="n">
        <v>45873</v>
      </c>
      <c r="C745" s="1" t="n">
        <v>46192</v>
      </c>
      <c r="D745" t="inlineStr">
        <is>
          <t>GÄVLEBORGS LÄN</t>
        </is>
      </c>
      <c r="E745" t="inlineStr">
        <is>
          <t>SANDVIKEN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3635-2026</t>
        </is>
      </c>
      <c r="B746" s="1" t="n">
        <v>46043</v>
      </c>
      <c r="C746" s="1" t="n">
        <v>46192</v>
      </c>
      <c r="D746" t="inlineStr">
        <is>
          <t>GÄVLEBORGS LÄN</t>
        </is>
      </c>
      <c r="E746" t="inlineStr">
        <is>
          <t>SANDVIKEN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25413-2026</t>
        </is>
      </c>
      <c r="B747" s="1" t="n">
        <v>46176</v>
      </c>
      <c r="C747" s="1" t="n">
        <v>46192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19865-2026</t>
        </is>
      </c>
      <c r="B748" s="1" t="n">
        <v>46135</v>
      </c>
      <c r="C748" s="1" t="n">
        <v>46192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36793-2025</t>
        </is>
      </c>
      <c r="B749" s="1" t="n">
        <v>45873</v>
      </c>
      <c r="C749" s="1" t="n">
        <v>46192</v>
      </c>
      <c r="D749" t="inlineStr">
        <is>
          <t>GÄVLEBORGS LÄN</t>
        </is>
      </c>
      <c r="E749" t="inlineStr">
        <is>
          <t>SANDVIKEN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36795-2025</t>
        </is>
      </c>
      <c r="B750" s="1" t="n">
        <v>45873</v>
      </c>
      <c r="C750" s="1" t="n">
        <v>46192</v>
      </c>
      <c r="D750" t="inlineStr">
        <is>
          <t>GÄVLEBORGS LÄN</t>
        </is>
      </c>
      <c r="E750" t="inlineStr">
        <is>
          <t>SANDVIKEN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36693-2025</t>
        </is>
      </c>
      <c r="B751" s="1" t="n">
        <v>45873</v>
      </c>
      <c r="C751" s="1" t="n">
        <v>46192</v>
      </c>
      <c r="D751" t="inlineStr">
        <is>
          <t>GÄVLEBORGS LÄN</t>
        </is>
      </c>
      <c r="E751" t="inlineStr">
        <is>
          <t>SANDVIKEN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19827-2026</t>
        </is>
      </c>
      <c r="B752" s="1" t="n">
        <v>46135</v>
      </c>
      <c r="C752" s="1" t="n">
        <v>46192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öst AB</t>
        </is>
      </c>
      <c r="G752" t="n">
        <v>16.4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12115-2026</t>
        </is>
      </c>
      <c r="B753" s="1" t="n">
        <v>46086</v>
      </c>
      <c r="C753" s="1" t="n">
        <v>46192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31317-2023</t>
        </is>
      </c>
      <c r="B754" s="1" t="n">
        <v>45103</v>
      </c>
      <c r="C754" s="1" t="n">
        <v>46192</v>
      </c>
      <c r="D754" t="inlineStr">
        <is>
          <t>GÄVLEBORGS LÄN</t>
        </is>
      </c>
      <c r="E754" t="inlineStr">
        <is>
          <t>SANDVIKEN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8603-2026</t>
        </is>
      </c>
      <c r="B755" s="1" t="n">
        <v>46065</v>
      </c>
      <c r="C755" s="1" t="n">
        <v>46192</v>
      </c>
      <c r="D755" t="inlineStr">
        <is>
          <t>GÄVLEBORGS LÄN</t>
        </is>
      </c>
      <c r="E755" t="inlineStr">
        <is>
          <t>SANDVIKEN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25412-2026</t>
        </is>
      </c>
      <c r="B756" s="1" t="n">
        <v>46176</v>
      </c>
      <c r="C756" s="1" t="n">
        <v>46192</v>
      </c>
      <c r="D756" t="inlineStr">
        <is>
          <t>GÄVLEBORGS LÄN</t>
        </is>
      </c>
      <c r="E756" t="inlineStr">
        <is>
          <t>SANDVIKEN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25456-2026</t>
        </is>
      </c>
      <c r="B757" s="1" t="n">
        <v>46177</v>
      </c>
      <c r="C757" s="1" t="n">
        <v>46192</v>
      </c>
      <c r="D757" t="inlineStr">
        <is>
          <t>GÄVLEBORGS LÄN</t>
        </is>
      </c>
      <c r="E757" t="inlineStr">
        <is>
          <t>SANDVIKEN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12382-2026</t>
        </is>
      </c>
      <c r="B758" s="1" t="n">
        <v>46090</v>
      </c>
      <c r="C758" s="1" t="n">
        <v>46192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25498-2026</t>
        </is>
      </c>
      <c r="B759" s="1" t="n">
        <v>46177</v>
      </c>
      <c r="C759" s="1" t="n">
        <v>46192</v>
      </c>
      <c r="D759" t="inlineStr">
        <is>
          <t>GÄVLEBORGS LÄN</t>
        </is>
      </c>
      <c r="E759" t="inlineStr">
        <is>
          <t>SANDVIKEN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10895-2025</t>
        </is>
      </c>
      <c r="B760" s="1" t="n">
        <v>45722</v>
      </c>
      <c r="C760" s="1" t="n">
        <v>46192</v>
      </c>
      <c r="D760" t="inlineStr">
        <is>
          <t>GÄVLEBORGS LÄN</t>
        </is>
      </c>
      <c r="E760" t="inlineStr">
        <is>
          <t>SANDVIKEN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3717-2026</t>
        </is>
      </c>
      <c r="B761" s="1" t="n">
        <v>46043</v>
      </c>
      <c r="C761" s="1" t="n">
        <v>46192</v>
      </c>
      <c r="D761" t="inlineStr">
        <is>
          <t>GÄVLEBORGS LÄN</t>
        </is>
      </c>
      <c r="E761" t="inlineStr">
        <is>
          <t>SANDVIKEN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54443-2024</t>
        </is>
      </c>
      <c r="B762" s="1" t="n">
        <v>45617</v>
      </c>
      <c r="C762" s="1" t="n">
        <v>46192</v>
      </c>
      <c r="D762" t="inlineStr">
        <is>
          <t>GÄVLEBORGS LÄN</t>
        </is>
      </c>
      <c r="E762" t="inlineStr">
        <is>
          <t>SANDVIKEN</t>
        </is>
      </c>
      <c r="F762" t="inlineStr">
        <is>
          <t>Bergvik skog öst AB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12776-2026</t>
        </is>
      </c>
      <c r="B763" s="1" t="n">
        <v>46091</v>
      </c>
      <c r="C763" s="1" t="n">
        <v>46192</v>
      </c>
      <c r="D763" t="inlineStr">
        <is>
          <t>GÄVLEBORGS LÄN</t>
        </is>
      </c>
      <c r="E763" t="inlineStr">
        <is>
          <t>SANDVIKEN</t>
        </is>
      </c>
      <c r="F763" t="inlineStr">
        <is>
          <t>Naturvårdsverket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36203-2025</t>
        </is>
      </c>
      <c r="B764" s="1" t="n">
        <v>45867</v>
      </c>
      <c r="C764" s="1" t="n">
        <v>46192</v>
      </c>
      <c r="D764" t="inlineStr">
        <is>
          <t>GÄVLEBORGS LÄN</t>
        </is>
      </c>
      <c r="E764" t="inlineStr">
        <is>
          <t>SANDVIKEN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38439-2025</t>
        </is>
      </c>
      <c r="B765" s="1" t="n">
        <v>45883</v>
      </c>
      <c r="C765" s="1" t="n">
        <v>46192</v>
      </c>
      <c r="D765" t="inlineStr">
        <is>
          <t>GÄVLEBORGS LÄN</t>
        </is>
      </c>
      <c r="E765" t="inlineStr">
        <is>
          <t>SANDVIKEN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23228-2026</t>
        </is>
      </c>
      <c r="B766" s="1" t="n">
        <v>46162</v>
      </c>
      <c r="C766" s="1" t="n">
        <v>46192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25691-2026</t>
        </is>
      </c>
      <c r="B767" s="1" t="n">
        <v>46178</v>
      </c>
      <c r="C767" s="1" t="n">
        <v>46192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38435-2025</t>
        </is>
      </c>
      <c r="B768" s="1" t="n">
        <v>45883</v>
      </c>
      <c r="C768" s="1" t="n">
        <v>46192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38423-2025</t>
        </is>
      </c>
      <c r="B769" s="1" t="n">
        <v>45883</v>
      </c>
      <c r="C769" s="1" t="n">
        <v>46192</v>
      </c>
      <c r="D769" t="inlineStr">
        <is>
          <t>GÄVLEBORGS LÄN</t>
        </is>
      </c>
      <c r="E769" t="inlineStr">
        <is>
          <t>SANDVIKEN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27969-2024</t>
        </is>
      </c>
      <c r="B770" s="1" t="n">
        <v>45476</v>
      </c>
      <c r="C770" s="1" t="n">
        <v>46192</v>
      </c>
      <c r="D770" t="inlineStr">
        <is>
          <t>GÄVLEBORGS LÄN</t>
        </is>
      </c>
      <c r="E770" t="inlineStr">
        <is>
          <t>SANDVIKEN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1039-2025</t>
        </is>
      </c>
      <c r="B771" s="1" t="n">
        <v>45666</v>
      </c>
      <c r="C771" s="1" t="n">
        <v>46192</v>
      </c>
      <c r="D771" t="inlineStr">
        <is>
          <t>GÄVLEBORGS LÄN</t>
        </is>
      </c>
      <c r="E771" t="inlineStr">
        <is>
          <t>SANDVIKEN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25834-2026</t>
        </is>
      </c>
      <c r="B772" s="1" t="n">
        <v>46178</v>
      </c>
      <c r="C772" s="1" t="n">
        <v>46192</v>
      </c>
      <c r="D772" t="inlineStr">
        <is>
          <t>GÄVLEBORGS LÄN</t>
        </is>
      </c>
      <c r="E772" t="inlineStr">
        <is>
          <t>SANDVIKEN</t>
        </is>
      </c>
      <c r="F772" t="inlineStr">
        <is>
          <t>Bergvik skog öst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2189-2026</t>
        </is>
      </c>
      <c r="B773" s="1" t="n">
        <v>46036</v>
      </c>
      <c r="C773" s="1" t="n">
        <v>46192</v>
      </c>
      <c r="D773" t="inlineStr">
        <is>
          <t>GÄVLEBORGS LÄN</t>
        </is>
      </c>
      <c r="E773" t="inlineStr">
        <is>
          <t>SANDVIKEN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1392-2024</t>
        </is>
      </c>
      <c r="B774" s="1" t="n">
        <v>45303</v>
      </c>
      <c r="C774" s="1" t="n">
        <v>46192</v>
      </c>
      <c r="D774" t="inlineStr">
        <is>
          <t>GÄVLEBORGS LÄN</t>
        </is>
      </c>
      <c r="E774" t="inlineStr">
        <is>
          <t>SANDVIKEN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7624-2023</t>
        </is>
      </c>
      <c r="B775" s="1" t="n">
        <v>44972</v>
      </c>
      <c r="C775" s="1" t="n">
        <v>46192</v>
      </c>
      <c r="D775" t="inlineStr">
        <is>
          <t>GÄVLEBORGS LÄN</t>
        </is>
      </c>
      <c r="E775" t="inlineStr">
        <is>
          <t>SANDVIKEN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49706-2023</t>
        </is>
      </c>
      <c r="B776" s="1" t="n">
        <v>45212</v>
      </c>
      <c r="C776" s="1" t="n">
        <v>46192</v>
      </c>
      <c r="D776" t="inlineStr">
        <is>
          <t>GÄVLEBORGS LÄN</t>
        </is>
      </c>
      <c r="E776" t="inlineStr">
        <is>
          <t>SANDVIKEN</t>
        </is>
      </c>
      <c r="F776" t="inlineStr">
        <is>
          <t>Sveaskog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56734-2021</t>
        </is>
      </c>
      <c r="B777" s="1" t="n">
        <v>44481</v>
      </c>
      <c r="C777" s="1" t="n">
        <v>46192</v>
      </c>
      <c r="D777" t="inlineStr">
        <is>
          <t>GÄVLEBORGS LÄN</t>
        </is>
      </c>
      <c r="E777" t="inlineStr">
        <is>
          <t>SANDVIKEN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10575-2025</t>
        </is>
      </c>
      <c r="B778" s="1" t="n">
        <v>45721</v>
      </c>
      <c r="C778" s="1" t="n">
        <v>46192</v>
      </c>
      <c r="D778" t="inlineStr">
        <is>
          <t>GÄVLEBORGS LÄN</t>
        </is>
      </c>
      <c r="E778" t="inlineStr">
        <is>
          <t>SANDVIKEN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10577-2025</t>
        </is>
      </c>
      <c r="B779" s="1" t="n">
        <v>45721</v>
      </c>
      <c r="C779" s="1" t="n">
        <v>46192</v>
      </c>
      <c r="D779" t="inlineStr">
        <is>
          <t>GÄVLEBORGS LÄN</t>
        </is>
      </c>
      <c r="E779" t="inlineStr">
        <is>
          <t>SANDVIKEN</t>
        </is>
      </c>
      <c r="F779" t="inlineStr">
        <is>
          <t>Sveaskog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10580-2025</t>
        </is>
      </c>
      <c r="B780" s="1" t="n">
        <v>45721</v>
      </c>
      <c r="C780" s="1" t="n">
        <v>46192</v>
      </c>
      <c r="D780" t="inlineStr">
        <is>
          <t>GÄVLEBORGS LÄN</t>
        </is>
      </c>
      <c r="E780" t="inlineStr">
        <is>
          <t>SANDVIKEN</t>
        </is>
      </c>
      <c r="F780" t="inlineStr">
        <is>
          <t>Sveaskog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49209-2024</t>
        </is>
      </c>
      <c r="B781" s="1" t="n">
        <v>45595</v>
      </c>
      <c r="C781" s="1" t="n">
        <v>46192</v>
      </c>
      <c r="D781" t="inlineStr">
        <is>
          <t>GÄVLEBORGS LÄN</t>
        </is>
      </c>
      <c r="E781" t="inlineStr">
        <is>
          <t>SANDVIKEN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42495-2025</t>
        </is>
      </c>
      <c r="B782" s="1" t="n">
        <v>45905</v>
      </c>
      <c r="C782" s="1" t="n">
        <v>46192</v>
      </c>
      <c r="D782" t="inlineStr">
        <is>
          <t>GÄVLEBORGS LÄN</t>
        </is>
      </c>
      <c r="E782" t="inlineStr">
        <is>
          <t>SANDVIKEN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8379-2025</t>
        </is>
      </c>
      <c r="B783" s="1" t="n">
        <v>45709</v>
      </c>
      <c r="C783" s="1" t="n">
        <v>46192</v>
      </c>
      <c r="D783" t="inlineStr">
        <is>
          <t>GÄVLEBORGS LÄN</t>
        </is>
      </c>
      <c r="E783" t="inlineStr">
        <is>
          <t>SANDVIKEN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1974-2026</t>
        </is>
      </c>
      <c r="B784" s="1" t="n">
        <v>46035</v>
      </c>
      <c r="C784" s="1" t="n">
        <v>46192</v>
      </c>
      <c r="D784" t="inlineStr">
        <is>
          <t>GÄVLEBORGS LÄN</t>
        </is>
      </c>
      <c r="E784" t="inlineStr">
        <is>
          <t>SANDVIKEN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1064-2026</t>
        </is>
      </c>
      <c r="B785" s="1" t="n">
        <v>46030</v>
      </c>
      <c r="C785" s="1" t="n">
        <v>46192</v>
      </c>
      <c r="D785" t="inlineStr">
        <is>
          <t>GÄVLEBORGS LÄN</t>
        </is>
      </c>
      <c r="E785" t="inlineStr">
        <is>
          <t>SANDVIKEN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11205-2026</t>
        </is>
      </c>
      <c r="B786" s="1" t="n">
        <v>46080</v>
      </c>
      <c r="C786" s="1" t="n">
        <v>46192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23162-2023</t>
        </is>
      </c>
      <c r="B787" s="1" t="n">
        <v>45075</v>
      </c>
      <c r="C787" s="1" t="n">
        <v>46192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29296-2024</t>
        </is>
      </c>
      <c r="B788" s="1" t="n">
        <v>45483</v>
      </c>
      <c r="C788" s="1" t="n">
        <v>46192</v>
      </c>
      <c r="D788" t="inlineStr">
        <is>
          <t>GÄVLEBORGS LÄN</t>
        </is>
      </c>
      <c r="E788" t="inlineStr">
        <is>
          <t>SANDVIKEN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1060-2026</t>
        </is>
      </c>
      <c r="B789" s="1" t="n">
        <v>46030</v>
      </c>
      <c r="C789" s="1" t="n">
        <v>46192</v>
      </c>
      <c r="D789" t="inlineStr">
        <is>
          <t>GÄVLEBORGS LÄN</t>
        </is>
      </c>
      <c r="E789" t="inlineStr">
        <is>
          <t>SANDVIKEN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19499-2026</t>
        </is>
      </c>
      <c r="B790" s="1" t="n">
        <v>46134</v>
      </c>
      <c r="C790" s="1" t="n">
        <v>46192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450-2026</t>
        </is>
      </c>
      <c r="B791" s="1" t="n">
        <v>46029</v>
      </c>
      <c r="C791" s="1" t="n">
        <v>46192</v>
      </c>
      <c r="D791" t="inlineStr">
        <is>
          <t>GÄVLEBORGS LÄN</t>
        </is>
      </c>
      <c r="E791" t="inlineStr">
        <is>
          <t>SANDVIKEN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55539-2023</t>
        </is>
      </c>
      <c r="B792" s="1" t="n">
        <v>45238</v>
      </c>
      <c r="C792" s="1" t="n">
        <v>46192</v>
      </c>
      <c r="D792" t="inlineStr">
        <is>
          <t>GÄVLEBORGS LÄN</t>
        </is>
      </c>
      <c r="E792" t="inlineStr">
        <is>
          <t>SANDVIKEN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7599-2026</t>
        </is>
      </c>
      <c r="B793" s="1" t="n">
        <v>46061</v>
      </c>
      <c r="C793" s="1" t="n">
        <v>46192</v>
      </c>
      <c r="D793" t="inlineStr">
        <is>
          <t>GÄVLEBORGS LÄN</t>
        </is>
      </c>
      <c r="E793" t="inlineStr">
        <is>
          <t>SANDVIKEN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43090-2023</t>
        </is>
      </c>
      <c r="B794" s="1" t="n">
        <v>45182</v>
      </c>
      <c r="C794" s="1" t="n">
        <v>46192</v>
      </c>
      <c r="D794" t="inlineStr">
        <is>
          <t>GÄVLEBORGS LÄN</t>
        </is>
      </c>
      <c r="E794" t="inlineStr">
        <is>
          <t>SANDVIKEN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2627-2026</t>
        </is>
      </c>
      <c r="B795" s="1" t="n">
        <v>46037</v>
      </c>
      <c r="C795" s="1" t="n">
        <v>46192</v>
      </c>
      <c r="D795" t="inlineStr">
        <is>
          <t>GÄVLEBORGS LÄN</t>
        </is>
      </c>
      <c r="E795" t="inlineStr">
        <is>
          <t>SANDVIKEN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45102-2022</t>
        </is>
      </c>
      <c r="B796" s="1" t="n">
        <v>44843</v>
      </c>
      <c r="C796" s="1" t="n">
        <v>46192</v>
      </c>
      <c r="D796" t="inlineStr">
        <is>
          <t>GÄVLEBORGS LÄN</t>
        </is>
      </c>
      <c r="E796" t="inlineStr">
        <is>
          <t>SANDVIKEN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6078-2026</t>
        </is>
      </c>
      <c r="B797" s="1" t="n">
        <v>46052</v>
      </c>
      <c r="C797" s="1" t="n">
        <v>46192</v>
      </c>
      <c r="D797" t="inlineStr">
        <is>
          <t>GÄVLEBORGS LÄN</t>
        </is>
      </c>
      <c r="E797" t="inlineStr">
        <is>
          <t>SANDVIKEN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7898-2026</t>
        </is>
      </c>
      <c r="B798" s="1" t="n">
        <v>46063</v>
      </c>
      <c r="C798" s="1" t="n">
        <v>46192</v>
      </c>
      <c r="D798" t="inlineStr">
        <is>
          <t>GÄVLEBORGS LÄN</t>
        </is>
      </c>
      <c r="E798" t="inlineStr">
        <is>
          <t>SANDVIKEN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25841-2026</t>
        </is>
      </c>
      <c r="B799" s="1" t="n">
        <v>46178</v>
      </c>
      <c r="C799" s="1" t="n">
        <v>46192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42107-2024</t>
        </is>
      </c>
      <c r="B800" s="1" t="n">
        <v>45562</v>
      </c>
      <c r="C800" s="1" t="n">
        <v>46192</v>
      </c>
      <c r="D800" t="inlineStr">
        <is>
          <t>GÄVLEBORGS LÄN</t>
        </is>
      </c>
      <c r="E800" t="inlineStr">
        <is>
          <t>SANDVIKEN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4502-2024</t>
        </is>
      </c>
      <c r="B801" s="1" t="n">
        <v>45327</v>
      </c>
      <c r="C801" s="1" t="n">
        <v>46192</v>
      </c>
      <c r="D801" t="inlineStr">
        <is>
          <t>GÄVLEBORGS LÄN</t>
        </is>
      </c>
      <c r="E801" t="inlineStr">
        <is>
          <t>SANDVIKEN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14910-2026</t>
        </is>
      </c>
      <c r="B802" s="1" t="n">
        <v>46104</v>
      </c>
      <c r="C802" s="1" t="n">
        <v>46192</v>
      </c>
      <c r="D802" t="inlineStr">
        <is>
          <t>GÄVLEBORGS LÄN</t>
        </is>
      </c>
      <c r="E802" t="inlineStr">
        <is>
          <t>SANDVIKEN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19910-2026</t>
        </is>
      </c>
      <c r="B803" s="1" t="n">
        <v>46136</v>
      </c>
      <c r="C803" s="1" t="n">
        <v>46192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13258-2026</t>
        </is>
      </c>
      <c r="B804" s="1" t="n">
        <v>46093</v>
      </c>
      <c r="C804" s="1" t="n">
        <v>46192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8698-2024</t>
        </is>
      </c>
      <c r="B805" s="1" t="n">
        <v>45356</v>
      </c>
      <c r="C805" s="1" t="n">
        <v>46192</v>
      </c>
      <c r="D805" t="inlineStr">
        <is>
          <t>GÄVLEBORGS LÄN</t>
        </is>
      </c>
      <c r="E805" t="inlineStr">
        <is>
          <t>SANDVIKEN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4539-2026</t>
        </is>
      </c>
      <c r="B806" s="1" t="n">
        <v>46046</v>
      </c>
      <c r="C806" s="1" t="n">
        <v>46192</v>
      </c>
      <c r="D806" t="inlineStr">
        <is>
          <t>GÄVLEBORGS LÄN</t>
        </is>
      </c>
      <c r="E806" t="inlineStr">
        <is>
          <t>SANDVIKEN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40745-2024</t>
        </is>
      </c>
      <c r="B807" s="1" t="n">
        <v>45558</v>
      </c>
      <c r="C807" s="1" t="n">
        <v>46192</v>
      </c>
      <c r="D807" t="inlineStr">
        <is>
          <t>GÄVLEBORGS LÄN</t>
        </is>
      </c>
      <c r="E807" t="inlineStr">
        <is>
          <t>SANDVIKEN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50900-2024</t>
        </is>
      </c>
      <c r="B808" s="1" t="n">
        <v>45602</v>
      </c>
      <c r="C808" s="1" t="n">
        <v>46192</v>
      </c>
      <c r="D808" t="inlineStr">
        <is>
          <t>GÄVLEBORGS LÄN</t>
        </is>
      </c>
      <c r="E808" t="inlineStr">
        <is>
          <t>SANDVIKEN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25647-2026</t>
        </is>
      </c>
      <c r="B809" s="1" t="n">
        <v>46177</v>
      </c>
      <c r="C809" s="1" t="n">
        <v>46192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37697-2022</t>
        </is>
      </c>
      <c r="B810" s="1" t="n">
        <v>44810</v>
      </c>
      <c r="C810" s="1" t="n">
        <v>46192</v>
      </c>
      <c r="D810" t="inlineStr">
        <is>
          <t>GÄVLEBORGS LÄN</t>
        </is>
      </c>
      <c r="E810" t="inlineStr">
        <is>
          <t>SANDVIKEN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13194-2025</t>
        </is>
      </c>
      <c r="B811" s="1" t="n">
        <v>45735</v>
      </c>
      <c r="C811" s="1" t="n">
        <v>46192</v>
      </c>
      <c r="D811" t="inlineStr">
        <is>
          <t>GÄVLEBORGS LÄN</t>
        </is>
      </c>
      <c r="E811" t="inlineStr">
        <is>
          <t>SANDVIKEN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9601-2026</t>
        </is>
      </c>
      <c r="B812" s="1" t="n">
        <v>46071</v>
      </c>
      <c r="C812" s="1" t="n">
        <v>46192</v>
      </c>
      <c r="D812" t="inlineStr">
        <is>
          <t>GÄVLEBORGS LÄN</t>
        </is>
      </c>
      <c r="E812" t="inlineStr">
        <is>
          <t>SANDVIKEN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19904-2026</t>
        </is>
      </c>
      <c r="B813" s="1" t="n">
        <v>46136</v>
      </c>
      <c r="C813" s="1" t="n">
        <v>46192</v>
      </c>
      <c r="D813" t="inlineStr">
        <is>
          <t>GÄVLEBORGS LÄN</t>
        </is>
      </c>
      <c r="E813" t="inlineStr">
        <is>
          <t>SANDVIKEN</t>
        </is>
      </c>
      <c r="F813" t="inlineStr">
        <is>
          <t>Bergvik skog öst AB</t>
        </is>
      </c>
      <c r="G813" t="n">
        <v>10.9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9139-2026</t>
        </is>
      </c>
      <c r="B814" s="1" t="n">
        <v>46069</v>
      </c>
      <c r="C814" s="1" t="n">
        <v>46192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25840-2026</t>
        </is>
      </c>
      <c r="B815" s="1" t="n">
        <v>46178</v>
      </c>
      <c r="C815" s="1" t="n">
        <v>46192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6167-2025</t>
        </is>
      </c>
      <c r="B816" s="1" t="n">
        <v>45698</v>
      </c>
      <c r="C816" s="1" t="n">
        <v>46192</v>
      </c>
      <c r="D816" t="inlineStr">
        <is>
          <t>GÄVLEBORGS LÄN</t>
        </is>
      </c>
      <c r="E816" t="inlineStr">
        <is>
          <t>SANDVIKEN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44717-2025</t>
        </is>
      </c>
      <c r="B817" s="1" t="n">
        <v>45917</v>
      </c>
      <c r="C817" s="1" t="n">
        <v>46192</v>
      </c>
      <c r="D817" t="inlineStr">
        <is>
          <t>GÄVLEBORGS LÄN</t>
        </is>
      </c>
      <c r="E817" t="inlineStr">
        <is>
          <t>SANDVIKEN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49211-2023</t>
        </is>
      </c>
      <c r="B818" s="1" t="n">
        <v>45210</v>
      </c>
      <c r="C818" s="1" t="n">
        <v>46192</v>
      </c>
      <c r="D818" t="inlineStr">
        <is>
          <t>GÄVLEBORGS LÄN</t>
        </is>
      </c>
      <c r="E818" t="inlineStr">
        <is>
          <t>SANDVIKEN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14867-2026</t>
        </is>
      </c>
      <c r="B819" s="1" t="n">
        <v>46104</v>
      </c>
      <c r="C819" s="1" t="n">
        <v>46192</v>
      </c>
      <c r="D819" t="inlineStr">
        <is>
          <t>GÄVLEBORGS LÄN</t>
        </is>
      </c>
      <c r="E819" t="inlineStr">
        <is>
          <t>SANDVIKEN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25826-2026</t>
        </is>
      </c>
      <c r="B820" s="1" t="n">
        <v>46178</v>
      </c>
      <c r="C820" s="1" t="n">
        <v>46192</v>
      </c>
      <c r="D820" t="inlineStr">
        <is>
          <t>GÄVLEBORGS LÄN</t>
        </is>
      </c>
      <c r="E820" t="inlineStr">
        <is>
          <t>SANDVIKEN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25842-2026</t>
        </is>
      </c>
      <c r="B821" s="1" t="n">
        <v>46178</v>
      </c>
      <c r="C821" s="1" t="n">
        <v>46192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4882-2026</t>
        </is>
      </c>
      <c r="B822" s="1" t="n">
        <v>46048</v>
      </c>
      <c r="C822" s="1" t="n">
        <v>46192</v>
      </c>
      <c r="D822" t="inlineStr">
        <is>
          <t>GÄVLEBORGS LÄN</t>
        </is>
      </c>
      <c r="E822" t="inlineStr">
        <is>
          <t>SANDVIKEN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36656-2024</t>
        </is>
      </c>
      <c r="B823" s="1" t="n">
        <v>45537</v>
      </c>
      <c r="C823" s="1" t="n">
        <v>46192</v>
      </c>
      <c r="D823" t="inlineStr">
        <is>
          <t>GÄVLEBORGS LÄN</t>
        </is>
      </c>
      <c r="E823" t="inlineStr">
        <is>
          <t>SANDVIKEN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21178-2025</t>
        </is>
      </c>
      <c r="B824" s="1" t="n">
        <v>45779</v>
      </c>
      <c r="C824" s="1" t="n">
        <v>46192</v>
      </c>
      <c r="D824" t="inlineStr">
        <is>
          <t>GÄVLEBORGS LÄN</t>
        </is>
      </c>
      <c r="E824" t="inlineStr">
        <is>
          <t>SANDVIKEN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4768-2026</t>
        </is>
      </c>
      <c r="B825" s="1" t="n">
        <v>46048</v>
      </c>
      <c r="C825" s="1" t="n">
        <v>46192</v>
      </c>
      <c r="D825" t="inlineStr">
        <is>
          <t>GÄVLEBORGS LÄN</t>
        </is>
      </c>
      <c r="E825" t="inlineStr">
        <is>
          <t>SANDVIKEN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25836-2026</t>
        </is>
      </c>
      <c r="B826" s="1" t="n">
        <v>46178</v>
      </c>
      <c r="C826" s="1" t="n">
        <v>46192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3616-2026</t>
        </is>
      </c>
      <c r="B827" s="1" t="n">
        <v>46042</v>
      </c>
      <c r="C827" s="1" t="n">
        <v>46192</v>
      </c>
      <c r="D827" t="inlineStr">
        <is>
          <t>GÄVLEBORGS LÄN</t>
        </is>
      </c>
      <c r="E827" t="inlineStr">
        <is>
          <t>SANDVIKEN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11967-2025</t>
        </is>
      </c>
      <c r="B828" s="1" t="n">
        <v>45728</v>
      </c>
      <c r="C828" s="1" t="n">
        <v>46192</v>
      </c>
      <c r="D828" t="inlineStr">
        <is>
          <t>GÄVLEBORGS LÄN</t>
        </is>
      </c>
      <c r="E828" t="inlineStr">
        <is>
          <t>SANDVIKEN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6956-2026</t>
        </is>
      </c>
      <c r="B829" s="1" t="n">
        <v>46057</v>
      </c>
      <c r="C829" s="1" t="n">
        <v>46192</v>
      </c>
      <c r="D829" t="inlineStr">
        <is>
          <t>GÄVLEBORGS LÄN</t>
        </is>
      </c>
      <c r="E829" t="inlineStr">
        <is>
          <t>SANDVIKEN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25835-2026</t>
        </is>
      </c>
      <c r="B830" s="1" t="n">
        <v>46178</v>
      </c>
      <c r="C830" s="1" t="n">
        <v>46192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25837-2026</t>
        </is>
      </c>
      <c r="B831" s="1" t="n">
        <v>46178</v>
      </c>
      <c r="C831" s="1" t="n">
        <v>46192</v>
      </c>
      <c r="D831" t="inlineStr">
        <is>
          <t>GÄVLEBORGS LÄN</t>
        </is>
      </c>
      <c r="E831" t="inlineStr">
        <is>
          <t>SANDVIKEN</t>
        </is>
      </c>
      <c r="F831" t="inlineStr">
        <is>
          <t>Bergvik skog öst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4169-2026</t>
        </is>
      </c>
      <c r="B832" s="1" t="n">
        <v>46044</v>
      </c>
      <c r="C832" s="1" t="n">
        <v>46192</v>
      </c>
      <c r="D832" t="inlineStr">
        <is>
          <t>GÄVLEBORGS LÄN</t>
        </is>
      </c>
      <c r="E832" t="inlineStr">
        <is>
          <t>SANDVIKEN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9603-2026</t>
        </is>
      </c>
      <c r="B833" s="1" t="n">
        <v>46071</v>
      </c>
      <c r="C833" s="1" t="n">
        <v>46192</v>
      </c>
      <c r="D833" t="inlineStr">
        <is>
          <t>GÄVLEBORGS LÄN</t>
        </is>
      </c>
      <c r="E833" t="inlineStr">
        <is>
          <t>SANDVIKEN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8952-2026</t>
        </is>
      </c>
      <c r="B834" s="1" t="n">
        <v>46069</v>
      </c>
      <c r="C834" s="1" t="n">
        <v>46192</v>
      </c>
      <c r="D834" t="inlineStr">
        <is>
          <t>GÄVLEBORGS LÄN</t>
        </is>
      </c>
      <c r="E834" t="inlineStr">
        <is>
          <t>SANDVIKEN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8570-2026</t>
        </is>
      </c>
      <c r="B835" s="1" t="n">
        <v>46065</v>
      </c>
      <c r="C835" s="1" t="n">
        <v>46192</v>
      </c>
      <c r="D835" t="inlineStr">
        <is>
          <t>GÄVLEBORGS LÄN</t>
        </is>
      </c>
      <c r="E835" t="inlineStr">
        <is>
          <t>SANDVIKEN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7911-2026</t>
        </is>
      </c>
      <c r="B836" s="1" t="n">
        <v>46063</v>
      </c>
      <c r="C836" s="1" t="n">
        <v>46192</v>
      </c>
      <c r="D836" t="inlineStr">
        <is>
          <t>GÄVLEBORGS LÄN</t>
        </is>
      </c>
      <c r="E836" t="inlineStr">
        <is>
          <t>SANDVIKEN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7349-2026</t>
        </is>
      </c>
      <c r="B837" s="1" t="n">
        <v>46058</v>
      </c>
      <c r="C837" s="1" t="n">
        <v>46192</v>
      </c>
      <c r="D837" t="inlineStr">
        <is>
          <t>GÄVLEBORGS LÄN</t>
        </is>
      </c>
      <c r="E837" t="inlineStr">
        <is>
          <t>SANDVIKEN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7073-2026</t>
        </is>
      </c>
      <c r="B838" s="1" t="n">
        <v>46058</v>
      </c>
      <c r="C838" s="1" t="n">
        <v>46192</v>
      </c>
      <c r="D838" t="inlineStr">
        <is>
          <t>GÄVLEBORGS LÄN</t>
        </is>
      </c>
      <c r="E838" t="inlineStr">
        <is>
          <t>SANDVIKEN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12477-2026</t>
        </is>
      </c>
      <c r="B839" s="1" t="n">
        <v>46090</v>
      </c>
      <c r="C839" s="1" t="n">
        <v>46192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8604-2026</t>
        </is>
      </c>
      <c r="B840" s="1" t="n">
        <v>46065</v>
      </c>
      <c r="C840" s="1" t="n">
        <v>46192</v>
      </c>
      <c r="D840" t="inlineStr">
        <is>
          <t>GÄVLEBORGS LÄN</t>
        </is>
      </c>
      <c r="E840" t="inlineStr">
        <is>
          <t>SANDVIKEN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20618-2026</t>
        </is>
      </c>
      <c r="B841" s="1" t="n">
        <v>46140</v>
      </c>
      <c r="C841" s="1" t="n">
        <v>46192</v>
      </c>
      <c r="D841" t="inlineStr">
        <is>
          <t>GÄVLEBORGS LÄN</t>
        </is>
      </c>
      <c r="E841" t="inlineStr">
        <is>
          <t>SANDVIKEN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955-2026</t>
        </is>
      </c>
      <c r="B842" s="1" t="n">
        <v>46030</v>
      </c>
      <c r="C842" s="1" t="n">
        <v>46192</v>
      </c>
      <c r="D842" t="inlineStr">
        <is>
          <t>GÄVLEBORGS LÄN</t>
        </is>
      </c>
      <c r="E842" t="inlineStr">
        <is>
          <t>SANDVIKEN</t>
        </is>
      </c>
      <c r="G842" t="n">
        <v>14.2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6428-2026</t>
        </is>
      </c>
      <c r="B843" s="1" t="n">
        <v>46055</v>
      </c>
      <c r="C843" s="1" t="n">
        <v>46192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7924-2026</t>
        </is>
      </c>
      <c r="B844" s="1" t="n">
        <v>46063</v>
      </c>
      <c r="C844" s="1" t="n">
        <v>46192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20636-2026</t>
        </is>
      </c>
      <c r="B845" s="1" t="n">
        <v>46141</v>
      </c>
      <c r="C845" s="1" t="n">
        <v>46192</v>
      </c>
      <c r="D845" t="inlineStr">
        <is>
          <t>GÄVLEBORGS LÄN</t>
        </is>
      </c>
      <c r="E845" t="inlineStr">
        <is>
          <t>SANDVIKEN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26271-2026</t>
        </is>
      </c>
      <c r="B846" s="1" t="n">
        <v>46182</v>
      </c>
      <c r="C846" s="1" t="n">
        <v>46192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38319-2025</t>
        </is>
      </c>
      <c r="B847" s="1" t="n">
        <v>45883</v>
      </c>
      <c r="C847" s="1" t="n">
        <v>46192</v>
      </c>
      <c r="D847" t="inlineStr">
        <is>
          <t>GÄVLEBORGS LÄN</t>
        </is>
      </c>
      <c r="E847" t="inlineStr">
        <is>
          <t>SANDVIKEN</t>
        </is>
      </c>
      <c r="F847" t="inlineStr">
        <is>
          <t>Bergvik skog öst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11894-2026</t>
        </is>
      </c>
      <c r="B848" s="1" t="n">
        <v>46085</v>
      </c>
      <c r="C848" s="1" t="n">
        <v>46192</v>
      </c>
      <c r="D848" t="inlineStr">
        <is>
          <t>GÄVLEBORGS LÄN</t>
        </is>
      </c>
      <c r="E848" t="inlineStr">
        <is>
          <t>SANDVIKEN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3656-2026</t>
        </is>
      </c>
      <c r="B849" s="1" t="n">
        <v>46043</v>
      </c>
      <c r="C849" s="1" t="n">
        <v>46192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1360-2026</t>
        </is>
      </c>
      <c r="B850" s="1" t="n">
        <v>46031</v>
      </c>
      <c r="C850" s="1" t="n">
        <v>46192</v>
      </c>
      <c r="D850" t="inlineStr">
        <is>
          <t>GÄVLEBORGS LÄN</t>
        </is>
      </c>
      <c r="E850" t="inlineStr">
        <is>
          <t>SANDVIKEN</t>
        </is>
      </c>
      <c r="G850" t="n">
        <v>11.2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12427-2026</t>
        </is>
      </c>
      <c r="B851" s="1" t="n">
        <v>46090</v>
      </c>
      <c r="C851" s="1" t="n">
        <v>46192</v>
      </c>
      <c r="D851" t="inlineStr">
        <is>
          <t>GÄVLEBORGS LÄN</t>
        </is>
      </c>
      <c r="E851" t="inlineStr">
        <is>
          <t>SANDVIKEN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867-2026</t>
        </is>
      </c>
      <c r="B852" s="1" t="n">
        <v>46030</v>
      </c>
      <c r="C852" s="1" t="n">
        <v>46192</v>
      </c>
      <c r="D852" t="inlineStr">
        <is>
          <t>GÄVLEBORGS LÄN</t>
        </is>
      </c>
      <c r="E852" t="inlineStr">
        <is>
          <t>SANDVIKEN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2940-2026</t>
        </is>
      </c>
      <c r="B853" s="1" t="n">
        <v>46038</v>
      </c>
      <c r="C853" s="1" t="n">
        <v>46192</v>
      </c>
      <c r="D853" t="inlineStr">
        <is>
          <t>GÄVLEBORGS LÄN</t>
        </is>
      </c>
      <c r="E853" t="inlineStr">
        <is>
          <t>SANDVIKEN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15237-2026</t>
        </is>
      </c>
      <c r="B854" s="1" t="n">
        <v>46105</v>
      </c>
      <c r="C854" s="1" t="n">
        <v>46192</v>
      </c>
      <c r="D854" t="inlineStr">
        <is>
          <t>GÄVLEBORGS LÄN</t>
        </is>
      </c>
      <c r="E854" t="inlineStr">
        <is>
          <t>SANDVIKEN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20917-2026</t>
        </is>
      </c>
      <c r="B855" s="1" t="n">
        <v>46142</v>
      </c>
      <c r="C855" s="1" t="n">
        <v>46192</v>
      </c>
      <c r="D855" t="inlineStr">
        <is>
          <t>GÄVLEBORGS LÄN</t>
        </is>
      </c>
      <c r="E855" t="inlineStr">
        <is>
          <t>SANDVIKEN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9694-2026</t>
        </is>
      </c>
      <c r="B856" s="1" t="n">
        <v>46072</v>
      </c>
      <c r="C856" s="1" t="n">
        <v>46192</v>
      </c>
      <c r="D856" t="inlineStr">
        <is>
          <t>GÄVLEBORGS LÄN</t>
        </is>
      </c>
      <c r="E856" t="inlineStr">
        <is>
          <t>SANDVIKEN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26780-2026</t>
        </is>
      </c>
      <c r="B857" s="1" t="n">
        <v>46184</v>
      </c>
      <c r="C857" s="1" t="n">
        <v>46192</v>
      </c>
      <c r="D857" t="inlineStr">
        <is>
          <t>GÄVLEBORGS LÄN</t>
        </is>
      </c>
      <c r="E857" t="inlineStr">
        <is>
          <t>SANDVIKEN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26964-2026</t>
        </is>
      </c>
      <c r="B858" s="1" t="n">
        <v>46185</v>
      </c>
      <c r="C858" s="1" t="n">
        <v>46192</v>
      </c>
      <c r="D858" t="inlineStr">
        <is>
          <t>GÄVLEBORGS LÄN</t>
        </is>
      </c>
      <c r="E858" t="inlineStr">
        <is>
          <t>SANDVIKEN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26818-2026</t>
        </is>
      </c>
      <c r="B859" s="1" t="n">
        <v>46185</v>
      </c>
      <c r="C859" s="1" t="n">
        <v>46192</v>
      </c>
      <c r="D859" t="inlineStr">
        <is>
          <t>GÄVLEBORGS LÄN</t>
        </is>
      </c>
      <c r="E859" t="inlineStr">
        <is>
          <t>SANDVIKEN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8600-2026</t>
        </is>
      </c>
      <c r="B860" s="1" t="n">
        <v>46065</v>
      </c>
      <c r="C860" s="1" t="n">
        <v>46192</v>
      </c>
      <c r="D860" t="inlineStr">
        <is>
          <t>GÄVLEBORGS LÄN</t>
        </is>
      </c>
      <c r="E860" t="inlineStr">
        <is>
          <t>SANDVIKEN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26763-2026</t>
        </is>
      </c>
      <c r="B861" s="1" t="n">
        <v>46184</v>
      </c>
      <c r="C861" s="1" t="n">
        <v>46192</v>
      </c>
      <c r="D861" t="inlineStr">
        <is>
          <t>GÄVLEBORGS LÄN</t>
        </is>
      </c>
      <c r="E861" t="inlineStr">
        <is>
          <t>SANDVIKEN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26872-2026</t>
        </is>
      </c>
      <c r="B862" s="1" t="n">
        <v>46185</v>
      </c>
      <c r="C862" s="1" t="n">
        <v>46192</v>
      </c>
      <c r="D862" t="inlineStr">
        <is>
          <t>GÄVLEBORGS LÄN</t>
        </is>
      </c>
      <c r="E862" t="inlineStr">
        <is>
          <t>SANDVIKEN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26882-2026</t>
        </is>
      </c>
      <c r="B863" s="1" t="n">
        <v>46185</v>
      </c>
      <c r="C863" s="1" t="n">
        <v>46192</v>
      </c>
      <c r="D863" t="inlineStr">
        <is>
          <t>GÄVLEBORGS LÄN</t>
        </is>
      </c>
      <c r="E863" t="inlineStr">
        <is>
          <t>SANDVIKEN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26601-2026</t>
        </is>
      </c>
      <c r="B864" s="1" t="n">
        <v>46183</v>
      </c>
      <c r="C864" s="1" t="n">
        <v>46192</v>
      </c>
      <c r="D864" t="inlineStr">
        <is>
          <t>GÄVLEBORGS LÄN</t>
        </is>
      </c>
      <c r="E864" t="inlineStr">
        <is>
          <t>SANDVIKEN</t>
        </is>
      </c>
      <c r="F864" t="inlineStr">
        <is>
          <t>Bergvik skog öst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21377-2026</t>
        </is>
      </c>
      <c r="B865" s="1" t="n">
        <v>46147</v>
      </c>
      <c r="C865" s="1" t="n">
        <v>46192</v>
      </c>
      <c r="D865" t="inlineStr">
        <is>
          <t>GÄVLEBORGS LÄN</t>
        </is>
      </c>
      <c r="E865" t="inlineStr">
        <is>
          <t>SANDVIKEN</t>
        </is>
      </c>
      <c r="F865" t="inlineStr">
        <is>
          <t>Kommuner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15340-2026</t>
        </is>
      </c>
      <c r="B866" s="1" t="n">
        <v>46105</v>
      </c>
      <c r="C866" s="1" t="n">
        <v>46192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21288-2026</t>
        </is>
      </c>
      <c r="B867" s="1" t="n">
        <v>46147</v>
      </c>
      <c r="C867" s="1" t="n">
        <v>46192</v>
      </c>
      <c r="D867" t="inlineStr">
        <is>
          <t>GÄVLEBORGS LÄN</t>
        </is>
      </c>
      <c r="E867" t="inlineStr">
        <is>
          <t>SANDVIKEN</t>
        </is>
      </c>
      <c r="F867" t="inlineStr">
        <is>
          <t>Kommuner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21334-2026</t>
        </is>
      </c>
      <c r="B868" s="1" t="n">
        <v>46147</v>
      </c>
      <c r="C868" s="1" t="n">
        <v>46192</v>
      </c>
      <c r="D868" t="inlineStr">
        <is>
          <t>GÄVLEBORGS LÄN</t>
        </is>
      </c>
      <c r="E868" t="inlineStr">
        <is>
          <t>SANDVIKEN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17177-2026</t>
        </is>
      </c>
      <c r="B869" s="1" t="n">
        <v>46115</v>
      </c>
      <c r="C869" s="1" t="n">
        <v>46192</v>
      </c>
      <c r="D869" t="inlineStr">
        <is>
          <t>GÄVLEBORGS LÄN</t>
        </is>
      </c>
      <c r="E869" t="inlineStr">
        <is>
          <t>SANDVIKEN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21295-2026</t>
        </is>
      </c>
      <c r="B870" s="1" t="n">
        <v>46147</v>
      </c>
      <c r="C870" s="1" t="n">
        <v>46192</v>
      </c>
      <c r="D870" t="inlineStr">
        <is>
          <t>GÄVLEBORGS LÄN</t>
        </is>
      </c>
      <c r="E870" t="inlineStr">
        <is>
          <t>SANDVIKEN</t>
        </is>
      </c>
      <c r="F870" t="inlineStr">
        <is>
          <t>Kommuner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21343-2026</t>
        </is>
      </c>
      <c r="B871" s="1" t="n">
        <v>46147</v>
      </c>
      <c r="C871" s="1" t="n">
        <v>46192</v>
      </c>
      <c r="D871" t="inlineStr">
        <is>
          <t>GÄVLEBORGS LÄN</t>
        </is>
      </c>
      <c r="E871" t="inlineStr">
        <is>
          <t>SANDVIKEN</t>
        </is>
      </c>
      <c r="F871" t="inlineStr">
        <is>
          <t>Kommuner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2905-2026</t>
        </is>
      </c>
      <c r="B872" s="1" t="n">
        <v>46038</v>
      </c>
      <c r="C872" s="1" t="n">
        <v>46192</v>
      </c>
      <c r="D872" t="inlineStr">
        <is>
          <t>GÄVLEBORGS LÄN</t>
        </is>
      </c>
      <c r="E872" t="inlineStr">
        <is>
          <t>SANDVIKEN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13551-2026</t>
        </is>
      </c>
      <c r="B873" s="1" t="n">
        <v>46094</v>
      </c>
      <c r="C873" s="1" t="n">
        <v>46192</v>
      </c>
      <c r="D873" t="inlineStr">
        <is>
          <t>GÄVLEBORGS LÄN</t>
        </is>
      </c>
      <c r="E873" t="inlineStr">
        <is>
          <t>SANDVIKEN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15769-2026</t>
        </is>
      </c>
      <c r="B874" s="1" t="n">
        <v>46107</v>
      </c>
      <c r="C874" s="1" t="n">
        <v>46192</v>
      </c>
      <c r="D874" t="inlineStr">
        <is>
          <t>GÄVLEBORGS LÄN</t>
        </is>
      </c>
      <c r="E874" t="inlineStr">
        <is>
          <t>SANDVIKEN</t>
        </is>
      </c>
      <c r="F874" t="inlineStr">
        <is>
          <t>Bergvik skog öst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27533-2026</t>
        </is>
      </c>
      <c r="B875" s="1" t="n">
        <v>46190</v>
      </c>
      <c r="C875" s="1" t="n">
        <v>46192</v>
      </c>
      <c r="D875" t="inlineStr">
        <is>
          <t>GÄVLEBORGS LÄN</t>
        </is>
      </c>
      <c r="E875" t="inlineStr">
        <is>
          <t>SANDVIKEN</t>
        </is>
      </c>
      <c r="F875" t="inlineStr">
        <is>
          <t>Bergvik skog öst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21576-2026</t>
        </is>
      </c>
      <c r="B876" s="1" t="n">
        <v>46148</v>
      </c>
      <c r="C876" s="1" t="n">
        <v>46192</v>
      </c>
      <c r="D876" t="inlineStr">
        <is>
          <t>GÄVLEBORGS LÄN</t>
        </is>
      </c>
      <c r="E876" t="inlineStr">
        <is>
          <t>SANDVIKEN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24355-2026</t>
        </is>
      </c>
      <c r="B877" s="1" t="n">
        <v>46169</v>
      </c>
      <c r="C877" s="1" t="n">
        <v>46192</v>
      </c>
      <c r="D877" t="inlineStr">
        <is>
          <t>GÄVLEBORGS LÄN</t>
        </is>
      </c>
      <c r="E877" t="inlineStr">
        <is>
          <t>SANDVIKEN</t>
        </is>
      </c>
      <c r="F877" t="inlineStr">
        <is>
          <t>Bergvik skog öst AB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24356-2026</t>
        </is>
      </c>
      <c r="B878" s="1" t="n">
        <v>46169</v>
      </c>
      <c r="C878" s="1" t="n">
        <v>46192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öst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27743-2026</t>
        </is>
      </c>
      <c r="B879" s="1" t="n">
        <v>46191</v>
      </c>
      <c r="C879" s="1" t="n">
        <v>46192</v>
      </c>
      <c r="D879" t="inlineStr">
        <is>
          <t>GÄVLEBORGS LÄN</t>
        </is>
      </c>
      <c r="E879" t="inlineStr">
        <is>
          <t>SANDVIKEN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27588-2026</t>
        </is>
      </c>
      <c r="B880" s="1" t="n">
        <v>46190</v>
      </c>
      <c r="C880" s="1" t="n">
        <v>46192</v>
      </c>
      <c r="D880" t="inlineStr">
        <is>
          <t>GÄVLEBORGS LÄN</t>
        </is>
      </c>
      <c r="E880" t="inlineStr">
        <is>
          <t>SANDVIKEN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2026-06-19T00:43:39Z</dcterms:created>
  <dcterms:modified xmlns:dcterms="http://purl.org/dc/terms/" xmlns:xsi="http://www.w3.org/2001/XMLSchema-instance" xsi:type="dcterms:W3CDTF">2026-06-19T00:43:40Z</dcterms:modified>
</cp:coreProperties>
</file>