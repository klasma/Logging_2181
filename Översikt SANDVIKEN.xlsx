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46297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46297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46297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46297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46297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37635-2024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46297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25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Talltita
Tjäder
Kungsfågel
Revlummer</t>
        </is>
      </c>
      <c r="W14">
        <f>HYPERLINK("https://klasma.github.io/Logging_2181/artfynd/A 37635-2024 artfynd.xlsx", "A 37635-2024")</f>
        <v/>
      </c>
      <c r="X14">
        <f>HYPERLINK("https://klasma.github.io/Logging_2181/kartor/A 37635-2024 karta.png", "A 37635-2024")</f>
        <v/>
      </c>
      <c r="Y14">
        <f>HYPERLINK("https://klasma.github.io/Logging_2181/kartor_geotiff/A 37635-2024 georefererad karta.tif", "A 37635-2024")</f>
        <v/>
      </c>
      <c r="AA14">
        <f>HYPERLINK("https://klasma.github.io/Logging_2181/klagomål/A 37635-2024 FSC-klagomål.docx", "A 37635-2024")</f>
        <v/>
      </c>
      <c r="AB14">
        <f>HYPERLINK("https://klasma.github.io/Logging_2181/klagomålsmail/A 37635-2024 FSC-klagomål mail.docx", "A 37635-2024")</f>
        <v/>
      </c>
      <c r="AC14">
        <f>HYPERLINK("https://klasma.github.io/Logging_2181/tillsyn/A 37635-2024 tillsynsbegäran.docx", "A 37635-2024")</f>
        <v/>
      </c>
      <c r="AD14">
        <f>HYPERLINK("https://klasma.github.io/Logging_2181/tillsynsmail/A 37635-2024 tillsynsbegäran mail.docx", "A 37635-2024")</f>
        <v/>
      </c>
      <c r="AE14">
        <f>HYPERLINK("https://klasma.github.io/Logging_2181/fåglar/A 37635-2024 prioriterade fågelarter.docx", "A 37635-2024")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46297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46297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46297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46297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46297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46297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46297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46297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46297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26047-2026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46297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8.199999999999999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Blå taggsvamp
Talltita
Kungsfågel</t>
        </is>
      </c>
      <c r="W26">
        <f>HYPERLINK("https://klasma.github.io/Logging_2181/artfynd/A 26047-2026 artfynd.xlsx", "A 26047-2026")</f>
        <v/>
      </c>
      <c r="X26">
        <f>HYPERLINK("https://klasma.github.io/Logging_2181/kartor/A 26047-2026 karta.png", "A 26047-2026")</f>
        <v/>
      </c>
      <c r="Y26">
        <f>HYPERLINK("https://klasma.github.io/Logging_2181/kartor_geotiff/A 26047-2026 georefererad karta.tif", "A 26047-2026")</f>
        <v/>
      </c>
      <c r="AA26">
        <f>HYPERLINK("https://klasma.github.io/Logging_2181/klagomål/A 26047-2026 FSC-klagomål.docx", "A 26047-2026")</f>
        <v/>
      </c>
      <c r="AB26">
        <f>HYPERLINK("https://klasma.github.io/Logging_2181/klagomålsmail/A 26047-2026 FSC-klagomål mail.docx", "A 26047-2026")</f>
        <v/>
      </c>
      <c r="AC26">
        <f>HYPERLINK("https://klasma.github.io/Logging_2181/tillsyn/A 26047-2026 tillsynsbegäran.docx", "A 26047-2026")</f>
        <v/>
      </c>
      <c r="AD26">
        <f>HYPERLINK("https://klasma.github.io/Logging_2181/tillsynsmail/A 26047-2026 tillsynsbegäran mail.docx", "A 26047-2026")</f>
        <v/>
      </c>
      <c r="AE26">
        <f>HYPERLINK("https://klasma.github.io/Logging_2181/fåglar/A 26047-2026 prioriterade fågelarter.docx", "A 26047-2026")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46297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46297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46297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46297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6378-2023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44965</v>
      </c>
      <c r="E31" s="1" t="n">
        <v>46297</v>
      </c>
      <c r="F31" t="inlineStr">
        <is>
          <t>GÄVLEBORGS LÄN</t>
        </is>
      </c>
      <c r="G31" t="inlineStr">
        <is>
          <t>SANDVIKEN</t>
        </is>
      </c>
      <c r="I31" t="n">
        <v>4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Rödvingetrast
Törnskata
Vanlig groda</t>
        </is>
      </c>
      <c r="W31">
        <f>HYPERLINK("https://klasma.github.io/Logging_2181/artfynd/A 6378-2023 artfynd.xlsx", "A 6378-2023")</f>
        <v/>
      </c>
      <c r="X31">
        <f>HYPERLINK("https://klasma.github.io/Logging_2181/kartor/A 6378-2023 karta.png", "A 6378-2023")</f>
        <v/>
      </c>
      <c r="Y31">
        <f>HYPERLINK("https://klasma.github.io/Logging_2181/kartor_geotiff/A 6378-2023 georefererad karta.tif", "A 6378-2023")</f>
        <v/>
      </c>
      <c r="AA31">
        <f>HYPERLINK("https://klasma.github.io/Logging_2181/klagomål/A 6378-2023 FSC-klagomål.docx", "A 6378-2023")</f>
        <v/>
      </c>
      <c r="AB31">
        <f>HYPERLINK("https://klasma.github.io/Logging_2181/klagomålsmail/A 6378-2023 FSC-klagomål mail.docx", "A 6378-2023")</f>
        <v/>
      </c>
      <c r="AC31">
        <f>HYPERLINK("https://klasma.github.io/Logging_2181/tillsyn/A 6378-2023 tillsynsbegäran.docx", "A 6378-2023")</f>
        <v/>
      </c>
      <c r="AD31">
        <f>HYPERLINK("https://klasma.github.io/Logging_2181/tillsynsmail/A 6378-2023 tillsynsbegäran mail.docx", "A 6378-2023")</f>
        <v/>
      </c>
      <c r="AE31">
        <f>HYPERLINK("https://klasma.github.io/Logging_2181/fåglar/A 6378-2023 prioriterade fågelarter.docx", "A 6378-2023")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46297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46297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46297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46297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46297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46297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46297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46297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46297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46297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46297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46297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46297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46297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35523-2022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46297</v>
      </c>
      <c r="F46" t="inlineStr">
        <is>
          <t>GÄVLEBORGS LÄN</t>
        </is>
      </c>
      <c r="G46" t="inlineStr">
        <is>
          <t>SANDVIKEN</t>
        </is>
      </c>
      <c r="I46" t="n">
        <v>2.1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Nattviol</t>
        </is>
      </c>
      <c r="W46">
        <f>HYPERLINK("https://klasma.github.io/Logging_2181/artfynd/A 35523-2022 artfynd.xlsx", "A 35523-2022")</f>
        <v/>
      </c>
      <c r="X46">
        <f>HYPERLINK("https://klasma.github.io/Logging_2181/kartor/A 35523-2022 karta.png", "A 35523-2022")</f>
        <v/>
      </c>
      <c r="Y46">
        <f>HYPERLINK("https://klasma.github.io/Logging_2181/kartor_geotiff/A 35523-2022 georefererad karta.tif", "A 35523-2022")</f>
        <v/>
      </c>
      <c r="Z46">
        <f>HYPERLINK("https://klasma.github.io/Logging_2181/knärot/A 35523-2022 karta knärot.png", "A 35523-2022")</f>
        <v/>
      </c>
      <c r="AA46">
        <f>HYPERLINK("https://klasma.github.io/Logging_2181/klagomål/A 35523-2022 FSC-klagomål.docx", "A 35523-2022")</f>
        <v/>
      </c>
      <c r="AB46">
        <f>HYPERLINK("https://klasma.github.io/Logging_2181/klagomålsmail/A 35523-2022 FSC-klagomål mail.docx", "A 35523-2022")</f>
        <v/>
      </c>
      <c r="AC46">
        <f>HYPERLINK("https://klasma.github.io/Logging_2181/tillsyn/A 35523-2022 tillsynsbegäran.docx", "A 35523-2022")</f>
        <v/>
      </c>
      <c r="AD46">
        <f>HYPERLINK("https://klasma.github.io/Logging_2181/tillsynsmail/A 35523-2022 tillsynsbegäran mail.docx", "A 35523-2022")</f>
        <v/>
      </c>
    </row>
    <row r="47" ht="15" customHeight="1">
      <c r="A47" t="inlineStr">
        <is>
          <t>A 35377-2026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46297</v>
      </c>
      <c r="F47" t="inlineStr">
        <is>
          <t>GÄVLEBORGS LÄN</t>
        </is>
      </c>
      <c r="G47" t="inlineStr">
        <is>
          <t>SANDVIKEN</t>
        </is>
      </c>
      <c r="I47" t="n">
        <v>1.8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Garnlav
Tallticka</t>
        </is>
      </c>
      <c r="W47">
        <f>HYPERLINK("https://klasma.github.io/Logging_2181/artfynd/A 35377-2026 artfynd.xlsx", "A 35377-2026")</f>
        <v/>
      </c>
      <c r="X47">
        <f>HYPERLINK("https://klasma.github.io/Logging_2181/kartor/A 35377-2026 karta.png", "A 35377-2026")</f>
        <v/>
      </c>
      <c r="Y47">
        <f>HYPERLINK("https://klasma.github.io/Logging_2181/kartor_geotiff/A 35377-2026 georefererad karta.tif", "A 35377-2026")</f>
        <v/>
      </c>
      <c r="AA47">
        <f>HYPERLINK("https://klasma.github.io/Logging_2181/klagomål/A 35377-2026 FSC-klagomål.docx", "A 35377-2026")</f>
        <v/>
      </c>
      <c r="AB47">
        <f>HYPERLINK("https://klasma.github.io/Logging_2181/klagomålsmail/A 35377-2026 FSC-klagomål mail.docx", "A 35377-2026")</f>
        <v/>
      </c>
      <c r="AC47">
        <f>HYPERLINK("https://klasma.github.io/Logging_2181/tillsyn/A 35377-2026 tillsynsbegäran.docx", "A 35377-2026")</f>
        <v/>
      </c>
      <c r="AD47">
        <f>HYPERLINK("https://klasma.github.io/Logging_2181/tillsynsmail/A 35377-2026 tillsynsbegäran mail.docx", "A 35377-2026")</f>
        <v/>
      </c>
    </row>
    <row r="48" ht="15" customHeight="1">
      <c r="A48" t="inlineStr">
        <is>
          <t>A 21196-2024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45440</v>
      </c>
      <c r="E48" s="1" t="n">
        <v>46297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45.5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Lappuggla
Ullticka</t>
        </is>
      </c>
      <c r="W48">
        <f>HYPERLINK("https://klasma.github.io/Logging_2181/artfynd/A 21196-2024 artfynd.xlsx", "A 21196-2024")</f>
        <v/>
      </c>
      <c r="X48">
        <f>HYPERLINK("https://klasma.github.io/Logging_2181/kartor/A 21196-2024 karta.png", "A 21196-2024")</f>
        <v/>
      </c>
      <c r="Y48">
        <f>HYPERLINK("https://klasma.github.io/Logging_2181/kartor_geotiff/A 21196-2024 georefererad karta.tif", "A 21196-2024")</f>
        <v/>
      </c>
      <c r="AA48">
        <f>HYPERLINK("https://klasma.github.io/Logging_2181/klagomål/A 21196-2024 FSC-klagomål.docx", "A 21196-2024")</f>
        <v/>
      </c>
      <c r="AB48">
        <f>HYPERLINK("https://klasma.github.io/Logging_2181/klagomålsmail/A 21196-2024 FSC-klagomål mail.docx", "A 21196-2024")</f>
        <v/>
      </c>
      <c r="AC48">
        <f>HYPERLINK("https://klasma.github.io/Logging_2181/tillsyn/A 21196-2024 tillsynsbegäran.docx", "A 21196-2024")</f>
        <v/>
      </c>
      <c r="AD48">
        <f>HYPERLINK("https://klasma.github.io/Logging_2181/tillsynsmail/A 21196-2024 tillsynsbegäran mail.docx", "A 21196-2024")</f>
        <v/>
      </c>
      <c r="AE48">
        <f>HYPERLINK("https://klasma.github.io/Logging_2181/fåglar/A 21196-2024 prioriterade fågelarter.docx", "A 21196-2024")</f>
        <v/>
      </c>
    </row>
    <row r="49" ht="15" customHeight="1">
      <c r="A49" t="inlineStr">
        <is>
          <t>A 39510-2026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46297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8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Mörk vedstrit
Plattlummer</t>
        </is>
      </c>
      <c r="W49">
        <f>HYPERLINK("https://klasma.github.io/Logging_2181/artfynd/A 39510-2026 artfynd.xlsx", "A 39510-2026")</f>
        <v/>
      </c>
      <c r="X49">
        <f>HYPERLINK("https://klasma.github.io/Logging_2181/kartor/A 39510-2026 karta.png", "A 39510-2026")</f>
        <v/>
      </c>
      <c r="Y49">
        <f>HYPERLINK("https://klasma.github.io/Logging_2181/kartor_geotiff/A 39510-2026 georefererad karta.tif", "A 39510-2026")</f>
        <v/>
      </c>
      <c r="AA49">
        <f>HYPERLINK("https://klasma.github.io/Logging_2181/klagomål/A 39510-2026 FSC-klagomål.docx", "A 39510-2026")</f>
        <v/>
      </c>
      <c r="AB49">
        <f>HYPERLINK("https://klasma.github.io/Logging_2181/klagomålsmail/A 39510-2026 FSC-klagomål mail.docx", "A 39510-2026")</f>
        <v/>
      </c>
      <c r="AC49">
        <f>HYPERLINK("https://klasma.github.io/Logging_2181/tillsyn/A 39510-2026 tillsynsbegäran.docx", "A 39510-2026")</f>
        <v/>
      </c>
      <c r="AD49">
        <f>HYPERLINK("https://klasma.github.io/Logging_2181/tillsynsmail/A 39510-2026 tillsynsbegäran mail.docx", "A 39510-2026")</f>
        <v/>
      </c>
    </row>
    <row r="50" ht="15" customHeight="1">
      <c r="A50" t="inlineStr">
        <is>
          <t>A 33867-2026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46297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Garnlav
Kortskaftad ärgspik</t>
        </is>
      </c>
      <c r="W50">
        <f>HYPERLINK("https://klasma.github.io/Logging_2181/artfynd/A 33867-2026 artfynd.xlsx", "A 33867-2026")</f>
        <v/>
      </c>
      <c r="X50">
        <f>HYPERLINK("https://klasma.github.io/Logging_2181/kartor/A 33867-2026 karta.png", "A 33867-2026")</f>
        <v/>
      </c>
      <c r="Y50">
        <f>HYPERLINK("https://klasma.github.io/Logging_2181/kartor_geotiff/A 33867-2026 georefererad karta.tif", "A 33867-2026")</f>
        <v/>
      </c>
      <c r="AA50">
        <f>HYPERLINK("https://klasma.github.io/Logging_2181/klagomål/A 33867-2026 FSC-klagomål.docx", "A 33867-2026")</f>
        <v/>
      </c>
      <c r="AB50">
        <f>HYPERLINK("https://klasma.github.io/Logging_2181/klagomålsmail/A 33867-2026 FSC-klagomål mail.docx", "A 33867-2026")</f>
        <v/>
      </c>
      <c r="AC50">
        <f>HYPERLINK("https://klasma.github.io/Logging_2181/tillsyn/A 33867-2026 tillsynsbegäran.docx", "A 33867-2026")</f>
        <v/>
      </c>
      <c r="AD50">
        <f>HYPERLINK("https://klasma.github.io/Logging_2181/tillsynsmail/A 33867-2026 tillsynsbegäran mail.docx", "A 33867-2026")</f>
        <v/>
      </c>
    </row>
    <row r="51" ht="15" customHeight="1">
      <c r="A51" t="inlineStr">
        <is>
          <t>A 34124-2026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46253</v>
      </c>
      <c r="E51" s="1" t="n">
        <v>46297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2.1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Blåsippa
Revlummer</t>
        </is>
      </c>
      <c r="W51">
        <f>HYPERLINK("https://klasma.github.io/Logging_2181/artfynd/A 34124-2026 artfynd.xlsx", "A 34124-2026")</f>
        <v/>
      </c>
      <c r="X51">
        <f>HYPERLINK("https://klasma.github.io/Logging_2181/kartor/A 34124-2026 karta.png", "A 34124-2026")</f>
        <v/>
      </c>
      <c r="Y51">
        <f>HYPERLINK("https://klasma.github.io/Logging_2181/kartor_geotiff/A 34124-2026 georefererad karta.tif", "A 34124-2026")</f>
        <v/>
      </c>
      <c r="AA51">
        <f>HYPERLINK("https://klasma.github.io/Logging_2181/klagomål/A 34124-2026 FSC-klagomål.docx", "A 34124-2026")</f>
        <v/>
      </c>
      <c r="AB51">
        <f>HYPERLINK("https://klasma.github.io/Logging_2181/klagomålsmail/A 34124-2026 FSC-klagomål mail.docx", "A 34124-2026")</f>
        <v/>
      </c>
      <c r="AC51">
        <f>HYPERLINK("https://klasma.github.io/Logging_2181/tillsyn/A 34124-2026 tillsynsbegäran.docx", "A 34124-2026")</f>
        <v/>
      </c>
      <c r="AD51">
        <f>HYPERLINK("https://klasma.github.io/Logging_2181/tillsynsmail/A 34124-2026 tillsynsbegäran mail.docx", "A 34124-2026")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46297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46297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46297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46297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46297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46297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46297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46297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Dvärghäxört</t>
        </is>
      </c>
      <c r="W59">
        <f>HYPERLINK("https://klasma.github.io/Logging_2181/artfynd/A 448-2026 artfynd.xlsx", "A 448-2026")</f>
        <v/>
      </c>
      <c r="X59">
        <f>HYPERLINK("https://klasma.github.io/Logging_2181/kartor/A 448-2026 karta.png", "A 448-2026")</f>
        <v/>
      </c>
      <c r="Y59">
        <f>HYPERLINK("https://klasma.github.io/Logging_2181/kartor_geotiff/A 448-2026 georefererad karta.tif", "A 448-2026")</f>
        <v/>
      </c>
      <c r="AA59">
        <f>HYPERLINK("https://klasma.github.io/Logging_2181/klagomål/A 448-2026 FSC-klagomål.docx", "A 448-2026")</f>
        <v/>
      </c>
      <c r="AB59">
        <f>HYPERLINK("https://klasma.github.io/Logging_2181/klagomålsmail/A 448-2026 FSC-klagomål mail.docx", "A 448-2026")</f>
        <v/>
      </c>
      <c r="AC59">
        <f>HYPERLINK("https://klasma.github.io/Logging_2181/tillsyn/A 448-2026 tillsynsbegäran.docx", "A 448-2026")</f>
        <v/>
      </c>
      <c r="AD59">
        <f>HYPERLINK("https://klasma.github.io/Logging_2181/tillsynsmail/A 448-2026 tillsynsbegäran mail.docx", "A 448-2026")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46297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1083-2026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46297</v>
      </c>
      <c r="F61" t="inlineStr">
        <is>
          <t>GÄVLEBORGS LÄN</t>
        </is>
      </c>
      <c r="G61" t="inlineStr">
        <is>
          <t>SANDVIKEN</t>
        </is>
      </c>
      <c r="I61" t="n">
        <v>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HYPERLINK("https://klasma.github.io/Logging_2181/artfynd/A 1083-2026 artfynd.xlsx", "A 1083-2026")</f>
        <v/>
      </c>
      <c r="X61">
        <f>HYPERLINK("https://klasma.github.io/Logging_2181/kartor/A 1083-2026 karta.png", "A 1083-2026")</f>
        <v/>
      </c>
      <c r="Y61">
        <f>HYPERLINK("https://klasma.github.io/Logging_2181/kartor_geotiff/A 1083-2026 georefererad karta.tif", "A 1083-2026")</f>
        <v/>
      </c>
      <c r="AA61">
        <f>HYPERLINK("https://klasma.github.io/Logging_2181/klagomål/A 1083-2026 FSC-klagomål.docx", "A 1083-2026")</f>
        <v/>
      </c>
      <c r="AB61">
        <f>HYPERLINK("https://klasma.github.io/Logging_2181/klagomålsmail/A 1083-2026 FSC-klagomål mail.docx", "A 1083-2026")</f>
        <v/>
      </c>
      <c r="AC61">
        <f>HYPERLINK("https://klasma.github.io/Logging_2181/tillsyn/A 1083-2026 tillsynsbegäran.docx", "A 1083-2026")</f>
        <v/>
      </c>
      <c r="AD61">
        <f>HYPERLINK("https://klasma.github.io/Logging_2181/tillsynsmail/A 1083-2026 tillsynsbegäran mail.docx", "A 1083-2026")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46297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46297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7393-2026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46297</v>
      </c>
      <c r="F64" t="inlineStr">
        <is>
          <t>GÄVLEBORGS LÄN</t>
        </is>
      </c>
      <c r="G64" t="inlineStr">
        <is>
          <t>SANDVIKEN</t>
        </is>
      </c>
      <c r="I64" t="n">
        <v>6.7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Brunklöver</t>
        </is>
      </c>
      <c r="W64">
        <f>HYPERLINK("https://klasma.github.io/Logging_2181/artfynd/A 7393-2026 artfynd.xlsx", "A 7393-2026")</f>
        <v/>
      </c>
      <c r="X64">
        <f>HYPERLINK("https://klasma.github.io/Logging_2181/kartor/A 7393-2026 karta.png", "A 7393-2026")</f>
        <v/>
      </c>
      <c r="Y64">
        <f>HYPERLINK("https://klasma.github.io/Logging_2181/kartor_geotiff/A 7393-2026 georefererad karta.tif", "A 7393-2026")</f>
        <v/>
      </c>
      <c r="AA64">
        <f>HYPERLINK("https://klasma.github.io/Logging_2181/klagomål/A 7393-2026 FSC-klagomål.docx", "A 7393-2026")</f>
        <v/>
      </c>
      <c r="AB64">
        <f>HYPERLINK("https://klasma.github.io/Logging_2181/klagomålsmail/A 7393-2026 FSC-klagomål mail.docx", "A 7393-2026")</f>
        <v/>
      </c>
      <c r="AC64">
        <f>HYPERLINK("https://klasma.github.io/Logging_2181/tillsyn/A 7393-2026 tillsynsbegäran.docx", "A 7393-2026")</f>
        <v/>
      </c>
      <c r="AD64">
        <f>HYPERLINK("https://klasma.github.io/Logging_2181/tillsynsmail/A 7393-2026 tillsynsbegäran mail.docx", "A 7393-2026")</f>
        <v/>
      </c>
    </row>
    <row r="65" ht="15" customHeight="1">
      <c r="A65" t="inlineStr">
        <is>
          <t>A 25323-2025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46297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Plattlummer</t>
        </is>
      </c>
      <c r="W65">
        <f>HYPERLINK("https://klasma.github.io/Logging_2181/artfynd/A 25323-2025 artfynd.xlsx", "A 25323-2025")</f>
        <v/>
      </c>
      <c r="X65">
        <f>HYPERLINK("https://klasma.github.io/Logging_2181/kartor/A 25323-2025 karta.png", "A 25323-2025")</f>
        <v/>
      </c>
      <c r="Y65">
        <f>HYPERLINK("https://klasma.github.io/Logging_2181/kartor_geotiff/A 25323-2025 georefererad karta.tif", "A 25323-2025")</f>
        <v/>
      </c>
      <c r="AA65">
        <f>HYPERLINK("https://klasma.github.io/Logging_2181/klagomål/A 25323-2025 FSC-klagomål.docx", "A 25323-2025")</f>
        <v/>
      </c>
      <c r="AB65">
        <f>HYPERLINK("https://klasma.github.io/Logging_2181/klagomålsmail/A 25323-2025 FSC-klagomål mail.docx", "A 25323-2025")</f>
        <v/>
      </c>
      <c r="AC65">
        <f>HYPERLINK("https://klasma.github.io/Logging_2181/tillsyn/A 25323-2025 tillsynsbegäran.docx", "A 25323-2025")</f>
        <v/>
      </c>
      <c r="AD65">
        <f>HYPERLINK("https://klasma.github.io/Logging_2181/tillsynsmail/A 25323-2025 tillsynsbegäran mail.docx", "A 25323-2025")</f>
        <v/>
      </c>
    </row>
    <row r="66" ht="15" customHeight="1">
      <c r="A66" t="inlineStr">
        <is>
          <t>A 25314-2025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46297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25314-2025 artfynd.xlsx", "A 25314-2025")</f>
        <v/>
      </c>
      <c r="X66">
        <f>HYPERLINK("https://klasma.github.io/Logging_2181/kartor/A 25314-2025 karta.png", "A 25314-2025")</f>
        <v/>
      </c>
      <c r="Y66">
        <f>HYPERLINK("https://klasma.github.io/Logging_2181/kartor_geotiff/A 25314-2025 georefererad karta.tif", "A 25314-2025")</f>
        <v/>
      </c>
      <c r="AA66">
        <f>HYPERLINK("https://klasma.github.io/Logging_2181/klagomål/A 25314-2025 FSC-klagomål.docx", "A 25314-2025")</f>
        <v/>
      </c>
      <c r="AB66">
        <f>HYPERLINK("https://klasma.github.io/Logging_2181/klagomålsmail/A 25314-2025 FSC-klagomål mail.docx", "A 25314-2025")</f>
        <v/>
      </c>
      <c r="AC66">
        <f>HYPERLINK("https://klasma.github.io/Logging_2181/tillsyn/A 25314-2025 tillsynsbegäran.docx", "A 25314-2025")</f>
        <v/>
      </c>
      <c r="AD66">
        <f>HYPERLINK("https://klasma.github.io/Logging_2181/tillsynsmail/A 25314-2025 tillsynsbegäran mail.docx", "A 25314-2025")</f>
        <v/>
      </c>
    </row>
    <row r="67" ht="15" customHeight="1">
      <c r="A67" t="inlineStr">
        <is>
          <t>A 9267-2026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46297</v>
      </c>
      <c r="F67" t="inlineStr">
        <is>
          <t>GÄVLEBORGS LÄN</t>
        </is>
      </c>
      <c r="G67" t="inlineStr">
        <is>
          <t>SANDVIKEN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HYPERLINK("https://klasma.github.io/Logging_2181/artfynd/A 9267-2026 artfynd.xlsx", "A 9267-2026")</f>
        <v/>
      </c>
      <c r="X67">
        <f>HYPERLINK("https://klasma.github.io/Logging_2181/kartor/A 9267-2026 karta.png", "A 9267-2026")</f>
        <v/>
      </c>
      <c r="Y67">
        <f>HYPERLINK("https://klasma.github.io/Logging_2181/kartor_geotiff/A 9267-2026 georefererad karta.tif", "A 9267-2026")</f>
        <v/>
      </c>
      <c r="AA67">
        <f>HYPERLINK("https://klasma.github.io/Logging_2181/klagomål/A 9267-2026 FSC-klagomål.docx", "A 9267-2026")</f>
        <v/>
      </c>
      <c r="AB67">
        <f>HYPERLINK("https://klasma.github.io/Logging_2181/klagomålsmail/A 9267-2026 FSC-klagomål mail.docx", "A 9267-2026")</f>
        <v/>
      </c>
      <c r="AC67">
        <f>HYPERLINK("https://klasma.github.io/Logging_2181/tillsyn/A 9267-2026 tillsynsbegäran.docx", "A 9267-2026")</f>
        <v/>
      </c>
      <c r="AD67">
        <f>HYPERLINK("https://klasma.github.io/Logging_2181/tillsynsmail/A 9267-2026 tillsynsbegäran mail.docx", "A 9267-2026")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46297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46297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46297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46297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46297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46297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46297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17062-2026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46297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5.7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Vårärt</t>
        </is>
      </c>
      <c r="W75">
        <f>HYPERLINK("https://klasma.github.io/Logging_2181/artfynd/A 17062-2026 artfynd.xlsx", "A 17062-2026")</f>
        <v/>
      </c>
      <c r="X75">
        <f>HYPERLINK("https://klasma.github.io/Logging_2181/kartor/A 17062-2026 karta.png", "A 17062-2026")</f>
        <v/>
      </c>
      <c r="Y75">
        <f>HYPERLINK("https://klasma.github.io/Logging_2181/kartor_geotiff/A 17062-2026 georefererad karta.tif", "A 17062-2026")</f>
        <v/>
      </c>
      <c r="AA75">
        <f>HYPERLINK("https://klasma.github.io/Logging_2181/klagomål/A 17062-2026 FSC-klagomål.docx", "A 17062-2026")</f>
        <v/>
      </c>
      <c r="AB75">
        <f>HYPERLINK("https://klasma.github.io/Logging_2181/klagomålsmail/A 17062-2026 FSC-klagomål mail.docx", "A 17062-2026")</f>
        <v/>
      </c>
      <c r="AC75">
        <f>HYPERLINK("https://klasma.github.io/Logging_2181/tillsyn/A 17062-2026 tillsynsbegäran.docx", "A 17062-2026")</f>
        <v/>
      </c>
      <c r="AD75">
        <f>HYPERLINK("https://klasma.github.io/Logging_2181/tillsynsmail/A 17062-2026 tillsynsbegäran mail.docx", "A 17062-2026")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46297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57934-2025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45981</v>
      </c>
      <c r="E77" s="1" t="n">
        <v>46297</v>
      </c>
      <c r="F77" t="inlineStr">
        <is>
          <t>GÄVLEBORGS LÄN</t>
        </is>
      </c>
      <c r="G77" t="inlineStr">
        <is>
          <t>SANDVIKEN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Grönsiska</t>
        </is>
      </c>
      <c r="W77">
        <f>HYPERLINK("https://klasma.github.io/Logging_2181/artfynd/A 57934-2025 artfynd.xlsx", "A 57934-2025")</f>
        <v/>
      </c>
      <c r="X77">
        <f>HYPERLINK("https://klasma.github.io/Logging_2181/kartor/A 57934-2025 karta.png", "A 57934-2025")</f>
        <v/>
      </c>
      <c r="Y77">
        <f>HYPERLINK("https://klasma.github.io/Logging_2181/kartor_geotiff/A 57934-2025 georefererad karta.tif", "A 57934-2025")</f>
        <v/>
      </c>
      <c r="AA77">
        <f>HYPERLINK("https://klasma.github.io/Logging_2181/klagomål/A 57934-2025 FSC-klagomål.docx", "A 57934-2025")</f>
        <v/>
      </c>
      <c r="AB77">
        <f>HYPERLINK("https://klasma.github.io/Logging_2181/klagomålsmail/A 57934-2025 FSC-klagomål mail.docx", "A 57934-2025")</f>
        <v/>
      </c>
      <c r="AC77">
        <f>HYPERLINK("https://klasma.github.io/Logging_2181/tillsyn/A 57934-2025 tillsynsbegäran.docx", "A 57934-2025")</f>
        <v/>
      </c>
      <c r="AD77">
        <f>HYPERLINK("https://klasma.github.io/Logging_2181/tillsynsmail/A 57934-2025 tillsynsbegäran mail.docx", "A 57934-2025")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46297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42115-2023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46297</v>
      </c>
      <c r="F79" t="inlineStr">
        <is>
          <t>GÄVLEBORGS LÄN</t>
        </is>
      </c>
      <c r="G79" t="inlineStr">
        <is>
          <t>SANDVIKEN</t>
        </is>
      </c>
      <c r="H79" t="inlineStr">
        <is>
          <t>Sveaskog</t>
        </is>
      </c>
      <c r="I79" t="n">
        <v>2.4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HYPERLINK("https://klasma.github.io/Logging_2181/artfynd/A 42115-2023 artfynd.xlsx", "A 42115-2023")</f>
        <v/>
      </c>
      <c r="X79">
        <f>HYPERLINK("https://klasma.github.io/Logging_2181/kartor/A 42115-2023 karta.png", "A 42115-2023")</f>
        <v/>
      </c>
      <c r="Y79">
        <f>HYPERLINK("https://klasma.github.io/Logging_2181/kartor_geotiff/A 42115-2023 georefererad karta.tif", "A 42115-2023")</f>
        <v/>
      </c>
      <c r="AA79">
        <f>HYPERLINK("https://klasma.github.io/Logging_2181/klagomål/A 42115-2023 FSC-klagomål.docx", "A 42115-2023")</f>
        <v/>
      </c>
      <c r="AB79">
        <f>HYPERLINK("https://klasma.github.io/Logging_2181/klagomålsmail/A 42115-2023 FSC-klagomål mail.docx", "A 42115-2023")</f>
        <v/>
      </c>
      <c r="AC79">
        <f>HYPERLINK("https://klasma.github.io/Logging_2181/tillsyn/A 42115-2023 tillsynsbegäran.docx", "A 42115-2023")</f>
        <v/>
      </c>
      <c r="AD79">
        <f>HYPERLINK("https://klasma.github.io/Logging_2181/tillsynsmail/A 42115-2023 tillsynsbegäran mail.docx", "A 42115-2023")</f>
        <v/>
      </c>
      <c r="AE79">
        <f>HYPERLINK("https://klasma.github.io/Logging_2181/fåglar/A 42115-2023 prioriterade fågelarter.docx", "A 42115-2023")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46297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36417-2025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45868</v>
      </c>
      <c r="E81" s="1" t="n">
        <v>46297</v>
      </c>
      <c r="F81" t="inlineStr">
        <is>
          <t>GÄVLEBORGS LÄN</t>
        </is>
      </c>
      <c r="G81" t="inlineStr">
        <is>
          <t>SANDVIKEN</t>
        </is>
      </c>
      <c r="H81" t="inlineStr">
        <is>
          <t>Sveaskog</t>
        </is>
      </c>
      <c r="I81" t="n">
        <v>3.9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HYPERLINK("https://klasma.github.io/Logging_2181/artfynd/A 36417-2025 artfynd.xlsx", "A 36417-2025")</f>
        <v/>
      </c>
      <c r="X81">
        <f>HYPERLINK("https://klasma.github.io/Logging_2181/kartor/A 36417-2025 karta.png", "A 36417-2025")</f>
        <v/>
      </c>
      <c r="Y81">
        <f>HYPERLINK("https://klasma.github.io/Logging_2181/kartor_geotiff/A 36417-2025 georefererad karta.tif", "A 36417-2025")</f>
        <v/>
      </c>
      <c r="Z81">
        <f>HYPERLINK("https://klasma.github.io/Logging_2181/knärot/A 36417-2025 karta knärot.png", "A 36417-2025")</f>
        <v/>
      </c>
      <c r="AA81">
        <f>HYPERLINK("https://klasma.github.io/Logging_2181/klagomål/A 36417-2025 FSC-klagomål.docx", "A 36417-2025")</f>
        <v/>
      </c>
      <c r="AB81">
        <f>HYPERLINK("https://klasma.github.io/Logging_2181/klagomålsmail/A 36417-2025 FSC-klagomål mail.docx", "A 36417-2025")</f>
        <v/>
      </c>
      <c r="AC81">
        <f>HYPERLINK("https://klasma.github.io/Logging_2181/tillsyn/A 36417-2025 tillsynsbegäran.docx", "A 36417-2025")</f>
        <v/>
      </c>
      <c r="AD81">
        <f>HYPERLINK("https://klasma.github.io/Logging_2181/tillsynsmail/A 36417-2025 tillsynsbegäran mail.docx", "A 36417-2025")</f>
        <v/>
      </c>
    </row>
    <row r="82" ht="15" customHeight="1">
      <c r="A82" t="inlineStr">
        <is>
          <t>A 12419-2025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46297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Månlåsbräken</t>
        </is>
      </c>
      <c r="W82">
        <f>HYPERLINK("https://klasma.github.io/Logging_2181/artfynd/A 12419-2025 artfynd.xlsx", "A 12419-2025")</f>
        <v/>
      </c>
      <c r="X82">
        <f>HYPERLINK("https://klasma.github.io/Logging_2181/kartor/A 12419-2025 karta.png", "A 12419-2025")</f>
        <v/>
      </c>
      <c r="Y82">
        <f>HYPERLINK("https://klasma.github.io/Logging_2181/kartor_geotiff/A 12419-2025 georefererad karta.tif", "A 12419-2025")</f>
        <v/>
      </c>
      <c r="AA82">
        <f>HYPERLINK("https://klasma.github.io/Logging_2181/klagomål/A 12419-2025 FSC-klagomål.docx", "A 12419-2025")</f>
        <v/>
      </c>
      <c r="AB82">
        <f>HYPERLINK("https://klasma.github.io/Logging_2181/klagomålsmail/A 12419-2025 FSC-klagomål mail.docx", "A 12419-2025")</f>
        <v/>
      </c>
      <c r="AC82">
        <f>HYPERLINK("https://klasma.github.io/Logging_2181/tillsyn/A 12419-2025 tillsynsbegäran.docx", "A 12419-2025")</f>
        <v/>
      </c>
      <c r="AD82">
        <f>HYPERLINK("https://klasma.github.io/Logging_2181/tillsynsmail/A 12419-2025 tillsynsbegäran mail.docx", "A 12419-2025")</f>
        <v/>
      </c>
    </row>
    <row r="83" ht="15" customHeight="1">
      <c r="A83" t="inlineStr">
        <is>
          <t>A 6972-2026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46297</v>
      </c>
      <c r="F83" t="inlineStr">
        <is>
          <t>GÄVLEBORGS LÄN</t>
        </is>
      </c>
      <c r="G83" t="inlineStr">
        <is>
          <t>SANDVIKEN</t>
        </is>
      </c>
      <c r="H83" t="inlineStr">
        <is>
          <t>Naturvårdsverket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6972-2026 artfynd.xlsx", "A 6972-2026")</f>
        <v/>
      </c>
      <c r="X83">
        <f>HYPERLINK("https://klasma.github.io/Logging_2181/kartor/A 6972-2026 karta.png", "A 6972-2026")</f>
        <v/>
      </c>
      <c r="Y83">
        <f>HYPERLINK("https://klasma.github.io/Logging_2181/kartor_geotiff/A 6972-2026 georefererad karta.tif", "A 6972-2026")</f>
        <v/>
      </c>
      <c r="AA83">
        <f>HYPERLINK("https://klasma.github.io/Logging_2181/klagomål/A 6972-2026 FSC-klagomål.docx", "A 6972-2026")</f>
        <v/>
      </c>
      <c r="AB83">
        <f>HYPERLINK("https://klasma.github.io/Logging_2181/klagomålsmail/A 6972-2026 FSC-klagomål mail.docx", "A 6972-2026")</f>
        <v/>
      </c>
      <c r="AC83">
        <f>HYPERLINK("https://klasma.github.io/Logging_2181/tillsyn/A 6972-2026 tillsynsbegäran.docx", "A 6972-2026")</f>
        <v/>
      </c>
      <c r="AD83">
        <f>HYPERLINK("https://klasma.github.io/Logging_2181/tillsynsmail/A 6972-2026 tillsynsbegäran mail.docx", "A 6972-2026")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46297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38350-2025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46297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väst AB</t>
        </is>
      </c>
      <c r="I85" t="n">
        <v>25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Brandticka</t>
        </is>
      </c>
      <c r="W85">
        <f>HYPERLINK("https://klasma.github.io/Logging_2181/artfynd/A 38350-2025 artfynd.xlsx", "A 38350-2025")</f>
        <v/>
      </c>
      <c r="X85">
        <f>HYPERLINK("https://klasma.github.io/Logging_2181/kartor/A 38350-2025 karta.png", "A 38350-2025")</f>
        <v/>
      </c>
      <c r="Y85">
        <f>HYPERLINK("https://klasma.github.io/Logging_2181/kartor_geotiff/A 38350-2025 georefererad karta.tif", "A 38350-2025")</f>
        <v/>
      </c>
      <c r="AA85">
        <f>HYPERLINK("https://klasma.github.io/Logging_2181/klagomål/A 38350-2025 FSC-klagomål.docx", "A 38350-2025")</f>
        <v/>
      </c>
      <c r="AB85">
        <f>HYPERLINK("https://klasma.github.io/Logging_2181/klagomålsmail/A 38350-2025 FSC-klagomål mail.docx", "A 38350-2025")</f>
        <v/>
      </c>
      <c r="AC85">
        <f>HYPERLINK("https://klasma.github.io/Logging_2181/tillsyn/A 38350-2025 tillsynsbegäran.docx", "A 38350-2025")</f>
        <v/>
      </c>
      <c r="AD85">
        <f>HYPERLINK("https://klasma.github.io/Logging_2181/tillsynsmail/A 38350-2025 tillsynsbegäran mail.docx", "A 38350-2025")</f>
        <v/>
      </c>
    </row>
    <row r="86" ht="15" customHeight="1">
      <c r="A86" t="inlineStr">
        <is>
          <t>A 21532-2026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46148</v>
      </c>
      <c r="E86" s="1" t="n">
        <v>46297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Svartvit flugsnappare</t>
        </is>
      </c>
      <c r="W86">
        <f>HYPERLINK("https://klasma.github.io/Logging_2181/artfynd/A 21532-2026 artfynd.xlsx", "A 21532-2026")</f>
        <v/>
      </c>
      <c r="X86">
        <f>HYPERLINK("https://klasma.github.io/Logging_2181/kartor/A 21532-2026 karta.png", "A 21532-2026")</f>
        <v/>
      </c>
      <c r="Y86">
        <f>HYPERLINK("https://klasma.github.io/Logging_2181/kartor_geotiff/A 21532-2026 georefererad karta.tif", "A 21532-2026")</f>
        <v/>
      </c>
      <c r="AA86">
        <f>HYPERLINK("https://klasma.github.io/Logging_2181/klagomål/A 21532-2026 FSC-klagomål.docx", "A 21532-2026")</f>
        <v/>
      </c>
      <c r="AB86">
        <f>HYPERLINK("https://klasma.github.io/Logging_2181/klagomålsmail/A 21532-2026 FSC-klagomål mail.docx", "A 21532-2026")</f>
        <v/>
      </c>
      <c r="AC86">
        <f>HYPERLINK("https://klasma.github.io/Logging_2181/tillsyn/A 21532-2026 tillsynsbegäran.docx", "A 21532-2026")</f>
        <v/>
      </c>
      <c r="AD86">
        <f>HYPERLINK("https://klasma.github.io/Logging_2181/tillsynsmail/A 21532-2026 tillsynsbegäran mail.docx", "A 21532-2026")</f>
        <v/>
      </c>
    </row>
    <row r="87" ht="15" customHeight="1">
      <c r="A87" t="inlineStr">
        <is>
          <t>A 3316-2023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44949</v>
      </c>
      <c r="E87" s="1" t="n">
        <v>46297</v>
      </c>
      <c r="F87" t="inlineStr">
        <is>
          <t>GÄVLEBORGS LÄN</t>
        </is>
      </c>
      <c r="G87" t="inlineStr">
        <is>
          <t>SANDVIKEN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Orre</t>
        </is>
      </c>
      <c r="W87">
        <f>HYPERLINK("https://klasma.github.io/Logging_2181/artfynd/A 3316-2023 artfynd.xlsx", "A 3316-2023")</f>
        <v/>
      </c>
      <c r="X87">
        <f>HYPERLINK("https://klasma.github.io/Logging_2181/kartor/A 3316-2023 karta.png", "A 3316-2023")</f>
        <v/>
      </c>
      <c r="Y87">
        <f>HYPERLINK("https://klasma.github.io/Logging_2181/kartor_geotiff/A 3316-2023 georefererad karta.tif", "A 3316-2023")</f>
        <v/>
      </c>
      <c r="AA87">
        <f>HYPERLINK("https://klasma.github.io/Logging_2181/klagomål/A 3316-2023 FSC-klagomål.docx", "A 3316-2023")</f>
        <v/>
      </c>
      <c r="AB87">
        <f>HYPERLINK("https://klasma.github.io/Logging_2181/klagomålsmail/A 3316-2023 FSC-klagomål mail.docx", "A 3316-2023")</f>
        <v/>
      </c>
      <c r="AC87">
        <f>HYPERLINK("https://klasma.github.io/Logging_2181/tillsyn/A 3316-2023 tillsynsbegäran.docx", "A 3316-2023")</f>
        <v/>
      </c>
      <c r="AD87">
        <f>HYPERLINK("https://klasma.github.io/Logging_2181/tillsynsmail/A 3316-2023 tillsynsbegäran mail.docx", "A 3316-2023")</f>
        <v/>
      </c>
      <c r="AE87">
        <f>HYPERLINK("https://klasma.github.io/Logging_2181/fåglar/A 3316-2023 prioriterade fågelarter.docx", "A 3316-2023")</f>
        <v/>
      </c>
    </row>
    <row r="88" ht="15" customHeight="1">
      <c r="A88" t="inlineStr">
        <is>
          <t>A 22275-2024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46297</v>
      </c>
      <c r="F88" t="inlineStr">
        <is>
          <t>GÄVLEBORGS LÄN</t>
        </is>
      </c>
      <c r="G88" t="inlineStr">
        <is>
          <t>SANDVIKEN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Ekorrbär</t>
        </is>
      </c>
      <c r="W88">
        <f>HYPERLINK("https://klasma.github.io/Logging_2181/artfynd/A 22275-2024 artfynd.xlsx", "A 22275-2024")</f>
        <v/>
      </c>
      <c r="X88">
        <f>HYPERLINK("https://klasma.github.io/Logging_2181/kartor/A 22275-2024 karta.png", "A 22275-2024")</f>
        <v/>
      </c>
      <c r="Y88">
        <f>HYPERLINK("https://klasma.github.io/Logging_2181/kartor_geotiff/A 22275-2024 georefererad karta.tif", "A 22275-2024")</f>
        <v/>
      </c>
      <c r="AA88">
        <f>HYPERLINK("https://klasma.github.io/Logging_2181/klagomål/A 22275-2024 FSC-klagomål.docx", "A 22275-2024")</f>
        <v/>
      </c>
      <c r="AB88">
        <f>HYPERLINK("https://klasma.github.io/Logging_2181/klagomålsmail/A 22275-2024 FSC-klagomål mail.docx", "A 22275-2024")</f>
        <v/>
      </c>
      <c r="AC88">
        <f>HYPERLINK("https://klasma.github.io/Logging_2181/tillsyn/A 22275-2024 tillsynsbegäran.docx", "A 22275-2024")</f>
        <v/>
      </c>
      <c r="AD88">
        <f>HYPERLINK("https://klasma.github.io/Logging_2181/tillsynsmail/A 22275-2024 tillsynsbegäran mail.docx", "A 22275-2024")</f>
        <v/>
      </c>
    </row>
    <row r="89" ht="15" customHeight="1">
      <c r="A89" t="inlineStr">
        <is>
          <t>A 24171-2026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46168</v>
      </c>
      <c r="E89" s="1" t="n">
        <v>46297</v>
      </c>
      <c r="F89" t="inlineStr">
        <is>
          <t>GÄVLEBORGS LÄN</t>
        </is>
      </c>
      <c r="G89" t="inlineStr">
        <is>
          <t>SANDVIKEN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Svedjenäva</t>
        </is>
      </c>
      <c r="W89">
        <f>HYPERLINK("https://klasma.github.io/Logging_2181/artfynd/A 24171-2026 artfynd.xlsx", "A 24171-2026")</f>
        <v/>
      </c>
      <c r="X89">
        <f>HYPERLINK("https://klasma.github.io/Logging_2181/kartor/A 24171-2026 karta.png", "A 24171-2026")</f>
        <v/>
      </c>
      <c r="Y89">
        <f>HYPERLINK("https://klasma.github.io/Logging_2181/kartor_geotiff/A 24171-2026 georefererad karta.tif", "A 24171-2026")</f>
        <v/>
      </c>
      <c r="AA89">
        <f>HYPERLINK("https://klasma.github.io/Logging_2181/klagomål/A 24171-2026 FSC-klagomål.docx", "A 24171-2026")</f>
        <v/>
      </c>
      <c r="AB89">
        <f>HYPERLINK("https://klasma.github.io/Logging_2181/klagomålsmail/A 24171-2026 FSC-klagomål mail.docx", "A 24171-2026")</f>
        <v/>
      </c>
      <c r="AC89">
        <f>HYPERLINK("https://klasma.github.io/Logging_2181/tillsyn/A 24171-2026 tillsynsbegäran.docx", "A 24171-2026")</f>
        <v/>
      </c>
      <c r="AD89">
        <f>HYPERLINK("https://klasma.github.io/Logging_2181/tillsynsmail/A 24171-2026 tillsynsbegäran mail.docx", "A 24171-2026")</f>
        <v/>
      </c>
    </row>
    <row r="90" ht="15" customHeight="1">
      <c r="A90" t="inlineStr">
        <is>
          <t>A 24357-2026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46297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HYPERLINK("https://klasma.github.io/Logging_2181/artfynd/A 24357-2026 artfynd.xlsx", "A 24357-2026")</f>
        <v/>
      </c>
      <c r="X90">
        <f>HYPERLINK("https://klasma.github.io/Logging_2181/kartor/A 24357-2026 karta.png", "A 24357-2026")</f>
        <v/>
      </c>
      <c r="Y90">
        <f>HYPERLINK("https://klasma.github.io/Logging_2181/kartor_geotiff/A 24357-2026 georefererad karta.tif", "A 24357-2026")</f>
        <v/>
      </c>
      <c r="AA90">
        <f>HYPERLINK("https://klasma.github.io/Logging_2181/klagomål/A 24357-2026 FSC-klagomål.docx", "A 24357-2026")</f>
        <v/>
      </c>
      <c r="AB90">
        <f>HYPERLINK("https://klasma.github.io/Logging_2181/klagomålsmail/A 24357-2026 FSC-klagomål mail.docx", "A 24357-2026")</f>
        <v/>
      </c>
      <c r="AC90">
        <f>HYPERLINK("https://klasma.github.io/Logging_2181/tillsyn/A 24357-2026 tillsynsbegäran.docx", "A 24357-2026")</f>
        <v/>
      </c>
      <c r="AD90">
        <f>HYPERLINK("https://klasma.github.io/Logging_2181/tillsynsmail/A 24357-2026 tillsynsbegäran mail.docx", "A 24357-2026")</f>
        <v/>
      </c>
    </row>
    <row r="91" ht="15" customHeight="1">
      <c r="A91" t="inlineStr">
        <is>
          <t>A 58845-2023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46297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0</v>
      </c>
      <c r="V91" s="2" t="inlineStr">
        <is>
          <t>Vanlig padda</t>
        </is>
      </c>
      <c r="W91">
        <f>HYPERLINK("https://klasma.github.io/Logging_2181/artfynd/A 58845-2023 artfynd.xlsx", "A 58845-2023")</f>
        <v/>
      </c>
      <c r="X91">
        <f>HYPERLINK("https://klasma.github.io/Logging_2181/kartor/A 58845-2023 karta.png", "A 58845-2023")</f>
        <v/>
      </c>
      <c r="Y91">
        <f>HYPERLINK("https://klasma.github.io/Logging_2181/kartor_geotiff/A 58845-2023 georefererad karta.tif", "A 58845-2023")</f>
        <v/>
      </c>
      <c r="AA91">
        <f>HYPERLINK("https://klasma.github.io/Logging_2181/klagomål/A 58845-2023 FSC-klagomål.docx", "A 58845-2023")</f>
        <v/>
      </c>
      <c r="AB91">
        <f>HYPERLINK("https://klasma.github.io/Logging_2181/klagomålsmail/A 58845-2023 FSC-klagomål mail.docx", "A 58845-2023")</f>
        <v/>
      </c>
      <c r="AC91">
        <f>HYPERLINK("https://klasma.github.io/Logging_2181/tillsyn/A 58845-2023 tillsynsbegäran.docx", "A 58845-2023")</f>
        <v/>
      </c>
      <c r="AD91">
        <f>HYPERLINK("https://klasma.github.io/Logging_2181/tillsynsmail/A 58845-2023 tillsynsbegäran mail.docx", "A 58845-2023")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46297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46297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26271-2026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46297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Fläcknycklar</t>
        </is>
      </c>
      <c r="W94">
        <f>HYPERLINK("https://klasma.github.io/Logging_2181/artfynd/A 26271-2026 artfynd.xlsx", "A 26271-2026")</f>
        <v/>
      </c>
      <c r="X94">
        <f>HYPERLINK("https://klasma.github.io/Logging_2181/kartor/A 26271-2026 karta.png", "A 26271-2026")</f>
        <v/>
      </c>
      <c r="Y94">
        <f>HYPERLINK("https://klasma.github.io/Logging_2181/kartor_geotiff/A 26271-2026 georefererad karta.tif", "A 26271-2026")</f>
        <v/>
      </c>
      <c r="AA94">
        <f>HYPERLINK("https://klasma.github.io/Logging_2181/klagomål/A 26271-2026 FSC-klagomål.docx", "A 26271-2026")</f>
        <v/>
      </c>
      <c r="AB94">
        <f>HYPERLINK("https://klasma.github.io/Logging_2181/klagomålsmail/A 26271-2026 FSC-klagomål mail.docx", "A 26271-2026")</f>
        <v/>
      </c>
      <c r="AC94">
        <f>HYPERLINK("https://klasma.github.io/Logging_2181/tillsyn/A 26271-2026 tillsynsbegäran.docx", "A 26271-2026")</f>
        <v/>
      </c>
      <c r="AD94">
        <f>HYPERLINK("https://klasma.github.io/Logging_2181/tillsynsmail/A 26271-2026 tillsynsbegäran mail.docx", "A 26271-2026")</f>
        <v/>
      </c>
    </row>
    <row r="95" ht="15" customHeight="1">
      <c r="A95" t="inlineStr">
        <is>
          <t>A 27207-2026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46188</v>
      </c>
      <c r="E95" s="1" t="n">
        <v>46297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HYPERLINK("https://klasma.github.io/Logging_2181/artfynd/A 27207-2026 artfynd.xlsx", "A 27207-2026")</f>
        <v/>
      </c>
      <c r="X95">
        <f>HYPERLINK("https://klasma.github.io/Logging_2181/kartor/A 27207-2026 karta.png", "A 27207-2026")</f>
        <v/>
      </c>
      <c r="Y95">
        <f>HYPERLINK("https://klasma.github.io/Logging_2181/kartor_geotiff/A 27207-2026 georefererad karta.tif", "A 27207-2026")</f>
        <v/>
      </c>
      <c r="AA95">
        <f>HYPERLINK("https://klasma.github.io/Logging_2181/klagomål/A 27207-2026 FSC-klagomål.docx", "A 27207-2026")</f>
        <v/>
      </c>
      <c r="AB95">
        <f>HYPERLINK("https://klasma.github.io/Logging_2181/klagomålsmail/A 27207-2026 FSC-klagomål mail.docx", "A 27207-2026")</f>
        <v/>
      </c>
      <c r="AC95">
        <f>HYPERLINK("https://klasma.github.io/Logging_2181/tillsyn/A 27207-2026 tillsynsbegäran.docx", "A 27207-2026")</f>
        <v/>
      </c>
      <c r="AD95">
        <f>HYPERLINK("https://klasma.github.io/Logging_2181/tillsynsmail/A 27207-2026 tillsynsbegäran mail.docx", "A 27207-2026")</f>
        <v/>
      </c>
    </row>
    <row r="96" ht="15" customHeight="1">
      <c r="A96" t="inlineStr">
        <is>
          <t>A 45427-2023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45194</v>
      </c>
      <c r="E96" s="1" t="n">
        <v>46297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3.5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Mattlummer</t>
        </is>
      </c>
      <c r="W96">
        <f>HYPERLINK("https://klasma.github.io/Logging_2181/artfynd/A 45427-2023 artfynd.xlsx", "A 45427-2023")</f>
        <v/>
      </c>
      <c r="X96">
        <f>HYPERLINK("https://klasma.github.io/Logging_2181/kartor/A 45427-2023 karta.png", "A 45427-2023")</f>
        <v/>
      </c>
      <c r="Y96">
        <f>HYPERLINK("https://klasma.github.io/Logging_2181/kartor_geotiff/A 45427-2023 georefererad karta.tif", "A 45427-2023")</f>
        <v/>
      </c>
      <c r="AA96">
        <f>HYPERLINK("https://klasma.github.io/Logging_2181/klagomål/A 45427-2023 FSC-klagomål.docx", "A 45427-2023")</f>
        <v/>
      </c>
      <c r="AB96">
        <f>HYPERLINK("https://klasma.github.io/Logging_2181/klagomålsmail/A 45427-2023 FSC-klagomål mail.docx", "A 45427-2023")</f>
        <v/>
      </c>
      <c r="AC96">
        <f>HYPERLINK("https://klasma.github.io/Logging_2181/tillsyn/A 45427-2023 tillsynsbegäran.docx", "A 45427-2023")</f>
        <v/>
      </c>
      <c r="AD96">
        <f>HYPERLINK("https://klasma.github.io/Logging_2181/tillsynsmail/A 45427-2023 tillsynsbegäran mail.docx", "A 45427-2023")</f>
        <v/>
      </c>
    </row>
    <row r="97" ht="15" customHeight="1">
      <c r="A97" t="inlineStr">
        <is>
          <t>A 23289-2024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46297</v>
      </c>
      <c r="F97" t="inlineStr">
        <is>
          <t>GÄVLEBORGS LÄN</t>
        </is>
      </c>
      <c r="G97" t="inlineStr">
        <is>
          <t>SANDVIKEN</t>
        </is>
      </c>
      <c r="H97" t="inlineStr">
        <is>
          <t>Kyrkan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Skogsödla</t>
        </is>
      </c>
      <c r="W97">
        <f>HYPERLINK("https://klasma.github.io/Logging_2181/artfynd/A 23289-2024 artfynd.xlsx", "A 23289-2024")</f>
        <v/>
      </c>
      <c r="X97">
        <f>HYPERLINK("https://klasma.github.io/Logging_2181/kartor/A 23289-2024 karta.png", "A 23289-2024")</f>
        <v/>
      </c>
      <c r="Y97">
        <f>HYPERLINK("https://klasma.github.io/Logging_2181/kartor_geotiff/A 23289-2024 georefererad karta.tif", "A 23289-2024")</f>
        <v/>
      </c>
      <c r="AA97">
        <f>HYPERLINK("https://klasma.github.io/Logging_2181/klagomål/A 23289-2024 FSC-klagomål.docx", "A 23289-2024")</f>
        <v/>
      </c>
      <c r="AB97">
        <f>HYPERLINK("https://klasma.github.io/Logging_2181/klagomålsmail/A 23289-2024 FSC-klagomål mail.docx", "A 23289-2024")</f>
        <v/>
      </c>
      <c r="AC97">
        <f>HYPERLINK("https://klasma.github.io/Logging_2181/tillsyn/A 23289-2024 tillsynsbegäran.docx", "A 23289-2024")</f>
        <v/>
      </c>
      <c r="AD97">
        <f>HYPERLINK("https://klasma.github.io/Logging_2181/tillsynsmail/A 23289-2024 tillsynsbegäran mail.docx", "A 23289-2024")</f>
        <v/>
      </c>
    </row>
    <row r="98" ht="15" customHeight="1">
      <c r="A98" t="inlineStr">
        <is>
          <t>A 15729-2022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44663</v>
      </c>
      <c r="E98" s="1" t="n">
        <v>46297</v>
      </c>
      <c r="F98" t="inlineStr">
        <is>
          <t>GÄVLEBORGS LÄN</t>
        </is>
      </c>
      <c r="G98" t="inlineStr">
        <is>
          <t>SANDVIKEN</t>
        </is>
      </c>
      <c r="I98" t="n">
        <v>2.1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HYPERLINK("https://klasma.github.io/Logging_2181/artfynd/A 15729-2022 artfynd.xlsx", "A 15729-2022")</f>
        <v/>
      </c>
      <c r="X98">
        <f>HYPERLINK("https://klasma.github.io/Logging_2181/kartor/A 15729-2022 karta.png", "A 15729-2022")</f>
        <v/>
      </c>
      <c r="Y98">
        <f>HYPERLINK("https://klasma.github.io/Logging_2181/kartor_geotiff/A 15729-2022 georefererad karta.tif", "A 15729-2022")</f>
        <v/>
      </c>
      <c r="Z98">
        <f>HYPERLINK("https://klasma.github.io/Logging_2181/knärot/A 15729-2022 karta knärot.png", "A 15729-2022")</f>
        <v/>
      </c>
      <c r="AA98">
        <f>HYPERLINK("https://klasma.github.io/Logging_2181/klagomål/A 15729-2022 FSC-klagomål.docx", "A 15729-2022")</f>
        <v/>
      </c>
      <c r="AB98">
        <f>HYPERLINK("https://klasma.github.io/Logging_2181/klagomålsmail/A 15729-2022 FSC-klagomål mail.docx", "A 15729-2022")</f>
        <v/>
      </c>
      <c r="AC98">
        <f>HYPERLINK("https://klasma.github.io/Logging_2181/tillsyn/A 15729-2022 tillsynsbegäran.docx", "A 15729-2022")</f>
        <v/>
      </c>
      <c r="AD98">
        <f>HYPERLINK("https://klasma.github.io/Logging_2181/tillsynsmail/A 15729-2022 tillsynsbegäran mail.docx", "A 15729-2022")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46297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31311-2026 artfynd.xlsx", "A 31311-2026")</f>
        <v/>
      </c>
      <c r="X99">
        <f>HYPERLINK("https://klasma.github.io/Logging_2181/kartor/A 31311-2026 karta.png", "A 31311-2026")</f>
        <v/>
      </c>
      <c r="Y99">
        <f>HYPERLINK("https://klasma.github.io/Logging_2181/kartor_geotiff/A 31311-2026 georefererad karta.tif", "A 31311-2026")</f>
        <v/>
      </c>
      <c r="AA99">
        <f>HYPERLINK("https://klasma.github.io/Logging_2181/klagomål/A 31311-2026 FSC-klagomål.docx", "A 31311-2026")</f>
        <v/>
      </c>
      <c r="AB99">
        <f>HYPERLINK("https://klasma.github.io/Logging_2181/klagomålsmail/A 31311-2026 FSC-klagomål mail.docx", "A 31311-2026")</f>
        <v/>
      </c>
      <c r="AC99">
        <f>HYPERLINK("https://klasma.github.io/Logging_2181/tillsyn/A 31311-2026 tillsynsbegäran.docx", "A 31311-2026")</f>
        <v/>
      </c>
      <c r="AD99">
        <f>HYPERLINK("https://klasma.github.io/Logging_2181/tillsynsmail/A 31311-2026 tillsynsbegäran mail.docx", "A 31311-2026")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46297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35540-2026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46297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Lopplummer (aggregat)</t>
        </is>
      </c>
      <c r="W101">
        <f>HYPERLINK("https://klasma.github.io/Logging_2181/artfynd/A 35540-2026 artfynd.xlsx", "A 35540-2026")</f>
        <v/>
      </c>
      <c r="X101">
        <f>HYPERLINK("https://klasma.github.io/Logging_2181/kartor/A 35540-2026 karta.png", "A 35540-2026")</f>
        <v/>
      </c>
      <c r="Y101">
        <f>HYPERLINK("https://klasma.github.io/Logging_2181/kartor_geotiff/A 35540-2026 georefererad karta.tif", "A 35540-2026")</f>
        <v/>
      </c>
      <c r="AA101">
        <f>HYPERLINK("https://klasma.github.io/Logging_2181/klagomål/A 35540-2026 FSC-klagomål.docx", "A 35540-2026")</f>
        <v/>
      </c>
      <c r="AB101">
        <f>HYPERLINK("https://klasma.github.io/Logging_2181/klagomålsmail/A 35540-2026 FSC-klagomål mail.docx", "A 35540-2026")</f>
        <v/>
      </c>
      <c r="AC101">
        <f>HYPERLINK("https://klasma.github.io/Logging_2181/tillsyn/A 35540-2026 tillsynsbegäran.docx", "A 35540-2026")</f>
        <v/>
      </c>
      <c r="AD101">
        <f>HYPERLINK("https://klasma.github.io/Logging_2181/tillsynsmail/A 35540-2026 tillsynsbegäran mail.docx", "A 35540-2026")</f>
        <v/>
      </c>
    </row>
    <row r="102" ht="15" customHeight="1">
      <c r="A102" t="inlineStr">
        <is>
          <t>A 35419-2026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46297</v>
      </c>
      <c r="F102" t="inlineStr">
        <is>
          <t>GÄVLEBORGS LÄN</t>
        </is>
      </c>
      <c r="G102" t="inlineStr">
        <is>
          <t>SANDVIKEN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35419-2026 artfynd.xlsx", "A 35419-2026")</f>
        <v/>
      </c>
      <c r="X102">
        <f>HYPERLINK("https://klasma.github.io/Logging_2181/kartor/A 35419-2026 karta.png", "A 35419-2026")</f>
        <v/>
      </c>
      <c r="Y102">
        <f>HYPERLINK("https://klasma.github.io/Logging_2181/kartor_geotiff/A 35419-2026 georefererad karta.tif", "A 35419-2026")</f>
        <v/>
      </c>
      <c r="AA102">
        <f>HYPERLINK("https://klasma.github.io/Logging_2181/klagomål/A 35419-2026 FSC-klagomål.docx", "A 35419-2026")</f>
        <v/>
      </c>
      <c r="AB102">
        <f>HYPERLINK("https://klasma.github.io/Logging_2181/klagomålsmail/A 35419-2026 FSC-klagomål mail.docx", "A 35419-2026")</f>
        <v/>
      </c>
      <c r="AC102">
        <f>HYPERLINK("https://klasma.github.io/Logging_2181/tillsyn/A 35419-2026 tillsynsbegäran.docx", "A 35419-2026")</f>
        <v/>
      </c>
      <c r="AD102">
        <f>HYPERLINK("https://klasma.github.io/Logging_2181/tillsynsmail/A 35419-2026 tillsynsbegäran mail.docx", "A 35419-2026")</f>
        <v/>
      </c>
    </row>
    <row r="103" ht="15" customHeight="1">
      <c r="A103" t="inlineStr">
        <is>
          <t>A 36596-2026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46269</v>
      </c>
      <c r="E103" s="1" t="n">
        <v>46297</v>
      </c>
      <c r="F103" t="inlineStr">
        <is>
          <t>GÄVLEBORGS LÄN</t>
        </is>
      </c>
      <c r="G103" t="inlineStr">
        <is>
          <t>SANDVIKEN</t>
        </is>
      </c>
      <c r="I103" t="n">
        <v>10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36596-2026 artfynd.xlsx", "A 36596-2026")</f>
        <v/>
      </c>
      <c r="X103">
        <f>HYPERLINK("https://klasma.github.io/Logging_2181/kartor/A 36596-2026 karta.png", "A 36596-2026")</f>
        <v/>
      </c>
      <c r="Y103">
        <f>HYPERLINK("https://klasma.github.io/Logging_2181/kartor_geotiff/A 36596-2026 georefererad karta.tif", "A 36596-2026")</f>
        <v/>
      </c>
      <c r="AA103">
        <f>HYPERLINK("https://klasma.github.io/Logging_2181/klagomål/A 36596-2026 FSC-klagomål.docx", "A 36596-2026")</f>
        <v/>
      </c>
      <c r="AB103">
        <f>HYPERLINK("https://klasma.github.io/Logging_2181/klagomålsmail/A 36596-2026 FSC-klagomål mail.docx", "A 36596-2026")</f>
        <v/>
      </c>
      <c r="AC103">
        <f>HYPERLINK("https://klasma.github.io/Logging_2181/tillsyn/A 36596-2026 tillsynsbegäran.docx", "A 36596-2026")</f>
        <v/>
      </c>
      <c r="AD103">
        <f>HYPERLINK("https://klasma.github.io/Logging_2181/tillsynsmail/A 36596-2026 tillsynsbegäran mail.docx", "A 36596-2026")</f>
        <v/>
      </c>
    </row>
    <row r="104" ht="15" customHeight="1">
      <c r="A104" t="inlineStr">
        <is>
          <t>A 38109-2026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46297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11.9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Linmåra/småsnärjmåra</t>
        </is>
      </c>
      <c r="W104">
        <f>HYPERLINK("https://klasma.github.io/Logging_2181/artfynd/A 38109-2026 artfynd.xlsx", "A 38109-2026")</f>
        <v/>
      </c>
      <c r="X104">
        <f>HYPERLINK("https://klasma.github.io/Logging_2181/kartor/A 38109-2026 karta.png", "A 38109-2026")</f>
        <v/>
      </c>
      <c r="Y104">
        <f>HYPERLINK("https://klasma.github.io/Logging_2181/kartor_geotiff/A 38109-2026 georefererad karta.tif", "A 38109-2026")</f>
        <v/>
      </c>
      <c r="AA104">
        <f>HYPERLINK("https://klasma.github.io/Logging_2181/klagomål/A 38109-2026 FSC-klagomål.docx", "A 38109-2026")</f>
        <v/>
      </c>
      <c r="AB104">
        <f>HYPERLINK("https://klasma.github.io/Logging_2181/klagomålsmail/A 38109-2026 FSC-klagomål mail.docx", "A 38109-2026")</f>
        <v/>
      </c>
      <c r="AC104">
        <f>HYPERLINK("https://klasma.github.io/Logging_2181/tillsyn/A 38109-2026 tillsynsbegäran.docx", "A 38109-2026")</f>
        <v/>
      </c>
      <c r="AD104">
        <f>HYPERLINK("https://klasma.github.io/Logging_2181/tillsynsmail/A 38109-2026 tillsynsbegäran mail.docx", "A 38109-2026")</f>
        <v/>
      </c>
    </row>
    <row r="105" ht="15" customHeight="1">
      <c r="A105" t="inlineStr">
        <is>
          <t>A 32533-2026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46297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3.1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Järnsparv</t>
        </is>
      </c>
      <c r="W105">
        <f>HYPERLINK("https://klasma.github.io/Logging_2181/artfynd/A 32533-2026 artfynd.xlsx", "A 32533-2026")</f>
        <v/>
      </c>
      <c r="X105">
        <f>HYPERLINK("https://klasma.github.io/Logging_2181/kartor/A 32533-2026 karta.png", "A 32533-2026")</f>
        <v/>
      </c>
      <c r="Y105">
        <f>HYPERLINK("https://klasma.github.io/Logging_2181/kartor_geotiff/A 32533-2026 georefererad karta.tif", "A 32533-2026")</f>
        <v/>
      </c>
      <c r="AA105">
        <f>HYPERLINK("https://klasma.github.io/Logging_2181/klagomål/A 32533-2026 FSC-klagomål.docx", "A 32533-2026")</f>
        <v/>
      </c>
      <c r="AB105">
        <f>HYPERLINK("https://klasma.github.io/Logging_2181/klagomålsmail/A 32533-2026 FSC-klagomål mail.docx", "A 32533-2026")</f>
        <v/>
      </c>
      <c r="AC105">
        <f>HYPERLINK("https://klasma.github.io/Logging_2181/tillsyn/A 32533-2026 tillsynsbegäran.docx", "A 32533-2026")</f>
        <v/>
      </c>
      <c r="AD105">
        <f>HYPERLINK("https://klasma.github.io/Logging_2181/tillsynsmail/A 32533-2026 tillsynsbegäran mail.docx", "A 32533-2026")</f>
        <v/>
      </c>
      <c r="AE105">
        <f>HYPERLINK("https://klasma.github.io/Logging_2181/fåglar/A 32533-2026 prioriterade fågelarter.docx", "A 32533-2026")</f>
        <v/>
      </c>
    </row>
    <row r="106" ht="15" customHeight="1">
      <c r="A106" t="inlineStr">
        <is>
          <t>A 32539-2026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46297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Grönsiska</t>
        </is>
      </c>
      <c r="W106">
        <f>HYPERLINK("https://klasma.github.io/Logging_2181/artfynd/A 32539-2026 artfynd.xlsx", "A 32539-2026")</f>
        <v/>
      </c>
      <c r="X106">
        <f>HYPERLINK("https://klasma.github.io/Logging_2181/kartor/A 32539-2026 karta.png", "A 32539-2026")</f>
        <v/>
      </c>
      <c r="Y106">
        <f>HYPERLINK("https://klasma.github.io/Logging_2181/kartor_geotiff/A 32539-2026 georefererad karta.tif", "A 32539-2026")</f>
        <v/>
      </c>
      <c r="AA106">
        <f>HYPERLINK("https://klasma.github.io/Logging_2181/klagomål/A 32539-2026 FSC-klagomål.docx", "A 32539-2026")</f>
        <v/>
      </c>
      <c r="AB106">
        <f>HYPERLINK("https://klasma.github.io/Logging_2181/klagomålsmail/A 32539-2026 FSC-klagomål mail.docx", "A 32539-2026")</f>
        <v/>
      </c>
      <c r="AC106">
        <f>HYPERLINK("https://klasma.github.io/Logging_2181/tillsyn/A 32539-2026 tillsynsbegäran.docx", "A 32539-2026")</f>
        <v/>
      </c>
      <c r="AD106">
        <f>HYPERLINK("https://klasma.github.io/Logging_2181/tillsynsmail/A 32539-2026 tillsynsbegäran mail.docx", "A 32539-2026")</f>
        <v/>
      </c>
    </row>
    <row r="107" ht="15" customHeight="1">
      <c r="A107" t="inlineStr">
        <is>
          <t>A 32544-2026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46297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HYPERLINK("https://klasma.github.io/Logging_2181/artfynd/A 32544-2026 artfynd.xlsx", "A 32544-2026")</f>
        <v/>
      </c>
      <c r="X107">
        <f>HYPERLINK("https://klasma.github.io/Logging_2181/kartor/A 32544-2026 karta.png", "A 32544-2026")</f>
        <v/>
      </c>
      <c r="Y107">
        <f>HYPERLINK("https://klasma.github.io/Logging_2181/kartor_geotiff/A 32544-2026 georefererad karta.tif", "A 32544-2026")</f>
        <v/>
      </c>
      <c r="AA107">
        <f>HYPERLINK("https://klasma.github.io/Logging_2181/klagomål/A 32544-2026 FSC-klagomål.docx", "A 32544-2026")</f>
        <v/>
      </c>
      <c r="AB107">
        <f>HYPERLINK("https://klasma.github.io/Logging_2181/klagomålsmail/A 32544-2026 FSC-klagomål mail.docx", "A 32544-2026")</f>
        <v/>
      </c>
      <c r="AC107">
        <f>HYPERLINK("https://klasma.github.io/Logging_2181/tillsyn/A 32544-2026 tillsynsbegäran.docx", "A 32544-2026")</f>
        <v/>
      </c>
      <c r="AD107">
        <f>HYPERLINK("https://klasma.github.io/Logging_2181/tillsynsmail/A 32544-2026 tillsynsbegäran mail.docx", "A 32544-2026")</f>
        <v/>
      </c>
    </row>
    <row r="108" ht="15" customHeight="1">
      <c r="A108" t="inlineStr">
        <is>
          <t>A 5015-2023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46297</v>
      </c>
      <c r="F108" t="inlineStr">
        <is>
          <t>GÄVLEBORGS LÄN</t>
        </is>
      </c>
      <c r="G108" t="inlineStr">
        <is>
          <t>SANDVIKEN</t>
        </is>
      </c>
      <c r="I108" t="n">
        <v>7.8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Slåtterfibbla</t>
        </is>
      </c>
      <c r="W108">
        <f>HYPERLINK("https://klasma.github.io/Logging_2181/artfynd/A 5015-2023 artfynd.xlsx", "A 5015-2023")</f>
        <v/>
      </c>
      <c r="X108">
        <f>HYPERLINK("https://klasma.github.io/Logging_2181/kartor/A 5015-2023 karta.png", "A 5015-2023")</f>
        <v/>
      </c>
      <c r="Y108">
        <f>HYPERLINK("https://klasma.github.io/Logging_2181/kartor_geotiff/A 5015-2023 georefererad karta.tif", "A 5015-2023")</f>
        <v/>
      </c>
      <c r="AA108">
        <f>HYPERLINK("https://klasma.github.io/Logging_2181/klagomål/A 5015-2023 FSC-klagomål.docx", "A 5015-2023")</f>
        <v/>
      </c>
      <c r="AB108">
        <f>HYPERLINK("https://klasma.github.io/Logging_2181/klagomålsmail/A 5015-2023 FSC-klagomål mail.docx", "A 5015-2023")</f>
        <v/>
      </c>
      <c r="AC108">
        <f>HYPERLINK("https://klasma.github.io/Logging_2181/tillsyn/A 5015-2023 tillsynsbegäran.docx", "A 5015-2023")</f>
        <v/>
      </c>
      <c r="AD108">
        <f>HYPERLINK("https://klasma.github.io/Logging_2181/tillsynsmail/A 5015-2023 tillsynsbegäran mail.docx", "A 5015-2023")</f>
        <v/>
      </c>
    </row>
    <row r="109" ht="15" customHeight="1">
      <c r="A109" t="inlineStr">
        <is>
          <t>A 23225-2026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46297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1.3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Rödvingetrast</t>
        </is>
      </c>
      <c r="W109">
        <f>HYPERLINK("https://klasma.github.io/Logging_2181/artfynd/A 23225-2026 artfynd.xlsx", "A 23225-2026")</f>
        <v/>
      </c>
      <c r="X109">
        <f>HYPERLINK("https://klasma.github.io/Logging_2181/kartor/A 23225-2026 karta.png", "A 23225-2026")</f>
        <v/>
      </c>
      <c r="Y109">
        <f>HYPERLINK("https://klasma.github.io/Logging_2181/kartor_geotiff/A 23225-2026 georefererad karta.tif", "A 23225-2026")</f>
        <v/>
      </c>
      <c r="AA109">
        <f>HYPERLINK("https://klasma.github.io/Logging_2181/klagomål/A 23225-2026 FSC-klagomål.docx", "A 23225-2026")</f>
        <v/>
      </c>
      <c r="AB109">
        <f>HYPERLINK("https://klasma.github.io/Logging_2181/klagomålsmail/A 23225-2026 FSC-klagomål mail.docx", "A 23225-2026")</f>
        <v/>
      </c>
      <c r="AC109">
        <f>HYPERLINK("https://klasma.github.io/Logging_2181/tillsyn/A 23225-2026 tillsynsbegäran.docx", "A 23225-2026")</f>
        <v/>
      </c>
      <c r="AD109">
        <f>HYPERLINK("https://klasma.github.io/Logging_2181/tillsynsmail/A 23225-2026 tillsynsbegäran mail.docx", "A 23225-2026")</f>
        <v/>
      </c>
      <c r="AE109">
        <f>HYPERLINK("https://klasma.github.io/Logging_2181/fåglar/A 23225-2026 prioriterade fågelarter.docx", "A 23225-2026")</f>
        <v/>
      </c>
    </row>
    <row r="110" ht="15" customHeight="1">
      <c r="A110" t="inlineStr">
        <is>
          <t>A 34406-2026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46254</v>
      </c>
      <c r="E110" s="1" t="n">
        <v>46297</v>
      </c>
      <c r="F110" t="inlineStr">
        <is>
          <t>GÄVLEBORGS LÄN</t>
        </is>
      </c>
      <c r="G110" t="inlineStr">
        <is>
          <t>SANDVIKEN</t>
        </is>
      </c>
      <c r="I110" t="n">
        <v>15.1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Loppstarr</t>
        </is>
      </c>
      <c r="W110">
        <f>HYPERLINK("https://klasma.github.io/Logging_2181/artfynd/A 34406-2026 artfynd.xlsx", "A 34406-2026")</f>
        <v/>
      </c>
      <c r="X110">
        <f>HYPERLINK("https://klasma.github.io/Logging_2181/kartor/A 34406-2026 karta.png", "A 34406-2026")</f>
        <v/>
      </c>
      <c r="Y110">
        <f>HYPERLINK("https://klasma.github.io/Logging_2181/kartor_geotiff/A 34406-2026 georefererad karta.tif", "A 34406-2026")</f>
        <v/>
      </c>
      <c r="AA110">
        <f>HYPERLINK("https://klasma.github.io/Logging_2181/klagomål/A 34406-2026 FSC-klagomål.docx", "A 34406-2026")</f>
        <v/>
      </c>
      <c r="AB110">
        <f>HYPERLINK("https://klasma.github.io/Logging_2181/klagomålsmail/A 34406-2026 FSC-klagomål mail.docx", "A 34406-2026")</f>
        <v/>
      </c>
      <c r="AC110">
        <f>HYPERLINK("https://klasma.github.io/Logging_2181/tillsyn/A 34406-2026 tillsynsbegäran.docx", "A 34406-2026")</f>
        <v/>
      </c>
      <c r="AD110">
        <f>HYPERLINK("https://klasma.github.io/Logging_2181/tillsynsmail/A 34406-2026 tillsynsbegäran mail.docx", "A 34406-2026")</f>
        <v/>
      </c>
    </row>
    <row r="111" ht="15" customHeight="1">
      <c r="A111" t="inlineStr">
        <is>
          <t>A 25479-2023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46297</v>
      </c>
      <c r="F111" t="inlineStr">
        <is>
          <t>GÄVLEBORGS LÄN</t>
        </is>
      </c>
      <c r="G111" t="inlineStr">
        <is>
          <t>SANDVIKEN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Grönpyrola</t>
        </is>
      </c>
      <c r="W111">
        <f>HYPERLINK("https://klasma.github.io/Logging_2181/artfynd/A 25479-2023 artfynd.xlsx", "A 25479-2023")</f>
        <v/>
      </c>
      <c r="X111">
        <f>HYPERLINK("https://klasma.github.io/Logging_2181/kartor/A 25479-2023 karta.png", "A 25479-2023")</f>
        <v/>
      </c>
      <c r="Y111">
        <f>HYPERLINK("https://klasma.github.io/Logging_2181/kartor_geotiff/A 25479-2023 georefererad karta.tif", "A 25479-2023")</f>
        <v/>
      </c>
      <c r="AA111">
        <f>HYPERLINK("https://klasma.github.io/Logging_2181/klagomål/A 25479-2023 FSC-klagomål.docx", "A 25479-2023")</f>
        <v/>
      </c>
      <c r="AB111">
        <f>HYPERLINK("https://klasma.github.io/Logging_2181/klagomålsmail/A 25479-2023 FSC-klagomål mail.docx", "A 25479-2023")</f>
        <v/>
      </c>
      <c r="AC111">
        <f>HYPERLINK("https://klasma.github.io/Logging_2181/tillsyn/A 25479-2023 tillsynsbegäran.docx", "A 25479-2023")</f>
        <v/>
      </c>
      <c r="AD111">
        <f>HYPERLINK("https://klasma.github.io/Logging_2181/tillsynsmail/A 25479-2023 tillsynsbegäran mail.docx", "A 25479-2023")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46297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242-2024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45319</v>
      </c>
      <c r="E113" s="1" t="n">
        <v>46297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51.8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242-2024 artfynd.xlsx", "S 242-2024")</f>
        <v/>
      </c>
      <c r="X113">
        <f>HYPERLINK("https://klasma.github.io/Logging_2181/kartor/S 242-2024 karta.png", "S 242-2024")</f>
        <v/>
      </c>
      <c r="Y113">
        <f>HYPERLINK("https://klasma.github.io/Logging_2181/kartor_geotiff/S 242-2024 georefererad karta.tif", "S 242-2024")</f>
        <v/>
      </c>
      <c r="AA113">
        <f>HYPERLINK("https://klasma.github.io/Logging_2181/klagomål/S 242-2024 FSC-klagomål.docx", "S 242-2024")</f>
        <v/>
      </c>
      <c r="AB113">
        <f>HYPERLINK("https://klasma.github.io/Logging_2181/klagomålsmail/S 242-2024 FSC-klagomål mail.docx", "S 242-2024")</f>
        <v/>
      </c>
      <c r="AC113">
        <f>HYPERLINK("https://klasma.github.io/Logging_2181/tillsyn/S 242-2024 tillsynsbegäran.docx", "S 242-2024")</f>
        <v/>
      </c>
      <c r="AD113">
        <f>HYPERLINK("https://klasma.github.io/Logging_2181/tillsynsmail/S 242-2024 tillsynsbegäran mail.docx", "S 242-2024")</f>
        <v/>
      </c>
      <c r="AE113">
        <f>HYPERLINK("https://klasma.github.io/Logging_2181/fåglar/S 242-2024 prioriterade fågelarter.docx", "S 242-2024")</f>
        <v/>
      </c>
    </row>
    <row r="114" ht="15" customHeight="1">
      <c r="A114" t="inlineStr">
        <is>
          <t>S 1687-2023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45064</v>
      </c>
      <c r="E114" s="1" t="n">
        <v>46297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HYPERLINK("https://klasma.github.io/Logging_2181/artfynd/S 1687-2023 artfynd.xlsx", "S 1687-2023")</f>
        <v/>
      </c>
      <c r="X114">
        <f>HYPERLINK("https://klasma.github.io/Logging_2181/kartor/S 1687-2023 karta.png", "S 1687-2023")</f>
        <v/>
      </c>
      <c r="Y114">
        <f>HYPERLINK("https://klasma.github.io/Logging_2181/kartor_geotiff/S 1687-2023 georefererad karta.tif", "S 1687-2023")</f>
        <v/>
      </c>
      <c r="AA114">
        <f>HYPERLINK("https://klasma.github.io/Logging_2181/klagomål/S 1687-2023 FSC-klagomål.docx", "S 1687-2023")</f>
        <v/>
      </c>
      <c r="AB114">
        <f>HYPERLINK("https://klasma.github.io/Logging_2181/klagomålsmail/S 1687-2023 FSC-klagomål mail.docx", "S 1687-2023")</f>
        <v/>
      </c>
      <c r="AC114">
        <f>HYPERLINK("https://klasma.github.io/Logging_2181/tillsyn/S 1687-2023 tillsynsbegäran.docx", "S 1687-2023")</f>
        <v/>
      </c>
      <c r="AD114">
        <f>HYPERLINK("https://klasma.github.io/Logging_2181/tillsynsmail/S 1687-2023 tillsynsbegäran mail.docx", "S 1687-2023")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46297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46297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46297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46297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46297</v>
      </c>
      <c r="F119" t="inlineStr">
        <is>
          <t>GÄVLEBORGS LÄN</t>
        </is>
      </c>
      <c r="G119" t="inlineStr">
        <is>
          <t>SANDVIKEN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46297</v>
      </c>
      <c r="F120" t="inlineStr">
        <is>
          <t>GÄVLEBORGS LÄN</t>
        </is>
      </c>
      <c r="G120" t="inlineStr">
        <is>
          <t>SANDVIKEN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44774</v>
      </c>
      <c r="E121" s="1" t="n">
        <v>46297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46297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46297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46297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46297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46297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46297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46297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46297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46297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46297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46297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46297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46297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46297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46297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46297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46297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46297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46297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46297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46297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46297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46297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46297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46297</v>
      </c>
      <c r="F146" t="inlineStr">
        <is>
          <t>GÄVLEBORGS LÄN</t>
        </is>
      </c>
      <c r="G146" t="inlineStr">
        <is>
          <t>SANDVIKEN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46297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46297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46297</v>
      </c>
      <c r="F149" t="inlineStr">
        <is>
          <t>GÄVLEBORGS LÄN</t>
        </is>
      </c>
      <c r="G149" t="inlineStr">
        <is>
          <t>SANDVIKEN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46297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46297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46297</v>
      </c>
      <c r="F152" t="inlineStr">
        <is>
          <t>GÄVLEBORGS LÄN</t>
        </is>
      </c>
      <c r="G152" t="inlineStr">
        <is>
          <t>SANDVIKEN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46297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46297</v>
      </c>
      <c r="F154" t="inlineStr">
        <is>
          <t>GÄVLEBORGS LÄN</t>
        </is>
      </c>
      <c r="G154" t="inlineStr">
        <is>
          <t>SANDVIKEN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46297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63486-2025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46013</v>
      </c>
      <c r="E156" s="1" t="n">
        <v>46297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46297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44914</v>
      </c>
      <c r="E158" s="1" t="n">
        <v>46297</v>
      </c>
      <c r="F158" t="inlineStr">
        <is>
          <t>GÄVLEBORGS LÄN</t>
        </is>
      </c>
      <c r="G158" t="inlineStr">
        <is>
          <t>SANDVIKEN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46297</v>
      </c>
      <c r="F159" t="inlineStr">
        <is>
          <t>GÄVLEBORGS LÄN</t>
        </is>
      </c>
      <c r="G159" t="inlineStr">
        <is>
          <t>SANDVIKEN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46297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46297</v>
      </c>
      <c r="F161" t="inlineStr">
        <is>
          <t>GÄVLEBORGS LÄN</t>
        </is>
      </c>
      <c r="G161" t="inlineStr">
        <is>
          <t>SANDVIKEN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46297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46297</v>
      </c>
      <c r="F163" t="inlineStr">
        <is>
          <t>GÄVLEBORGS LÄN</t>
        </is>
      </c>
      <c r="G163" t="inlineStr">
        <is>
          <t>SANDVIKEN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46297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44854</v>
      </c>
      <c r="E165" s="1" t="n">
        <v>46297</v>
      </c>
      <c r="F165" t="inlineStr">
        <is>
          <t>GÄVLEBORGS LÄN</t>
        </is>
      </c>
      <c r="G165" t="inlineStr">
        <is>
          <t>SANDVIKEN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46297</v>
      </c>
      <c r="F166" t="inlineStr">
        <is>
          <t>GÄVLEBORGS LÄN</t>
        </is>
      </c>
      <c r="G166" t="inlineStr">
        <is>
          <t>SANDVIKEN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46297</v>
      </c>
      <c r="F167" t="inlineStr">
        <is>
          <t>GÄVLEBORGS LÄN</t>
        </is>
      </c>
      <c r="G167" t="inlineStr">
        <is>
          <t>SANDVIKEN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46297</v>
      </c>
      <c r="F168" t="inlineStr">
        <is>
          <t>GÄVLEBORGS LÄN</t>
        </is>
      </c>
      <c r="G168" t="inlineStr">
        <is>
          <t>SANDVIKEN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46297</v>
      </c>
      <c r="F169" t="inlineStr">
        <is>
          <t>GÄVLEBORGS LÄN</t>
        </is>
      </c>
      <c r="G169" t="inlineStr">
        <is>
          <t>SANDVIKEN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46297</v>
      </c>
      <c r="F170" t="inlineStr">
        <is>
          <t>GÄVLEBORGS LÄN</t>
        </is>
      </c>
      <c r="G170" t="inlineStr">
        <is>
          <t>SANDVIKEN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46297</v>
      </c>
      <c r="F171" t="inlineStr">
        <is>
          <t>GÄVLEBORGS LÄN</t>
        </is>
      </c>
      <c r="G171" t="inlineStr">
        <is>
          <t>SANDVIKEN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46297</v>
      </c>
      <c r="F172" t="inlineStr">
        <is>
          <t>GÄVLEBORGS LÄN</t>
        </is>
      </c>
      <c r="G172" t="inlineStr">
        <is>
          <t>SANDVIKEN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46297</v>
      </c>
      <c r="F173" t="inlineStr">
        <is>
          <t>GÄVLEBORGS LÄN</t>
        </is>
      </c>
      <c r="G173" t="inlineStr">
        <is>
          <t>SANDVIKEN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46297</v>
      </c>
      <c r="F174" t="inlineStr">
        <is>
          <t>GÄVLEBORGS LÄN</t>
        </is>
      </c>
      <c r="G174" t="inlineStr">
        <is>
          <t>SANDVIKEN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45404</v>
      </c>
      <c r="E175" s="1" t="n">
        <v>46297</v>
      </c>
      <c r="F175" t="inlineStr">
        <is>
          <t>GÄVLEBORGS LÄN</t>
        </is>
      </c>
      <c r="G175" t="inlineStr">
        <is>
          <t>SANDVIKEN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46297</v>
      </c>
      <c r="F176" t="inlineStr">
        <is>
          <t>GÄVLEBORGS LÄN</t>
        </is>
      </c>
      <c r="G176" t="inlineStr">
        <is>
          <t>SANDVIKEN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46297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46297</v>
      </c>
      <c r="F178" t="inlineStr">
        <is>
          <t>GÄVLEBORGS LÄN</t>
        </is>
      </c>
      <c r="G178" t="inlineStr">
        <is>
          <t>SANDVIKEN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46297</v>
      </c>
      <c r="F179" t="inlineStr">
        <is>
          <t>GÄVLEBORGS LÄN</t>
        </is>
      </c>
      <c r="G179" t="inlineStr">
        <is>
          <t>SANDVIKEN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46297</v>
      </c>
      <c r="F180" t="inlineStr">
        <is>
          <t>GÄVLEBORGS LÄN</t>
        </is>
      </c>
      <c r="G180" t="inlineStr">
        <is>
          <t>SANDVIKEN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46297</v>
      </c>
      <c r="F181" t="inlineStr">
        <is>
          <t>GÄVLEBORGS LÄN</t>
        </is>
      </c>
      <c r="G181" t="inlineStr">
        <is>
          <t>SANDVIKEN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46297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46297</v>
      </c>
      <c r="F183" t="inlineStr">
        <is>
          <t>GÄVLEBORGS LÄN</t>
        </is>
      </c>
      <c r="G183" t="inlineStr">
        <is>
          <t>SANDVIKEN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46297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45483</v>
      </c>
      <c r="E185" s="1" t="n">
        <v>46297</v>
      </c>
      <c r="F185" t="inlineStr">
        <is>
          <t>GÄVLEBORGS LÄN</t>
        </is>
      </c>
      <c r="G185" t="inlineStr">
        <is>
          <t>SANDVIKEN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45300</v>
      </c>
      <c r="E186" s="1" t="n">
        <v>46297</v>
      </c>
      <c r="F186" t="inlineStr">
        <is>
          <t>GÄVLEBORGS LÄN</t>
        </is>
      </c>
      <c r="G186" t="inlineStr">
        <is>
          <t>SANDVIKEN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45552</v>
      </c>
      <c r="E187" s="1" t="n">
        <v>46297</v>
      </c>
      <c r="F187" t="inlineStr">
        <is>
          <t>GÄVLEBORGS LÄN</t>
        </is>
      </c>
      <c r="G187" t="inlineStr">
        <is>
          <t>SANDVIKEN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46297</v>
      </c>
      <c r="F188" t="inlineStr">
        <is>
          <t>GÄVLEBORGS LÄN</t>
        </is>
      </c>
      <c r="G188" t="inlineStr">
        <is>
          <t>SANDVIKEN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46297</v>
      </c>
      <c r="F189" t="inlineStr">
        <is>
          <t>GÄVLEBORGS LÄN</t>
        </is>
      </c>
      <c r="G189" t="inlineStr">
        <is>
          <t>SANDVIKEN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46297</v>
      </c>
      <c r="F190" t="inlineStr">
        <is>
          <t>GÄVLEBORGS LÄN</t>
        </is>
      </c>
      <c r="G190" t="inlineStr">
        <is>
          <t>SANDVIKEN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46297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46297</v>
      </c>
      <c r="F192" t="inlineStr">
        <is>
          <t>GÄVLEBORGS LÄN</t>
        </is>
      </c>
      <c r="G192" t="inlineStr">
        <is>
          <t>SANDVIKEN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45418</v>
      </c>
      <c r="E193" s="1" t="n">
        <v>46297</v>
      </c>
      <c r="F193" t="inlineStr">
        <is>
          <t>GÄVLEBORGS LÄN</t>
        </is>
      </c>
      <c r="G193" t="inlineStr">
        <is>
          <t>SANDVIKEN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45278</v>
      </c>
      <c r="E194" s="1" t="n">
        <v>46297</v>
      </c>
      <c r="F194" t="inlineStr">
        <is>
          <t>GÄVLEBORGS LÄN</t>
        </is>
      </c>
      <c r="G194" t="inlineStr">
        <is>
          <t>SANDVIKEN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46297</v>
      </c>
      <c r="F195" t="inlineStr">
        <is>
          <t>GÄVLEBORGS LÄN</t>
        </is>
      </c>
      <c r="G195" t="inlineStr">
        <is>
          <t>SANDVIKEN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46297</v>
      </c>
      <c r="F196" t="inlineStr">
        <is>
          <t>GÄVLEBORGS LÄN</t>
        </is>
      </c>
      <c r="G196" t="inlineStr">
        <is>
          <t>SANDVIKEN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46297</v>
      </c>
      <c r="F197" t="inlineStr">
        <is>
          <t>GÄVLEBORGS LÄN</t>
        </is>
      </c>
      <c r="G197" t="inlineStr">
        <is>
          <t>SANDVIKEN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46043</v>
      </c>
      <c r="E198" s="1" t="n">
        <v>46297</v>
      </c>
      <c r="F198" t="inlineStr">
        <is>
          <t>GÄVLEBORGS LÄN</t>
        </is>
      </c>
      <c r="G198" t="inlineStr">
        <is>
          <t>SANDVIKEN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46297</v>
      </c>
      <c r="F199" t="inlineStr">
        <is>
          <t>GÄVLEBORGS LÄN</t>
        </is>
      </c>
      <c r="G199" t="inlineStr">
        <is>
          <t>SANDVIKEN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46297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46297</v>
      </c>
      <c r="F201" t="inlineStr">
        <is>
          <t>GÄVLEBORGS LÄN</t>
        </is>
      </c>
      <c r="G201" t="inlineStr">
        <is>
          <t>SANDVIKEN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46297</v>
      </c>
      <c r="F202" t="inlineStr">
        <is>
          <t>GÄVLEBORGS LÄN</t>
        </is>
      </c>
      <c r="G202" t="inlineStr">
        <is>
          <t>SANDVIKEN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46297</v>
      </c>
      <c r="F203" t="inlineStr">
        <is>
          <t>GÄVLEBORGS LÄN</t>
        </is>
      </c>
      <c r="G203" t="inlineStr">
        <is>
          <t>SANDVIKEN</t>
        </is>
      </c>
      <c r="H203" t="inlineStr">
        <is>
          <t>Kommuner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46297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väst AB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46297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46297</v>
      </c>
      <c r="F206" t="inlineStr">
        <is>
          <t>GÄVLEBORGS LÄN</t>
        </is>
      </c>
      <c r="G206" t="inlineStr">
        <is>
          <t>SANDVIKEN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46297</v>
      </c>
      <c r="F207" t="inlineStr">
        <is>
          <t>GÄVLEBORGS LÄN</t>
        </is>
      </c>
      <c r="G207" t="inlineStr">
        <is>
          <t>SANDVIKEN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45899</v>
      </c>
      <c r="E208" s="1" t="n">
        <v>46297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45562-2022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46297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46297</v>
      </c>
      <c r="F210" t="inlineStr">
        <is>
          <t>GÄVLEBORGS LÄN</t>
        </is>
      </c>
      <c r="G210" t="inlineStr">
        <is>
          <t>SANDVIKEN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46297</v>
      </c>
      <c r="F211" t="inlineStr">
        <is>
          <t>GÄVLEBORGS LÄN</t>
        </is>
      </c>
      <c r="G211" t="inlineStr">
        <is>
          <t>SANDVIKEN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46297</v>
      </c>
      <c r="F212" t="inlineStr">
        <is>
          <t>GÄVLEBORGS LÄN</t>
        </is>
      </c>
      <c r="G212" t="inlineStr">
        <is>
          <t>SANDVIKEN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46297</v>
      </c>
      <c r="F213" t="inlineStr">
        <is>
          <t>GÄVLEBORGS LÄN</t>
        </is>
      </c>
      <c r="G213" t="inlineStr">
        <is>
          <t>SANDVIKEN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46297</v>
      </c>
      <c r="F214" t="inlineStr">
        <is>
          <t>GÄVLEBORGS LÄN</t>
        </is>
      </c>
      <c r="G214" t="inlineStr">
        <is>
          <t>SANDVIKEN</t>
        </is>
      </c>
      <c r="H214" t="inlineStr">
        <is>
          <t>Kommuner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46043</v>
      </c>
      <c r="E215" s="1" t="n">
        <v>46297</v>
      </c>
      <c r="F215" t="inlineStr">
        <is>
          <t>GÄVLEBORGS LÄN</t>
        </is>
      </c>
      <c r="G215" t="inlineStr">
        <is>
          <t>SANDVIKEN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45070</v>
      </c>
      <c r="E216" s="1" t="n">
        <v>46297</v>
      </c>
      <c r="F216" t="inlineStr">
        <is>
          <t>GÄVLEBORGS LÄN</t>
        </is>
      </c>
      <c r="G216" t="inlineStr">
        <is>
          <t>SANDVIKEN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46297</v>
      </c>
      <c r="F217" t="inlineStr">
        <is>
          <t>GÄVLEBORGS LÄN</t>
        </is>
      </c>
      <c r="G217" t="inlineStr">
        <is>
          <t>SANDVIKEN</t>
        </is>
      </c>
      <c r="H217" t="inlineStr">
        <is>
          <t>Kommuner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46297</v>
      </c>
      <c r="F218" t="inlineStr">
        <is>
          <t>GÄVLEBORGS LÄN</t>
        </is>
      </c>
      <c r="G218" t="inlineStr">
        <is>
          <t>SANDVIKEN</t>
        </is>
      </c>
      <c r="H218" t="inlineStr">
        <is>
          <t>Kommuner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46297</v>
      </c>
      <c r="F219" t="inlineStr">
        <is>
          <t>GÄVLEBORGS LÄN</t>
        </is>
      </c>
      <c r="G219" t="inlineStr">
        <is>
          <t>SANDVIKEN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46297</v>
      </c>
      <c r="F220" t="inlineStr">
        <is>
          <t>GÄVLEBORGS LÄN</t>
        </is>
      </c>
      <c r="G220" t="inlineStr">
        <is>
          <t>SANDVIKEN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46297</v>
      </c>
      <c r="F221" t="inlineStr">
        <is>
          <t>GÄVLEBORGS LÄN</t>
        </is>
      </c>
      <c r="G221" t="inlineStr">
        <is>
          <t>SANDVIKEN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46297</v>
      </c>
      <c r="F222" t="inlineStr">
        <is>
          <t>GÄVLEBORGS LÄN</t>
        </is>
      </c>
      <c r="G222" t="inlineStr">
        <is>
          <t>SANDVIKEN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46297</v>
      </c>
      <c r="F223" t="inlineStr">
        <is>
          <t>GÄVLEBORGS LÄN</t>
        </is>
      </c>
      <c r="G223" t="inlineStr">
        <is>
          <t>SANDVIKEN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46297</v>
      </c>
      <c r="F224" t="inlineStr">
        <is>
          <t>GÄVLEBORGS LÄN</t>
        </is>
      </c>
      <c r="G224" t="inlineStr">
        <is>
          <t>SANDVIKEN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46297</v>
      </c>
      <c r="F225" t="inlineStr">
        <is>
          <t>GÄVLEBORGS LÄN</t>
        </is>
      </c>
      <c r="G225" t="inlineStr">
        <is>
          <t>SANDVIKEN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46297</v>
      </c>
      <c r="F226" t="inlineStr">
        <is>
          <t>GÄVLEBORGS LÄN</t>
        </is>
      </c>
      <c r="G226" t="inlineStr">
        <is>
          <t>SANDVIKEN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46297</v>
      </c>
      <c r="F227" t="inlineStr">
        <is>
          <t>GÄVLEBORGS LÄN</t>
        </is>
      </c>
      <c r="G227" t="inlineStr">
        <is>
          <t>SANDVIKEN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46297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46297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46297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46297</v>
      </c>
      <c r="F231" t="inlineStr">
        <is>
          <t>GÄVLEBORGS LÄN</t>
        </is>
      </c>
      <c r="G231" t="inlineStr">
        <is>
          <t>SANDVIKEN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46297</v>
      </c>
      <c r="F232" t="inlineStr">
        <is>
          <t>GÄVLEBORGS LÄN</t>
        </is>
      </c>
      <c r="G232" t="inlineStr">
        <is>
          <t>SANDVIKEN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46297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46297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46297</v>
      </c>
      <c r="F235" t="inlineStr">
        <is>
          <t>GÄVLEBORGS LÄN</t>
        </is>
      </c>
      <c r="G235" t="inlineStr">
        <is>
          <t>SANDVIKEN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46297</v>
      </c>
      <c r="F236" t="inlineStr">
        <is>
          <t>GÄVLEBORGS LÄN</t>
        </is>
      </c>
      <c r="G236" t="inlineStr">
        <is>
          <t>SANDVIKEN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46297</v>
      </c>
      <c r="F237" t="inlineStr">
        <is>
          <t>GÄVLEBORGS LÄN</t>
        </is>
      </c>
      <c r="G237" t="inlineStr">
        <is>
          <t>SANDVIKEN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45721</v>
      </c>
      <c r="E238" s="1" t="n">
        <v>46297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46297</v>
      </c>
      <c r="F239" t="inlineStr">
        <is>
          <t>GÄVLEBORGS LÄN</t>
        </is>
      </c>
      <c r="G239" t="inlineStr">
        <is>
          <t>SANDVIKEN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46297</v>
      </c>
      <c r="F240" t="inlineStr">
        <is>
          <t>GÄVLEBORGS LÄN</t>
        </is>
      </c>
      <c r="G240" t="inlineStr">
        <is>
          <t>SANDVIKEN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46297</v>
      </c>
      <c r="F241" t="inlineStr">
        <is>
          <t>GÄVLEBORGS LÄN</t>
        </is>
      </c>
      <c r="G241" t="inlineStr">
        <is>
          <t>SANDVIKEN</t>
        </is>
      </c>
      <c r="I241" t="n">
        <v>10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46297</v>
      </c>
      <c r="F242" t="inlineStr">
        <is>
          <t>GÄVLEBORGS LÄN</t>
        </is>
      </c>
      <c r="G242" t="inlineStr">
        <is>
          <t>SANDVIKEN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46297</v>
      </c>
      <c r="F243" t="inlineStr">
        <is>
          <t>GÄVLEBORGS LÄN</t>
        </is>
      </c>
      <c r="G243" t="inlineStr">
        <is>
          <t>SANDVIKEN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46063</v>
      </c>
      <c r="E244" s="1" t="n">
        <v>46297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7910-2026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46063</v>
      </c>
      <c r="E245" s="1" t="n">
        <v>46297</v>
      </c>
      <c r="F245" t="inlineStr">
        <is>
          <t>GÄVLEBORGS LÄN</t>
        </is>
      </c>
      <c r="G245" t="inlineStr">
        <is>
          <t>SANDVIKEN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46297</v>
      </c>
      <c r="F246" t="inlineStr">
        <is>
          <t>GÄVLEBORGS LÄN</t>
        </is>
      </c>
      <c r="G246" t="inlineStr">
        <is>
          <t>SANDVIKEN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46297</v>
      </c>
      <c r="F247" t="inlineStr">
        <is>
          <t>GÄVLEBORGS LÄN</t>
        </is>
      </c>
      <c r="G247" t="inlineStr">
        <is>
          <t>SANDVIKEN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46297</v>
      </c>
      <c r="F248" t="inlineStr">
        <is>
          <t>GÄVLEBORGS LÄN</t>
        </is>
      </c>
      <c r="G248" t="inlineStr">
        <is>
          <t>SANDVIKEN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46063</v>
      </c>
      <c r="E249" s="1" t="n">
        <v>46297</v>
      </c>
      <c r="F249" t="inlineStr">
        <is>
          <t>GÄVLEBORGS LÄN</t>
        </is>
      </c>
      <c r="G249" t="inlineStr">
        <is>
          <t>SANDVIKEN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46065</v>
      </c>
      <c r="E250" s="1" t="n">
        <v>46297</v>
      </c>
      <c r="F250" t="inlineStr">
        <is>
          <t>GÄVLEBORGS LÄN</t>
        </is>
      </c>
      <c r="G250" t="inlineStr">
        <is>
          <t>SANDVIKEN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46297</v>
      </c>
      <c r="F251" t="inlineStr">
        <is>
          <t>GÄVLEBORGS LÄN</t>
        </is>
      </c>
      <c r="G251" t="inlineStr">
        <is>
          <t>SANDVIKEN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46297</v>
      </c>
      <c r="F252" t="inlineStr">
        <is>
          <t>GÄVLEBORGS LÄN</t>
        </is>
      </c>
      <c r="G252" t="inlineStr">
        <is>
          <t>SANDVIKEN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46066</v>
      </c>
      <c r="E253" s="1" t="n">
        <v>46297</v>
      </c>
      <c r="F253" t="inlineStr">
        <is>
          <t>GÄVLEBORGS LÄN</t>
        </is>
      </c>
      <c r="G253" t="inlineStr">
        <is>
          <t>SANDVIKEN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46297</v>
      </c>
      <c r="F254" t="inlineStr">
        <is>
          <t>GÄVLEBORGS LÄN</t>
        </is>
      </c>
      <c r="G254" t="inlineStr">
        <is>
          <t>SANDVIKEN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46297</v>
      </c>
      <c r="F255" t="inlineStr">
        <is>
          <t>GÄVLEBORGS LÄN</t>
        </is>
      </c>
      <c r="G255" t="inlineStr">
        <is>
          <t>SANDVIKEN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46297</v>
      </c>
      <c r="F256" t="inlineStr">
        <is>
          <t>GÄVLEBORGS LÄN</t>
        </is>
      </c>
      <c r="G256" t="inlineStr">
        <is>
          <t>SANDVIKEN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46297</v>
      </c>
      <c r="F257" t="inlineStr">
        <is>
          <t>GÄVLEBORGS LÄN</t>
        </is>
      </c>
      <c r="G257" t="inlineStr">
        <is>
          <t>SANDVIKEN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46297</v>
      </c>
      <c r="F258" t="inlineStr">
        <is>
          <t>GÄVLEBORGS LÄN</t>
        </is>
      </c>
      <c r="G258" t="inlineStr">
        <is>
          <t>SANDVIKEN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52932-2022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44875</v>
      </c>
      <c r="E259" s="1" t="n">
        <v>46297</v>
      </c>
      <c r="F259" t="inlineStr">
        <is>
          <t>GÄVLEBORGS LÄN</t>
        </is>
      </c>
      <c r="G259" t="inlineStr">
        <is>
          <t>SANDVIKEN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46297</v>
      </c>
      <c r="F260" t="inlineStr">
        <is>
          <t>GÄVLEBORGS LÄN</t>
        </is>
      </c>
      <c r="G260" t="inlineStr">
        <is>
          <t>SANDVIKEN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46297</v>
      </c>
      <c r="F261" t="inlineStr">
        <is>
          <t>GÄVLEBORGS LÄN</t>
        </is>
      </c>
      <c r="G261" t="inlineStr">
        <is>
          <t>SANDVIKEN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46297</v>
      </c>
      <c r="F262" t="inlineStr">
        <is>
          <t>GÄVLEBORGS LÄN</t>
        </is>
      </c>
      <c r="G262" t="inlineStr">
        <is>
          <t>SANDVIKEN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45103-2025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45919</v>
      </c>
      <c r="E263" s="1" t="n">
        <v>46297</v>
      </c>
      <c r="F263" t="inlineStr">
        <is>
          <t>GÄVLEBORGS LÄN</t>
        </is>
      </c>
      <c r="G263" t="inlineStr">
        <is>
          <t>SANDVIKEN</t>
        </is>
      </c>
      <c r="H263" t="inlineStr">
        <is>
          <t>Kyrkan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46297</v>
      </c>
      <c r="F264" t="inlineStr">
        <is>
          <t>GÄVLEBORGS LÄN</t>
        </is>
      </c>
      <c r="G264" t="inlineStr">
        <is>
          <t>SANDVIKEN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46297</v>
      </c>
      <c r="F265" t="inlineStr">
        <is>
          <t>GÄVLEBORGS LÄN</t>
        </is>
      </c>
      <c r="G265" t="inlineStr">
        <is>
          <t>SANDVIKEN</t>
        </is>
      </c>
      <c r="H265" t="inlineStr">
        <is>
          <t>Naturvårdsverket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46297</v>
      </c>
      <c r="F266" t="inlineStr">
        <is>
          <t>GÄVLEBORGS LÄN</t>
        </is>
      </c>
      <c r="G266" t="inlineStr">
        <is>
          <t>SANDVIKEN</t>
        </is>
      </c>
      <c r="H266" t="inlineStr">
        <is>
          <t>Naturvårdsverket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45126</v>
      </c>
      <c r="E267" s="1" t="n">
        <v>46297</v>
      </c>
      <c r="F267" t="inlineStr">
        <is>
          <t>GÄVLEBORGS LÄN</t>
        </is>
      </c>
      <c r="G267" t="inlineStr">
        <is>
          <t>SANDVIKEN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46297</v>
      </c>
      <c r="F268" t="inlineStr">
        <is>
          <t>GÄVLEBORGS LÄN</t>
        </is>
      </c>
      <c r="G268" t="inlineStr">
        <is>
          <t>SANDVIKEN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46297</v>
      </c>
      <c r="F269" t="inlineStr">
        <is>
          <t>GÄVLEBORGS LÄN</t>
        </is>
      </c>
      <c r="G269" t="inlineStr">
        <is>
          <t>SANDVIKEN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45925</v>
      </c>
      <c r="E270" s="1" t="n">
        <v>46297</v>
      </c>
      <c r="F270" t="inlineStr">
        <is>
          <t>GÄVLEBORGS LÄN</t>
        </is>
      </c>
      <c r="G270" t="inlineStr">
        <is>
          <t>SANDVIKEN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46297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46297</v>
      </c>
      <c r="F272" t="inlineStr">
        <is>
          <t>GÄVLEBORGS LÄN</t>
        </is>
      </c>
      <c r="G272" t="inlineStr">
        <is>
          <t>SANDVIKEN</t>
        </is>
      </c>
      <c r="H272" t="inlineStr">
        <is>
          <t>Kommuner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46297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46297</v>
      </c>
      <c r="F274" t="inlineStr">
        <is>
          <t>GÄVLEBORGS LÄN</t>
        </is>
      </c>
      <c r="G274" t="inlineStr">
        <is>
          <t>SANDVIKEN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46297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46297</v>
      </c>
      <c r="F276" t="inlineStr">
        <is>
          <t>GÄVLEBORGS LÄN</t>
        </is>
      </c>
      <c r="G276" t="inlineStr">
        <is>
          <t>SANDVIKEN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44587</v>
      </c>
      <c r="E277" s="1" t="n">
        <v>46297</v>
      </c>
      <c r="F277" t="inlineStr">
        <is>
          <t>GÄVLEBORGS LÄN</t>
        </is>
      </c>
      <c r="G277" t="inlineStr">
        <is>
          <t>SANDVIKEN</t>
        </is>
      </c>
      <c r="H277" t="inlineStr">
        <is>
          <t>Kyrkan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46074</v>
      </c>
      <c r="E278" s="1" t="n">
        <v>46297</v>
      </c>
      <c r="F278" t="inlineStr">
        <is>
          <t>GÄVLEBORGS LÄN</t>
        </is>
      </c>
      <c r="G278" t="inlineStr">
        <is>
          <t>SANDVIKEN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46297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46297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46297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46297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46297</v>
      </c>
      <c r="F283" t="inlineStr">
        <is>
          <t>GÄVLEBORGS LÄN</t>
        </is>
      </c>
      <c r="G283" t="inlineStr">
        <is>
          <t>SANDVIKEN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46297</v>
      </c>
      <c r="F284" t="inlineStr">
        <is>
          <t>GÄVLEBORGS LÄN</t>
        </is>
      </c>
      <c r="G284" t="inlineStr">
        <is>
          <t>SANDVIKEN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46297</v>
      </c>
      <c r="F285" t="inlineStr">
        <is>
          <t>GÄVLEBORGS LÄN</t>
        </is>
      </c>
      <c r="G285" t="inlineStr">
        <is>
          <t>SANDVIKEN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46297</v>
      </c>
      <c r="F286" t="inlineStr">
        <is>
          <t>GÄVLEBORGS LÄN</t>
        </is>
      </c>
      <c r="G286" t="inlineStr">
        <is>
          <t>SANDVIKEN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46297</v>
      </c>
      <c r="F287" t="inlineStr">
        <is>
          <t>GÄVLEBORGS LÄN</t>
        </is>
      </c>
      <c r="G287" t="inlineStr">
        <is>
          <t>SANDVIKEN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46297</v>
      </c>
      <c r="F288" t="inlineStr">
        <is>
          <t>GÄVLEBORGS LÄN</t>
        </is>
      </c>
      <c r="G288" t="inlineStr">
        <is>
          <t>SANDVIKEN</t>
        </is>
      </c>
      <c r="I288" t="n">
        <v>14.5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45805</v>
      </c>
      <c r="E289" s="1" t="n">
        <v>46297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46297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46297</v>
      </c>
      <c r="F291" t="inlineStr">
        <is>
          <t>GÄVLEBORGS LÄN</t>
        </is>
      </c>
      <c r="G291" t="inlineStr">
        <is>
          <t>SANDVIKEN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48261-2025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46297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46297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46085</v>
      </c>
      <c r="E294" s="1" t="n">
        <v>46297</v>
      </c>
      <c r="F294" t="inlineStr">
        <is>
          <t>GÄVLEBORGS LÄN</t>
        </is>
      </c>
      <c r="G294" t="inlineStr">
        <is>
          <t>SANDVIKEN</t>
        </is>
      </c>
      <c r="H294" t="inlineStr">
        <is>
          <t>Naturvårdsverket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45099</v>
      </c>
      <c r="E295" s="1" t="n">
        <v>46297</v>
      </c>
      <c r="F295" t="inlineStr">
        <is>
          <t>GÄVLEBORGS LÄN</t>
        </is>
      </c>
      <c r="G295" t="inlineStr">
        <is>
          <t>SANDVIKEN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46297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väst AB</t>
        </is>
      </c>
      <c r="I296" t="n">
        <v>10.1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46297</v>
      </c>
      <c r="F297" t="inlineStr">
        <is>
          <t>GÄVLEBORGS LÄN</t>
        </is>
      </c>
      <c r="G297" t="inlineStr">
        <is>
          <t>SANDVIKEN</t>
        </is>
      </c>
      <c r="H297" t="inlineStr">
        <is>
          <t>Bergvik skog öst AB</t>
        </is>
      </c>
      <c r="I297" t="n">
        <v>10.5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46297</v>
      </c>
      <c r="F298" t="inlineStr">
        <is>
          <t>GÄVLEBORGS LÄN</t>
        </is>
      </c>
      <c r="G298" t="inlineStr">
        <is>
          <t>SANDVIKEN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46085</v>
      </c>
      <c r="E299" s="1" t="n">
        <v>46297</v>
      </c>
      <c r="F299" t="inlineStr">
        <is>
          <t>GÄVLEBORGS LÄN</t>
        </is>
      </c>
      <c r="G299" t="inlineStr">
        <is>
          <t>SANDVIKEN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46297</v>
      </c>
      <c r="F300" t="inlineStr">
        <is>
          <t>GÄVLEBORGS LÄN</t>
        </is>
      </c>
      <c r="G300" t="inlineStr">
        <is>
          <t>SANDVIKEN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46297</v>
      </c>
      <c r="F301" t="inlineStr">
        <is>
          <t>GÄVLEBORGS LÄN</t>
        </is>
      </c>
      <c r="G301" t="inlineStr">
        <is>
          <t>SANDVIKEN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46085</v>
      </c>
      <c r="E302" s="1" t="n">
        <v>46297</v>
      </c>
      <c r="F302" t="inlineStr">
        <is>
          <t>GÄVLEBORGS LÄN</t>
        </is>
      </c>
      <c r="G302" t="inlineStr">
        <is>
          <t>SANDVIKEN</t>
        </is>
      </c>
      <c r="H302" t="inlineStr">
        <is>
          <t>Naturvårdsverket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46297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46297</v>
      </c>
      <c r="F304" t="inlineStr">
        <is>
          <t>GÄVLEBORGS LÄN</t>
        </is>
      </c>
      <c r="G304" t="inlineStr">
        <is>
          <t>SANDVIKEN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46297</v>
      </c>
      <c r="F305" t="inlineStr">
        <is>
          <t>GÄVLEBORGS LÄN</t>
        </is>
      </c>
      <c r="G305" t="inlineStr">
        <is>
          <t>SANDVIKEN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46297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46297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46297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27.2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49042-2025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46297</v>
      </c>
      <c r="F309" t="inlineStr">
        <is>
          <t>GÄVLEBORGS LÄN</t>
        </is>
      </c>
      <c r="G309" t="inlineStr">
        <is>
          <t>SANDVIKEN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46297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46297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46297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46297</v>
      </c>
      <c r="F313" t="inlineStr">
        <is>
          <t>GÄVLEBORGS LÄN</t>
        </is>
      </c>
      <c r="G313" t="inlineStr">
        <is>
          <t>SANDVIKEN</t>
        </is>
      </c>
      <c r="H313" t="inlineStr">
        <is>
          <t>Kommuner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46297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46297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öst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46297</v>
      </c>
      <c r="F316" t="inlineStr">
        <is>
          <t>GÄVLEBORGS LÄN</t>
        </is>
      </c>
      <c r="G316" t="inlineStr">
        <is>
          <t>SANDVIKEN</t>
        </is>
      </c>
      <c r="I316" t="n">
        <v>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46086</v>
      </c>
      <c r="E317" s="1" t="n">
        <v>46297</v>
      </c>
      <c r="F317" t="inlineStr">
        <is>
          <t>GÄVLEBORGS LÄN</t>
        </is>
      </c>
      <c r="G317" t="inlineStr">
        <is>
          <t>SANDVIKEN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46086</v>
      </c>
      <c r="E318" s="1" t="n">
        <v>46297</v>
      </c>
      <c r="F318" t="inlineStr">
        <is>
          <t>GÄVLEBORGS LÄN</t>
        </is>
      </c>
      <c r="G318" t="inlineStr">
        <is>
          <t>SANDVIKEN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12099-2026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46086</v>
      </c>
      <c r="E319" s="1" t="n">
        <v>46297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49217-2025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45938</v>
      </c>
      <c r="E320" s="1" t="n">
        <v>46297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46086</v>
      </c>
      <c r="E321" s="1" t="n">
        <v>46297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46297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46297</v>
      </c>
      <c r="F323" t="inlineStr">
        <is>
          <t>GÄVLEBORGS LÄN</t>
        </is>
      </c>
      <c r="G323" t="inlineStr">
        <is>
          <t>SANDVIKEN</t>
        </is>
      </c>
      <c r="H323" t="inlineStr">
        <is>
          <t>Naturvårdsverket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46297</v>
      </c>
      <c r="F324" t="inlineStr">
        <is>
          <t>GÄVLEBORGS LÄN</t>
        </is>
      </c>
      <c r="G324" t="inlineStr">
        <is>
          <t>SANDVIKEN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46297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46297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46043</v>
      </c>
      <c r="E327" s="1" t="n">
        <v>46297</v>
      </c>
      <c r="F327" t="inlineStr">
        <is>
          <t>GÄVLEBORGS LÄN</t>
        </is>
      </c>
      <c r="G327" t="inlineStr">
        <is>
          <t>SANDVIKEN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46297</v>
      </c>
      <c r="F328" t="inlineStr">
        <is>
          <t>GÄVLEBORGS LÄN</t>
        </is>
      </c>
      <c r="G328" t="inlineStr">
        <is>
          <t>SANDVIKEN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46297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12704-2026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46297</v>
      </c>
      <c r="F330" t="inlineStr">
        <is>
          <t>GÄVLEBORGS LÄN</t>
        </is>
      </c>
      <c r="G330" t="inlineStr">
        <is>
          <t>SANDVIKEN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46092</v>
      </c>
      <c r="E331" s="1" t="n">
        <v>46297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13108-2026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46297</v>
      </c>
      <c r="F332" t="inlineStr">
        <is>
          <t>GÄVLEBORGS LÄN</t>
        </is>
      </c>
      <c r="G332" t="inlineStr">
        <is>
          <t>SANDVIKEN</t>
        </is>
      </c>
      <c r="I332" t="n">
        <v>22.5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46297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46297</v>
      </c>
      <c r="F334" t="inlineStr">
        <is>
          <t>GÄVLEBORGS LÄN</t>
        </is>
      </c>
      <c r="G334" t="inlineStr">
        <is>
          <t>SANDVIKEN</t>
        </is>
      </c>
      <c r="H334" t="inlineStr">
        <is>
          <t>Naturvårdsverket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46297</v>
      </c>
      <c r="F335" t="inlineStr">
        <is>
          <t>GÄVLEBORGS LÄN</t>
        </is>
      </c>
      <c r="G335" t="inlineStr">
        <is>
          <t>SANDVIKEN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46297</v>
      </c>
      <c r="F336" t="inlineStr">
        <is>
          <t>GÄVLEBORGS LÄN</t>
        </is>
      </c>
      <c r="G336" t="inlineStr">
        <is>
          <t>SANDVIKEN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46297</v>
      </c>
      <c r="F337" t="inlineStr">
        <is>
          <t>GÄVLEBORGS LÄN</t>
        </is>
      </c>
      <c r="G337" t="inlineStr">
        <is>
          <t>SANDVIKEN</t>
        </is>
      </c>
      <c r="H337" t="inlineStr">
        <is>
          <t>Naturvårdsverket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46297</v>
      </c>
      <c r="F338" t="inlineStr">
        <is>
          <t>GÄVLEBORGS LÄN</t>
        </is>
      </c>
      <c r="G338" t="inlineStr">
        <is>
          <t>SANDVIKEN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46297</v>
      </c>
      <c r="F339" t="inlineStr">
        <is>
          <t>GÄVLEBORGS LÄN</t>
        </is>
      </c>
      <c r="G339" t="inlineStr">
        <is>
          <t>SANDVIKEN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46297</v>
      </c>
      <c r="F340" t="inlineStr">
        <is>
          <t>GÄVLEBORGS LÄN</t>
        </is>
      </c>
      <c r="G340" t="inlineStr">
        <is>
          <t>SANDVIKEN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46297</v>
      </c>
      <c r="F341" t="inlineStr">
        <is>
          <t>GÄVLEBORGS LÄN</t>
        </is>
      </c>
      <c r="G341" t="inlineStr">
        <is>
          <t>SANDVIKEN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46297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46297</v>
      </c>
      <c r="F343" t="inlineStr">
        <is>
          <t>GÄVLEBORGS LÄN</t>
        </is>
      </c>
      <c r="G343" t="inlineStr">
        <is>
          <t>SANDVIKEN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46297</v>
      </c>
      <c r="F344" t="inlineStr">
        <is>
          <t>GÄVLEBORGS LÄN</t>
        </is>
      </c>
      <c r="G344" t="inlineStr">
        <is>
          <t>SANDVIKEN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46297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50851-2025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45946</v>
      </c>
      <c r="E346" s="1" t="n">
        <v>46297</v>
      </c>
      <c r="F346" t="inlineStr">
        <is>
          <t>GÄVLEBORGS LÄN</t>
        </is>
      </c>
      <c r="G346" t="inlineStr">
        <is>
          <t>SANDVIKEN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46297</v>
      </c>
      <c r="F347" t="inlineStr">
        <is>
          <t>GÄVLEBORGS LÄN</t>
        </is>
      </c>
      <c r="G347" t="inlineStr">
        <is>
          <t>SANDVIKEN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58885-2023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46297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46095</v>
      </c>
      <c r="E349" s="1" t="n">
        <v>46297</v>
      </c>
      <c r="F349" t="inlineStr">
        <is>
          <t>GÄVLEBORGS LÄN</t>
        </is>
      </c>
      <c r="G349" t="inlineStr">
        <is>
          <t>SANDVIKEN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46095</v>
      </c>
      <c r="E350" s="1" t="n">
        <v>46297</v>
      </c>
      <c r="F350" t="inlineStr">
        <is>
          <t>GÄVLEBORGS LÄN</t>
        </is>
      </c>
      <c r="G350" t="inlineStr">
        <is>
          <t>SANDVIKEN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46095</v>
      </c>
      <c r="E351" s="1" t="n">
        <v>46297</v>
      </c>
      <c r="F351" t="inlineStr">
        <is>
          <t>GÄVLEBORGS LÄN</t>
        </is>
      </c>
      <c r="G351" t="inlineStr">
        <is>
          <t>SANDVIKEN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46095</v>
      </c>
      <c r="E352" s="1" t="n">
        <v>46297</v>
      </c>
      <c r="F352" t="inlineStr">
        <is>
          <t>GÄVLEBORGS LÄN</t>
        </is>
      </c>
      <c r="G352" t="inlineStr">
        <is>
          <t>SANDVIKEN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46097</v>
      </c>
      <c r="E353" s="1" t="n">
        <v>46297</v>
      </c>
      <c r="F353" t="inlineStr">
        <is>
          <t>GÄVLEBORGS LÄN</t>
        </is>
      </c>
      <c r="G353" t="inlineStr">
        <is>
          <t>SANDVIKEN</t>
        </is>
      </c>
      <c r="H353" t="inlineStr">
        <is>
          <t>Kommuner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46297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46297</v>
      </c>
      <c r="F355" t="inlineStr">
        <is>
          <t>GÄVLEBORGS LÄN</t>
        </is>
      </c>
      <c r="G355" t="inlineStr">
        <is>
          <t>SANDVIKEN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46095</v>
      </c>
      <c r="E356" s="1" t="n">
        <v>46297</v>
      </c>
      <c r="F356" t="inlineStr">
        <is>
          <t>GÄVLEBORGS LÄN</t>
        </is>
      </c>
      <c r="G356" t="inlineStr">
        <is>
          <t>SANDVIKEN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13727-2026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46097</v>
      </c>
      <c r="E357" s="1" t="n">
        <v>46297</v>
      </c>
      <c r="F357" t="inlineStr">
        <is>
          <t>GÄVLEBORGS LÄN</t>
        </is>
      </c>
      <c r="G357" t="inlineStr">
        <is>
          <t>SANDVIKEN</t>
        </is>
      </c>
      <c r="H357" t="inlineStr">
        <is>
          <t>Kommuner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46095</v>
      </c>
      <c r="E358" s="1" t="n">
        <v>46297</v>
      </c>
      <c r="F358" t="inlineStr">
        <is>
          <t>GÄVLEBORGS LÄN</t>
        </is>
      </c>
      <c r="G358" t="inlineStr">
        <is>
          <t>SANDVIKEN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46095</v>
      </c>
      <c r="E359" s="1" t="n">
        <v>46297</v>
      </c>
      <c r="F359" t="inlineStr">
        <is>
          <t>GÄVLEBORGS LÄN</t>
        </is>
      </c>
      <c r="G359" t="inlineStr">
        <is>
          <t>SANDVIKEN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46297</v>
      </c>
      <c r="F360" t="inlineStr">
        <is>
          <t>GÄVLEBORGS LÄN</t>
        </is>
      </c>
      <c r="G360" t="inlineStr">
        <is>
          <t>SANDVIKEN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46098</v>
      </c>
      <c r="E361" s="1" t="n">
        <v>46297</v>
      </c>
      <c r="F361" t="inlineStr">
        <is>
          <t>GÄVLEBORGS LÄN</t>
        </is>
      </c>
      <c r="G361" t="inlineStr">
        <is>
          <t>SANDVIKEN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46297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46297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46297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46297</v>
      </c>
      <c r="F365" t="inlineStr">
        <is>
          <t>GÄVLEBORGS LÄN</t>
        </is>
      </c>
      <c r="G365" t="inlineStr">
        <is>
          <t>SANDVIKEN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46297</v>
      </c>
      <c r="F366" t="inlineStr">
        <is>
          <t>GÄVLEBORGS LÄN</t>
        </is>
      </c>
      <c r="G366" t="inlineStr">
        <is>
          <t>SANDVIKEN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45590</v>
      </c>
      <c r="E367" s="1" t="n">
        <v>46297</v>
      </c>
      <c r="F367" t="inlineStr">
        <is>
          <t>GÄVLEBORGS LÄN</t>
        </is>
      </c>
      <c r="G367" t="inlineStr">
        <is>
          <t>SANDVIKEN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46297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46297</v>
      </c>
      <c r="F369" t="inlineStr">
        <is>
          <t>GÄVLEBORGS LÄN</t>
        </is>
      </c>
      <c r="G369" t="inlineStr">
        <is>
          <t>SANDVIKEN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45769</v>
      </c>
      <c r="E370" s="1" t="n">
        <v>46297</v>
      </c>
      <c r="F370" t="inlineStr">
        <is>
          <t>GÄVLEBORGS LÄN</t>
        </is>
      </c>
      <c r="G370" t="inlineStr">
        <is>
          <t>SANDVIKEN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46297</v>
      </c>
      <c r="F371" t="inlineStr">
        <is>
          <t>GÄVLEBORGS LÄN</t>
        </is>
      </c>
      <c r="G371" t="inlineStr">
        <is>
          <t>SANDVIKEN</t>
        </is>
      </c>
      <c r="H371" t="inlineStr">
        <is>
          <t>Kyrkan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56310-2021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44477</v>
      </c>
      <c r="E372" s="1" t="n">
        <v>46297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väst AB</t>
        </is>
      </c>
      <c r="I372" t="n">
        <v>18.5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46297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46297</v>
      </c>
      <c r="F374" t="inlineStr">
        <is>
          <t>GÄVLEBORGS LÄN</t>
        </is>
      </c>
      <c r="G374" t="inlineStr">
        <is>
          <t>SANDVIKEN</t>
        </is>
      </c>
      <c r="H374" t="inlineStr">
        <is>
          <t>Kommuner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45957</v>
      </c>
      <c r="E375" s="1" t="n">
        <v>46297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  <c r="Z375">
        <f>HYPERLINK("https://klasma.github.io/Logging_2181/knärot/A 52786-2025 karta knärot.png", "A 52786-2025")</f>
        <v/>
      </c>
      <c r="AA375">
        <f>HYPERLINK("https://klasma.github.io/Logging_2181/klagomål/A 52786-2025 FSC-klagomål.docx", "A 52786-2025")</f>
        <v/>
      </c>
      <c r="AB375">
        <f>HYPERLINK("https://klasma.github.io/Logging_2181/klagomålsmail/A 52786-2025 FSC-klagomål mail.docx", "A 52786-2025")</f>
        <v/>
      </c>
      <c r="AC375">
        <f>HYPERLINK("https://klasma.github.io/Logging_2181/tillsyn/A 52786-2025 tillsynsbegäran.docx", "A 52786-2025")</f>
        <v/>
      </c>
      <c r="AD375">
        <f>HYPERLINK("https://klasma.github.io/Logging_2181/tillsynsmail/A 52786-2025 tillsynsbegäran mail.docx", "A 52786-2025")</f>
        <v/>
      </c>
    </row>
    <row r="376" ht="15" customHeight="1">
      <c r="A376" t="inlineStr">
        <is>
          <t>A 15113-2026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46297</v>
      </c>
      <c r="F376" t="inlineStr">
        <is>
          <t>GÄVLEBORGS LÄN</t>
        </is>
      </c>
      <c r="G376" t="inlineStr">
        <is>
          <t>SANDVIKEN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15778-2026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46107</v>
      </c>
      <c r="E377" s="1" t="n">
        <v>46297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46297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46297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50797-2023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46297</v>
      </c>
      <c r="F380" t="inlineStr">
        <is>
          <t>GÄVLEBORGS LÄN</t>
        </is>
      </c>
      <c r="G380" t="inlineStr">
        <is>
          <t>SANDVIKEN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46297</v>
      </c>
      <c r="F381" t="inlineStr">
        <is>
          <t>GÄVLEBORGS LÄN</t>
        </is>
      </c>
      <c r="G381" t="inlineStr">
        <is>
          <t>SANDVIKEN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46297</v>
      </c>
      <c r="F382" t="inlineStr">
        <is>
          <t>GÄVLEBORGS LÄN</t>
        </is>
      </c>
      <c r="G382" t="inlineStr">
        <is>
          <t>SANDVIKEN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46297</v>
      </c>
      <c r="F383" t="inlineStr">
        <is>
          <t>GÄVLEBORGS LÄN</t>
        </is>
      </c>
      <c r="G383" t="inlineStr">
        <is>
          <t>SANDVIKEN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46297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46297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46297</v>
      </c>
      <c r="F386" t="inlineStr">
        <is>
          <t>GÄVLEBORGS LÄN</t>
        </is>
      </c>
      <c r="G386" t="inlineStr">
        <is>
          <t>SANDVIKEN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46297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46297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46297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45094</v>
      </c>
      <c r="E390" s="1" t="n">
        <v>46297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43090-2023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46297</v>
      </c>
      <c r="F391" t="inlineStr">
        <is>
          <t>GÄVLEBORGS LÄN</t>
        </is>
      </c>
      <c r="G391" t="inlineStr">
        <is>
          <t>SANDVIKEN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46297</v>
      </c>
      <c r="F392" t="inlineStr">
        <is>
          <t>GÄVLEBORGS LÄN</t>
        </is>
      </c>
      <c r="G392" t="inlineStr">
        <is>
          <t>SANDVIKEN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46297</v>
      </c>
      <c r="F393" t="inlineStr">
        <is>
          <t>GÄVLEBORGS LÄN</t>
        </is>
      </c>
      <c r="G393" t="inlineStr">
        <is>
          <t>SANDVIKEN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46297</v>
      </c>
      <c r="F394" t="inlineStr">
        <is>
          <t>GÄVLEBORGS LÄN</t>
        </is>
      </c>
      <c r="G394" t="inlineStr">
        <is>
          <t>SANDVIKEN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11393-2023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46297</v>
      </c>
      <c r="F395" t="inlineStr">
        <is>
          <t>GÄVLEBORGS LÄN</t>
        </is>
      </c>
      <c r="G395" t="inlineStr">
        <is>
          <t>SANDVIKEN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46115</v>
      </c>
      <c r="E396" s="1" t="n">
        <v>46297</v>
      </c>
      <c r="F396" t="inlineStr">
        <is>
          <t>GÄVLEBORGS LÄN</t>
        </is>
      </c>
      <c r="G396" t="inlineStr">
        <is>
          <t>SANDVIKEN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46115</v>
      </c>
      <c r="E397" s="1" t="n">
        <v>46297</v>
      </c>
      <c r="F397" t="inlineStr">
        <is>
          <t>GÄVLEBORGS LÄN</t>
        </is>
      </c>
      <c r="G397" t="inlineStr">
        <is>
          <t>SANDVIKEN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46297</v>
      </c>
      <c r="F398" t="inlineStr">
        <is>
          <t>GÄVLEBORGS LÄN</t>
        </is>
      </c>
      <c r="G398" t="inlineStr">
        <is>
          <t>SANDVIKEN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46297</v>
      </c>
      <c r="F399" t="inlineStr">
        <is>
          <t>GÄVLEBORGS LÄN</t>
        </is>
      </c>
      <c r="G399" t="inlineStr">
        <is>
          <t>SANDVIKEN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46115</v>
      </c>
      <c r="E400" s="1" t="n">
        <v>46297</v>
      </c>
      <c r="F400" t="inlineStr">
        <is>
          <t>GÄVLEBORGS LÄN</t>
        </is>
      </c>
      <c r="G400" t="inlineStr">
        <is>
          <t>SANDVIKEN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46114</v>
      </c>
      <c r="E401" s="1" t="n">
        <v>46297</v>
      </c>
      <c r="F401" t="inlineStr">
        <is>
          <t>GÄVLEBORGS LÄN</t>
        </is>
      </c>
      <c r="G401" t="inlineStr">
        <is>
          <t>SANDVIKEN</t>
        </is>
      </c>
      <c r="I401" t="n">
        <v>10.3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46115</v>
      </c>
      <c r="E402" s="1" t="n">
        <v>46297</v>
      </c>
      <c r="F402" t="inlineStr">
        <is>
          <t>GÄVLEBORGS LÄN</t>
        </is>
      </c>
      <c r="G402" t="inlineStr">
        <is>
          <t>SANDVIKEN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46297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46297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46116</v>
      </c>
      <c r="E405" s="1" t="n">
        <v>46297</v>
      </c>
      <c r="F405" t="inlineStr">
        <is>
          <t>GÄVLEBORGS LÄN</t>
        </is>
      </c>
      <c r="G405" t="inlineStr">
        <is>
          <t>SANDVIKEN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55607-2025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46297</v>
      </c>
      <c r="F406" t="inlineStr">
        <is>
          <t>GÄVLEBORGS LÄN</t>
        </is>
      </c>
      <c r="G406" t="inlineStr">
        <is>
          <t>SANDVIKEN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46297</v>
      </c>
      <c r="F407" t="inlineStr">
        <is>
          <t>GÄVLEBORGS LÄN</t>
        </is>
      </c>
      <c r="G407" t="inlineStr">
        <is>
          <t>SANDVIKEN</t>
        </is>
      </c>
      <c r="H407" t="inlineStr">
        <is>
          <t>Sveaskog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46116</v>
      </c>
      <c r="E408" s="1" t="n">
        <v>46297</v>
      </c>
      <c r="F408" t="inlineStr">
        <is>
          <t>GÄVLEBORGS LÄN</t>
        </is>
      </c>
      <c r="G408" t="inlineStr">
        <is>
          <t>SANDVIKEN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46297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46297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46116</v>
      </c>
      <c r="E411" s="1" t="n">
        <v>46297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46297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46297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46297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23539-2026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46163</v>
      </c>
      <c r="E415" s="1" t="n">
        <v>46297</v>
      </c>
      <c r="F415" t="inlineStr">
        <is>
          <t>GÄVLEBORGS LÄN</t>
        </is>
      </c>
      <c r="G415" t="inlineStr">
        <is>
          <t>SANDVIKEN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46297</v>
      </c>
      <c r="F416" t="inlineStr">
        <is>
          <t>GÄVLEBORGS LÄN</t>
        </is>
      </c>
      <c r="G416" t="inlineStr">
        <is>
          <t>SANDVIKEN</t>
        </is>
      </c>
      <c r="H416" t="inlineStr">
        <is>
          <t>Sveaskog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45261</v>
      </c>
      <c r="E417" s="1" t="n">
        <v>46297</v>
      </c>
      <c r="F417" t="inlineStr">
        <is>
          <t>GÄVLEBORGS LÄN</t>
        </is>
      </c>
      <c r="G417" t="inlineStr">
        <is>
          <t>SANDVIKEN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60897-2023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46297</v>
      </c>
      <c r="F418" t="inlineStr">
        <is>
          <t>GÄVLEBORGS LÄN</t>
        </is>
      </c>
      <c r="G418" t="inlineStr">
        <is>
          <t>SANDVIKEN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46297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46297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46297</v>
      </c>
      <c r="F421" t="inlineStr">
        <is>
          <t>GÄVLEBORGS LÄN</t>
        </is>
      </c>
      <c r="G421" t="inlineStr">
        <is>
          <t>SANDVIKEN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45478</v>
      </c>
      <c r="E422" s="1" t="n">
        <v>46297</v>
      </c>
      <c r="F422" t="inlineStr">
        <is>
          <t>GÄVLEBORGS LÄN</t>
        </is>
      </c>
      <c r="G422" t="inlineStr">
        <is>
          <t>SANDVIKEN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46297</v>
      </c>
      <c r="F423" t="inlineStr">
        <is>
          <t>GÄVLEBORGS LÄN</t>
        </is>
      </c>
      <c r="G423" t="inlineStr">
        <is>
          <t>SANDVIKEN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44797</v>
      </c>
      <c r="E424" s="1" t="n">
        <v>46297</v>
      </c>
      <c r="F424" t="inlineStr">
        <is>
          <t>GÄVLEBORGS LÄN</t>
        </is>
      </c>
      <c r="G424" t="inlineStr">
        <is>
          <t>SANDVIKEN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45975</v>
      </c>
      <c r="E425" s="1" t="n">
        <v>46297</v>
      </c>
      <c r="F425" t="inlineStr">
        <is>
          <t>GÄVLEBORGS LÄN</t>
        </is>
      </c>
      <c r="G425" t="inlineStr">
        <is>
          <t>SANDVIKEN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46297</v>
      </c>
      <c r="F426" t="inlineStr">
        <is>
          <t>GÄVLEBORGS LÄN</t>
        </is>
      </c>
      <c r="G426" t="inlineStr">
        <is>
          <t>SANDVIKEN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18219-2026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46297</v>
      </c>
      <c r="F427" t="inlineStr">
        <is>
          <t>GÄVLEBORGS LÄN</t>
        </is>
      </c>
      <c r="G427" t="inlineStr">
        <is>
          <t>SANDVIKEN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46297</v>
      </c>
      <c r="F428" t="inlineStr">
        <is>
          <t>GÄVLEBORGS LÄN</t>
        </is>
      </c>
      <c r="G428" t="inlineStr">
        <is>
          <t>SANDVIKEN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46297</v>
      </c>
      <c r="F429" t="inlineStr">
        <is>
          <t>GÄVLEBORGS LÄN</t>
        </is>
      </c>
      <c r="G429" t="inlineStr">
        <is>
          <t>SANDVIKEN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45977</v>
      </c>
      <c r="E430" s="1" t="n">
        <v>46297</v>
      </c>
      <c r="F430" t="inlineStr">
        <is>
          <t>GÄVLEBORGS LÄN</t>
        </is>
      </c>
      <c r="G430" t="inlineStr">
        <is>
          <t>SANDVIKEN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14092-2026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46297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57261-2025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45979</v>
      </c>
      <c r="E432" s="1" t="n">
        <v>46297</v>
      </c>
      <c r="F432" t="inlineStr">
        <is>
          <t>GÄVLEBORGS LÄN</t>
        </is>
      </c>
      <c r="G432" t="inlineStr">
        <is>
          <t>SANDVIKEN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46130</v>
      </c>
      <c r="E433" s="1" t="n">
        <v>46297</v>
      </c>
      <c r="F433" t="inlineStr">
        <is>
          <t>GÄVLEBORGS LÄN</t>
        </is>
      </c>
      <c r="G433" t="inlineStr">
        <is>
          <t>SANDVIKEN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46297</v>
      </c>
      <c r="F434" t="inlineStr">
        <is>
          <t>GÄVLEBORGS LÄN</t>
        </is>
      </c>
      <c r="G434" t="inlineStr">
        <is>
          <t>SANDVIKEN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46297</v>
      </c>
      <c r="F435" t="inlineStr">
        <is>
          <t>GÄVLEBORGS LÄN</t>
        </is>
      </c>
      <c r="G435" t="inlineStr">
        <is>
          <t>SANDVIKEN</t>
        </is>
      </c>
      <c r="H435" t="inlineStr">
        <is>
          <t>Sveaskog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18991-2026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46129</v>
      </c>
      <c r="E436" s="1" t="n">
        <v>46297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46297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19467-2026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46297</v>
      </c>
      <c r="F438" t="inlineStr">
        <is>
          <t>GÄVLEBORGS LÄN</t>
        </is>
      </c>
      <c r="G438" t="inlineStr">
        <is>
          <t>SANDVIKEN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46297</v>
      </c>
      <c r="F439" t="inlineStr">
        <is>
          <t>GÄVLEBORGS LÄN</t>
        </is>
      </c>
      <c r="G439" t="inlineStr">
        <is>
          <t>SANDVIKEN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46297</v>
      </c>
      <c r="F440" t="inlineStr">
        <is>
          <t>GÄVLEBORGS LÄN</t>
        </is>
      </c>
      <c r="G440" t="inlineStr">
        <is>
          <t>SANDVIKEN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46297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46297</v>
      </c>
      <c r="F442" t="inlineStr">
        <is>
          <t>GÄVLEBORGS LÄN</t>
        </is>
      </c>
      <c r="G442" t="inlineStr">
        <is>
          <t>SANDVIKEN</t>
        </is>
      </c>
      <c r="H442" t="inlineStr">
        <is>
          <t>Naturvårdsverket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46297</v>
      </c>
      <c r="F443" t="inlineStr">
        <is>
          <t>GÄVLEBORGS LÄN</t>
        </is>
      </c>
      <c r="G443" t="inlineStr">
        <is>
          <t>SANDVIKEN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12732-2026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46297</v>
      </c>
      <c r="F444" t="inlineStr">
        <is>
          <t>GÄVLEBORGS LÄN</t>
        </is>
      </c>
      <c r="G444" t="inlineStr">
        <is>
          <t>SANDVIKEN</t>
        </is>
      </c>
      <c r="H444" t="inlineStr">
        <is>
          <t>Naturvårdsverket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45022</v>
      </c>
      <c r="E445" s="1" t="n">
        <v>46297</v>
      </c>
      <c r="F445" t="inlineStr">
        <is>
          <t>GÄVLEBORGS LÄN</t>
        </is>
      </c>
      <c r="G445" t="inlineStr">
        <is>
          <t>SANDVIKEN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46129</v>
      </c>
      <c r="E446" s="1" t="n">
        <v>46297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57933-2025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46297</v>
      </c>
      <c r="F447" t="inlineStr">
        <is>
          <t>GÄVLEBORGS LÄN</t>
        </is>
      </c>
      <c r="G447" t="inlineStr">
        <is>
          <t>SANDVIKEN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46129</v>
      </c>
      <c r="E448" s="1" t="n">
        <v>46297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46297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46297</v>
      </c>
      <c r="F450" t="inlineStr">
        <is>
          <t>GÄVLEBORGS LÄN</t>
        </is>
      </c>
      <c r="G450" t="inlineStr">
        <is>
          <t>SANDVIKEN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46297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46297</v>
      </c>
      <c r="F452" t="inlineStr">
        <is>
          <t>GÄVLEBORGS LÄN</t>
        </is>
      </c>
      <c r="G452" t="inlineStr">
        <is>
          <t>SANDVIKEN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45671</v>
      </c>
      <c r="E453" s="1" t="n">
        <v>46297</v>
      </c>
      <c r="F453" t="inlineStr">
        <is>
          <t>GÄVLEBORGS LÄN</t>
        </is>
      </c>
      <c r="G453" t="inlineStr">
        <is>
          <t>SANDVIKEN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46297</v>
      </c>
      <c r="F454" t="inlineStr">
        <is>
          <t>GÄVLEBORGS LÄN</t>
        </is>
      </c>
      <c r="G454" t="inlineStr">
        <is>
          <t>SANDVIKEN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58207-2025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46297</v>
      </c>
      <c r="F455" t="inlineStr">
        <is>
          <t>GÄVLEBORGS LÄN</t>
        </is>
      </c>
      <c r="G455" t="inlineStr">
        <is>
          <t>SANDVIKEN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46297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58184-2025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45983</v>
      </c>
      <c r="E457" s="1" t="n">
        <v>46297</v>
      </c>
      <c r="F457" t="inlineStr">
        <is>
          <t>GÄVLEBORGS LÄN</t>
        </is>
      </c>
      <c r="G457" t="inlineStr">
        <is>
          <t>SANDVIKEN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45984</v>
      </c>
      <c r="E458" s="1" t="n">
        <v>46297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45819</v>
      </c>
      <c r="E459" s="1" t="n">
        <v>46297</v>
      </c>
      <c r="F459" t="inlineStr">
        <is>
          <t>GÄVLEBORGS LÄN</t>
        </is>
      </c>
      <c r="G459" t="inlineStr">
        <is>
          <t>SANDVIKEN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45984</v>
      </c>
      <c r="E460" s="1" t="n">
        <v>46297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45984</v>
      </c>
      <c r="E461" s="1" t="n">
        <v>46297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19904-2026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46136</v>
      </c>
      <c r="E462" s="1" t="n">
        <v>46297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46297</v>
      </c>
      <c r="F463" t="inlineStr">
        <is>
          <t>GÄVLEBORGS LÄN</t>
        </is>
      </c>
      <c r="G463" t="inlineStr">
        <is>
          <t>SANDVIKEN</t>
        </is>
      </c>
      <c r="H463" t="inlineStr">
        <is>
          <t>Naturvårdsverket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46297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45819</v>
      </c>
      <c r="E465" s="1" t="n">
        <v>46297</v>
      </c>
      <c r="F465" t="inlineStr">
        <is>
          <t>GÄVLEBORGS LÄN</t>
        </is>
      </c>
      <c r="G465" t="inlineStr">
        <is>
          <t>SANDVIKEN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46042</v>
      </c>
      <c r="E466" s="1" t="n">
        <v>46297</v>
      </c>
      <c r="F466" t="inlineStr">
        <is>
          <t>GÄVLEBORGS LÄN</t>
        </is>
      </c>
      <c r="G466" t="inlineStr">
        <is>
          <t>SANDVIKEN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47974-2024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45589</v>
      </c>
      <c r="E467" s="1" t="n">
        <v>46297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46297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46297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46297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45992</v>
      </c>
      <c r="E471" s="1" t="n">
        <v>46297</v>
      </c>
      <c r="F471" t="inlineStr">
        <is>
          <t>GÄVLEBORGS LÄN</t>
        </is>
      </c>
      <c r="G471" t="inlineStr">
        <is>
          <t>SANDVIKEN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13258-2026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46297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46297</v>
      </c>
      <c r="F473" t="inlineStr">
        <is>
          <t>GÄVLEBORGS LÄN</t>
        </is>
      </c>
      <c r="G473" t="inlineStr">
        <is>
          <t>SANDVIKEN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59755-2025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46297</v>
      </c>
      <c r="F474" t="inlineStr">
        <is>
          <t>GÄVLEBORGS LÄN</t>
        </is>
      </c>
      <c r="G474" t="inlineStr">
        <is>
          <t>SANDVIKEN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45819</v>
      </c>
      <c r="E475" s="1" t="n">
        <v>46297</v>
      </c>
      <c r="F475" t="inlineStr">
        <is>
          <t>GÄVLEBORGS LÄN</t>
        </is>
      </c>
      <c r="G475" t="inlineStr">
        <is>
          <t>SANDVIKEN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50765-2024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45602</v>
      </c>
      <c r="E476" s="1" t="n">
        <v>46297</v>
      </c>
      <c r="F476" t="inlineStr">
        <is>
          <t>GÄVLEBORGS LÄN</t>
        </is>
      </c>
      <c r="G476" t="inlineStr">
        <is>
          <t>SANDVIKEN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46297</v>
      </c>
      <c r="F477" t="inlineStr">
        <is>
          <t>GÄVLEBORGS LÄN</t>
        </is>
      </c>
      <c r="G477" t="inlineStr">
        <is>
          <t>SANDVIKEN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12382-2026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46090</v>
      </c>
      <c r="E478" s="1" t="n">
        <v>46297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45558</v>
      </c>
      <c r="E479" s="1" t="n">
        <v>46297</v>
      </c>
      <c r="F479" t="inlineStr">
        <is>
          <t>GÄVLEBORGS LÄN</t>
        </is>
      </c>
      <c r="G479" t="inlineStr">
        <is>
          <t>SANDVIKEN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46297</v>
      </c>
      <c r="F480" t="inlineStr">
        <is>
          <t>GÄVLEBORGS LÄN</t>
        </is>
      </c>
      <c r="G480" t="inlineStr">
        <is>
          <t>SANDVIKEN</t>
        </is>
      </c>
      <c r="I480" t="n">
        <v>10.2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45709</v>
      </c>
      <c r="E481" s="1" t="n">
        <v>46297</v>
      </c>
      <c r="F481" t="inlineStr">
        <is>
          <t>GÄVLEBORGS LÄN</t>
        </is>
      </c>
      <c r="G481" t="inlineStr">
        <is>
          <t>SANDVIKEN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46297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53719-2024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45615</v>
      </c>
      <c r="E483" s="1" t="n">
        <v>46297</v>
      </c>
      <c r="F483" t="inlineStr">
        <is>
          <t>GÄVLEBORGS LÄN</t>
        </is>
      </c>
      <c r="G483" t="inlineStr">
        <is>
          <t>SANDVIKEN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46297</v>
      </c>
      <c r="F484" t="inlineStr">
        <is>
          <t>GÄVLEBORGS LÄN</t>
        </is>
      </c>
      <c r="G484" t="inlineStr">
        <is>
          <t>SANDVIKEN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56734-2021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44481</v>
      </c>
      <c r="E485" s="1" t="n">
        <v>46297</v>
      </c>
      <c r="F485" t="inlineStr">
        <is>
          <t>GÄVLEBORGS LÄN</t>
        </is>
      </c>
      <c r="G485" t="inlineStr">
        <is>
          <t>SANDVIKEN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45303</v>
      </c>
      <c r="E486" s="1" t="n">
        <v>46297</v>
      </c>
      <c r="F486" t="inlineStr">
        <is>
          <t>GÄVLEBORGS LÄN</t>
        </is>
      </c>
      <c r="G486" t="inlineStr">
        <is>
          <t>SANDVIKEN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44582</v>
      </c>
      <c r="E487" s="1" t="n">
        <v>46297</v>
      </c>
      <c r="F487" t="inlineStr">
        <is>
          <t>GÄVLEBORGS LÄN</t>
        </is>
      </c>
      <c r="G487" t="inlineStr">
        <is>
          <t>SANDVIKEN</t>
        </is>
      </c>
      <c r="H487" t="inlineStr">
        <is>
          <t>Kyrkan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46297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46297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46297</v>
      </c>
      <c r="F490" t="inlineStr">
        <is>
          <t>GÄVLEBORGS LÄN</t>
        </is>
      </c>
      <c r="G490" t="inlineStr">
        <is>
          <t>SANDVIKEN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46297</v>
      </c>
      <c r="F491" t="inlineStr">
        <is>
          <t>GÄVLEBORGS LÄN</t>
        </is>
      </c>
      <c r="G491" t="inlineStr">
        <is>
          <t>SANDVIKEN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58198-2025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45984</v>
      </c>
      <c r="E492" s="1" t="n">
        <v>46297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45693</v>
      </c>
      <c r="E493" s="1" t="n">
        <v>46297</v>
      </c>
      <c r="F493" t="inlineStr">
        <is>
          <t>GÄVLEBORGS LÄN</t>
        </is>
      </c>
      <c r="G493" t="inlineStr">
        <is>
          <t>SANDVIKEN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46297</v>
      </c>
      <c r="F494" t="inlineStr">
        <is>
          <t>GÄVLEBORGS LÄN</t>
        </is>
      </c>
      <c r="G494" t="inlineStr">
        <is>
          <t>SANDVIKEN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46297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45730</v>
      </c>
      <c r="E496" s="1" t="n">
        <v>46297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46297</v>
      </c>
      <c r="F497" t="inlineStr">
        <is>
          <t>GÄVLEBORGS LÄN</t>
        </is>
      </c>
      <c r="G497" t="inlineStr">
        <is>
          <t>SANDVIKEN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46297</v>
      </c>
      <c r="F498" t="inlineStr">
        <is>
          <t>GÄVLEBORGS LÄN</t>
        </is>
      </c>
      <c r="G498" t="inlineStr">
        <is>
          <t>SANDVIKEN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42495-2025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45905</v>
      </c>
      <c r="E499" s="1" t="n">
        <v>46297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46297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45999</v>
      </c>
      <c r="E501" s="1" t="n">
        <v>46297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46297</v>
      </c>
      <c r="F502" t="inlineStr">
        <is>
          <t>GÄVLEBORGS LÄN</t>
        </is>
      </c>
      <c r="G502" t="inlineStr">
        <is>
          <t>SANDVIKEN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61299-2025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46297</v>
      </c>
      <c r="F503" t="inlineStr">
        <is>
          <t>GÄVLEBORGS LÄN</t>
        </is>
      </c>
      <c r="G503" t="inlineStr">
        <is>
          <t>SANDVIKEN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13194-2025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45735</v>
      </c>
      <c r="E504" s="1" t="n">
        <v>46297</v>
      </c>
      <c r="F504" t="inlineStr">
        <is>
          <t>GÄVLEBORGS LÄN</t>
        </is>
      </c>
      <c r="G504" t="inlineStr">
        <is>
          <t>SANDVIKEN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46297</v>
      </c>
      <c r="F505" t="inlineStr">
        <is>
          <t>GÄVLEBORGS LÄN</t>
        </is>
      </c>
      <c r="G505" t="inlineStr">
        <is>
          <t>SANDVIKEN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45779</v>
      </c>
      <c r="E506" s="1" t="n">
        <v>46297</v>
      </c>
      <c r="F506" t="inlineStr">
        <is>
          <t>GÄVLEBORGS LÄN</t>
        </is>
      </c>
      <c r="G506" t="inlineStr">
        <is>
          <t>SANDVIKEN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61858-2024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45649</v>
      </c>
      <c r="E507" s="1" t="n">
        <v>46297</v>
      </c>
      <c r="F507" t="inlineStr">
        <is>
          <t>GÄVLEBORGS LÄN</t>
        </is>
      </c>
      <c r="G507" t="inlineStr">
        <is>
          <t>SANDVIKEN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45649</v>
      </c>
      <c r="E508" s="1" t="n">
        <v>46297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46297</v>
      </c>
      <c r="F509" t="inlineStr">
        <is>
          <t>GÄVLEBORGS LÄN</t>
        </is>
      </c>
      <c r="G509" t="inlineStr">
        <is>
          <t>SANDVIKEN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46297</v>
      </c>
      <c r="F510" t="inlineStr">
        <is>
          <t>GÄVLEBORGS LÄN</t>
        </is>
      </c>
      <c r="G510" t="inlineStr">
        <is>
          <t>SANDVIKEN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45226</v>
      </c>
      <c r="E511" s="1" t="n">
        <v>46297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8570-2026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46065</v>
      </c>
      <c r="E512" s="1" t="n">
        <v>46297</v>
      </c>
      <c r="F512" t="inlineStr">
        <is>
          <t>GÄVLEBORGS LÄN</t>
        </is>
      </c>
      <c r="G512" t="inlineStr">
        <is>
          <t>SANDVIKEN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46297</v>
      </c>
      <c r="F513" t="inlineStr">
        <is>
          <t>GÄVLEBORGS LÄN</t>
        </is>
      </c>
      <c r="G513" t="inlineStr">
        <is>
          <t>SANDVIKEN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46297</v>
      </c>
      <c r="F514" t="inlineStr">
        <is>
          <t>GÄVLEBORGS LÄN</t>
        </is>
      </c>
      <c r="G514" t="inlineStr">
        <is>
          <t>SANDVIKEN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45984</v>
      </c>
      <c r="E515" s="1" t="n">
        <v>46297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44101-2023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45188</v>
      </c>
      <c r="E516" s="1" t="n">
        <v>46297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30203-2025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46297</v>
      </c>
      <c r="F517" t="inlineStr">
        <is>
          <t>GÄVLEBORGS LÄN</t>
        </is>
      </c>
      <c r="G517" t="inlineStr">
        <is>
          <t>SANDVIKEN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46297</v>
      </c>
      <c r="F518" t="inlineStr">
        <is>
          <t>GÄVLEBORGS LÄN</t>
        </is>
      </c>
      <c r="G518" t="inlineStr">
        <is>
          <t>SANDVIKEN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46297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30843-2025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45831</v>
      </c>
      <c r="E520" s="1" t="n">
        <v>46297</v>
      </c>
      <c r="F520" t="inlineStr">
        <is>
          <t>GÄVLEBORGS LÄN</t>
        </is>
      </c>
      <c r="G520" t="inlineStr">
        <is>
          <t>SANDVIKEN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55539-2023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46297</v>
      </c>
      <c r="F521" t="inlineStr">
        <is>
          <t>GÄVLEBORGS LÄN</t>
        </is>
      </c>
      <c r="G521" t="inlineStr">
        <is>
          <t>SANDVIKEN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31460-2025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45833</v>
      </c>
      <c r="E522" s="1" t="n">
        <v>46297</v>
      </c>
      <c r="F522" t="inlineStr">
        <is>
          <t>GÄVLEBORGS LÄN</t>
        </is>
      </c>
      <c r="G522" t="inlineStr">
        <is>
          <t>SANDVIKEN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42107-2024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45562</v>
      </c>
      <c r="E523" s="1" t="n">
        <v>46297</v>
      </c>
      <c r="F523" t="inlineStr">
        <is>
          <t>GÄVLEBORGS LÄN</t>
        </is>
      </c>
      <c r="G523" t="inlineStr">
        <is>
          <t>SANDVIKEN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46297</v>
      </c>
      <c r="F524" t="inlineStr">
        <is>
          <t>GÄVLEBORGS LÄN</t>
        </is>
      </c>
      <c r="G524" t="inlineStr">
        <is>
          <t>SANDVIKEN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36656-2024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45537</v>
      </c>
      <c r="E525" s="1" t="n">
        <v>46297</v>
      </c>
      <c r="F525" t="inlineStr">
        <is>
          <t>GÄVLEBORGS LÄN</t>
        </is>
      </c>
      <c r="G525" t="inlineStr">
        <is>
          <t>SANDVIKEN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46297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46297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27.3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33757-2025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45842</v>
      </c>
      <c r="E528" s="1" t="n">
        <v>46297</v>
      </c>
      <c r="F528" t="inlineStr">
        <is>
          <t>GÄVLEBORGS LÄN</t>
        </is>
      </c>
      <c r="G528" t="inlineStr">
        <is>
          <t>SANDVIKEN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45845</v>
      </c>
      <c r="E529" s="1" t="n">
        <v>46297</v>
      </c>
      <c r="F529" t="inlineStr">
        <is>
          <t>GÄVLEBORGS LÄN</t>
        </is>
      </c>
      <c r="G529" t="inlineStr">
        <is>
          <t>SANDVIKEN</t>
        </is>
      </c>
      <c r="H529" t="inlineStr">
        <is>
          <t>Sveaskog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18357-2025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45762</v>
      </c>
      <c r="E530" s="1" t="n">
        <v>46297</v>
      </c>
      <c r="F530" t="inlineStr">
        <is>
          <t>GÄVLEBORGS LÄN</t>
        </is>
      </c>
      <c r="G530" t="inlineStr">
        <is>
          <t>SANDVIKEN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46297</v>
      </c>
      <c r="F531" t="inlineStr">
        <is>
          <t>GÄVLEBORGS LÄN</t>
        </is>
      </c>
      <c r="G531" t="inlineStr">
        <is>
          <t>SANDVIKEN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46297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45102-2022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44843</v>
      </c>
      <c r="E533" s="1" t="n">
        <v>46297</v>
      </c>
      <c r="F533" t="inlineStr">
        <is>
          <t>GÄVLEBORGS LÄN</t>
        </is>
      </c>
      <c r="G533" t="inlineStr">
        <is>
          <t>SANDVIKEN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49209-2024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45595</v>
      </c>
      <c r="E534" s="1" t="n">
        <v>46297</v>
      </c>
      <c r="F534" t="inlineStr">
        <is>
          <t>GÄVLEBORGS LÄN</t>
        </is>
      </c>
      <c r="G534" t="inlineStr">
        <is>
          <t>SANDVIKEN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46297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45191</v>
      </c>
      <c r="E536" s="1" t="n">
        <v>46297</v>
      </c>
      <c r="F536" t="inlineStr">
        <is>
          <t>GÄVLEBORGS LÄN</t>
        </is>
      </c>
      <c r="G536" t="inlineStr">
        <is>
          <t>SANDVIKEN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46044</v>
      </c>
      <c r="E537" s="1" t="n">
        <v>46297</v>
      </c>
      <c r="F537" t="inlineStr">
        <is>
          <t>GÄVLEBORGS LÄN</t>
        </is>
      </c>
      <c r="G537" t="inlineStr">
        <is>
          <t>SANDVIKEN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46061</v>
      </c>
      <c r="E538" s="1" t="n">
        <v>46297</v>
      </c>
      <c r="F538" t="inlineStr">
        <is>
          <t>GÄVLEBORGS LÄN</t>
        </is>
      </c>
      <c r="G538" t="inlineStr">
        <is>
          <t>SANDVIKEN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44717-2025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45917</v>
      </c>
      <c r="E539" s="1" t="n">
        <v>46297</v>
      </c>
      <c r="F539" t="inlineStr">
        <is>
          <t>GÄVLEBORGS LÄN</t>
        </is>
      </c>
      <c r="G539" t="inlineStr">
        <is>
          <t>SANDVIKEN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36107-2025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45866</v>
      </c>
      <c r="E540" s="1" t="n">
        <v>46297</v>
      </c>
      <c r="F540" t="inlineStr">
        <is>
          <t>GÄVLEBORGS LÄN</t>
        </is>
      </c>
      <c r="G540" t="inlineStr">
        <is>
          <t>SANDVIKEN</t>
        </is>
      </c>
      <c r="H540" t="inlineStr">
        <is>
          <t>Sveaskog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35995-2025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45863</v>
      </c>
      <c r="E541" s="1" t="n">
        <v>46297</v>
      </c>
      <c r="F541" t="inlineStr">
        <is>
          <t>GÄVLEBORGS LÄN</t>
        </is>
      </c>
      <c r="G541" t="inlineStr">
        <is>
          <t>SANDVIKEN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36091-2025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45866</v>
      </c>
      <c r="E542" s="1" t="n">
        <v>46297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45771</v>
      </c>
      <c r="E543" s="1" t="n">
        <v>46297</v>
      </c>
      <c r="F543" t="inlineStr">
        <is>
          <t>GÄVLEBORGS LÄN</t>
        </is>
      </c>
      <c r="G543" t="inlineStr">
        <is>
          <t>SANDVIKEN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45867</v>
      </c>
      <c r="E544" s="1" t="n">
        <v>46297</v>
      </c>
      <c r="F544" t="inlineStr">
        <is>
          <t>GÄVLEBORGS LÄN</t>
        </is>
      </c>
      <c r="G544" t="inlineStr">
        <is>
          <t>SANDVIKEN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45870</v>
      </c>
      <c r="E545" s="1" t="n">
        <v>46297</v>
      </c>
      <c r="F545" t="inlineStr">
        <is>
          <t>GÄVLEBORGS LÄN</t>
        </is>
      </c>
      <c r="G545" t="inlineStr">
        <is>
          <t>SANDVIKEN</t>
        </is>
      </c>
      <c r="H545" t="inlineStr">
        <is>
          <t>Sveaskog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4539-2026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46046</v>
      </c>
      <c r="E546" s="1" t="n">
        <v>46297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46297</v>
      </c>
      <c r="F547" t="inlineStr">
        <is>
          <t>GÄVLEBORGS LÄN</t>
        </is>
      </c>
      <c r="G547" t="inlineStr">
        <is>
          <t>SANDVIKEN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32849-2022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44784</v>
      </c>
      <c r="E548" s="1" t="n">
        <v>46297</v>
      </c>
      <c r="F548" t="inlineStr">
        <is>
          <t>GÄVLEBORGS LÄN</t>
        </is>
      </c>
      <c r="G548" t="inlineStr">
        <is>
          <t>SANDVIKEN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45873</v>
      </c>
      <c r="E549" s="1" t="n">
        <v>46297</v>
      </c>
      <c r="F549" t="inlineStr">
        <is>
          <t>GÄVLEBORGS LÄN</t>
        </is>
      </c>
      <c r="G549" t="inlineStr">
        <is>
          <t>SANDVIKEN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46140</v>
      </c>
      <c r="E550" s="1" t="n">
        <v>46297</v>
      </c>
      <c r="F550" t="inlineStr">
        <is>
          <t>GÄVLEBORGS LÄN</t>
        </is>
      </c>
      <c r="G550" t="inlineStr">
        <is>
          <t>SANDVIKEN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46297</v>
      </c>
      <c r="F551" t="inlineStr">
        <is>
          <t>GÄVLEBORGS LÄN</t>
        </is>
      </c>
      <c r="G551" t="inlineStr">
        <is>
          <t>SANDVIKEN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45873</v>
      </c>
      <c r="E552" s="1" t="n">
        <v>46297</v>
      </c>
      <c r="F552" t="inlineStr">
        <is>
          <t>GÄVLEBORGS LÄN</t>
        </is>
      </c>
      <c r="G552" t="inlineStr">
        <is>
          <t>SANDVIKEN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7073-2026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46297</v>
      </c>
      <c r="F553" t="inlineStr">
        <is>
          <t>GÄVLEBORGS LÄN</t>
        </is>
      </c>
      <c r="G553" t="inlineStr">
        <is>
          <t>SANDVIKEN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11894-2026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46085</v>
      </c>
      <c r="E554" s="1" t="n">
        <v>46297</v>
      </c>
      <c r="F554" t="inlineStr">
        <is>
          <t>GÄVLEBORGS LÄN</t>
        </is>
      </c>
      <c r="G554" t="inlineStr">
        <is>
          <t>SANDVIKEN</t>
        </is>
      </c>
      <c r="I554" t="n">
        <v>8.199999999999999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11205-2026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46080</v>
      </c>
      <c r="E555" s="1" t="n">
        <v>46297</v>
      </c>
      <c r="F555" t="inlineStr">
        <is>
          <t>GÄVLEBORGS LÄN</t>
        </is>
      </c>
      <c r="G555" t="inlineStr">
        <is>
          <t>SANDVIKEN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36793-2025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45873</v>
      </c>
      <c r="E556" s="1" t="n">
        <v>46297</v>
      </c>
      <c r="F556" t="inlineStr">
        <is>
          <t>GÄVLEBORGS LÄN</t>
        </is>
      </c>
      <c r="G556" t="inlineStr">
        <is>
          <t>SANDVIKEN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36795-2025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45873</v>
      </c>
      <c r="E557" s="1" t="n">
        <v>46297</v>
      </c>
      <c r="F557" t="inlineStr">
        <is>
          <t>GÄVLEBORGS LÄN</t>
        </is>
      </c>
      <c r="G557" t="inlineStr">
        <is>
          <t>SANDVIKEN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46297</v>
      </c>
      <c r="F558" t="inlineStr">
        <is>
          <t>GÄVLEBORGS LÄN</t>
        </is>
      </c>
      <c r="G558" t="inlineStr">
        <is>
          <t>SANDVIKEN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50900-2024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45602</v>
      </c>
      <c r="E559" s="1" t="n">
        <v>46297</v>
      </c>
      <c r="F559" t="inlineStr">
        <is>
          <t>GÄVLEBORGS LÄN</t>
        </is>
      </c>
      <c r="G559" t="inlineStr">
        <is>
          <t>SANDVIKEN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46297</v>
      </c>
      <c r="F560" t="inlineStr">
        <is>
          <t>GÄVLEBORGS LÄN</t>
        </is>
      </c>
      <c r="G560" t="inlineStr">
        <is>
          <t>SANDVIKEN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38319-2025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45883</v>
      </c>
      <c r="E561" s="1" t="n">
        <v>46297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46297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46297</v>
      </c>
      <c r="F563" t="inlineStr">
        <is>
          <t>GÄVLEBORGS LÄN</t>
        </is>
      </c>
      <c r="G563" t="inlineStr">
        <is>
          <t>SANDVIKEN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6765-2025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45700</v>
      </c>
      <c r="E564" s="1" t="n">
        <v>46297</v>
      </c>
      <c r="F564" t="inlineStr">
        <is>
          <t>GÄVLEBORGS LÄN</t>
        </is>
      </c>
      <c r="G564" t="inlineStr">
        <is>
          <t>SANDVIKEN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46297</v>
      </c>
      <c r="F565" t="inlineStr">
        <is>
          <t>GÄVLEBORGS LÄN</t>
        </is>
      </c>
      <c r="G565" t="inlineStr">
        <is>
          <t>SANDVIKEN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46297</v>
      </c>
      <c r="F566" t="inlineStr">
        <is>
          <t>GÄVLEBORGS LÄN</t>
        </is>
      </c>
      <c r="G566" t="inlineStr">
        <is>
          <t>SANDVIKEN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46105</v>
      </c>
      <c r="E567" s="1" t="n">
        <v>46297</v>
      </c>
      <c r="F567" t="inlineStr">
        <is>
          <t>GÄVLEBORGS LÄN</t>
        </is>
      </c>
      <c r="G567" t="inlineStr">
        <is>
          <t>SANDVIKEN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46297</v>
      </c>
      <c r="F568" t="inlineStr">
        <is>
          <t>GÄVLEBORGS LÄN</t>
        </is>
      </c>
      <c r="G568" t="inlineStr">
        <is>
          <t>SANDVIKEN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46071</v>
      </c>
      <c r="E569" s="1" t="n">
        <v>46297</v>
      </c>
      <c r="F569" t="inlineStr">
        <is>
          <t>GÄVLEBORGS LÄN</t>
        </is>
      </c>
      <c r="G569" t="inlineStr">
        <is>
          <t>SANDVIKEN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45257</v>
      </c>
      <c r="E570" s="1" t="n">
        <v>46297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46297</v>
      </c>
      <c r="F571" t="inlineStr">
        <is>
          <t>GÄVLEBORGS LÄN</t>
        </is>
      </c>
      <c r="G571" t="inlineStr">
        <is>
          <t>SANDVIKEN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45523</v>
      </c>
      <c r="E572" s="1" t="n">
        <v>46297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46297</v>
      </c>
      <c r="F573" t="inlineStr">
        <is>
          <t>GÄVLEBORGS LÄN</t>
        </is>
      </c>
      <c r="G573" t="inlineStr">
        <is>
          <t>SANDVIKEN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46297</v>
      </c>
      <c r="F574" t="inlineStr">
        <is>
          <t>GÄVLEBORGS LÄN</t>
        </is>
      </c>
      <c r="G574" t="inlineStr">
        <is>
          <t>SANDVIKEN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12477-2026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46090</v>
      </c>
      <c r="E575" s="1" t="n">
        <v>46297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46297</v>
      </c>
      <c r="F576" t="inlineStr">
        <is>
          <t>GÄVLEBORGS LÄN</t>
        </is>
      </c>
      <c r="G576" t="inlineStr">
        <is>
          <t>SANDVIKEN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9694-2026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46072</v>
      </c>
      <c r="E577" s="1" t="n">
        <v>46297</v>
      </c>
      <c r="F577" t="inlineStr">
        <is>
          <t>GÄVLEBORGS LÄN</t>
        </is>
      </c>
      <c r="G577" t="inlineStr">
        <is>
          <t>SANDVIKEN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46297</v>
      </c>
      <c r="F578" t="inlineStr">
        <is>
          <t>GÄVLEBORGS LÄN</t>
        </is>
      </c>
      <c r="G578" t="inlineStr">
        <is>
          <t>SANDVIKEN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16980-2025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45755</v>
      </c>
      <c r="E579" s="1" t="n">
        <v>46297</v>
      </c>
      <c r="F579" t="inlineStr">
        <is>
          <t>GÄVLEBORGS LÄN</t>
        </is>
      </c>
      <c r="G579" t="inlineStr">
        <is>
          <t>SANDVIKEN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49211-2023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45210</v>
      </c>
      <c r="E580" s="1" t="n">
        <v>46297</v>
      </c>
      <c r="F580" t="inlineStr">
        <is>
          <t>GÄVLEBORGS LÄN</t>
        </is>
      </c>
      <c r="G580" t="inlineStr">
        <is>
          <t>SANDVIKEN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59738-2022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44908</v>
      </c>
      <c r="E581" s="1" t="n">
        <v>46297</v>
      </c>
      <c r="F581" t="inlineStr">
        <is>
          <t>GÄVLEBORGS LÄN</t>
        </is>
      </c>
      <c r="G581" t="inlineStr">
        <is>
          <t>SANDVIKEN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46297</v>
      </c>
      <c r="F582" t="inlineStr">
        <is>
          <t>GÄVLEBORGS LÄN</t>
        </is>
      </c>
      <c r="G582" t="inlineStr">
        <is>
          <t>SANDVIKEN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58796-2024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45636</v>
      </c>
      <c r="E583" s="1" t="n">
        <v>46297</v>
      </c>
      <c r="F583" t="inlineStr">
        <is>
          <t>GÄVLEBORGS LÄN</t>
        </is>
      </c>
      <c r="G583" t="inlineStr">
        <is>
          <t>SANDVIKEN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10575-2025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45721</v>
      </c>
      <c r="E584" s="1" t="n">
        <v>46297</v>
      </c>
      <c r="F584" t="inlineStr">
        <is>
          <t>GÄVLEBORGS LÄN</t>
        </is>
      </c>
      <c r="G584" t="inlineStr">
        <is>
          <t>SANDVIKEN</t>
        </is>
      </c>
      <c r="H584" t="inlineStr">
        <is>
          <t>Sveaskog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10580-2025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45721</v>
      </c>
      <c r="E585" s="1" t="n">
        <v>46297</v>
      </c>
      <c r="F585" t="inlineStr">
        <is>
          <t>GÄVLEBORGS LÄN</t>
        </is>
      </c>
      <c r="G585" t="inlineStr">
        <is>
          <t>SANDVIKEN</t>
        </is>
      </c>
      <c r="H585" t="inlineStr">
        <is>
          <t>Sveaskog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45884</v>
      </c>
      <c r="E586" s="1" t="n">
        <v>46297</v>
      </c>
      <c r="F586" t="inlineStr">
        <is>
          <t>GÄVLEBORGS LÄN</t>
        </is>
      </c>
      <c r="G586" t="inlineStr">
        <is>
          <t>SANDVIKEN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46297</v>
      </c>
      <c r="F587" t="inlineStr">
        <is>
          <t>GÄVLEBORGS LÄN</t>
        </is>
      </c>
      <c r="G587" t="inlineStr">
        <is>
          <t>SANDVIKEN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46297</v>
      </c>
      <c r="F588" t="inlineStr">
        <is>
          <t>GÄVLEBORGS LÄN</t>
        </is>
      </c>
      <c r="G588" t="inlineStr">
        <is>
          <t>SANDVIKEN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46177-2022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44847</v>
      </c>
      <c r="E589" s="1" t="n">
        <v>46297</v>
      </c>
      <c r="F589" t="inlineStr">
        <is>
          <t>GÄVLEBORGS LÄN</t>
        </is>
      </c>
      <c r="G589" t="inlineStr">
        <is>
          <t>SANDVIKEN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46297</v>
      </c>
      <c r="F590" t="inlineStr">
        <is>
          <t>GÄVLEBORGS LÄN</t>
        </is>
      </c>
      <c r="G590" t="inlineStr">
        <is>
          <t>SANDVIKEN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46297</v>
      </c>
      <c r="F591" t="inlineStr">
        <is>
          <t>GÄVLEBORGS LÄN</t>
        </is>
      </c>
      <c r="G591" t="inlineStr">
        <is>
          <t>SANDVIKEN</t>
        </is>
      </c>
      <c r="H591" t="inlineStr">
        <is>
          <t>Kommuner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46147</v>
      </c>
      <c r="E592" s="1" t="n">
        <v>46297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46147</v>
      </c>
      <c r="E593" s="1" t="n">
        <v>46297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46147</v>
      </c>
      <c r="E594" s="1" t="n">
        <v>46297</v>
      </c>
      <c r="F594" t="inlineStr">
        <is>
          <t>GÄVLEBORGS LÄN</t>
        </is>
      </c>
      <c r="G594" t="inlineStr">
        <is>
          <t>SANDVIKEN</t>
        </is>
      </c>
      <c r="H594" t="inlineStr">
        <is>
          <t>Kommuner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46297</v>
      </c>
      <c r="F595" t="inlineStr">
        <is>
          <t>GÄVLEBORGS LÄN</t>
        </is>
      </c>
      <c r="G595" t="inlineStr">
        <is>
          <t>SANDVIKEN</t>
        </is>
      </c>
      <c r="H595" t="inlineStr">
        <is>
          <t>Kommuner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46150</v>
      </c>
      <c r="E596" s="1" t="n">
        <v>46297</v>
      </c>
      <c r="F596" t="inlineStr">
        <is>
          <t>GÄVLEBORGS LÄN</t>
        </is>
      </c>
      <c r="G596" t="inlineStr">
        <is>
          <t>SANDVIKEN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61774-2024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45649</v>
      </c>
      <c r="E597" s="1" t="n">
        <v>46297</v>
      </c>
      <c r="F597" t="inlineStr">
        <is>
          <t>GÄVLEBORGS LÄN</t>
        </is>
      </c>
      <c r="G597" t="inlineStr">
        <is>
          <t>SANDVIKEN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46297</v>
      </c>
      <c r="F598" t="inlineStr">
        <is>
          <t>GÄVLEBORGS LÄN</t>
        </is>
      </c>
      <c r="G598" t="inlineStr">
        <is>
          <t>SANDVIKEN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12120-2026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46086</v>
      </c>
      <c r="E599" s="1" t="n">
        <v>46297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46297</v>
      </c>
      <c r="F600" t="inlineStr">
        <is>
          <t>GÄVLEBORGS LÄN</t>
        </is>
      </c>
      <c r="G600" t="inlineStr">
        <is>
          <t>SANDVIKEN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46151</v>
      </c>
      <c r="E601" s="1" t="n">
        <v>46297</v>
      </c>
      <c r="F601" t="inlineStr">
        <is>
          <t>GÄVLEBORGS LÄN</t>
        </is>
      </c>
      <c r="G601" t="inlineStr">
        <is>
          <t>SANDVIKEN</t>
        </is>
      </c>
      <c r="I601" t="n">
        <v>11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46297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46050</v>
      </c>
      <c r="E603" s="1" t="n">
        <v>46297</v>
      </c>
      <c r="F603" t="inlineStr">
        <is>
          <t>GÄVLEBORGS LÄN</t>
        </is>
      </c>
      <c r="G603" t="inlineStr">
        <is>
          <t>SANDVIKEN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58363-2022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44901</v>
      </c>
      <c r="E604" s="1" t="n">
        <v>46297</v>
      </c>
      <c r="F604" t="inlineStr">
        <is>
          <t>GÄVLEBORGS LÄN</t>
        </is>
      </c>
      <c r="G604" t="inlineStr">
        <is>
          <t>SANDVIKEN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46297</v>
      </c>
      <c r="F605" t="inlineStr">
        <is>
          <t>GÄVLEBORGS LÄN</t>
        </is>
      </c>
      <c r="G605" t="inlineStr">
        <is>
          <t>SANDVIKEN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22068-2026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46297</v>
      </c>
      <c r="F606" t="inlineStr">
        <is>
          <t>GÄVLEBORGS LÄN</t>
        </is>
      </c>
      <c r="G606" t="inlineStr">
        <is>
          <t>SANDVIKEN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46297</v>
      </c>
      <c r="F607" t="inlineStr">
        <is>
          <t>GÄVLEBORGS LÄN</t>
        </is>
      </c>
      <c r="G607" t="inlineStr">
        <is>
          <t>SANDVIKEN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41790-2024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45561</v>
      </c>
      <c r="E608" s="1" t="n">
        <v>46297</v>
      </c>
      <c r="F608" t="inlineStr">
        <is>
          <t>GÄVLEBORGS LÄN</t>
        </is>
      </c>
      <c r="G608" t="inlineStr">
        <is>
          <t>SANDVIKEN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46297</v>
      </c>
      <c r="F609" t="inlineStr">
        <is>
          <t>GÄVLEBORGS LÄN</t>
        </is>
      </c>
      <c r="G609" t="inlineStr">
        <is>
          <t>SANDVIKEN</t>
        </is>
      </c>
      <c r="H609" t="inlineStr">
        <is>
          <t>Kommuner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45049</v>
      </c>
      <c r="E610" s="1" t="n">
        <v>46297</v>
      </c>
      <c r="F610" t="inlineStr">
        <is>
          <t>GÄVLEBORGS LÄN</t>
        </is>
      </c>
      <c r="G610" t="inlineStr">
        <is>
          <t>SANDVIKEN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13551-2026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46297</v>
      </c>
      <c r="F611" t="inlineStr">
        <is>
          <t>GÄVLEBORGS LÄN</t>
        </is>
      </c>
      <c r="G611" t="inlineStr">
        <is>
          <t>SANDVIKEN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61694-2021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44501</v>
      </c>
      <c r="E612" s="1" t="n">
        <v>46297</v>
      </c>
      <c r="F612" t="inlineStr">
        <is>
          <t>GÄVLEBORGS LÄN</t>
        </is>
      </c>
      <c r="G612" t="inlineStr">
        <is>
          <t>SANDVIKEN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10577-2025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45721</v>
      </c>
      <c r="E613" s="1" t="n">
        <v>46297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10.9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32609-2023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45121</v>
      </c>
      <c r="E614" s="1" t="n">
        <v>46297</v>
      </c>
      <c r="F614" t="inlineStr">
        <is>
          <t>GÄVLEBORGS LÄN</t>
        </is>
      </c>
      <c r="G614" t="inlineStr">
        <is>
          <t>SANDVIKEN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62047-2022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44918</v>
      </c>
      <c r="E615" s="1" t="n">
        <v>46297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16102-2026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46297</v>
      </c>
      <c r="F616" t="inlineStr">
        <is>
          <t>GÄVLEBORGS LÄN</t>
        </is>
      </c>
      <c r="G616" t="inlineStr">
        <is>
          <t>SANDVIKEN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45701</v>
      </c>
      <c r="E617" s="1" t="n">
        <v>46297</v>
      </c>
      <c r="F617" t="inlineStr">
        <is>
          <t>GÄVLEBORGS LÄN</t>
        </is>
      </c>
      <c r="G617" t="inlineStr">
        <is>
          <t>SANDVIKEN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14867-2026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46297</v>
      </c>
      <c r="F618" t="inlineStr">
        <is>
          <t>GÄVLEBORGS LÄN</t>
        </is>
      </c>
      <c r="G618" t="inlineStr">
        <is>
          <t>SANDVIKEN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73331-2021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44551</v>
      </c>
      <c r="E619" s="1" t="n">
        <v>46297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46115</v>
      </c>
      <c r="E620" s="1" t="n">
        <v>46297</v>
      </c>
      <c r="F620" t="inlineStr">
        <is>
          <t>GÄVLEBORGS LÄN</t>
        </is>
      </c>
      <c r="G620" t="inlineStr">
        <is>
          <t>SANDVIKEN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64225-2021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44510</v>
      </c>
      <c r="E621" s="1" t="n">
        <v>46297</v>
      </c>
      <c r="F621" t="inlineStr">
        <is>
          <t>GÄVLEBORGS LÄN</t>
        </is>
      </c>
      <c r="G621" t="inlineStr">
        <is>
          <t>SANDVIKEN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23144-2026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46161</v>
      </c>
      <c r="E622" s="1" t="n">
        <v>46297</v>
      </c>
      <c r="F622" t="inlineStr">
        <is>
          <t>GÄVLEBORGS LÄN</t>
        </is>
      </c>
      <c r="G622" t="inlineStr">
        <is>
          <t>SANDVIKEN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46297</v>
      </c>
      <c r="F623" t="inlineStr">
        <is>
          <t>GÄVLEBORGS LÄN</t>
        </is>
      </c>
      <c r="G623" t="inlineStr">
        <is>
          <t>SANDVIKEN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46297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46163</v>
      </c>
      <c r="E625" s="1" t="n">
        <v>46297</v>
      </c>
      <c r="F625" t="inlineStr">
        <is>
          <t>GÄVLEBORGS LÄN</t>
        </is>
      </c>
      <c r="G625" t="inlineStr">
        <is>
          <t>SANDVIKEN</t>
        </is>
      </c>
      <c r="H625" t="inlineStr">
        <is>
          <t>Övriga statliga verk och myndigheter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23493-2026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46297</v>
      </c>
      <c r="F626" t="inlineStr">
        <is>
          <t>GÄVLEBORGS LÄN</t>
        </is>
      </c>
      <c r="G626" t="inlineStr">
        <is>
          <t>SANDVIKEN</t>
        </is>
      </c>
      <c r="H626" t="inlineStr">
        <is>
          <t>Övriga statliga verk och myndigheter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46297</v>
      </c>
      <c r="F627" t="inlineStr">
        <is>
          <t>GÄVLEBORGS LÄN</t>
        </is>
      </c>
      <c r="G627" t="inlineStr">
        <is>
          <t>SANDVIKEN</t>
        </is>
      </c>
      <c r="I627" t="n">
        <v>14.2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23429-2026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46163</v>
      </c>
      <c r="E628" s="1" t="n">
        <v>46297</v>
      </c>
      <c r="F628" t="inlineStr">
        <is>
          <t>GÄVLEBORGS LÄN</t>
        </is>
      </c>
      <c r="G628" t="inlineStr">
        <is>
          <t>SANDVIKEN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38200-2024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45545</v>
      </c>
      <c r="E629" s="1" t="n">
        <v>46297</v>
      </c>
      <c r="F629" t="inlineStr">
        <is>
          <t>GÄVLEBORGS LÄN</t>
        </is>
      </c>
      <c r="G629" t="inlineStr">
        <is>
          <t>SANDVIKEN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23459-2026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46297</v>
      </c>
      <c r="F630" t="inlineStr">
        <is>
          <t>GÄVLEBORGS LÄN</t>
        </is>
      </c>
      <c r="G630" t="inlineStr">
        <is>
          <t>SANDVIKEN</t>
        </is>
      </c>
      <c r="H630" t="inlineStr">
        <is>
          <t>Övriga statliga verk och myndigheter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23471-2026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46297</v>
      </c>
      <c r="F631" t="inlineStr">
        <is>
          <t>GÄVLEBORGS LÄN</t>
        </is>
      </c>
      <c r="G631" t="inlineStr">
        <is>
          <t>SANDVIKEN</t>
        </is>
      </c>
      <c r="H631" t="inlineStr">
        <is>
          <t>Övriga statliga verk och myndigheter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46297</v>
      </c>
      <c r="F632" t="inlineStr">
        <is>
          <t>GÄVLEBORGS LÄN</t>
        </is>
      </c>
      <c r="G632" t="inlineStr">
        <is>
          <t>SANDVIKEN</t>
        </is>
      </c>
      <c r="H632" t="inlineStr">
        <is>
          <t>Övriga statliga verk och myndigheter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46165</v>
      </c>
      <c r="E633" s="1" t="n">
        <v>46297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23820-2026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46165</v>
      </c>
      <c r="E634" s="1" t="n">
        <v>46297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7.9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46165</v>
      </c>
      <c r="E635" s="1" t="n">
        <v>46297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23848-2026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46167</v>
      </c>
      <c r="E636" s="1" t="n">
        <v>46297</v>
      </c>
      <c r="F636" t="inlineStr">
        <is>
          <t>GÄVLEBORGS LÄN</t>
        </is>
      </c>
      <c r="G636" t="inlineStr">
        <is>
          <t>SANDVIKEN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24177-2026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46297</v>
      </c>
      <c r="F637" t="inlineStr">
        <is>
          <t>GÄVLEBORGS LÄN</t>
        </is>
      </c>
      <c r="G637" t="inlineStr">
        <is>
          <t>SANDVIKEN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29297-2024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45483</v>
      </c>
      <c r="E638" s="1" t="n">
        <v>46297</v>
      </c>
      <c r="F638" t="inlineStr">
        <is>
          <t>GÄVLEBORGS LÄN</t>
        </is>
      </c>
      <c r="G638" t="inlineStr">
        <is>
          <t>SANDVIKEN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23823-2026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46165</v>
      </c>
      <c r="E639" s="1" t="n">
        <v>46297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46165</v>
      </c>
      <c r="E640" s="1" t="n">
        <v>46297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46297</v>
      </c>
      <c r="F641" t="inlineStr">
        <is>
          <t>GÄVLEBORGS LÄN</t>
        </is>
      </c>
      <c r="G641" t="inlineStr">
        <is>
          <t>SANDVIKEN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45343</v>
      </c>
      <c r="E642" s="1" t="n">
        <v>46297</v>
      </c>
      <c r="F642" t="inlineStr">
        <is>
          <t>GÄVLEBORGS LÄN</t>
        </is>
      </c>
      <c r="G642" t="inlineStr">
        <is>
          <t>SANDVIKEN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46297</v>
      </c>
      <c r="F643" t="inlineStr">
        <is>
          <t>GÄVLEBORGS LÄN</t>
        </is>
      </c>
      <c r="G643" t="inlineStr">
        <is>
          <t>SANDVIKEN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24297-2026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46297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24303-2026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46297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11397-2023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44988</v>
      </c>
      <c r="E646" s="1" t="n">
        <v>46297</v>
      </c>
      <c r="F646" t="inlineStr">
        <is>
          <t>GÄVLEBORGS LÄN</t>
        </is>
      </c>
      <c r="G646" t="inlineStr">
        <is>
          <t>SANDVIKEN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46297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46297</v>
      </c>
      <c r="F648" t="inlineStr">
        <is>
          <t>GÄVLEBORGS LÄN</t>
        </is>
      </c>
      <c r="G648" t="inlineStr">
        <is>
          <t>SANDVIKEN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46297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8.9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24356-2026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46297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46052</v>
      </c>
      <c r="E651" s="1" t="n">
        <v>46297</v>
      </c>
      <c r="F651" t="inlineStr">
        <is>
          <t>GÄVLEBORGS LÄN</t>
        </is>
      </c>
      <c r="G651" t="inlineStr">
        <is>
          <t>SANDVIKEN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45112</v>
      </c>
      <c r="E652" s="1" t="n">
        <v>46297</v>
      </c>
      <c r="F652" t="inlineStr">
        <is>
          <t>GÄVLEBORGS LÄN</t>
        </is>
      </c>
      <c r="G652" t="inlineStr">
        <is>
          <t>SANDVIKEN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38215-2023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46297</v>
      </c>
      <c r="F653" t="inlineStr">
        <is>
          <t>GÄVLEBORGS LÄN</t>
        </is>
      </c>
      <c r="G653" t="inlineStr">
        <is>
          <t>SANDVIKEN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45615</v>
      </c>
      <c r="E654" s="1" t="n">
        <v>46297</v>
      </c>
      <c r="F654" t="inlineStr">
        <is>
          <t>GÄVLEBORGS LÄN</t>
        </is>
      </c>
      <c r="G654" t="inlineStr">
        <is>
          <t>SANDVIKEN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46171</v>
      </c>
      <c r="E655" s="1" t="n">
        <v>46297</v>
      </c>
      <c r="F655" t="inlineStr">
        <is>
          <t>GÄVLEBORGS LÄN</t>
        </is>
      </c>
      <c r="G655" t="inlineStr">
        <is>
          <t>SANDVIKEN</t>
        </is>
      </c>
      <c r="I655" t="n">
        <v>6.1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24627-2026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46171</v>
      </c>
      <c r="E656" s="1" t="n">
        <v>46297</v>
      </c>
      <c r="F656" t="inlineStr">
        <is>
          <t>GÄVLEBORGS LÄN</t>
        </is>
      </c>
      <c r="G656" t="inlineStr">
        <is>
          <t>SANDVIKEN</t>
        </is>
      </c>
      <c r="I656" t="n">
        <v>6.9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1039-2025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45666</v>
      </c>
      <c r="E657" s="1" t="n">
        <v>46297</v>
      </c>
      <c r="F657" t="inlineStr">
        <is>
          <t>GÄVLEBORGS LÄN</t>
        </is>
      </c>
      <c r="G657" t="inlineStr">
        <is>
          <t>SANDVIKEN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25220-2026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46175</v>
      </c>
      <c r="E658" s="1" t="n">
        <v>46297</v>
      </c>
      <c r="F658" t="inlineStr">
        <is>
          <t>GÄVLEBORGS LÄN</t>
        </is>
      </c>
      <c r="G658" t="inlineStr">
        <is>
          <t>SANDVIKEN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25249-2026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46297</v>
      </c>
      <c r="F659" t="inlineStr">
        <is>
          <t>GÄVLEBORGS LÄN</t>
        </is>
      </c>
      <c r="G659" t="inlineStr">
        <is>
          <t>SANDVIKEN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46297</v>
      </c>
      <c r="F660" t="inlineStr">
        <is>
          <t>GÄVLEBORGS LÄN</t>
        </is>
      </c>
      <c r="G660" t="inlineStr">
        <is>
          <t>SANDVIKEN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46175</v>
      </c>
      <c r="E661" s="1" t="n">
        <v>46297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46297</v>
      </c>
      <c r="F662" t="inlineStr">
        <is>
          <t>GÄVLEBORGS LÄN</t>
        </is>
      </c>
      <c r="G662" t="inlineStr">
        <is>
          <t>SANDVIKEN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46297</v>
      </c>
      <c r="F663" t="inlineStr">
        <is>
          <t>GÄVLEBORGS LÄN</t>
        </is>
      </c>
      <c r="G663" t="inlineStr">
        <is>
          <t>SANDVIKEN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8940-2026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46069</v>
      </c>
      <c r="E664" s="1" t="n">
        <v>46297</v>
      </c>
      <c r="F664" t="inlineStr">
        <is>
          <t>GÄVLEBORGS LÄN</t>
        </is>
      </c>
      <c r="G664" t="inlineStr">
        <is>
          <t>SANDVIKEN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19186-2026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46132</v>
      </c>
      <c r="E665" s="1" t="n">
        <v>46297</v>
      </c>
      <c r="F665" t="inlineStr">
        <is>
          <t>GÄVLEBORGS LÄN</t>
        </is>
      </c>
      <c r="G665" t="inlineStr">
        <is>
          <t>SANDVIKEN</t>
        </is>
      </c>
      <c r="H665" t="inlineStr">
        <is>
          <t>Sveaskog</t>
        </is>
      </c>
      <c r="I665" t="n">
        <v>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25456-2026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46297</v>
      </c>
      <c r="F666" t="inlineStr">
        <is>
          <t>GÄVLEBORGS LÄN</t>
        </is>
      </c>
      <c r="G666" t="inlineStr">
        <is>
          <t>SANDVIKEN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15788-2025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45748</v>
      </c>
      <c r="E667" s="1" t="n">
        <v>46297</v>
      </c>
      <c r="F667" t="inlineStr">
        <is>
          <t>GÄVLEBORGS LÄN</t>
        </is>
      </c>
      <c r="G667" t="inlineStr">
        <is>
          <t>SANDVIKEN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47889-2022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44855</v>
      </c>
      <c r="E668" s="1" t="n">
        <v>46297</v>
      </c>
      <c r="F668" t="inlineStr">
        <is>
          <t>GÄVLEBORGS LÄN</t>
        </is>
      </c>
      <c r="G668" t="inlineStr">
        <is>
          <t>SANDVIKEN</t>
        </is>
      </c>
      <c r="H668" t="inlineStr">
        <is>
          <t>Sveaskog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25412-2026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46297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46176</v>
      </c>
      <c r="E670" s="1" t="n">
        <v>46297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46297</v>
      </c>
      <c r="F671" t="inlineStr">
        <is>
          <t>GÄVLEBORGS LÄN</t>
        </is>
      </c>
      <c r="G671" t="inlineStr">
        <is>
          <t>SANDVIKEN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46297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46178</v>
      </c>
      <c r="E673" s="1" t="n">
        <v>46297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46297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38570-2023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45162</v>
      </c>
      <c r="E675" s="1" t="n">
        <v>46297</v>
      </c>
      <c r="F675" t="inlineStr">
        <is>
          <t>GÄVLEBORGS LÄN</t>
        </is>
      </c>
      <c r="G675" t="inlineStr">
        <is>
          <t>SANDVIKEN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25840-2026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46297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8.699999999999999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46178</v>
      </c>
      <c r="E677" s="1" t="n">
        <v>46297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30721-2023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45112</v>
      </c>
      <c r="E678" s="1" t="n">
        <v>46297</v>
      </c>
      <c r="F678" t="inlineStr">
        <is>
          <t>GÄVLEBORGS LÄN</t>
        </is>
      </c>
      <c r="G678" t="inlineStr">
        <is>
          <t>SANDVIKEN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3748-2022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44586</v>
      </c>
      <c r="E679" s="1" t="n">
        <v>46297</v>
      </c>
      <c r="F679" t="inlineStr">
        <is>
          <t>GÄVLEBORGS LÄN</t>
        </is>
      </c>
      <c r="G679" t="inlineStr">
        <is>
          <t>SANDVIKEN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32260-2023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45120</v>
      </c>
      <c r="E680" s="1" t="n">
        <v>46297</v>
      </c>
      <c r="F680" t="inlineStr">
        <is>
          <t>GÄVLEBORGS LÄN</t>
        </is>
      </c>
      <c r="G680" t="inlineStr">
        <is>
          <t>SANDVIKEN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17818-2025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45758</v>
      </c>
      <c r="E681" s="1" t="n">
        <v>46297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45299-2023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45191</v>
      </c>
      <c r="E682" s="1" t="n">
        <v>46297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59661-2024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45639</v>
      </c>
      <c r="E683" s="1" t="n">
        <v>46297</v>
      </c>
      <c r="F683" t="inlineStr">
        <is>
          <t>GÄVLEBORGS LÄN</t>
        </is>
      </c>
      <c r="G683" t="inlineStr">
        <is>
          <t>SANDVIKEN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72997-2021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44549</v>
      </c>
      <c r="E684" s="1" t="n">
        <v>46297</v>
      </c>
      <c r="F684" t="inlineStr">
        <is>
          <t>GÄVLEBORGS LÄN</t>
        </is>
      </c>
      <c r="G684" t="inlineStr">
        <is>
          <t>SANDVIKEN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25836-2026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46297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25691-2026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46297</v>
      </c>
      <c r="F686" t="inlineStr">
        <is>
          <t>GÄVLEBORGS LÄN</t>
        </is>
      </c>
      <c r="G686" t="inlineStr">
        <is>
          <t>SANDVIKEN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25841-2026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46297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38609-2022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44813</v>
      </c>
      <c r="E688" s="1" t="n">
        <v>46297</v>
      </c>
      <c r="F688" t="inlineStr">
        <is>
          <t>GÄVLEBORGS LÄN</t>
        </is>
      </c>
      <c r="G688" t="inlineStr">
        <is>
          <t>SANDVIKEN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37641-2024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46297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7032-2025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45701</v>
      </c>
      <c r="E690" s="1" t="n">
        <v>46297</v>
      </c>
      <c r="F690" t="inlineStr">
        <is>
          <t>GÄVLEBORGS LÄN</t>
        </is>
      </c>
      <c r="G690" t="inlineStr">
        <is>
          <t>SANDVIKEN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26601-2026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46183</v>
      </c>
      <c r="E691" s="1" t="n">
        <v>46297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44566</v>
      </c>
      <c r="E692" s="1" t="n">
        <v>46297</v>
      </c>
      <c r="F692" t="inlineStr">
        <is>
          <t>GÄVLEBORGS LÄN</t>
        </is>
      </c>
      <c r="G692" t="inlineStr">
        <is>
          <t>SANDVIKEN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46297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36656-2023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45153</v>
      </c>
      <c r="E694" s="1" t="n">
        <v>46297</v>
      </c>
      <c r="F694" t="inlineStr">
        <is>
          <t>GÄVLEBORGS LÄN</t>
        </is>
      </c>
      <c r="G694" t="inlineStr">
        <is>
          <t>SANDVIKEN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45153</v>
      </c>
      <c r="E695" s="1" t="n">
        <v>46297</v>
      </c>
      <c r="F695" t="inlineStr">
        <is>
          <t>GÄVLEBORGS LÄN</t>
        </is>
      </c>
      <c r="G695" t="inlineStr">
        <is>
          <t>SANDVIKEN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46297</v>
      </c>
      <c r="F696" t="inlineStr">
        <is>
          <t>GÄVLEBORGS LÄN</t>
        </is>
      </c>
      <c r="G696" t="inlineStr">
        <is>
          <t>SANDVIKEN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26964-2026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46297</v>
      </c>
      <c r="F697" t="inlineStr">
        <is>
          <t>GÄVLEBORGS LÄN</t>
        </is>
      </c>
      <c r="G697" t="inlineStr">
        <is>
          <t>SANDVIKEN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26818-2026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46297</v>
      </c>
      <c r="F698" t="inlineStr">
        <is>
          <t>GÄVLEBORGS LÄN</t>
        </is>
      </c>
      <c r="G698" t="inlineStr">
        <is>
          <t>SANDVIKEN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46297</v>
      </c>
      <c r="F699" t="inlineStr">
        <is>
          <t>GÄVLEBORGS LÄN</t>
        </is>
      </c>
      <c r="G699" t="inlineStr">
        <is>
          <t>SANDVIKEN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26780-2026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46297</v>
      </c>
      <c r="F700" t="inlineStr">
        <is>
          <t>GÄVLEBORGS LÄN</t>
        </is>
      </c>
      <c r="G700" t="inlineStr">
        <is>
          <t>SANDVIKEN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26763-2026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46184</v>
      </c>
      <c r="E701" s="1" t="n">
        <v>46297</v>
      </c>
      <c r="F701" t="inlineStr">
        <is>
          <t>GÄVLEBORGS LÄN</t>
        </is>
      </c>
      <c r="G701" t="inlineStr">
        <is>
          <t>SANDVIKEN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30718-2023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45112</v>
      </c>
      <c r="E702" s="1" t="n">
        <v>46297</v>
      </c>
      <c r="F702" t="inlineStr">
        <is>
          <t>GÄVLEBORGS LÄN</t>
        </is>
      </c>
      <c r="G702" t="inlineStr">
        <is>
          <t>SANDVIKEN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59614-2024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45638</v>
      </c>
      <c r="E703" s="1" t="n">
        <v>46297</v>
      </c>
      <c r="F703" t="inlineStr">
        <is>
          <t>GÄVLEBORGS LÄN</t>
        </is>
      </c>
      <c r="G703" t="inlineStr">
        <is>
          <t>SANDVIKEN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14720-2026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46297</v>
      </c>
      <c r="F704" t="inlineStr">
        <is>
          <t>GÄVLEBORGS LÄN</t>
        </is>
      </c>
      <c r="G704" t="inlineStr">
        <is>
          <t>SANDVIKEN</t>
        </is>
      </c>
      <c r="H704" t="inlineStr">
        <is>
          <t>Kommuner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45673</v>
      </c>
      <c r="E705" s="1" t="n">
        <v>46297</v>
      </c>
      <c r="F705" t="inlineStr">
        <is>
          <t>GÄVLEBORGS LÄN</t>
        </is>
      </c>
      <c r="G705" t="inlineStr">
        <is>
          <t>SANDVIKEN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27743-2026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46191</v>
      </c>
      <c r="E706" s="1" t="n">
        <v>46297</v>
      </c>
      <c r="F706" t="inlineStr">
        <is>
          <t>GÄVLEBORGS LÄN</t>
        </is>
      </c>
      <c r="G706" t="inlineStr">
        <is>
          <t>SANDVIKEN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46034</v>
      </c>
      <c r="E707" s="1" t="n">
        <v>46297</v>
      </c>
      <c r="F707" t="inlineStr">
        <is>
          <t>GÄVLEBORGS LÄN</t>
        </is>
      </c>
      <c r="G707" t="inlineStr">
        <is>
          <t>SANDVIKEN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37697-2022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44810</v>
      </c>
      <c r="E708" s="1" t="n">
        <v>46297</v>
      </c>
      <c r="F708" t="inlineStr">
        <is>
          <t>GÄVLEBORGS LÄN</t>
        </is>
      </c>
      <c r="G708" t="inlineStr">
        <is>
          <t>SANDVIKEN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27588-2026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46297</v>
      </c>
      <c r="F709" t="inlineStr">
        <is>
          <t>GÄVLEBORGS LÄN</t>
        </is>
      </c>
      <c r="G709" t="inlineStr">
        <is>
          <t>SANDVIKEN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49706-2023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45212</v>
      </c>
      <c r="E710" s="1" t="n">
        <v>46297</v>
      </c>
      <c r="F710" t="inlineStr">
        <is>
          <t>GÄVLEBORGS LÄN</t>
        </is>
      </c>
      <c r="G710" t="inlineStr">
        <is>
          <t>SANDVIKEN</t>
        </is>
      </c>
      <c r="H710" t="inlineStr">
        <is>
          <t>Sveaskog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28845-2026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46195</v>
      </c>
      <c r="E711" s="1" t="n">
        <v>46297</v>
      </c>
      <c r="F711" t="inlineStr">
        <is>
          <t>GÄVLEBORGS LÄN</t>
        </is>
      </c>
      <c r="G711" t="inlineStr">
        <is>
          <t>SANDVIKEN</t>
        </is>
      </c>
      <c r="H711" t="inlineStr">
        <is>
          <t>Sveaskog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48300-2023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45205</v>
      </c>
      <c r="E712" s="1" t="n">
        <v>46297</v>
      </c>
      <c r="F712" t="inlineStr">
        <is>
          <t>GÄVLEBORGS LÄN</t>
        </is>
      </c>
      <c r="G712" t="inlineStr">
        <is>
          <t>SANDVIKEN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48597-2023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45208</v>
      </c>
      <c r="E713" s="1" t="n">
        <v>46297</v>
      </c>
      <c r="F713" t="inlineStr">
        <is>
          <t>GÄVLEBORGS LÄN</t>
        </is>
      </c>
      <c r="G713" t="inlineStr">
        <is>
          <t>SANDVIKEN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28340-2026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46297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26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28344-2026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46297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49512-2023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45211</v>
      </c>
      <c r="E716" s="1" t="n">
        <v>46297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45666</v>
      </c>
      <c r="E717" s="1" t="n">
        <v>46297</v>
      </c>
      <c r="F717" t="inlineStr">
        <is>
          <t>GÄVLEBORGS LÄN</t>
        </is>
      </c>
      <c r="G717" t="inlineStr">
        <is>
          <t>SANDVIKEN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46297</v>
      </c>
      <c r="F718" t="inlineStr">
        <is>
          <t>GÄVLEBORGS LÄN</t>
        </is>
      </c>
      <c r="G718" t="inlineStr">
        <is>
          <t>SANDVIKEN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46196</v>
      </c>
      <c r="E719" s="1" t="n">
        <v>46297</v>
      </c>
      <c r="F719" t="inlineStr">
        <is>
          <t>GÄVLEBORGS LÄN</t>
        </is>
      </c>
      <c r="G719" t="inlineStr">
        <is>
          <t>SANDVIKEN</t>
        </is>
      </c>
      <c r="H719" t="inlineStr">
        <is>
          <t>Sveaskog</t>
        </is>
      </c>
      <c r="I719" t="n">
        <v>11.9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45698</v>
      </c>
      <c r="E720" s="1" t="n">
        <v>46297</v>
      </c>
      <c r="F720" t="inlineStr">
        <is>
          <t>GÄVLEBORGS LÄN</t>
        </is>
      </c>
      <c r="G720" t="inlineStr">
        <is>
          <t>SANDVIKEN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45209</v>
      </c>
      <c r="E721" s="1" t="n">
        <v>46297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56036-2023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45240</v>
      </c>
      <c r="E722" s="1" t="n">
        <v>46297</v>
      </c>
      <c r="F722" t="inlineStr">
        <is>
          <t>GÄVLEBORGS LÄN</t>
        </is>
      </c>
      <c r="G722" t="inlineStr">
        <is>
          <t>SANDVIKEN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46201</v>
      </c>
      <c r="E723" s="1" t="n">
        <v>46297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46297</v>
      </c>
      <c r="F724" t="inlineStr">
        <is>
          <t>GÄVLEBORGS LÄN</t>
        </is>
      </c>
      <c r="G724" t="inlineStr">
        <is>
          <t>SANDVIKEN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29321-2026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46297</v>
      </c>
      <c r="F725" t="inlineStr">
        <is>
          <t>GÄVLEBORGS LÄN</t>
        </is>
      </c>
      <c r="G725" t="inlineStr">
        <is>
          <t>SANDVIKEN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61052-2024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45645</v>
      </c>
      <c r="E726" s="1" t="n">
        <v>46297</v>
      </c>
      <c r="F726" t="inlineStr">
        <is>
          <t>GÄVLEBORGS LÄN</t>
        </is>
      </c>
      <c r="G726" t="inlineStr">
        <is>
          <t>SANDVIKEN</t>
        </is>
      </c>
      <c r="H726" t="inlineStr">
        <is>
          <t>Naturvårdsverket</t>
        </is>
      </c>
      <c r="I726" t="n">
        <v>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46297</v>
      </c>
      <c r="F727" t="inlineStr">
        <is>
          <t>GÄVLEBORGS LÄN</t>
        </is>
      </c>
      <c r="G727" t="inlineStr">
        <is>
          <t>SANDVIKEN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46297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7038-2025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45701</v>
      </c>
      <c r="E729" s="1" t="n">
        <v>46297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7056-2025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45701</v>
      </c>
      <c r="E730" s="1" t="n">
        <v>46297</v>
      </c>
      <c r="F730" t="inlineStr">
        <is>
          <t>GÄVLEBORGS LÄN</t>
        </is>
      </c>
      <c r="G730" t="inlineStr">
        <is>
          <t>SANDVIKEN</t>
        </is>
      </c>
      <c r="I730" t="n">
        <v>6.4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46297</v>
      </c>
      <c r="F731" t="inlineStr">
        <is>
          <t>GÄVLEBORGS LÄN</t>
        </is>
      </c>
      <c r="G731" t="inlineStr">
        <is>
          <t>SANDVIKEN</t>
        </is>
      </c>
      <c r="H731" t="inlineStr">
        <is>
          <t>Naturvårdsverket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53867-2024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45615</v>
      </c>
      <c r="E732" s="1" t="n">
        <v>46297</v>
      </c>
      <c r="F732" t="inlineStr">
        <is>
          <t>GÄVLEBORGS LÄN</t>
        </is>
      </c>
      <c r="G732" t="inlineStr">
        <is>
          <t>SANDVIKEN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46297</v>
      </c>
      <c r="F733" t="inlineStr">
        <is>
          <t>GÄVLEBORGS LÄN</t>
        </is>
      </c>
      <c r="G733" t="inlineStr">
        <is>
          <t>SANDVIKEN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29620-2026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46297</v>
      </c>
      <c r="F734" t="inlineStr">
        <is>
          <t>GÄVLEBORGS LÄN</t>
        </is>
      </c>
      <c r="G734" t="inlineStr">
        <is>
          <t>SANDVIKEN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29842-2026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46205</v>
      </c>
      <c r="E735" s="1" t="n">
        <v>46297</v>
      </c>
      <c r="F735" t="inlineStr">
        <is>
          <t>GÄVLEBORGS LÄN</t>
        </is>
      </c>
      <c r="G735" t="inlineStr">
        <is>
          <t>SANDVIKEN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46297</v>
      </c>
      <c r="F736" t="inlineStr">
        <is>
          <t>GÄVLEBORGS LÄN</t>
        </is>
      </c>
      <c r="G736" t="inlineStr">
        <is>
          <t>SANDVIKEN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46297</v>
      </c>
      <c r="F737" t="inlineStr">
        <is>
          <t>GÄVLEBORGS LÄN</t>
        </is>
      </c>
      <c r="G737" t="inlineStr">
        <is>
          <t>SANDVIKEN</t>
        </is>
      </c>
      <c r="I737" t="n">
        <v>5.4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29715-2026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46204</v>
      </c>
      <c r="E738" s="1" t="n">
        <v>46297</v>
      </c>
      <c r="F738" t="inlineStr">
        <is>
          <t>GÄVLEBORGS LÄN</t>
        </is>
      </c>
      <c r="G738" t="inlineStr">
        <is>
          <t>SANDVIKEN</t>
        </is>
      </c>
      <c r="H738" t="inlineStr">
        <is>
          <t>Naturvårdsverket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29681-2026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46297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45688</v>
      </c>
      <c r="E740" s="1" t="n">
        <v>46297</v>
      </c>
      <c r="F740" t="inlineStr">
        <is>
          <t>GÄVLEBORGS LÄN</t>
        </is>
      </c>
      <c r="G740" t="inlineStr">
        <is>
          <t>SANDVIKEN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29616-2026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46297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29833-2026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46297</v>
      </c>
      <c r="F742" t="inlineStr">
        <is>
          <t>GÄVLEBORGS LÄN</t>
        </is>
      </c>
      <c r="G742" t="inlineStr">
        <is>
          <t>SANDVIKEN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19269-2025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45769</v>
      </c>
      <c r="E743" s="1" t="n">
        <v>46297</v>
      </c>
      <c r="F743" t="inlineStr">
        <is>
          <t>GÄVLEBORGS LÄN</t>
        </is>
      </c>
      <c r="G743" t="inlineStr">
        <is>
          <t>SANDVIKEN</t>
        </is>
      </c>
      <c r="I743" t="n">
        <v>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22851-2026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46160</v>
      </c>
      <c r="E744" s="1" t="n">
        <v>46297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58911-2023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45250</v>
      </c>
      <c r="E745" s="1" t="n">
        <v>46297</v>
      </c>
      <c r="F745" t="inlineStr">
        <is>
          <t>GÄVLEBORGS LÄN</t>
        </is>
      </c>
      <c r="G745" t="inlineStr">
        <is>
          <t>SANDVIKEN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45251</v>
      </c>
      <c r="E746" s="1" t="n">
        <v>46297</v>
      </c>
      <c r="F746" t="inlineStr">
        <is>
          <t>GÄVLEBORGS LÄN</t>
        </is>
      </c>
      <c r="G746" t="inlineStr">
        <is>
          <t>SANDVIKEN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45463</v>
      </c>
      <c r="E747" s="1" t="n">
        <v>46297</v>
      </c>
      <c r="F747" t="inlineStr">
        <is>
          <t>GÄVLEBORGS LÄN</t>
        </is>
      </c>
      <c r="G747" t="inlineStr">
        <is>
          <t>SANDVIKEN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53007-2023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45226</v>
      </c>
      <c r="E748" s="1" t="n">
        <v>46297</v>
      </c>
      <c r="F748" t="inlineStr">
        <is>
          <t>GÄVLEBORGS LÄN</t>
        </is>
      </c>
      <c r="G748" t="inlineStr">
        <is>
          <t>SANDVIKEN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46297</v>
      </c>
      <c r="F749" t="inlineStr">
        <is>
          <t>GÄVLEBORGS LÄN</t>
        </is>
      </c>
      <c r="G749" t="inlineStr">
        <is>
          <t>SANDVIKEN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36646-2022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44804</v>
      </c>
      <c r="E750" s="1" t="n">
        <v>46297</v>
      </c>
      <c r="F750" t="inlineStr">
        <is>
          <t>GÄVLEBORGS LÄN</t>
        </is>
      </c>
      <c r="G750" t="inlineStr">
        <is>
          <t>SANDVIKEN</t>
        </is>
      </c>
      <c r="I750" t="n">
        <v>9.199999999999999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34606-2026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46297</v>
      </c>
      <c r="F751" t="inlineStr">
        <is>
          <t>GÄVLEBORGS LÄN</t>
        </is>
      </c>
      <c r="G751" t="inlineStr">
        <is>
          <t>SANDVIKEN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34603-2026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46297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34608-2026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46255</v>
      </c>
      <c r="E753" s="1" t="n">
        <v>46297</v>
      </c>
      <c r="F753" t="inlineStr">
        <is>
          <t>GÄVLEBORGS LÄN</t>
        </is>
      </c>
      <c r="G753" t="inlineStr">
        <is>
          <t>SANDVIKEN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16683-2024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46297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väst AB</t>
        </is>
      </c>
      <c r="I754" t="n">
        <v>14.2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34879-2026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46258</v>
      </c>
      <c r="E755" s="1" t="n">
        <v>46297</v>
      </c>
      <c r="F755" t="inlineStr">
        <is>
          <t>GÄVLEBORGS LÄN</t>
        </is>
      </c>
      <c r="G755" t="inlineStr">
        <is>
          <t>SANDVIKEN</t>
        </is>
      </c>
      <c r="H755" t="inlineStr">
        <is>
          <t>Sveaskog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46297</v>
      </c>
      <c r="F756" t="inlineStr">
        <is>
          <t>GÄVLEBORGS LÄN</t>
        </is>
      </c>
      <c r="G756" t="inlineStr">
        <is>
          <t>SANDVIKEN</t>
        </is>
      </c>
      <c r="I756" t="n">
        <v>10.2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34997-2026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46259</v>
      </c>
      <c r="E757" s="1" t="n">
        <v>46297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27967-2022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44744</v>
      </c>
      <c r="E758" s="1" t="n">
        <v>46297</v>
      </c>
      <c r="F758" t="inlineStr">
        <is>
          <t>GÄVLEBORGS LÄN</t>
        </is>
      </c>
      <c r="G758" t="inlineStr">
        <is>
          <t>SANDVIKEN</t>
        </is>
      </c>
      <c r="I758" t="n">
        <v>6.9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57609-2023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45246</v>
      </c>
      <c r="E759" s="1" t="n">
        <v>46297</v>
      </c>
      <c r="F759" t="inlineStr">
        <is>
          <t>GÄVLEBORGS LÄN</t>
        </is>
      </c>
      <c r="G759" t="inlineStr">
        <is>
          <t>SANDVIKEN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35107-2026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46260</v>
      </c>
      <c r="E760" s="1" t="n">
        <v>46297</v>
      </c>
      <c r="F760" t="inlineStr">
        <is>
          <t>GÄVLEBORGS LÄN</t>
        </is>
      </c>
      <c r="G760" t="inlineStr">
        <is>
          <t>SANDVIKEN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35481-2026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46262</v>
      </c>
      <c r="E761" s="1" t="n">
        <v>46297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6.7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46297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35420-2026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46297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35432-2026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46262</v>
      </c>
      <c r="E764" s="1" t="n">
        <v>46297</v>
      </c>
      <c r="F764" t="inlineStr">
        <is>
          <t>GÄVLEBORGS LÄN</t>
        </is>
      </c>
      <c r="G764" t="inlineStr">
        <is>
          <t>SANDVIKEN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46297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46297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35370-2026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46297</v>
      </c>
      <c r="F767" t="inlineStr">
        <is>
          <t>GÄVLEBORGS LÄN</t>
        </is>
      </c>
      <c r="G767" t="inlineStr">
        <is>
          <t>SANDVIKEN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46297</v>
      </c>
      <c r="F768" t="inlineStr">
        <is>
          <t>GÄVLEBORGS LÄN</t>
        </is>
      </c>
      <c r="G768" t="inlineStr">
        <is>
          <t>SANDVIKEN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35254-2026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46297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31314-2026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46219</v>
      </c>
      <c r="E770" s="1" t="n">
        <v>46297</v>
      </c>
      <c r="F770" t="inlineStr">
        <is>
          <t>GÄVLEBORGS LÄN</t>
        </is>
      </c>
      <c r="G770" t="inlineStr">
        <is>
          <t>SANDVIKEN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46297</v>
      </c>
      <c r="F771" t="inlineStr">
        <is>
          <t>GÄVLEBORGS LÄN</t>
        </is>
      </c>
      <c r="G771" t="inlineStr">
        <is>
          <t>SANDVIKEN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35417-2026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46297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35576-2026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46262</v>
      </c>
      <c r="E773" s="1" t="n">
        <v>46297</v>
      </c>
      <c r="F773" t="inlineStr">
        <is>
          <t>GÄVLEBORGS LÄN</t>
        </is>
      </c>
      <c r="G773" t="inlineStr">
        <is>
          <t>SANDVIKEN</t>
        </is>
      </c>
      <c r="H773" t="inlineStr">
        <is>
          <t>Naturvårdsverket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35578-2026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46262</v>
      </c>
      <c r="E774" s="1" t="n">
        <v>46297</v>
      </c>
      <c r="F774" t="inlineStr">
        <is>
          <t>GÄVLEBORGS LÄN</t>
        </is>
      </c>
      <c r="G774" t="inlineStr">
        <is>
          <t>SANDVIKEN</t>
        </is>
      </c>
      <c r="H774" t="inlineStr">
        <is>
          <t>Naturvårdsverket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46297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3833-2024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45321</v>
      </c>
      <c r="E776" s="1" t="n">
        <v>46297</v>
      </c>
      <c r="F776" t="inlineStr">
        <is>
          <t>GÄVLEBORGS LÄN</t>
        </is>
      </c>
      <c r="G776" t="inlineStr">
        <is>
          <t>SANDVIKEN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46297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35252-2024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45530</v>
      </c>
      <c r="E778" s="1" t="n">
        <v>46297</v>
      </c>
      <c r="F778" t="inlineStr">
        <is>
          <t>GÄVLEBORGS LÄN</t>
        </is>
      </c>
      <c r="G778" t="inlineStr">
        <is>
          <t>SANDVIKEN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35451-2026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46262</v>
      </c>
      <c r="E779" s="1" t="n">
        <v>46297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46261</v>
      </c>
      <c r="E780" s="1" t="n">
        <v>46297</v>
      </c>
      <c r="F780" t="inlineStr">
        <is>
          <t>GÄVLEBORGS LÄN</t>
        </is>
      </c>
      <c r="G780" t="inlineStr">
        <is>
          <t>SANDVIKEN</t>
        </is>
      </c>
      <c r="H780" t="inlineStr">
        <is>
          <t>Naturvårdsverket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46297</v>
      </c>
      <c r="F781" t="inlineStr">
        <is>
          <t>GÄVLEBORGS LÄN</t>
        </is>
      </c>
      <c r="G781" t="inlineStr">
        <is>
          <t>SANDVIKEN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35434-2026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46297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35253-2026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46297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35255-2026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46297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35414-2026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46261</v>
      </c>
      <c r="E785" s="1" t="n">
        <v>46297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35863-2026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46266</v>
      </c>
      <c r="E786" s="1" t="n">
        <v>46297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35865-2026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46266</v>
      </c>
      <c r="E787" s="1" t="n">
        <v>46297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45989-2023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45196</v>
      </c>
      <c r="E788" s="1" t="n">
        <v>46297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34946-2022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44796</v>
      </c>
      <c r="E789" s="1" t="n">
        <v>46297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56017-2023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45240</v>
      </c>
      <c r="E790" s="1" t="n">
        <v>46297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45920-2022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44846</v>
      </c>
      <c r="E791" s="1" t="n">
        <v>46297</v>
      </c>
      <c r="F791" t="inlineStr">
        <is>
          <t>GÄVLEBORGS LÄN</t>
        </is>
      </c>
      <c r="G791" t="inlineStr">
        <is>
          <t>SANDVIKEN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36671-2023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45153</v>
      </c>
      <c r="E792" s="1" t="n">
        <v>46297</v>
      </c>
      <c r="F792" t="inlineStr">
        <is>
          <t>GÄVLEBORGS LÄN</t>
        </is>
      </c>
      <c r="G792" t="inlineStr">
        <is>
          <t>SANDVIKEN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29928-2024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45488</v>
      </c>
      <c r="E793" s="1" t="n">
        <v>46297</v>
      </c>
      <c r="F793" t="inlineStr">
        <is>
          <t>GÄVLEBORGS LÄN</t>
        </is>
      </c>
      <c r="G793" t="inlineStr">
        <is>
          <t>SANDVIKEN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61100-2025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46000</v>
      </c>
      <c r="E794" s="1" t="n">
        <v>46297</v>
      </c>
      <c r="F794" t="inlineStr">
        <is>
          <t>GÄVLEBORGS LÄN</t>
        </is>
      </c>
      <c r="G794" t="inlineStr">
        <is>
          <t>SANDVIKEN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44586</v>
      </c>
      <c r="E795" s="1" t="n">
        <v>46297</v>
      </c>
      <c r="F795" t="inlineStr">
        <is>
          <t>GÄVLEBORGS LÄN</t>
        </is>
      </c>
      <c r="G795" t="inlineStr">
        <is>
          <t>SANDVIKEN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64801-2023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45282</v>
      </c>
      <c r="E796" s="1" t="n">
        <v>46297</v>
      </c>
      <c r="F796" t="inlineStr">
        <is>
          <t>GÄVLEBORGS LÄN</t>
        </is>
      </c>
      <c r="G796" t="inlineStr">
        <is>
          <t>SANDVIKEN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61363-2023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45264</v>
      </c>
      <c r="E797" s="1" t="n">
        <v>46297</v>
      </c>
      <c r="F797" t="inlineStr">
        <is>
          <t>GÄVLEBORGS LÄN</t>
        </is>
      </c>
      <c r="G797" t="inlineStr">
        <is>
          <t>SANDVIKEN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61537-2023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45265</v>
      </c>
      <c r="E798" s="1" t="n">
        <v>46297</v>
      </c>
      <c r="F798" t="inlineStr">
        <is>
          <t>GÄVLEBORGS LÄN</t>
        </is>
      </c>
      <c r="G798" t="inlineStr">
        <is>
          <t>SANDVIKEN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31723-2026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46227</v>
      </c>
      <c r="E799" s="1" t="n">
        <v>46297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9.300000000000001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45293</v>
      </c>
      <c r="E800" s="1" t="n">
        <v>46297</v>
      </c>
      <c r="F800" t="inlineStr">
        <is>
          <t>GÄVLEBORGS LÄN</t>
        </is>
      </c>
      <c r="G800" t="inlineStr">
        <is>
          <t>SANDVIKEN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45293</v>
      </c>
      <c r="E801" s="1" t="n">
        <v>46297</v>
      </c>
      <c r="F801" t="inlineStr">
        <is>
          <t>GÄVLEBORGS LÄN</t>
        </is>
      </c>
      <c r="G801" t="inlineStr">
        <is>
          <t>SANDVIKEN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46297</v>
      </c>
      <c r="F802" t="inlineStr">
        <is>
          <t>GÄVLEBORGS LÄN</t>
        </is>
      </c>
      <c r="G802" t="inlineStr">
        <is>
          <t>SANDVIKEN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37024-2026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46297</v>
      </c>
      <c r="F803" t="inlineStr">
        <is>
          <t>GÄVLEBORGS LÄN</t>
        </is>
      </c>
      <c r="G803" t="inlineStr">
        <is>
          <t>SANDVIKEN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37458-2024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45540</v>
      </c>
      <c r="E804" s="1" t="n">
        <v>46297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31802-2026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46230</v>
      </c>
      <c r="E805" s="1" t="n">
        <v>46297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31807-2026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46230</v>
      </c>
      <c r="E806" s="1" t="n">
        <v>46297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11.2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60798-2023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45260</v>
      </c>
      <c r="E807" s="1" t="n">
        <v>46297</v>
      </c>
      <c r="F807" t="inlineStr">
        <is>
          <t>GÄVLEBORGS LÄN</t>
        </is>
      </c>
      <c r="G807" t="inlineStr">
        <is>
          <t>SANDVIKEN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71995-2021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44544</v>
      </c>
      <c r="E808" s="1" t="n">
        <v>46297</v>
      </c>
      <c r="F808" t="inlineStr">
        <is>
          <t>GÄVLEBORGS LÄN</t>
        </is>
      </c>
      <c r="G808" t="inlineStr">
        <is>
          <t>SANDVIKEN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11438-2023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44988</v>
      </c>
      <c r="E809" s="1" t="n">
        <v>46297</v>
      </c>
      <c r="F809" t="inlineStr">
        <is>
          <t>GÄVLEBORGS LÄN</t>
        </is>
      </c>
      <c r="G809" t="inlineStr">
        <is>
          <t>SANDVIKEN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11447-2023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44988</v>
      </c>
      <c r="E810" s="1" t="n">
        <v>46297</v>
      </c>
      <c r="F810" t="inlineStr">
        <is>
          <t>GÄVLEBORGS LÄN</t>
        </is>
      </c>
      <c r="G810" t="inlineStr">
        <is>
          <t>SANDVIKEN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16258-2023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45022</v>
      </c>
      <c r="E811" s="1" t="n">
        <v>46297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väst AB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11778-2024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45374</v>
      </c>
      <c r="E812" s="1" t="n">
        <v>46297</v>
      </c>
      <c r="F812" t="inlineStr">
        <is>
          <t>GÄVLEBORGS LÄN</t>
        </is>
      </c>
      <c r="G812" t="inlineStr">
        <is>
          <t>SANDVIKEN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11897-2024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45376</v>
      </c>
      <c r="E813" s="1" t="n">
        <v>46297</v>
      </c>
      <c r="F813" t="inlineStr">
        <is>
          <t>GÄVLEBORGS LÄN</t>
        </is>
      </c>
      <c r="G813" t="inlineStr">
        <is>
          <t>SANDVIKEN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42069-2024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45562</v>
      </c>
      <c r="E814" s="1" t="n">
        <v>46297</v>
      </c>
      <c r="F814" t="inlineStr">
        <is>
          <t>GÄVLEBORGS LÄN</t>
        </is>
      </c>
      <c r="G814" t="inlineStr">
        <is>
          <t>SANDVIKEN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62642-2023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45271</v>
      </c>
      <c r="E815" s="1" t="n">
        <v>46297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37455-2026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46275</v>
      </c>
      <c r="E816" s="1" t="n">
        <v>46297</v>
      </c>
      <c r="F816" t="inlineStr">
        <is>
          <t>GÄVLEBORGS LÄN</t>
        </is>
      </c>
      <c r="G816" t="inlineStr">
        <is>
          <t>SANDVIKEN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22238-2023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45070</v>
      </c>
      <c r="E817" s="1" t="n">
        <v>46297</v>
      </c>
      <c r="F817" t="inlineStr">
        <is>
          <t>GÄVLEBORGS LÄN</t>
        </is>
      </c>
      <c r="G817" t="inlineStr">
        <is>
          <t>SANDVIKEN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23085-2023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45075</v>
      </c>
      <c r="E818" s="1" t="n">
        <v>46297</v>
      </c>
      <c r="F818" t="inlineStr">
        <is>
          <t>GÄVLEBORGS LÄN</t>
        </is>
      </c>
      <c r="G818" t="inlineStr">
        <is>
          <t>SANDVIKEN</t>
        </is>
      </c>
      <c r="I818" t="n">
        <v>8.300000000000001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7886-2026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46063</v>
      </c>
      <c r="E819" s="1" t="n">
        <v>46297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38047-2026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46280</v>
      </c>
      <c r="E820" s="1" t="n">
        <v>46297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23476-2026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46163</v>
      </c>
      <c r="E821" s="1" t="n">
        <v>46297</v>
      </c>
      <c r="F821" t="inlineStr">
        <is>
          <t>GÄVLEBORGS LÄN</t>
        </is>
      </c>
      <c r="G821" t="inlineStr">
        <is>
          <t>SANDVIKEN</t>
        </is>
      </c>
      <c r="H821" t="inlineStr">
        <is>
          <t>Övriga statliga verk och myndigheter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36833-2022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44805</v>
      </c>
      <c r="E822" s="1" t="n">
        <v>46297</v>
      </c>
      <c r="F822" t="inlineStr">
        <is>
          <t>GÄVLEBORGS LÄN</t>
        </is>
      </c>
      <c r="G822" t="inlineStr">
        <is>
          <t>SANDVIKEN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14840-2022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44656</v>
      </c>
      <c r="E823" s="1" t="n">
        <v>46297</v>
      </c>
      <c r="F823" t="inlineStr">
        <is>
          <t>GÄVLEBORGS LÄN</t>
        </is>
      </c>
      <c r="G823" t="inlineStr">
        <is>
          <t>SANDVIKEN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35492-2026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46262</v>
      </c>
      <c r="E824" s="1" t="n">
        <v>46297</v>
      </c>
      <c r="F824" t="inlineStr">
        <is>
          <t>GÄVLEBORGS LÄN</t>
        </is>
      </c>
      <c r="G824" t="inlineStr">
        <is>
          <t>SANDVIKEN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15674-2024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45404</v>
      </c>
      <c r="E825" s="1" t="n">
        <v>46297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23217-2023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45075</v>
      </c>
      <c r="E826" s="1" t="n">
        <v>46297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56150-2023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45240</v>
      </c>
      <c r="E827" s="1" t="n">
        <v>46297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29661-2026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46204</v>
      </c>
      <c r="E828" s="1" t="n">
        <v>46297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39566-2022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44818</v>
      </c>
      <c r="E829" s="1" t="n">
        <v>46297</v>
      </c>
      <c r="F829" t="inlineStr">
        <is>
          <t>GÄVLEBORGS LÄN</t>
        </is>
      </c>
      <c r="G829" t="inlineStr">
        <is>
          <t>SANDVIKEN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7996-2026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46063</v>
      </c>
      <c r="E830" s="1" t="n">
        <v>46297</v>
      </c>
      <c r="F830" t="inlineStr">
        <is>
          <t>GÄVLEBORGS LÄN</t>
        </is>
      </c>
      <c r="G830" t="inlineStr">
        <is>
          <t>SANDVIKEN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32989-2026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46297</v>
      </c>
      <c r="F831" t="inlineStr">
        <is>
          <t>GÄVLEBORGS LÄN</t>
        </is>
      </c>
      <c r="G831" t="inlineStr">
        <is>
          <t>SANDVIKEN</t>
        </is>
      </c>
      <c r="H831" t="inlineStr">
        <is>
          <t>Kommuner</t>
        </is>
      </c>
      <c r="I831" t="n">
        <v>8.6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36203-2025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45867</v>
      </c>
      <c r="E832" s="1" t="n">
        <v>46297</v>
      </c>
      <c r="F832" t="inlineStr">
        <is>
          <t>GÄVLEBORGS LÄN</t>
        </is>
      </c>
      <c r="G832" t="inlineStr">
        <is>
          <t>SANDVIKEN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31317-2023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45103</v>
      </c>
      <c r="E833" s="1" t="n">
        <v>46297</v>
      </c>
      <c r="F833" t="inlineStr">
        <is>
          <t>GÄVLEBORGS LÄN</t>
        </is>
      </c>
      <c r="G833" t="inlineStr">
        <is>
          <t>SANDVIKEN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39155-2026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46287</v>
      </c>
      <c r="E834" s="1" t="n">
        <v>46297</v>
      </c>
      <c r="F834" t="inlineStr">
        <is>
          <t>GÄVLEBORGS LÄN</t>
        </is>
      </c>
      <c r="G834" t="inlineStr">
        <is>
          <t>SANDVIKEN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12417-2025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45730</v>
      </c>
      <c r="E835" s="1" t="n">
        <v>46297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12418-2025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45730</v>
      </c>
      <c r="E836" s="1" t="n">
        <v>46297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39393-2026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46288</v>
      </c>
      <c r="E837" s="1" t="n">
        <v>46297</v>
      </c>
      <c r="F837" t="inlineStr">
        <is>
          <t>GÄVLEBORGS LÄN</t>
        </is>
      </c>
      <c r="G837" t="inlineStr">
        <is>
          <t>SANDVIKEN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3456-2024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45320</v>
      </c>
      <c r="E838" s="1" t="n">
        <v>46297</v>
      </c>
      <c r="F838" t="inlineStr">
        <is>
          <t>GÄVLEBORGS LÄN</t>
        </is>
      </c>
      <c r="G838" t="inlineStr">
        <is>
          <t>SANDVIKEN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1418-2025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45668</v>
      </c>
      <c r="E839" s="1" t="n">
        <v>46297</v>
      </c>
      <c r="F839" t="inlineStr">
        <is>
          <t>GÄVLEBORGS LÄN</t>
        </is>
      </c>
      <c r="G839" t="inlineStr">
        <is>
          <t>SANDVIKEN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62459-2023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45268</v>
      </c>
      <c r="E840" s="1" t="n">
        <v>46297</v>
      </c>
      <c r="F840" t="inlineStr">
        <is>
          <t>GÄVLEBORGS LÄN</t>
        </is>
      </c>
      <c r="G840" t="inlineStr">
        <is>
          <t>SANDVIKEN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21456-2023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45063</v>
      </c>
      <c r="E841" s="1" t="n">
        <v>46297</v>
      </c>
      <c r="F841" t="inlineStr">
        <is>
          <t>GÄVLEBORGS LÄN</t>
        </is>
      </c>
      <c r="G841" t="inlineStr">
        <is>
          <t>SANDVIKEN</t>
        </is>
      </c>
      <c r="H841" t="inlineStr">
        <is>
          <t>Kommuner</t>
        </is>
      </c>
      <c r="I841" t="n">
        <v>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39396-2026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46288</v>
      </c>
      <c r="E842" s="1" t="n">
        <v>46297</v>
      </c>
      <c r="F842" t="inlineStr">
        <is>
          <t>GÄVLEBORGS LÄN</t>
        </is>
      </c>
      <c r="G842" t="inlineStr">
        <is>
          <t>SANDVIKEN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39157-2026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46287</v>
      </c>
      <c r="E843" s="1" t="n">
        <v>46297</v>
      </c>
      <c r="F843" t="inlineStr">
        <is>
          <t>GÄVLEBORGS LÄN</t>
        </is>
      </c>
      <c r="G843" t="inlineStr">
        <is>
          <t>SANDVIKEN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32998-2026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46297</v>
      </c>
      <c r="F844" t="inlineStr">
        <is>
          <t>GÄVLEBORGS LÄN</t>
        </is>
      </c>
      <c r="G844" t="inlineStr">
        <is>
          <t>SANDVIKEN</t>
        </is>
      </c>
      <c r="H844" t="inlineStr">
        <is>
          <t>Kommuner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46297</v>
      </c>
      <c r="F845" t="inlineStr">
        <is>
          <t>GÄVLEBORGS LÄN</t>
        </is>
      </c>
      <c r="G845" t="inlineStr">
        <is>
          <t>SANDVIKEN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32875-2026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46297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38995-2026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46287</v>
      </c>
      <c r="E847" s="1" t="n">
        <v>46297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33383-2026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46247</v>
      </c>
      <c r="E848" s="1" t="n">
        <v>46297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33310-2026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46246</v>
      </c>
      <c r="E849" s="1" t="n">
        <v>46297</v>
      </c>
      <c r="F849" t="inlineStr">
        <is>
          <t>GÄVLEBORGS LÄN</t>
        </is>
      </c>
      <c r="G849" t="inlineStr">
        <is>
          <t>SANDVIKEN</t>
        </is>
      </c>
      <c r="H849" t="inlineStr">
        <is>
          <t>Kommuner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4498-2024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45327</v>
      </c>
      <c r="E850" s="1" t="n">
        <v>46297</v>
      </c>
      <c r="F850" t="inlineStr">
        <is>
          <t>GÄVLEBORGS LÄN</t>
        </is>
      </c>
      <c r="G850" t="inlineStr">
        <is>
          <t>SANDVIKEN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44949</v>
      </c>
      <c r="E851" s="1" t="n">
        <v>46297</v>
      </c>
      <c r="F851" t="inlineStr">
        <is>
          <t>GÄVLEBORGS LÄN</t>
        </is>
      </c>
      <c r="G851" t="inlineStr">
        <is>
          <t>SANDVIKEN</t>
        </is>
      </c>
      <c r="I851" t="n">
        <v>4.7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28897-2024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45480</v>
      </c>
      <c r="E852" s="1" t="n">
        <v>46297</v>
      </c>
      <c r="F852" t="inlineStr">
        <is>
          <t>GÄVLEBORGS LÄN</t>
        </is>
      </c>
      <c r="G852" t="inlineStr">
        <is>
          <t>SANDVIKEN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17498-2024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45415</v>
      </c>
      <c r="E853" s="1" t="n">
        <v>46297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38428-2023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45162</v>
      </c>
      <c r="E854" s="1" t="n">
        <v>46297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38431-2023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45162</v>
      </c>
      <c r="E855" s="1" t="n">
        <v>46297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38449-2023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45162</v>
      </c>
      <c r="E856" s="1" t="n">
        <v>46297</v>
      </c>
      <c r="F856" t="inlineStr">
        <is>
          <t>GÄVLEBORGS LÄN</t>
        </is>
      </c>
      <c r="G856" t="inlineStr">
        <is>
          <t>SANDVIKEN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45331-2024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45576</v>
      </c>
      <c r="E857" s="1" t="n">
        <v>46297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25357-2023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45087</v>
      </c>
      <c r="E858" s="1" t="n">
        <v>46297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27533-2026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46190</v>
      </c>
      <c r="E859" s="1" t="n">
        <v>46297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15340-2026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46105</v>
      </c>
      <c r="E860" s="1" t="n">
        <v>46297</v>
      </c>
      <c r="F860" t="inlineStr">
        <is>
          <t>GÄVLEBORGS LÄN</t>
        </is>
      </c>
      <c r="G860" t="inlineStr">
        <is>
          <t>SANDVIKEN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23228-2026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46162</v>
      </c>
      <c r="E861" s="1" t="n">
        <v>46297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1974-2026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46035</v>
      </c>
      <c r="E862" s="1" t="n">
        <v>46297</v>
      </c>
      <c r="F862" t="inlineStr">
        <is>
          <t>GÄVLEBORGS LÄN</t>
        </is>
      </c>
      <c r="G862" t="inlineStr">
        <is>
          <t>SANDVIKEN</t>
        </is>
      </c>
      <c r="I862" t="n">
        <v>6.9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28349-2026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46196</v>
      </c>
      <c r="E863" s="1" t="n">
        <v>46297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40363-2023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45169</v>
      </c>
      <c r="E864" s="1" t="n">
        <v>46297</v>
      </c>
      <c r="F864" t="inlineStr">
        <is>
          <t>GÄVLEBORGS LÄN</t>
        </is>
      </c>
      <c r="G864" t="inlineStr">
        <is>
          <t>SANDVIKEN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33877-2026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46251</v>
      </c>
      <c r="E865" s="1" t="n">
        <v>46297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34408-2026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46254</v>
      </c>
      <c r="E866" s="1" t="n">
        <v>46297</v>
      </c>
      <c r="F866" t="inlineStr">
        <is>
          <t>GÄVLEBORGS LÄN</t>
        </is>
      </c>
      <c r="G866" t="inlineStr">
        <is>
          <t>SANDVIKEN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49704-2023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45212</v>
      </c>
      <c r="E867" s="1" t="n">
        <v>46297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33873-2026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46251</v>
      </c>
      <c r="E868" s="1" t="n">
        <v>46297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37643-2024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45541</v>
      </c>
      <c r="E869" s="1" t="n">
        <v>46297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46253</v>
      </c>
      <c r="E870" s="1" t="n">
        <v>46297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35185-2022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44797</v>
      </c>
      <c r="E871" s="1" t="n">
        <v>46297</v>
      </c>
      <c r="F871" t="inlineStr">
        <is>
          <t>GÄVLEBORGS LÄN</t>
        </is>
      </c>
      <c r="G871" t="inlineStr">
        <is>
          <t>SANDVIKEN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11385-2023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44988</v>
      </c>
      <c r="E872" s="1" t="n">
        <v>46297</v>
      </c>
      <c r="F872" t="inlineStr">
        <is>
          <t>GÄVLEBORGS LÄN</t>
        </is>
      </c>
      <c r="G872" t="inlineStr">
        <is>
          <t>SANDVIKEN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2131-2025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45672</v>
      </c>
      <c r="E873" s="1" t="n">
        <v>46297</v>
      </c>
      <c r="F873" t="inlineStr">
        <is>
          <t>GÄVLEBORGS LÄN</t>
        </is>
      </c>
      <c r="G873" t="inlineStr">
        <is>
          <t>SANDVIKEN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33874-2026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46251</v>
      </c>
      <c r="E874" s="1" t="n">
        <v>46297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58916-2023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45252</v>
      </c>
      <c r="E875" s="1" t="n">
        <v>46297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34036-2026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46252</v>
      </c>
      <c r="E876" s="1" t="n">
        <v>46297</v>
      </c>
      <c r="F876" t="inlineStr">
        <is>
          <t>GÄVLEBORGS LÄN</t>
        </is>
      </c>
      <c r="G876" t="inlineStr">
        <is>
          <t>SANDVIKEN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64112-2023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45279</v>
      </c>
      <c r="E877" s="1" t="n">
        <v>46297</v>
      </c>
      <c r="F877" t="inlineStr">
        <is>
          <t>GÄVLEBORGS LÄN</t>
        </is>
      </c>
      <c r="G877" t="inlineStr">
        <is>
          <t>SANDVIKEN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58797-2024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45636</v>
      </c>
      <c r="E878" s="1" t="n">
        <v>46297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37741-2023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45159</v>
      </c>
      <c r="E879" s="1" t="n">
        <v>46297</v>
      </c>
      <c r="F879" t="inlineStr">
        <is>
          <t>GÄVLEBORGS LÄN</t>
        </is>
      </c>
      <c r="G879" t="inlineStr">
        <is>
          <t>SANDVIKEN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45567</v>
      </c>
      <c r="E880" s="1" t="n">
        <v>46297</v>
      </c>
      <c r="F880" t="inlineStr">
        <is>
          <t>GÄVLEBORGS LÄN</t>
        </is>
      </c>
      <c r="G880" t="inlineStr">
        <is>
          <t>SANDVIKEN</t>
        </is>
      </c>
      <c r="I880" t="n">
        <v>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22042-2023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45069</v>
      </c>
      <c r="E881" s="1" t="n">
        <v>46297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46482-2023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45197</v>
      </c>
      <c r="E882" s="1" t="n">
        <v>46297</v>
      </c>
      <c r="F882" t="inlineStr">
        <is>
          <t>GÄVLEBORGS LÄN</t>
        </is>
      </c>
      <c r="G882" t="inlineStr">
        <is>
          <t>SANDVIKEN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37367-2024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46297</v>
      </c>
      <c r="F883" t="inlineStr">
        <is>
          <t>GÄVLEBORGS LÄN</t>
        </is>
      </c>
      <c r="G883" t="inlineStr">
        <is>
          <t>SANDVIKEN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46297</v>
      </c>
      <c r="F884" t="inlineStr">
        <is>
          <t>GÄVLEBORGS LÄN</t>
        </is>
      </c>
      <c r="G884" t="inlineStr">
        <is>
          <t>SANDVIKEN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45284-2023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45191</v>
      </c>
      <c r="E885" s="1" t="n">
        <v>46297</v>
      </c>
      <c r="F885" t="inlineStr">
        <is>
          <t>GÄVLEBORGS LÄN</t>
        </is>
      </c>
      <c r="G885" t="inlineStr">
        <is>
          <t>SANDVIKEN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62056-2022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44918</v>
      </c>
      <c r="E886" s="1" t="n">
        <v>46297</v>
      </c>
      <c r="F886" t="inlineStr">
        <is>
          <t>GÄVLEBORGS LÄN</t>
        </is>
      </c>
      <c r="G886" t="inlineStr">
        <is>
          <t>SANDVIKEN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45667</v>
      </c>
      <c r="E887" s="1" t="n">
        <v>46297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10895-2025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45722</v>
      </c>
      <c r="E888" s="1" t="n">
        <v>46297</v>
      </c>
      <c r="F888" t="inlineStr">
        <is>
          <t>GÄVLEBORGS LÄN</t>
        </is>
      </c>
      <c r="G888" t="inlineStr">
        <is>
          <t>SANDVIKEN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27987-2024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45476</v>
      </c>
      <c r="E889" s="1" t="n">
        <v>46297</v>
      </c>
      <c r="F889" t="inlineStr">
        <is>
          <t>GÄVLEBORGS LÄN</t>
        </is>
      </c>
      <c r="G889" t="inlineStr">
        <is>
          <t>SANDVIKEN</t>
        </is>
      </c>
      <c r="H889" t="inlineStr">
        <is>
          <t>Kommuner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16385-2023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45022</v>
      </c>
      <c r="E890" s="1" t="n">
        <v>46297</v>
      </c>
      <c r="F890" t="inlineStr">
        <is>
          <t>GÄVLEBORGS LÄN</t>
        </is>
      </c>
      <c r="G890" t="inlineStr">
        <is>
          <t>SANDVIKEN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37996-2024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45544</v>
      </c>
      <c r="E891" s="1" t="n">
        <v>46297</v>
      </c>
      <c r="F891" t="inlineStr">
        <is>
          <t>GÄVLEBORGS LÄN</t>
        </is>
      </c>
      <c r="G891" t="inlineStr">
        <is>
          <t>SANDVIKEN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61820-2024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45649</v>
      </c>
      <c r="E892" s="1" t="n">
        <v>46297</v>
      </c>
      <c r="F892" t="inlineStr">
        <is>
          <t>GÄVLEBORGS LÄN</t>
        </is>
      </c>
      <c r="G892" t="inlineStr">
        <is>
          <t>SANDVIKEN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24992-2023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45085</v>
      </c>
      <c r="E893" s="1" t="n">
        <v>46297</v>
      </c>
      <c r="F893" t="inlineStr">
        <is>
          <t>GÄVLEBORGS LÄN</t>
        </is>
      </c>
      <c r="G893" t="inlineStr">
        <is>
          <t>SANDVIKEN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45779</v>
      </c>
      <c r="E894" s="1" t="n">
        <v>46297</v>
      </c>
      <c r="F894" t="inlineStr">
        <is>
          <t>GÄVLEBORGS LÄN</t>
        </is>
      </c>
      <c r="G894" t="inlineStr">
        <is>
          <t>SANDVIKEN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37459-2024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45540</v>
      </c>
      <c r="E895" s="1" t="n">
        <v>46297</v>
      </c>
      <c r="F895" t="inlineStr">
        <is>
          <t>GÄVLEBORGS LÄN</t>
        </is>
      </c>
      <c r="G895" t="inlineStr">
        <is>
          <t>SANDVIKEN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41284-2023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45174</v>
      </c>
      <c r="E896" s="1" t="n">
        <v>46297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56019-2023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45240</v>
      </c>
      <c r="E897" s="1" t="n">
        <v>46297</v>
      </c>
      <c r="F897" t="inlineStr">
        <is>
          <t>GÄVLEBORGS LÄN</t>
        </is>
      </c>
      <c r="G897" t="inlineStr">
        <is>
          <t>SANDVIKEN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46297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55446-2024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46297</v>
      </c>
      <c r="F899" t="inlineStr">
        <is>
          <t>GÄVLEBORGS LÄN</t>
        </is>
      </c>
      <c r="G899" t="inlineStr">
        <is>
          <t>SANDVIKEN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48319-2023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45205</v>
      </c>
      <c r="E900" s="1" t="n">
        <v>46297</v>
      </c>
      <c r="F900" t="inlineStr">
        <is>
          <t>GÄVLEBORGS LÄN</t>
        </is>
      </c>
      <c r="G900" t="inlineStr">
        <is>
          <t>SANDVIKEN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42950-2023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45178</v>
      </c>
      <c r="E901" s="1" t="n">
        <v>46297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väst AB</t>
        </is>
      </c>
      <c r="I901" t="n">
        <v>16.5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69521-2021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44531</v>
      </c>
      <c r="E902" s="1" t="n">
        <v>46297</v>
      </c>
      <c r="F902" t="inlineStr">
        <is>
          <t>GÄVLEBORGS LÄN</t>
        </is>
      </c>
      <c r="G902" t="inlineStr">
        <is>
          <t>SANDVIKEN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46297</v>
      </c>
      <c r="F903" t="inlineStr">
        <is>
          <t>GÄVLEBORGS LÄN</t>
        </is>
      </c>
      <c r="G903" t="inlineStr">
        <is>
          <t>SANDVIKEN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33623-2024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45520</v>
      </c>
      <c r="E904" s="1" t="n">
        <v>46297</v>
      </c>
      <c r="F904" t="inlineStr">
        <is>
          <t>GÄVLEBORGS LÄN</t>
        </is>
      </c>
      <c r="G904" t="inlineStr">
        <is>
          <t>SANDVIKEN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45525</v>
      </c>
      <c r="E905" s="1" t="n">
        <v>46297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46297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10363-2021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44550</v>
      </c>
      <c r="E907" s="1" t="n">
        <v>46297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73.3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219-2024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45316</v>
      </c>
      <c r="E908" s="1" t="n">
        <v>46297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198-2024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45315</v>
      </c>
      <c r="E909" s="1" t="n">
        <v>46297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64.59999999999999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513-2025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45706</v>
      </c>
      <c r="E910" s="1" t="n">
        <v>46297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29.5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7975-2021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44484</v>
      </c>
      <c r="E911" s="1" t="n">
        <v>46297</v>
      </c>
      <c r="F911" t="inlineStr">
        <is>
          <t>GÄVLEBORGS LÄN</t>
        </is>
      </c>
      <c r="G911" t="inlineStr">
        <is>
          <t>SANDVIKEN</t>
        </is>
      </c>
      <c r="H911" t="inlineStr">
        <is>
          <t>Kommuner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2574-2023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45142</v>
      </c>
      <c r="E912" s="1" t="n">
        <v>46297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31.8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46297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46297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46297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46297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46297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46297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46297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2026-10-02T02:00:17Z</dcterms:created>
  <dcterms:modified xmlns:dcterms="http://purl.org/dc/terms/" xmlns:xsi="http://www.w3.org/2001/XMLSchema-instance" xsi:type="dcterms:W3CDTF">2026-10-02T02:00:18Z</dcterms:modified>
</cp:coreProperties>
</file>