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46262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46262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46262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46262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46262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46262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46262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46262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46262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46262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46262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46262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46262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46262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46262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46262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46262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46262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46262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46262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46262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46262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46262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46262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46262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46262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46262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46262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46262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46262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46262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42869-2024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46262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6.9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Rödgul trumpetsvamp
Vanlig padda</t>
        </is>
      </c>
      <c r="W44">
        <f>HYPERLINK("https://klasma.github.io/Logging_2181/artfynd/A 42869-2024 artfynd.xlsx", "A 42869-2024")</f>
        <v/>
      </c>
      <c r="X44">
        <f>HYPERLINK("https://klasma.github.io/Logging_2181/kartor/A 42869-2024 karta.png", "A 42869-2024")</f>
        <v/>
      </c>
      <c r="Y44">
        <f>HYPERLINK("https://klasma.github.io/Logging_2181/kartor_geotiff/A 42869-2024 georefererad karta.tif", "A 42869-2024")</f>
        <v/>
      </c>
      <c r="AA44">
        <f>HYPERLINK("https://klasma.github.io/Logging_2181/klagomål/A 42869-2024 FSC-klagomål.docx", "A 42869-2024")</f>
        <v/>
      </c>
      <c r="AB44">
        <f>HYPERLINK("https://klasma.github.io/Logging_2181/klagomålsmail/A 42869-2024 FSC-klagomål mail.docx", "A 42869-2024")</f>
        <v/>
      </c>
      <c r="AC44">
        <f>HYPERLINK("https://klasma.github.io/Logging_2181/tillsyn/A 42869-2024 tillsynsbegäran.docx", "A 42869-2024")</f>
        <v/>
      </c>
      <c r="AD44">
        <f>HYPERLINK("https://klasma.github.io/Logging_2181/tillsynsmail/A 42869-2024 tillsynsbegäran mail.docx", "A 42869-2024")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46262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46262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43716-2023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46262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1.6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Dropptaggsvamp</t>
        </is>
      </c>
      <c r="W47">
        <f>HYPERLINK("https://klasma.github.io/Logging_2181/artfynd/A 43716-2023 artfynd.xlsx", "A 43716-2023")</f>
        <v/>
      </c>
      <c r="X47">
        <f>HYPERLINK("https://klasma.github.io/Logging_2181/kartor/A 43716-2023 karta.png", "A 43716-2023")</f>
        <v/>
      </c>
      <c r="Y47">
        <f>HYPERLINK("https://klasma.github.io/Logging_2181/kartor_geotiff/A 43716-2023 georefererad karta.tif", "A 43716-2023")</f>
        <v/>
      </c>
      <c r="Z47">
        <f>HYPERLINK("https://klasma.github.io/Logging_2181/knärot/A 43716-2023 karta knärot.png", "A 43716-2023")</f>
        <v/>
      </c>
      <c r="AA47">
        <f>HYPERLINK("https://klasma.github.io/Logging_2181/klagomål/A 43716-2023 FSC-klagomål.docx", "A 43716-2023")</f>
        <v/>
      </c>
      <c r="AB47">
        <f>HYPERLINK("https://klasma.github.io/Logging_2181/klagomålsmail/A 43716-2023 FSC-klagomål mail.docx", "A 43716-2023")</f>
        <v/>
      </c>
      <c r="AC47">
        <f>HYPERLINK("https://klasma.github.io/Logging_2181/tillsyn/A 43716-2023 tillsynsbegäran.docx", "A 43716-2023")</f>
        <v/>
      </c>
      <c r="AD47">
        <f>HYPERLINK("https://klasma.github.io/Logging_2181/tillsynsmail/A 43716-2023 tillsynsbegäran mail.docx", "A 43716-2023")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46262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46262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46262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46262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46262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46262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46262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46262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46262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46262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46262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46262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25314-2025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46262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25314-2025 artfynd.xlsx", "A 25314-2025")</f>
        <v/>
      </c>
      <c r="X62">
        <f>HYPERLINK("https://klasma.github.io/Logging_2181/kartor/A 25314-2025 karta.png", "A 25314-2025")</f>
        <v/>
      </c>
      <c r="Y62">
        <f>HYPERLINK("https://klasma.github.io/Logging_2181/kartor_geotiff/A 25314-2025 georefererad karta.tif", "A 25314-2025")</f>
        <v/>
      </c>
      <c r="AA62">
        <f>HYPERLINK("https://klasma.github.io/Logging_2181/klagomål/A 25314-2025 FSC-klagomål.docx", "A 25314-2025")</f>
        <v/>
      </c>
      <c r="AB62">
        <f>HYPERLINK("https://klasma.github.io/Logging_2181/klagomålsmail/A 25314-2025 FSC-klagomål mail.docx", "A 25314-2025")</f>
        <v/>
      </c>
      <c r="AC62">
        <f>HYPERLINK("https://klasma.github.io/Logging_2181/tillsyn/A 25314-2025 tillsynsbegäran.docx", "A 25314-2025")</f>
        <v/>
      </c>
      <c r="AD62">
        <f>HYPERLINK("https://klasma.github.io/Logging_2181/tillsynsmail/A 25314-2025 tillsynsbegäran mail.docx", "A 25314-2025")</f>
        <v/>
      </c>
    </row>
    <row r="63" ht="15" customHeight="1">
      <c r="A63" t="inlineStr">
        <is>
          <t>A 25323-2025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46262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Plattlummer</t>
        </is>
      </c>
      <c r="W63">
        <f>HYPERLINK("https://klasma.github.io/Logging_2181/artfynd/A 25323-2025 artfynd.xlsx", "A 25323-2025")</f>
        <v/>
      </c>
      <c r="X63">
        <f>HYPERLINK("https://klasma.github.io/Logging_2181/kartor/A 25323-2025 karta.png", "A 25323-2025")</f>
        <v/>
      </c>
      <c r="Y63">
        <f>HYPERLINK("https://klasma.github.io/Logging_2181/kartor_geotiff/A 25323-2025 georefererad karta.tif", "A 25323-2025")</f>
        <v/>
      </c>
      <c r="AA63">
        <f>HYPERLINK("https://klasma.github.io/Logging_2181/klagomål/A 25323-2025 FSC-klagomål.docx", "A 25323-2025")</f>
        <v/>
      </c>
      <c r="AB63">
        <f>HYPERLINK("https://klasma.github.io/Logging_2181/klagomålsmail/A 25323-2025 FSC-klagomål mail.docx", "A 25323-2025")</f>
        <v/>
      </c>
      <c r="AC63">
        <f>HYPERLINK("https://klasma.github.io/Logging_2181/tillsyn/A 25323-2025 tillsynsbegäran.docx", "A 25323-2025")</f>
        <v/>
      </c>
      <c r="AD63">
        <f>HYPERLINK("https://klasma.github.io/Logging_2181/tillsynsmail/A 25323-2025 tillsynsbegäran mail.docx", "A 25323-2025")</f>
        <v/>
      </c>
    </row>
    <row r="64" ht="15" customHeight="1">
      <c r="A64" t="inlineStr">
        <is>
          <t>A 57934-2025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45981</v>
      </c>
      <c r="E64" s="1" t="n">
        <v>46262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Grönsiska</t>
        </is>
      </c>
      <c r="W64">
        <f>HYPERLINK("https://klasma.github.io/Logging_2181/artfynd/A 57934-2025 artfynd.xlsx", "A 57934-2025")</f>
        <v/>
      </c>
      <c r="X64">
        <f>HYPERLINK("https://klasma.github.io/Logging_2181/kartor/A 57934-2025 karta.png", "A 57934-2025")</f>
        <v/>
      </c>
      <c r="Y64">
        <f>HYPERLINK("https://klasma.github.io/Logging_2181/kartor_geotiff/A 57934-2025 georefererad karta.tif", "A 57934-2025")</f>
        <v/>
      </c>
      <c r="AA64">
        <f>HYPERLINK("https://klasma.github.io/Logging_2181/klagomål/A 57934-2025 FSC-klagomål.docx", "A 57934-2025")</f>
        <v/>
      </c>
      <c r="AB64">
        <f>HYPERLINK("https://klasma.github.io/Logging_2181/klagomålsmail/A 57934-2025 FSC-klagomål mail.docx", "A 57934-2025")</f>
        <v/>
      </c>
      <c r="AC64">
        <f>HYPERLINK("https://klasma.github.io/Logging_2181/tillsyn/A 57934-2025 tillsynsbegäran.docx", "A 57934-2025")</f>
        <v/>
      </c>
      <c r="AD64">
        <f>HYPERLINK("https://klasma.github.io/Logging_2181/tillsynsmail/A 57934-2025 tillsynsbegäran mail.docx", "A 57934-2025")</f>
        <v/>
      </c>
    </row>
    <row r="65" ht="15" customHeight="1">
      <c r="A65" t="inlineStr">
        <is>
          <t>A 46610-2025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46262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16.3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HYPERLINK("https://klasma.github.io/Logging_2181/artfynd/A 46610-2025 artfynd.xlsx", "A 46610-2025")</f>
        <v/>
      </c>
      <c r="X65">
        <f>HYPERLINK("https://klasma.github.io/Logging_2181/kartor/A 46610-2025 karta.png", "A 46610-2025")</f>
        <v/>
      </c>
      <c r="Y65">
        <f>HYPERLINK("https://klasma.github.io/Logging_2181/kartor_geotiff/A 46610-2025 georefererad karta.tif", "A 46610-2025")</f>
        <v/>
      </c>
      <c r="AA65">
        <f>HYPERLINK("https://klasma.github.io/Logging_2181/klagomål/A 46610-2025 FSC-klagomål.docx", "A 46610-2025")</f>
        <v/>
      </c>
      <c r="AB65">
        <f>HYPERLINK("https://klasma.github.io/Logging_2181/klagomålsmail/A 46610-2025 FSC-klagomål mail.docx", "A 46610-2025")</f>
        <v/>
      </c>
      <c r="AC65">
        <f>HYPERLINK("https://klasma.github.io/Logging_2181/tillsyn/A 46610-2025 tillsynsbegäran.docx", "A 46610-2025")</f>
        <v/>
      </c>
      <c r="AD65">
        <f>HYPERLINK("https://klasma.github.io/Logging_2181/tillsynsmail/A 46610-2025 tillsynsbegäran mail.docx", "A 46610-2025")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46262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36417-2025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45868</v>
      </c>
      <c r="E67" s="1" t="n">
        <v>46262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HYPERLINK("https://klasma.github.io/Logging_2181/artfynd/A 36417-2025 artfynd.xlsx", "A 36417-2025")</f>
        <v/>
      </c>
      <c r="X67">
        <f>HYPERLINK("https://klasma.github.io/Logging_2181/kartor/A 36417-2025 karta.png", "A 36417-2025")</f>
        <v/>
      </c>
      <c r="Y67">
        <f>HYPERLINK("https://klasma.github.io/Logging_2181/kartor_geotiff/A 36417-2025 georefererad karta.tif", "A 36417-2025")</f>
        <v/>
      </c>
      <c r="Z67">
        <f>HYPERLINK("https://klasma.github.io/Logging_2181/knärot/A 36417-2025 karta knärot.png", "A 36417-2025")</f>
        <v/>
      </c>
      <c r="AA67">
        <f>HYPERLINK("https://klasma.github.io/Logging_2181/klagomål/A 36417-2025 FSC-klagomål.docx", "A 36417-2025")</f>
        <v/>
      </c>
      <c r="AB67">
        <f>HYPERLINK("https://klasma.github.io/Logging_2181/klagomålsmail/A 36417-2025 FSC-klagomål mail.docx", "A 36417-2025")</f>
        <v/>
      </c>
      <c r="AC67">
        <f>HYPERLINK("https://klasma.github.io/Logging_2181/tillsyn/A 36417-2025 tillsynsbegäran.docx", "A 36417-2025")</f>
        <v/>
      </c>
      <c r="AD67">
        <f>HYPERLINK("https://klasma.github.io/Logging_2181/tillsynsmail/A 36417-2025 tillsynsbegäran mail.docx", "A 36417-2025")</f>
        <v/>
      </c>
    </row>
    <row r="68" ht="15" customHeight="1">
      <c r="A68" t="inlineStr">
        <is>
          <t>A 3316-2023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44949</v>
      </c>
      <c r="E68" s="1" t="n">
        <v>46262</v>
      </c>
      <c r="F68" t="inlineStr">
        <is>
          <t>GÄVLEBORGS LÄN</t>
        </is>
      </c>
      <c r="G68" t="inlineStr">
        <is>
          <t>SANDVIKEN</t>
        </is>
      </c>
      <c r="I68" t="n">
        <v>0.5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Orre</t>
        </is>
      </c>
      <c r="W68">
        <f>HYPERLINK("https://klasma.github.io/Logging_2181/artfynd/A 3316-2023 artfynd.xlsx", "A 3316-2023")</f>
        <v/>
      </c>
      <c r="X68">
        <f>HYPERLINK("https://klasma.github.io/Logging_2181/kartor/A 3316-2023 karta.png", "A 3316-2023")</f>
        <v/>
      </c>
      <c r="Y68">
        <f>HYPERLINK("https://klasma.github.io/Logging_2181/kartor_geotiff/A 3316-2023 georefererad karta.tif", "A 3316-2023")</f>
        <v/>
      </c>
      <c r="AA68">
        <f>HYPERLINK("https://klasma.github.io/Logging_2181/klagomål/A 3316-2023 FSC-klagomål.docx", "A 3316-2023")</f>
        <v/>
      </c>
      <c r="AB68">
        <f>HYPERLINK("https://klasma.github.io/Logging_2181/klagomålsmail/A 3316-2023 FSC-klagomål mail.docx", "A 3316-2023")</f>
        <v/>
      </c>
      <c r="AC68">
        <f>HYPERLINK("https://klasma.github.io/Logging_2181/tillsyn/A 3316-2023 tillsynsbegäran.docx", "A 3316-2023")</f>
        <v/>
      </c>
      <c r="AD68">
        <f>HYPERLINK("https://klasma.github.io/Logging_2181/tillsynsmail/A 3316-2023 tillsynsbegäran mail.docx", "A 3316-2023")</f>
        <v/>
      </c>
      <c r="AE68">
        <f>HYPERLINK("https://klasma.github.io/Logging_2181/fåglar/A 3316-2023 prioriterade fågelarter.docx", "A 3316-2023")</f>
        <v/>
      </c>
    </row>
    <row r="69" ht="15" customHeight="1">
      <c r="A69" t="inlineStr">
        <is>
          <t>A 38350-2025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46262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väst AB</t>
        </is>
      </c>
      <c r="I69" t="n">
        <v>25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Brandticka</t>
        </is>
      </c>
      <c r="W69">
        <f>HYPERLINK("https://klasma.github.io/Logging_2181/artfynd/A 38350-2025 artfynd.xlsx", "A 38350-2025")</f>
        <v/>
      </c>
      <c r="X69">
        <f>HYPERLINK("https://klasma.github.io/Logging_2181/kartor/A 38350-2025 karta.png", "A 38350-2025")</f>
        <v/>
      </c>
      <c r="Y69">
        <f>HYPERLINK("https://klasma.github.io/Logging_2181/kartor_geotiff/A 38350-2025 georefererad karta.tif", "A 38350-2025")</f>
        <v/>
      </c>
      <c r="AA69">
        <f>HYPERLINK("https://klasma.github.io/Logging_2181/klagomål/A 38350-2025 FSC-klagomål.docx", "A 38350-2025")</f>
        <v/>
      </c>
      <c r="AB69">
        <f>HYPERLINK("https://klasma.github.io/Logging_2181/klagomålsmail/A 38350-2025 FSC-klagomål mail.docx", "A 38350-2025")</f>
        <v/>
      </c>
      <c r="AC69">
        <f>HYPERLINK("https://klasma.github.io/Logging_2181/tillsyn/A 38350-2025 tillsynsbegäran.docx", "A 38350-2025")</f>
        <v/>
      </c>
      <c r="AD69">
        <f>HYPERLINK("https://klasma.github.io/Logging_2181/tillsynsmail/A 38350-2025 tillsynsbegäran mail.docx", "A 38350-2025")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46262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15729-2022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44663</v>
      </c>
      <c r="E71" s="1" t="n">
        <v>46262</v>
      </c>
      <c r="F71" t="inlineStr">
        <is>
          <t>GÄVLEBORGS LÄN</t>
        </is>
      </c>
      <c r="G71" t="inlineStr">
        <is>
          <t>SANDVIKEN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Knärot</t>
        </is>
      </c>
      <c r="W71">
        <f>HYPERLINK("https://klasma.github.io/Logging_2181/artfynd/A 15729-2022 artfynd.xlsx", "A 15729-2022")</f>
        <v/>
      </c>
      <c r="X71">
        <f>HYPERLINK("https://klasma.github.io/Logging_2181/kartor/A 15729-2022 karta.png", "A 15729-2022")</f>
        <v/>
      </c>
      <c r="Y71">
        <f>HYPERLINK("https://klasma.github.io/Logging_2181/kartor_geotiff/A 15729-2022 georefererad karta.tif", "A 15729-2022")</f>
        <v/>
      </c>
      <c r="Z71">
        <f>HYPERLINK("https://klasma.github.io/Logging_2181/knärot/A 15729-2022 karta knärot.png", "A 15729-2022")</f>
        <v/>
      </c>
      <c r="AA71">
        <f>HYPERLINK("https://klasma.github.io/Logging_2181/klagomål/A 15729-2022 FSC-klagomål.docx", "A 15729-2022")</f>
        <v/>
      </c>
      <c r="AB71">
        <f>HYPERLINK("https://klasma.github.io/Logging_2181/klagomålsmail/A 15729-2022 FSC-klagomål mail.docx", "A 15729-2022")</f>
        <v/>
      </c>
      <c r="AC71">
        <f>HYPERLINK("https://klasma.github.io/Logging_2181/tillsyn/A 15729-2022 tillsynsbegäran.docx", "A 15729-2022")</f>
        <v/>
      </c>
      <c r="AD71">
        <f>HYPERLINK("https://klasma.github.io/Logging_2181/tillsynsmail/A 15729-2022 tillsynsbegäran mail.docx", "A 15729-2022")</f>
        <v/>
      </c>
    </row>
    <row r="72" ht="15" customHeight="1">
      <c r="A72" t="inlineStr">
        <is>
          <t>A 45427-2023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46262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HYPERLINK("https://klasma.github.io/Logging_2181/artfynd/A 45427-2023 artfynd.xlsx", "A 45427-2023")</f>
        <v/>
      </c>
      <c r="X72">
        <f>HYPERLINK("https://klasma.github.io/Logging_2181/kartor/A 45427-2023 karta.png", "A 45427-2023")</f>
        <v/>
      </c>
      <c r="Y72">
        <f>HYPERLINK("https://klasma.github.io/Logging_2181/kartor_geotiff/A 45427-2023 georefererad karta.tif", "A 45427-2023")</f>
        <v/>
      </c>
      <c r="AA72">
        <f>HYPERLINK("https://klasma.github.io/Logging_2181/klagomål/A 45427-2023 FSC-klagomål.docx", "A 45427-2023")</f>
        <v/>
      </c>
      <c r="AB72">
        <f>HYPERLINK("https://klasma.github.io/Logging_2181/klagomålsmail/A 45427-2023 FSC-klagomål mail.docx", "A 45427-2023")</f>
        <v/>
      </c>
      <c r="AC72">
        <f>HYPERLINK("https://klasma.github.io/Logging_2181/tillsyn/A 45427-2023 tillsynsbegäran.docx", "A 45427-2023")</f>
        <v/>
      </c>
      <c r="AD72">
        <f>HYPERLINK("https://klasma.github.io/Logging_2181/tillsynsmail/A 45427-2023 tillsynsbegäran mail.docx", "A 45427-2023")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46262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1083-2026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46262</v>
      </c>
      <c r="F74" t="inlineStr">
        <is>
          <t>GÄVLEBORGS LÄN</t>
        </is>
      </c>
      <c r="G74" t="inlineStr">
        <is>
          <t>SANDVIKEN</t>
        </is>
      </c>
      <c r="I74" t="n">
        <v>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1083-2026 artfynd.xlsx", "A 1083-2026")</f>
        <v/>
      </c>
      <c r="X74">
        <f>HYPERLINK("https://klasma.github.io/Logging_2181/kartor/A 1083-2026 karta.png", "A 1083-2026")</f>
        <v/>
      </c>
      <c r="Y74">
        <f>HYPERLINK("https://klasma.github.io/Logging_2181/kartor_geotiff/A 1083-2026 georefererad karta.tif", "A 1083-2026")</f>
        <v/>
      </c>
      <c r="AA74">
        <f>HYPERLINK("https://klasma.github.io/Logging_2181/klagomål/A 1083-2026 FSC-klagomål.docx", "A 1083-2026")</f>
        <v/>
      </c>
      <c r="AB74">
        <f>HYPERLINK("https://klasma.github.io/Logging_2181/klagomålsmail/A 1083-2026 FSC-klagomål mail.docx", "A 1083-2026")</f>
        <v/>
      </c>
      <c r="AC74">
        <f>HYPERLINK("https://klasma.github.io/Logging_2181/tillsyn/A 1083-2026 tillsynsbegäran.docx", "A 1083-2026")</f>
        <v/>
      </c>
      <c r="AD74">
        <f>HYPERLINK("https://klasma.github.io/Logging_2181/tillsynsmail/A 1083-2026 tillsynsbegäran mail.docx", "A 1083-2026")</f>
        <v/>
      </c>
    </row>
    <row r="75" ht="15" customHeight="1">
      <c r="A75" t="inlineStr">
        <is>
          <t>A 7393-2026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46262</v>
      </c>
      <c r="F75" t="inlineStr">
        <is>
          <t>GÄVLEBORGS LÄN</t>
        </is>
      </c>
      <c r="G75" t="inlineStr">
        <is>
          <t>SANDVIKEN</t>
        </is>
      </c>
      <c r="I75" t="n">
        <v>6.7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Brunklöver</t>
        </is>
      </c>
      <c r="W75">
        <f>HYPERLINK("https://klasma.github.io/Logging_2181/artfynd/A 7393-2026 artfynd.xlsx", "A 7393-2026")</f>
        <v/>
      </c>
      <c r="X75">
        <f>HYPERLINK("https://klasma.github.io/Logging_2181/kartor/A 7393-2026 karta.png", "A 7393-2026")</f>
        <v/>
      </c>
      <c r="Y75">
        <f>HYPERLINK("https://klasma.github.io/Logging_2181/kartor_geotiff/A 7393-2026 georefererad karta.tif", "A 7393-2026")</f>
        <v/>
      </c>
      <c r="AA75">
        <f>HYPERLINK("https://klasma.github.io/Logging_2181/klagomål/A 7393-2026 FSC-klagomål.docx", "A 7393-2026")</f>
        <v/>
      </c>
      <c r="AB75">
        <f>HYPERLINK("https://klasma.github.io/Logging_2181/klagomålsmail/A 7393-2026 FSC-klagomål mail.docx", "A 7393-2026")</f>
        <v/>
      </c>
      <c r="AC75">
        <f>HYPERLINK("https://klasma.github.io/Logging_2181/tillsyn/A 7393-2026 tillsynsbegäran.docx", "A 7393-2026")</f>
        <v/>
      </c>
      <c r="AD75">
        <f>HYPERLINK("https://klasma.github.io/Logging_2181/tillsynsmail/A 7393-2026 tillsynsbegäran mail.docx", "A 7393-2026")</f>
        <v/>
      </c>
    </row>
    <row r="76" ht="15" customHeight="1">
      <c r="A76" t="inlineStr">
        <is>
          <t>A 9267-2026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46262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Gullpudra</t>
        </is>
      </c>
      <c r="W76">
        <f>HYPERLINK("https://klasma.github.io/Logging_2181/artfynd/A 9267-2026 artfynd.xlsx", "A 9267-2026")</f>
        <v/>
      </c>
      <c r="X76">
        <f>HYPERLINK("https://klasma.github.io/Logging_2181/kartor/A 9267-2026 karta.png", "A 9267-2026")</f>
        <v/>
      </c>
      <c r="Y76">
        <f>HYPERLINK("https://klasma.github.io/Logging_2181/kartor_geotiff/A 9267-2026 georefererad karta.tif", "A 9267-2026")</f>
        <v/>
      </c>
      <c r="AA76">
        <f>HYPERLINK("https://klasma.github.io/Logging_2181/klagomål/A 9267-2026 FSC-klagomål.docx", "A 9267-2026")</f>
        <v/>
      </c>
      <c r="AB76">
        <f>HYPERLINK("https://klasma.github.io/Logging_2181/klagomålsmail/A 9267-2026 FSC-klagomål mail.docx", "A 9267-2026")</f>
        <v/>
      </c>
      <c r="AC76">
        <f>HYPERLINK("https://klasma.github.io/Logging_2181/tillsyn/A 9267-2026 tillsynsbegäran.docx", "A 9267-2026")</f>
        <v/>
      </c>
      <c r="AD76">
        <f>HYPERLINK("https://klasma.github.io/Logging_2181/tillsynsmail/A 9267-2026 tillsynsbegäran mail.docx", "A 9267-2026")</f>
        <v/>
      </c>
    </row>
    <row r="77" ht="15" customHeight="1">
      <c r="A77" t="inlineStr">
        <is>
          <t>A 25479-2023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46262</v>
      </c>
      <c r="F77" t="inlineStr">
        <is>
          <t>GÄVLEBORGS LÄN</t>
        </is>
      </c>
      <c r="G77" t="inlineStr">
        <is>
          <t>SANDVIKEN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Grönpyrola</t>
        </is>
      </c>
      <c r="W77">
        <f>HYPERLINK("https://klasma.github.io/Logging_2181/artfynd/A 25479-2023 artfynd.xlsx", "A 25479-2023")</f>
        <v/>
      </c>
      <c r="X77">
        <f>HYPERLINK("https://klasma.github.io/Logging_2181/kartor/A 25479-2023 karta.png", "A 25479-2023")</f>
        <v/>
      </c>
      <c r="Y77">
        <f>HYPERLINK("https://klasma.github.io/Logging_2181/kartor_geotiff/A 25479-2023 georefererad karta.tif", "A 25479-2023")</f>
        <v/>
      </c>
      <c r="AA77">
        <f>HYPERLINK("https://klasma.github.io/Logging_2181/klagomål/A 25479-2023 FSC-klagomål.docx", "A 25479-2023")</f>
        <v/>
      </c>
      <c r="AB77">
        <f>HYPERLINK("https://klasma.github.io/Logging_2181/klagomålsmail/A 25479-2023 FSC-klagomål mail.docx", "A 25479-2023")</f>
        <v/>
      </c>
      <c r="AC77">
        <f>HYPERLINK("https://klasma.github.io/Logging_2181/tillsyn/A 25479-2023 tillsynsbegäran.docx", "A 25479-2023")</f>
        <v/>
      </c>
      <c r="AD77">
        <f>HYPERLINK("https://klasma.github.io/Logging_2181/tillsynsmail/A 25479-2023 tillsynsbegäran mail.docx", "A 25479-2023")</f>
        <v/>
      </c>
    </row>
    <row r="78" ht="15" customHeight="1">
      <c r="A78" t="inlineStr">
        <is>
          <t>A 11784-2026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46262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HYPERLINK("https://klasma.github.io/Logging_2181/artfynd/A 11784-2026 artfynd.xlsx", "A 11784-2026")</f>
        <v/>
      </c>
      <c r="X78">
        <f>HYPERLINK("https://klasma.github.io/Logging_2181/kartor/A 11784-2026 karta.png", "A 11784-2026")</f>
        <v/>
      </c>
      <c r="Y78">
        <f>HYPERLINK("https://klasma.github.io/Logging_2181/kartor_geotiff/A 11784-2026 georefererad karta.tif", "A 11784-2026")</f>
        <v/>
      </c>
      <c r="AA78">
        <f>HYPERLINK("https://klasma.github.io/Logging_2181/klagomål/A 11784-2026 FSC-klagomål.docx", "A 11784-2026")</f>
        <v/>
      </c>
      <c r="AB78">
        <f>HYPERLINK("https://klasma.github.io/Logging_2181/klagomålsmail/A 11784-2026 FSC-klagomål mail.docx", "A 11784-2026")</f>
        <v/>
      </c>
      <c r="AC78">
        <f>HYPERLINK("https://klasma.github.io/Logging_2181/tillsyn/A 11784-2026 tillsynsbegäran.docx", "A 11784-2026")</f>
        <v/>
      </c>
      <c r="AD78">
        <f>HYPERLINK("https://klasma.github.io/Logging_2181/tillsynsmail/A 11784-2026 tillsynsbegäran mail.docx", "A 11784-2026")</f>
        <v/>
      </c>
    </row>
    <row r="79" ht="15" customHeight="1">
      <c r="A79" t="inlineStr">
        <is>
          <t>A 13135-2026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46262</v>
      </c>
      <c r="F79" t="inlineStr">
        <is>
          <t>GÄVLEBORGS LÄN</t>
        </is>
      </c>
      <c r="G79" t="inlineStr">
        <is>
          <t>SANDVIKEN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HYPERLINK("https://klasma.github.io/Logging_2181/artfynd/A 13135-2026 artfynd.xlsx", "A 13135-2026")</f>
        <v/>
      </c>
      <c r="X79">
        <f>HYPERLINK("https://klasma.github.io/Logging_2181/kartor/A 13135-2026 karta.png", "A 13135-2026")</f>
        <v/>
      </c>
      <c r="Y79">
        <f>HYPERLINK("https://klasma.github.io/Logging_2181/kartor_geotiff/A 13135-2026 georefererad karta.tif", "A 13135-2026")</f>
        <v/>
      </c>
      <c r="AA79">
        <f>HYPERLINK("https://klasma.github.io/Logging_2181/klagomål/A 13135-2026 FSC-klagomål.docx", "A 13135-2026")</f>
        <v/>
      </c>
      <c r="AB79">
        <f>HYPERLINK("https://klasma.github.io/Logging_2181/klagomålsmail/A 13135-2026 FSC-klagomål mail.docx", "A 13135-2026")</f>
        <v/>
      </c>
      <c r="AC79">
        <f>HYPERLINK("https://klasma.github.io/Logging_2181/tillsyn/A 13135-2026 tillsynsbegäran.docx", "A 13135-2026")</f>
        <v/>
      </c>
      <c r="AD79">
        <f>HYPERLINK("https://klasma.github.io/Logging_2181/tillsynsmail/A 13135-2026 tillsynsbegäran mail.docx", "A 13135-2026")</f>
        <v/>
      </c>
    </row>
    <row r="80" ht="15" customHeight="1">
      <c r="A80" t="inlineStr">
        <is>
          <t>A 13645-2026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46262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HYPERLINK("https://klasma.github.io/Logging_2181/artfynd/A 13645-2026 artfynd.xlsx", "A 13645-2026")</f>
        <v/>
      </c>
      <c r="X80">
        <f>HYPERLINK("https://klasma.github.io/Logging_2181/kartor/A 13645-2026 karta.png", "A 13645-2026")</f>
        <v/>
      </c>
      <c r="Y80">
        <f>HYPERLINK("https://klasma.github.io/Logging_2181/kartor_geotiff/A 13645-2026 georefererad karta.tif", "A 13645-2026")</f>
        <v/>
      </c>
      <c r="AA80">
        <f>HYPERLINK("https://klasma.github.io/Logging_2181/klagomål/A 13645-2026 FSC-klagomål.docx", "A 13645-2026")</f>
        <v/>
      </c>
      <c r="AB80">
        <f>HYPERLINK("https://klasma.github.io/Logging_2181/klagomålsmail/A 13645-2026 FSC-klagomål mail.docx", "A 13645-2026")</f>
        <v/>
      </c>
      <c r="AC80">
        <f>HYPERLINK("https://klasma.github.io/Logging_2181/tillsyn/A 13645-2026 tillsynsbegäran.docx", "A 13645-2026")</f>
        <v/>
      </c>
      <c r="AD80">
        <f>HYPERLINK("https://klasma.github.io/Logging_2181/tillsynsmail/A 13645-2026 tillsynsbegäran mail.docx", "A 13645-2026")</f>
        <v/>
      </c>
      <c r="AE80">
        <f>HYPERLINK("https://klasma.github.io/Logging_2181/fåglar/A 13645-2026 prioriterade fågelarter.docx", "A 13645-2026")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46262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46262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46262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46262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22275-2024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46262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Ekorrbär</t>
        </is>
      </c>
      <c r="W85">
        <f>HYPERLINK("https://klasma.github.io/Logging_2181/artfynd/A 22275-2024 artfynd.xlsx", "A 22275-2024")</f>
        <v/>
      </c>
      <c r="X85">
        <f>HYPERLINK("https://klasma.github.io/Logging_2181/kartor/A 22275-2024 karta.png", "A 22275-2024")</f>
        <v/>
      </c>
      <c r="Y85">
        <f>HYPERLINK("https://klasma.github.io/Logging_2181/kartor_geotiff/A 22275-2024 georefererad karta.tif", "A 22275-2024")</f>
        <v/>
      </c>
      <c r="AA85">
        <f>HYPERLINK("https://klasma.github.io/Logging_2181/klagomål/A 22275-2024 FSC-klagomål.docx", "A 22275-2024")</f>
        <v/>
      </c>
      <c r="AB85">
        <f>HYPERLINK("https://klasma.github.io/Logging_2181/klagomålsmail/A 22275-2024 FSC-klagomål mail.docx", "A 22275-2024")</f>
        <v/>
      </c>
      <c r="AC85">
        <f>HYPERLINK("https://klasma.github.io/Logging_2181/tillsyn/A 22275-2024 tillsynsbegäran.docx", "A 22275-2024")</f>
        <v/>
      </c>
      <c r="AD85">
        <f>HYPERLINK("https://klasma.github.io/Logging_2181/tillsynsmail/A 22275-2024 tillsynsbegäran mail.docx", "A 22275-2024")</f>
        <v/>
      </c>
    </row>
    <row r="86" ht="15" customHeight="1">
      <c r="A86" t="inlineStr">
        <is>
          <t>A 19272-2026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46133</v>
      </c>
      <c r="E86" s="1" t="n">
        <v>46262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9.4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Nattviol</t>
        </is>
      </c>
      <c r="W86">
        <f>HYPERLINK("https://klasma.github.io/Logging_2181/artfynd/A 19272-2026 artfynd.xlsx", "A 19272-2026")</f>
        <v/>
      </c>
      <c r="X86">
        <f>HYPERLINK("https://klasma.github.io/Logging_2181/kartor/A 19272-2026 karta.png", "A 19272-2026")</f>
        <v/>
      </c>
      <c r="Y86">
        <f>HYPERLINK("https://klasma.github.io/Logging_2181/kartor_geotiff/A 19272-2026 georefererad karta.tif", "A 19272-2026")</f>
        <v/>
      </c>
      <c r="AA86">
        <f>HYPERLINK("https://klasma.github.io/Logging_2181/klagomål/A 19272-2026 FSC-klagomål.docx", "A 19272-2026")</f>
        <v/>
      </c>
      <c r="AB86">
        <f>HYPERLINK("https://klasma.github.io/Logging_2181/klagomålsmail/A 19272-2026 FSC-klagomål mail.docx", "A 19272-2026")</f>
        <v/>
      </c>
      <c r="AC86">
        <f>HYPERLINK("https://klasma.github.io/Logging_2181/tillsyn/A 19272-2026 tillsynsbegäran.docx", "A 19272-2026")</f>
        <v/>
      </c>
      <c r="AD86">
        <f>HYPERLINK("https://klasma.github.io/Logging_2181/tillsynsmail/A 19272-2026 tillsynsbegäran mail.docx", "A 19272-2026")</f>
        <v/>
      </c>
    </row>
    <row r="87" ht="15" customHeight="1">
      <c r="A87" t="inlineStr">
        <is>
          <t>A 5015-2023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46262</v>
      </c>
      <c r="F87" t="inlineStr">
        <is>
          <t>GÄVLEBORGS LÄN</t>
        </is>
      </c>
      <c r="G87" t="inlineStr">
        <is>
          <t>SANDVIKEN</t>
        </is>
      </c>
      <c r="I87" t="n">
        <v>7.8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HYPERLINK("https://klasma.github.io/Logging_2181/artfynd/A 5015-2023 artfynd.xlsx", "A 5015-2023")</f>
        <v/>
      </c>
      <c r="X87">
        <f>HYPERLINK("https://klasma.github.io/Logging_2181/kartor/A 5015-2023 karta.png", "A 5015-2023")</f>
        <v/>
      </c>
      <c r="Y87">
        <f>HYPERLINK("https://klasma.github.io/Logging_2181/kartor_geotiff/A 5015-2023 georefererad karta.tif", "A 5015-2023")</f>
        <v/>
      </c>
      <c r="AA87">
        <f>HYPERLINK("https://klasma.github.io/Logging_2181/klagomål/A 5015-2023 FSC-klagomål.docx", "A 5015-2023")</f>
        <v/>
      </c>
      <c r="AB87">
        <f>HYPERLINK("https://klasma.github.io/Logging_2181/klagomålsmail/A 5015-2023 FSC-klagomål mail.docx", "A 5015-2023")</f>
        <v/>
      </c>
      <c r="AC87">
        <f>HYPERLINK("https://klasma.github.io/Logging_2181/tillsyn/A 5015-2023 tillsynsbegäran.docx", "A 5015-2023")</f>
        <v/>
      </c>
      <c r="AD87">
        <f>HYPERLINK("https://klasma.github.io/Logging_2181/tillsynsmail/A 5015-2023 tillsynsbegäran mail.docx", "A 5015-2023")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46262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42115-2023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46262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2.4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HYPERLINK("https://klasma.github.io/Logging_2181/artfynd/A 42115-2023 artfynd.xlsx", "A 42115-2023")</f>
        <v/>
      </c>
      <c r="X89">
        <f>HYPERLINK("https://klasma.github.io/Logging_2181/kartor/A 42115-2023 karta.png", "A 42115-2023")</f>
        <v/>
      </c>
      <c r="Y89">
        <f>HYPERLINK("https://klasma.github.io/Logging_2181/kartor_geotiff/A 42115-2023 georefererad karta.tif", "A 42115-2023")</f>
        <v/>
      </c>
      <c r="AA89">
        <f>HYPERLINK("https://klasma.github.io/Logging_2181/klagomål/A 42115-2023 FSC-klagomål.docx", "A 42115-2023")</f>
        <v/>
      </c>
      <c r="AB89">
        <f>HYPERLINK("https://klasma.github.io/Logging_2181/klagomålsmail/A 42115-2023 FSC-klagomål mail.docx", "A 42115-2023")</f>
        <v/>
      </c>
      <c r="AC89">
        <f>HYPERLINK("https://klasma.github.io/Logging_2181/tillsyn/A 42115-2023 tillsynsbegäran.docx", "A 42115-2023")</f>
        <v/>
      </c>
      <c r="AD89">
        <f>HYPERLINK("https://klasma.github.io/Logging_2181/tillsynsmail/A 42115-2023 tillsynsbegäran mail.docx", "A 42115-2023")</f>
        <v/>
      </c>
      <c r="AE89">
        <f>HYPERLINK("https://klasma.github.io/Logging_2181/fåglar/A 42115-2023 prioriterade fågelarter.docx", "A 42115-2023")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46262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46262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46262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46262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46262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46262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46262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46262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46262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46262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32533-2026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46262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Järnsparv</t>
        </is>
      </c>
      <c r="W100">
        <f>HYPERLINK("https://klasma.github.io/Logging_2181/artfynd/A 32533-2026 artfynd.xlsx", "A 32533-2026")</f>
        <v/>
      </c>
      <c r="X100">
        <f>HYPERLINK("https://klasma.github.io/Logging_2181/kartor/A 32533-2026 karta.png", "A 32533-2026")</f>
        <v/>
      </c>
      <c r="Y100">
        <f>HYPERLINK("https://klasma.github.io/Logging_2181/kartor_geotiff/A 32533-2026 georefererad karta.tif", "A 32533-2026")</f>
        <v/>
      </c>
      <c r="AA100">
        <f>HYPERLINK("https://klasma.github.io/Logging_2181/klagomål/A 32533-2026 FSC-klagomål.docx", "A 32533-2026")</f>
        <v/>
      </c>
      <c r="AB100">
        <f>HYPERLINK("https://klasma.github.io/Logging_2181/klagomålsmail/A 32533-2026 FSC-klagomål mail.docx", "A 32533-2026")</f>
        <v/>
      </c>
      <c r="AC100">
        <f>HYPERLINK("https://klasma.github.io/Logging_2181/tillsyn/A 32533-2026 tillsynsbegäran.docx", "A 32533-2026")</f>
        <v/>
      </c>
      <c r="AD100">
        <f>HYPERLINK("https://klasma.github.io/Logging_2181/tillsynsmail/A 32533-2026 tillsynsbegäran mail.docx", "A 32533-2026")</f>
        <v/>
      </c>
      <c r="AE100">
        <f>HYPERLINK("https://klasma.github.io/Logging_2181/fåglar/A 32533-2026 prioriterade fågelarter.docx", "A 32533-2026")</f>
        <v/>
      </c>
    </row>
    <row r="101" ht="15" customHeight="1">
      <c r="A101" t="inlineStr">
        <is>
          <t>A 32539-2026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46262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Grönsiska</t>
        </is>
      </c>
      <c r="W101">
        <f>HYPERLINK("https://klasma.github.io/Logging_2181/artfynd/A 32539-2026 artfynd.xlsx", "A 32539-2026")</f>
        <v/>
      </c>
      <c r="X101">
        <f>HYPERLINK("https://klasma.github.io/Logging_2181/kartor/A 32539-2026 karta.png", "A 32539-2026")</f>
        <v/>
      </c>
      <c r="Y101">
        <f>HYPERLINK("https://klasma.github.io/Logging_2181/kartor_geotiff/A 32539-2026 georefererad karta.tif", "A 32539-2026")</f>
        <v/>
      </c>
      <c r="AA101">
        <f>HYPERLINK("https://klasma.github.io/Logging_2181/klagomål/A 32539-2026 FSC-klagomål.docx", "A 32539-2026")</f>
        <v/>
      </c>
      <c r="AB101">
        <f>HYPERLINK("https://klasma.github.io/Logging_2181/klagomålsmail/A 32539-2026 FSC-klagomål mail.docx", "A 32539-2026")</f>
        <v/>
      </c>
      <c r="AC101">
        <f>HYPERLINK("https://klasma.github.io/Logging_2181/tillsyn/A 32539-2026 tillsynsbegäran.docx", "A 32539-2026")</f>
        <v/>
      </c>
      <c r="AD101">
        <f>HYPERLINK("https://klasma.github.io/Logging_2181/tillsynsmail/A 32539-2026 tillsynsbegäran mail.docx", "A 32539-2026")</f>
        <v/>
      </c>
    </row>
    <row r="102" ht="15" customHeight="1">
      <c r="A102" t="inlineStr">
        <is>
          <t>A 32544-2026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46262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HYPERLINK("https://klasma.github.io/Logging_2181/artfynd/A 32544-2026 artfynd.xlsx", "A 32544-2026")</f>
        <v/>
      </c>
      <c r="X102">
        <f>HYPERLINK("https://klasma.github.io/Logging_2181/kartor/A 32544-2026 karta.png", "A 32544-2026")</f>
        <v/>
      </c>
      <c r="Y102">
        <f>HYPERLINK("https://klasma.github.io/Logging_2181/kartor_geotiff/A 32544-2026 georefererad karta.tif", "A 32544-2026")</f>
        <v/>
      </c>
      <c r="AA102">
        <f>HYPERLINK("https://klasma.github.io/Logging_2181/klagomål/A 32544-2026 FSC-klagomål.docx", "A 32544-2026")</f>
        <v/>
      </c>
      <c r="AB102">
        <f>HYPERLINK("https://klasma.github.io/Logging_2181/klagomålsmail/A 32544-2026 FSC-klagomål mail.docx", "A 32544-2026")</f>
        <v/>
      </c>
      <c r="AC102">
        <f>HYPERLINK("https://klasma.github.io/Logging_2181/tillsyn/A 32544-2026 tillsynsbegäran.docx", "A 32544-2026")</f>
        <v/>
      </c>
      <c r="AD102">
        <f>HYPERLINK("https://klasma.github.io/Logging_2181/tillsynsmail/A 32544-2026 tillsynsbegäran mail.docx", "A 32544-2026")</f>
        <v/>
      </c>
    </row>
    <row r="103" ht="15" customHeight="1">
      <c r="A103" t="inlineStr">
        <is>
          <t>A 4384-2023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44955</v>
      </c>
      <c r="E103" s="1" t="n">
        <v>46262</v>
      </c>
      <c r="F103" t="inlineStr">
        <is>
          <t>GÄVLEBORGS LÄN</t>
        </is>
      </c>
      <c r="G103" t="inlineStr">
        <is>
          <t>SANDVIKEN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HYPERLINK("https://klasma.github.io/Logging_2181/artfynd/A 4384-2023 artfynd.xlsx", "A 4384-2023")</f>
        <v/>
      </c>
      <c r="X103">
        <f>HYPERLINK("https://klasma.github.io/Logging_2181/kartor/A 4384-2023 karta.png", "A 4384-2023")</f>
        <v/>
      </c>
      <c r="Y103">
        <f>HYPERLINK("https://klasma.github.io/Logging_2181/kartor_geotiff/A 4384-2023 georefererad karta.tif", "A 4384-2023")</f>
        <v/>
      </c>
      <c r="AA103">
        <f>HYPERLINK("https://klasma.github.io/Logging_2181/klagomål/A 4384-2023 FSC-klagomål.docx", "A 4384-2023")</f>
        <v/>
      </c>
      <c r="AB103">
        <f>HYPERLINK("https://klasma.github.io/Logging_2181/klagomålsmail/A 4384-2023 FSC-klagomål mail.docx", "A 4384-2023")</f>
        <v/>
      </c>
      <c r="AC103">
        <f>HYPERLINK("https://klasma.github.io/Logging_2181/tillsyn/A 4384-2023 tillsynsbegäran.docx", "A 4384-2023")</f>
        <v/>
      </c>
      <c r="AD103">
        <f>HYPERLINK("https://klasma.github.io/Logging_2181/tillsynsmail/A 4384-2023 tillsynsbegäran mail.docx", "A 4384-2023")</f>
        <v/>
      </c>
      <c r="AE103">
        <f>HYPERLINK("https://klasma.github.io/Logging_2181/fåglar/A 4384-2023 prioriterade fågelarter.docx", "A 4384-2023")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46262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46262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46262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35419-2026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46262</v>
      </c>
      <c r="F107" t="inlineStr">
        <is>
          <t>GÄVLEBORGS LÄN</t>
        </is>
      </c>
      <c r="G107" t="inlineStr">
        <is>
          <t>SANDVIKEN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HYPERLINK("https://klasma.github.io/Logging_2181/artfynd/A 35419-2026 artfynd.xlsx", "A 35419-2026")</f>
        <v/>
      </c>
      <c r="X107">
        <f>HYPERLINK("https://klasma.github.io/Logging_2181/kartor/A 35419-2026 karta.png", "A 35419-2026")</f>
        <v/>
      </c>
      <c r="Y107">
        <f>HYPERLINK("https://klasma.github.io/Logging_2181/kartor_geotiff/A 35419-2026 georefererad karta.tif", "A 35419-2026")</f>
        <v/>
      </c>
      <c r="AA107">
        <f>HYPERLINK("https://klasma.github.io/Logging_2181/klagomål/A 35419-2026 FSC-klagomål.docx", "A 35419-2026")</f>
        <v/>
      </c>
      <c r="AB107">
        <f>HYPERLINK("https://klasma.github.io/Logging_2181/klagomålsmail/A 35419-2026 FSC-klagomål mail.docx", "A 35419-2026")</f>
        <v/>
      </c>
      <c r="AC107">
        <f>HYPERLINK("https://klasma.github.io/Logging_2181/tillsyn/A 35419-2026 tillsynsbegäran.docx", "A 35419-2026")</f>
        <v/>
      </c>
      <c r="AD107">
        <f>HYPERLINK("https://klasma.github.io/Logging_2181/tillsynsmail/A 35419-2026 tillsynsbegäran mail.docx", "A 35419-2026")</f>
        <v/>
      </c>
    </row>
    <row r="108" ht="15" customHeight="1">
      <c r="A108" t="inlineStr">
        <is>
          <t>S 242-2024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45319</v>
      </c>
      <c r="E108" s="1" t="n">
        <v>46262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51.8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Bivråk</t>
        </is>
      </c>
      <c r="W108">
        <f>HYPERLINK("https://klasma.github.io/Logging_2181/artfynd/S 242-2024 artfynd.xlsx", "S 242-2024")</f>
        <v/>
      </c>
      <c r="X108">
        <f>HYPERLINK("https://klasma.github.io/Logging_2181/kartor/S 242-2024 karta.png", "S 242-2024")</f>
        <v/>
      </c>
      <c r="Y108">
        <f>HYPERLINK("https://klasma.github.io/Logging_2181/kartor_geotiff/S 242-2024 georefererad karta.tif", "S 242-2024")</f>
        <v/>
      </c>
      <c r="AA108">
        <f>HYPERLINK("https://klasma.github.io/Logging_2181/klagomål/S 242-2024 FSC-klagomål.docx", "S 242-2024")</f>
        <v/>
      </c>
      <c r="AB108">
        <f>HYPERLINK("https://klasma.github.io/Logging_2181/klagomålsmail/S 242-2024 FSC-klagomål mail.docx", "S 242-2024")</f>
        <v/>
      </c>
      <c r="AC108">
        <f>HYPERLINK("https://klasma.github.io/Logging_2181/tillsyn/S 242-2024 tillsynsbegäran.docx", "S 242-2024")</f>
        <v/>
      </c>
      <c r="AD108">
        <f>HYPERLINK("https://klasma.github.io/Logging_2181/tillsynsmail/S 242-2024 tillsynsbegäran mail.docx", "S 242-2024")</f>
        <v/>
      </c>
      <c r="AE108">
        <f>HYPERLINK("https://klasma.github.io/Logging_2181/fåglar/S 242-2024 prioriterade fågelarter.docx", "S 242-2024")</f>
        <v/>
      </c>
    </row>
    <row r="109" ht="15" customHeight="1">
      <c r="A109" t="inlineStr">
        <is>
          <t>S 1687-2023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45064</v>
      </c>
      <c r="E109" s="1" t="n">
        <v>46262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12.6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HYPERLINK("https://klasma.github.io/Logging_2181/artfynd/S 1687-2023 artfynd.xlsx", "S 1687-2023")</f>
        <v/>
      </c>
      <c r="X109">
        <f>HYPERLINK("https://klasma.github.io/Logging_2181/kartor/S 1687-2023 karta.png", "S 1687-2023")</f>
        <v/>
      </c>
      <c r="Y109">
        <f>HYPERLINK("https://klasma.github.io/Logging_2181/kartor_geotiff/S 1687-2023 georefererad karta.tif", "S 1687-2023")</f>
        <v/>
      </c>
      <c r="AA109">
        <f>HYPERLINK("https://klasma.github.io/Logging_2181/klagomål/S 1687-2023 FSC-klagomål.docx", "S 1687-2023")</f>
        <v/>
      </c>
      <c r="AB109">
        <f>HYPERLINK("https://klasma.github.io/Logging_2181/klagomålsmail/S 1687-2023 FSC-klagomål mail.docx", "S 1687-2023")</f>
        <v/>
      </c>
      <c r="AC109">
        <f>HYPERLINK("https://klasma.github.io/Logging_2181/tillsyn/S 1687-2023 tillsynsbegäran.docx", "S 1687-2023")</f>
        <v/>
      </c>
      <c r="AD109">
        <f>HYPERLINK("https://klasma.github.io/Logging_2181/tillsynsmail/S 1687-2023 tillsynsbegäran mail.docx", "S 1687-2023")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46262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412-2025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45699</v>
      </c>
      <c r="E111" s="1" t="n">
        <v>46262</v>
      </c>
      <c r="F111" t="inlineStr">
        <is>
          <t>GÄVLEBORGS LÄN</t>
        </is>
      </c>
      <c r="G111" t="inlineStr">
        <is>
          <t>SANDVIKEN</t>
        </is>
      </c>
      <c r="H111" t="inlineStr">
        <is>
          <t>Bergvik skog öst AB</t>
        </is>
      </c>
      <c r="I111" t="n">
        <v>21.2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Aspbarkgnagare</t>
        </is>
      </c>
      <c r="W111">
        <f>HYPERLINK("https://klasma.github.io/Logging_2181/artfynd/S 412-2025 artfynd.xlsx", "S 412-2025")</f>
        <v/>
      </c>
      <c r="X111">
        <f>HYPERLINK("https://klasma.github.io/Logging_2181/kartor/S 412-2025 karta.png", "S 412-2025")</f>
        <v/>
      </c>
      <c r="Y111">
        <f>HYPERLINK("https://klasma.github.io/Logging_2181/kartor_geotiff/S 412-2025 georefererad karta.tif", "S 412-2025")</f>
        <v/>
      </c>
      <c r="AA111">
        <f>HYPERLINK("https://klasma.github.io/Logging_2181/klagomål/S 412-2025 FSC-klagomål.docx", "S 412-2025")</f>
        <v/>
      </c>
      <c r="AB111">
        <f>HYPERLINK("https://klasma.github.io/Logging_2181/klagomålsmail/S 412-2025 FSC-klagomål mail.docx", "S 412-2025")</f>
        <v/>
      </c>
      <c r="AC111">
        <f>HYPERLINK("https://klasma.github.io/Logging_2181/tillsyn/S 412-2025 tillsynsbegäran.docx", "S 412-2025")</f>
        <v/>
      </c>
      <c r="AD111">
        <f>HYPERLINK("https://klasma.github.io/Logging_2181/tillsynsmail/S 412-2025 tillsynsbegäran mail.docx", "S 412-2025")</f>
        <v/>
      </c>
    </row>
    <row r="112" ht="15" customHeight="1">
      <c r="A112" t="inlineStr">
        <is>
          <t>S 501-2025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45706</v>
      </c>
      <c r="E112" s="1" t="n">
        <v>46262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20.6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HYPERLINK("https://klasma.github.io/Logging_2181/artfynd/S 501-2025 artfynd.xlsx", "S 501-2025")</f>
        <v/>
      </c>
      <c r="X112">
        <f>HYPERLINK("https://klasma.github.io/Logging_2181/kartor/S 501-2025 karta.png", "S 501-2025")</f>
        <v/>
      </c>
      <c r="Y112">
        <f>HYPERLINK("https://klasma.github.io/Logging_2181/kartor_geotiff/S 501-2025 georefererad karta.tif", "S 501-2025")</f>
        <v/>
      </c>
      <c r="AA112">
        <f>HYPERLINK("https://klasma.github.io/Logging_2181/klagomål/S 501-2025 FSC-klagomål.docx", "S 501-2025")</f>
        <v/>
      </c>
      <c r="AB112">
        <f>HYPERLINK("https://klasma.github.io/Logging_2181/klagomålsmail/S 501-2025 FSC-klagomål mail.docx", "S 501-2025")</f>
        <v/>
      </c>
      <c r="AC112">
        <f>HYPERLINK("https://klasma.github.io/Logging_2181/tillsyn/S 501-2025 tillsynsbegäran.docx", "S 501-2025")</f>
        <v/>
      </c>
      <c r="AD112">
        <f>HYPERLINK("https://klasma.github.io/Logging_2181/tillsynsmail/S 501-2025 tillsynsbegäran mail.docx", "S 501-2025")</f>
        <v/>
      </c>
      <c r="AE112">
        <f>HYPERLINK("https://klasma.github.io/Logging_2181/fåglar/S 501-2025 prioriterade fågelarter.docx", "S 501-2025")</f>
        <v/>
      </c>
    </row>
    <row r="113" ht="15" customHeight="1">
      <c r="A113" t="inlineStr">
        <is>
          <t>S 1025-2026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46122</v>
      </c>
      <c r="E113" s="1" t="n">
        <v>46262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62.8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1025-2026 artfynd.xlsx", "S 1025-2026")</f>
        <v/>
      </c>
      <c r="X113">
        <f>HYPERLINK("https://klasma.github.io/Logging_2181/kartor/S 1025-2026 karta.png", "S 1025-2026")</f>
        <v/>
      </c>
      <c r="Y113">
        <f>HYPERLINK("https://klasma.github.io/Logging_2181/kartor_geotiff/S 1025-2026 georefererad karta.tif", "S 1025-2026")</f>
        <v/>
      </c>
      <c r="AA113">
        <f>HYPERLINK("https://klasma.github.io/Logging_2181/klagomål/S 1025-2026 FSC-klagomål.docx", "S 1025-2026")</f>
        <v/>
      </c>
      <c r="AB113">
        <f>HYPERLINK("https://klasma.github.io/Logging_2181/klagomålsmail/S 1025-2026 FSC-klagomål mail.docx", "S 1025-2026")</f>
        <v/>
      </c>
      <c r="AC113">
        <f>HYPERLINK("https://klasma.github.io/Logging_2181/tillsyn/S 1025-2026 tillsynsbegäran.docx", "S 1025-2026")</f>
        <v/>
      </c>
      <c r="AD113">
        <f>HYPERLINK("https://klasma.github.io/Logging_2181/tillsynsmail/S 1025-2026 tillsynsbegäran mail.docx", "S 1025-2026")</f>
        <v/>
      </c>
      <c r="AE113">
        <f>HYPERLINK("https://klasma.github.io/Logging_2181/fåglar/S 1025-2026 prioriterade fågelarter.docx", "S 1025-2026")</f>
        <v/>
      </c>
    </row>
    <row r="114" ht="15" customHeight="1">
      <c r="A114" t="inlineStr">
        <is>
          <t>A 51162-2022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44868</v>
      </c>
      <c r="E114" s="1" t="n">
        <v>46262</v>
      </c>
      <c r="F114" t="inlineStr">
        <is>
          <t>GÄVLEBORGS LÄN</t>
        </is>
      </c>
      <c r="G114" t="inlineStr">
        <is>
          <t>SANDVIKEN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46262</v>
      </c>
      <c r="F115" t="inlineStr">
        <is>
          <t>GÄVLEBORGS LÄN</t>
        </is>
      </c>
      <c r="G115" t="inlineStr">
        <is>
          <t>SANDVIKEN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46262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31419-2022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46262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50876-2021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44460</v>
      </c>
      <c r="E118" s="1" t="n">
        <v>46262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46262</v>
      </c>
      <c r="F119" t="inlineStr">
        <is>
          <t>GÄVLEBORGS LÄN</t>
        </is>
      </c>
      <c r="G119" t="inlineStr">
        <is>
          <t>SANDVIKEN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61729-2021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46262</v>
      </c>
      <c r="F120" t="inlineStr">
        <is>
          <t>GÄVLEBORGS LÄN</t>
        </is>
      </c>
      <c r="G120" t="inlineStr">
        <is>
          <t>SANDVIKEN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45985-2021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44441</v>
      </c>
      <c r="E121" s="1" t="n">
        <v>46262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47632-2021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44448</v>
      </c>
      <c r="E122" s="1" t="n">
        <v>46262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46262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46262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46262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46262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46262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46262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46262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46262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46262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46262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46262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46262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46262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46262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46262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46262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46262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46262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46262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46262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46262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46262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46262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46262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46262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46262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46262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46262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46262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45920-2022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44846</v>
      </c>
      <c r="E152" s="1" t="n">
        <v>46262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46262</v>
      </c>
      <c r="F153" t="inlineStr">
        <is>
          <t>GÄVLEBORGS LÄN</t>
        </is>
      </c>
      <c r="G153" t="inlineStr">
        <is>
          <t>SANDVIKEN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46262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46262</v>
      </c>
      <c r="F155" t="inlineStr">
        <is>
          <t>GÄVLEBORGS LÄN</t>
        </is>
      </c>
      <c r="G155" t="inlineStr">
        <is>
          <t>SANDVIKEN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45622</v>
      </c>
      <c r="E156" s="1" t="n">
        <v>46262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46262</v>
      </c>
      <c r="F157" t="inlineStr">
        <is>
          <t>GÄVLEBORGS LÄN</t>
        </is>
      </c>
      <c r="G157" t="inlineStr">
        <is>
          <t>SANDVIKEN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46262</v>
      </c>
      <c r="F158" t="inlineStr">
        <is>
          <t>GÄVLEBORGS LÄN</t>
        </is>
      </c>
      <c r="G158" t="inlineStr">
        <is>
          <t>SANDVIKEN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45174</v>
      </c>
      <c r="E159" s="1" t="n">
        <v>46262</v>
      </c>
      <c r="F159" t="inlineStr">
        <is>
          <t>GÄVLEBORGS LÄN</t>
        </is>
      </c>
      <c r="G159" t="inlineStr">
        <is>
          <t>SANDVIKEN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69521-2021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44531</v>
      </c>
      <c r="E160" s="1" t="n">
        <v>46262</v>
      </c>
      <c r="F160" t="inlineStr">
        <is>
          <t>GÄVLEBORGS LÄN</t>
        </is>
      </c>
      <c r="G160" t="inlineStr">
        <is>
          <t>SANDVIKEN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46262</v>
      </c>
      <c r="F161" t="inlineStr">
        <is>
          <t>GÄVLEBORGS LÄN</t>
        </is>
      </c>
      <c r="G161" t="inlineStr">
        <is>
          <t>SANDVIKEN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45178</v>
      </c>
      <c r="E162" s="1" t="n">
        <v>46262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väst AB</t>
        </is>
      </c>
      <c r="I162" t="n">
        <v>16.5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50851-2025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45946</v>
      </c>
      <c r="E163" s="1" t="n">
        <v>46262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45552</v>
      </c>
      <c r="E164" s="1" t="n">
        <v>46262</v>
      </c>
      <c r="F164" t="inlineStr">
        <is>
          <t>GÄVLEBORGS LÄN</t>
        </is>
      </c>
      <c r="G164" t="inlineStr">
        <is>
          <t>SANDVIKEN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46262</v>
      </c>
      <c r="F165" t="inlineStr">
        <is>
          <t>GÄVLEBORGS LÄN</t>
        </is>
      </c>
      <c r="G165" t="inlineStr">
        <is>
          <t>SANDVIKEN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45671</v>
      </c>
      <c r="E166" s="1" t="n">
        <v>46262</v>
      </c>
      <c r="F166" t="inlineStr">
        <is>
          <t>GÄVLEBORGS LÄN</t>
        </is>
      </c>
      <c r="G166" t="inlineStr">
        <is>
          <t>SANDVIKEN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45520</v>
      </c>
      <c r="E167" s="1" t="n">
        <v>46262</v>
      </c>
      <c r="F167" t="inlineStr">
        <is>
          <t>GÄVLEBORGS LÄN</t>
        </is>
      </c>
      <c r="G167" t="inlineStr">
        <is>
          <t>SANDVIKEN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46262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45525</v>
      </c>
      <c r="E169" s="1" t="n">
        <v>46262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öst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46262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46262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46262</v>
      </c>
      <c r="F172" t="inlineStr">
        <is>
          <t>GÄVLEBORGS LÄN</t>
        </is>
      </c>
      <c r="G172" t="inlineStr">
        <is>
          <t>SANDVIKEN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49704-2023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45212</v>
      </c>
      <c r="E173" s="1" t="n">
        <v>46262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46262</v>
      </c>
      <c r="F174" t="inlineStr">
        <is>
          <t>GÄVLEBORGS LÄN</t>
        </is>
      </c>
      <c r="G174" t="inlineStr">
        <is>
          <t>SANDVIKEN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46262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46262</v>
      </c>
      <c r="F176" t="inlineStr">
        <is>
          <t>GÄVLEBORGS LÄN</t>
        </is>
      </c>
      <c r="G176" t="inlineStr">
        <is>
          <t>SANDVIKEN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46262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46262</v>
      </c>
      <c r="F178" t="inlineStr">
        <is>
          <t>GÄVLEBORGS LÄN</t>
        </is>
      </c>
      <c r="G178" t="inlineStr">
        <is>
          <t>SANDVIKEN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46262</v>
      </c>
      <c r="F179" t="inlineStr">
        <is>
          <t>GÄVLEBORGS LÄN</t>
        </is>
      </c>
      <c r="G179" t="inlineStr">
        <is>
          <t>SANDVIKEN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45475</v>
      </c>
      <c r="E180" s="1" t="n">
        <v>46262</v>
      </c>
      <c r="F180" t="inlineStr">
        <is>
          <t>GÄVLEBORGS LÄN</t>
        </is>
      </c>
      <c r="G180" t="inlineStr">
        <is>
          <t>SANDVIKEN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45540</v>
      </c>
      <c r="E181" s="1" t="n">
        <v>46262</v>
      </c>
      <c r="F181" t="inlineStr">
        <is>
          <t>GÄVLEBORGS LÄN</t>
        </is>
      </c>
      <c r="G181" t="inlineStr">
        <is>
          <t>SANDVIKEN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46262</v>
      </c>
      <c r="F182" t="inlineStr">
        <is>
          <t>GÄVLEBORGS LÄN</t>
        </is>
      </c>
      <c r="G182" t="inlineStr">
        <is>
          <t>SANDVIKEN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46262</v>
      </c>
      <c r="F183" t="inlineStr">
        <is>
          <t>GÄVLEBORGS LÄN</t>
        </is>
      </c>
      <c r="G183" t="inlineStr">
        <is>
          <t>SANDVIKEN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45673</v>
      </c>
      <c r="E184" s="1" t="n">
        <v>46262</v>
      </c>
      <c r="F184" t="inlineStr">
        <is>
          <t>GÄVLEBORGS LÄN</t>
        </is>
      </c>
      <c r="G184" t="inlineStr">
        <is>
          <t>SANDVIKEN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45540</v>
      </c>
      <c r="E185" s="1" t="n">
        <v>46262</v>
      </c>
      <c r="F185" t="inlineStr">
        <is>
          <t>GÄVLEBORGS LÄN</t>
        </is>
      </c>
      <c r="G185" t="inlineStr">
        <is>
          <t>SANDVIKEN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45763</v>
      </c>
      <c r="E186" s="1" t="n">
        <v>46262</v>
      </c>
      <c r="F186" t="inlineStr">
        <is>
          <t>GÄVLEBORGS LÄN</t>
        </is>
      </c>
      <c r="G186" t="inlineStr">
        <is>
          <t>SANDVIKEN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46262</v>
      </c>
      <c r="F187" t="inlineStr">
        <is>
          <t>GÄVLEBORGS LÄN</t>
        </is>
      </c>
      <c r="G187" t="inlineStr">
        <is>
          <t>SANDVIKEN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46262</v>
      </c>
      <c r="F188" t="inlineStr">
        <is>
          <t>GÄVLEBORGS LÄN</t>
        </is>
      </c>
      <c r="G188" t="inlineStr">
        <is>
          <t>SANDVIKEN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45418</v>
      </c>
      <c r="E189" s="1" t="n">
        <v>46262</v>
      </c>
      <c r="F189" t="inlineStr">
        <is>
          <t>GÄVLEBORGS LÄN</t>
        </is>
      </c>
      <c r="G189" t="inlineStr">
        <is>
          <t>SANDVIKEN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46262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46262</v>
      </c>
      <c r="F191" t="inlineStr">
        <is>
          <t>GÄVLEBORGS LÄN</t>
        </is>
      </c>
      <c r="G191" t="inlineStr">
        <is>
          <t>SANDVIKEN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45614</v>
      </c>
      <c r="E192" s="1" t="n">
        <v>46262</v>
      </c>
      <c r="F192" t="inlineStr">
        <is>
          <t>GÄVLEBORGS LÄN</t>
        </is>
      </c>
      <c r="G192" t="inlineStr">
        <is>
          <t>SANDVIKEN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46262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46262</v>
      </c>
      <c r="F194" t="inlineStr">
        <is>
          <t>GÄVLEBORGS LÄN</t>
        </is>
      </c>
      <c r="G194" t="inlineStr">
        <is>
          <t>SANDVIKEN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46262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46262</v>
      </c>
      <c r="F196" t="inlineStr">
        <is>
          <t>GÄVLEBORGS LÄN</t>
        </is>
      </c>
      <c r="G196" t="inlineStr">
        <is>
          <t>SANDVIKEN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46262</v>
      </c>
      <c r="F197" t="inlineStr">
        <is>
          <t>GÄVLEBORGS LÄN</t>
        </is>
      </c>
      <c r="G197" t="inlineStr">
        <is>
          <t>SANDVIKEN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45126</v>
      </c>
      <c r="E198" s="1" t="n">
        <v>46262</v>
      </c>
      <c r="F198" t="inlineStr">
        <is>
          <t>GÄVLEBORGS LÄN</t>
        </is>
      </c>
      <c r="G198" t="inlineStr">
        <is>
          <t>SANDVIKEN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46262</v>
      </c>
      <c r="F199" t="inlineStr">
        <is>
          <t>GÄVLEBORGS LÄN</t>
        </is>
      </c>
      <c r="G199" t="inlineStr">
        <is>
          <t>SANDVIKEN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46262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46262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46262</v>
      </c>
      <c r="F202" t="inlineStr">
        <is>
          <t>GÄVLEBORGS LÄN</t>
        </is>
      </c>
      <c r="G202" t="inlineStr">
        <is>
          <t>SANDVIKEN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46262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46262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46262</v>
      </c>
      <c r="F205" t="inlineStr">
        <is>
          <t>GÄVLEBORGS LÄN</t>
        </is>
      </c>
      <c r="G205" t="inlineStr">
        <is>
          <t>SANDVIKEN</t>
        </is>
      </c>
      <c r="H205" t="inlineStr">
        <is>
          <t>Kommuner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45899</v>
      </c>
      <c r="E206" s="1" t="n">
        <v>46262</v>
      </c>
      <c r="F206" t="inlineStr">
        <is>
          <t>GÄVLEBORGS LÄN</t>
        </is>
      </c>
      <c r="G206" t="inlineStr">
        <is>
          <t>SANDVIKEN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46262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väst AB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46262</v>
      </c>
      <c r="F208" t="inlineStr">
        <is>
          <t>GÄVLEBORGS LÄN</t>
        </is>
      </c>
      <c r="G208" t="inlineStr">
        <is>
          <t>SANDVIKEN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46262</v>
      </c>
      <c r="F209" t="inlineStr">
        <is>
          <t>GÄVLEBORGS LÄN</t>
        </is>
      </c>
      <c r="G209" t="inlineStr">
        <is>
          <t>SANDVIKEN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HYPERLINK("https://klasma.github.io/Logging_2181/knärot/A 52786-2025 karta knärot.png", "A 52786-2025")</f>
        <v/>
      </c>
      <c r="AA209">
        <f>HYPERLINK("https://klasma.github.io/Logging_2181/klagomål/A 52786-2025 FSC-klagomål.docx", "A 52786-2025")</f>
        <v/>
      </c>
      <c r="AB209">
        <f>HYPERLINK("https://klasma.github.io/Logging_2181/klagomålsmail/A 52786-2025 FSC-klagomål mail.docx", "A 52786-2025")</f>
        <v/>
      </c>
      <c r="AC209">
        <f>HYPERLINK("https://klasma.github.io/Logging_2181/tillsyn/A 52786-2025 tillsynsbegäran.docx", "A 52786-2025")</f>
        <v/>
      </c>
      <c r="AD209">
        <f>HYPERLINK("https://klasma.github.io/Logging_2181/tillsynsmail/A 52786-2025 tillsynsbegäran mail.docx", "A 52786-2025")</f>
        <v/>
      </c>
    </row>
    <row r="210" ht="15" customHeight="1">
      <c r="A210" t="inlineStr">
        <is>
          <t>A 7031-2025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46262</v>
      </c>
      <c r="F210" t="inlineStr">
        <is>
          <t>GÄVLEBORGS LÄN</t>
        </is>
      </c>
      <c r="G210" t="inlineStr">
        <is>
          <t>SANDVIKEN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45544</v>
      </c>
      <c r="E211" s="1" t="n">
        <v>46262</v>
      </c>
      <c r="F211" t="inlineStr">
        <is>
          <t>GÄVLEBORGS LÄN</t>
        </is>
      </c>
      <c r="G211" t="inlineStr">
        <is>
          <t>SANDVIKEN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56310-2021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44477</v>
      </c>
      <c r="E212" s="1" t="n">
        <v>46262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väst AB</t>
        </is>
      </c>
      <c r="I212" t="n">
        <v>18.5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26787-2025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45810</v>
      </c>
      <c r="E213" s="1" t="n">
        <v>46262</v>
      </c>
      <c r="F213" t="inlineStr">
        <is>
          <t>GÄVLEBORGS LÄN</t>
        </is>
      </c>
      <c r="G213" t="inlineStr">
        <is>
          <t>SANDVIKEN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46262</v>
      </c>
      <c r="F214" t="inlineStr">
        <is>
          <t>GÄVLEBORGS LÄN</t>
        </is>
      </c>
      <c r="G214" t="inlineStr">
        <is>
          <t>SANDVIKEN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45638</v>
      </c>
      <c r="E215" s="1" t="n">
        <v>46262</v>
      </c>
      <c r="F215" t="inlineStr">
        <is>
          <t>GÄVLEBORGS LÄN</t>
        </is>
      </c>
      <c r="G215" t="inlineStr">
        <is>
          <t>SANDVIKEN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46262</v>
      </c>
      <c r="F216" t="inlineStr">
        <is>
          <t>GÄVLEBORGS LÄN</t>
        </is>
      </c>
      <c r="G216" t="inlineStr">
        <is>
          <t>SANDVIKEN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46262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45968</v>
      </c>
      <c r="E218" s="1" t="n">
        <v>46262</v>
      </c>
      <c r="F218" t="inlineStr">
        <is>
          <t>GÄVLEBORGS LÄN</t>
        </is>
      </c>
      <c r="G218" t="inlineStr">
        <is>
          <t>SANDVIKEN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46262</v>
      </c>
      <c r="F219" t="inlineStr">
        <is>
          <t>GÄVLEBORGS LÄN</t>
        </is>
      </c>
      <c r="G219" t="inlineStr">
        <is>
          <t>SANDVIKEN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56587-2025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45975</v>
      </c>
      <c r="E220" s="1" t="n">
        <v>46262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45977</v>
      </c>
      <c r="E221" s="1" t="n">
        <v>46262</v>
      </c>
      <c r="F221" t="inlineStr">
        <is>
          <t>GÄVLEBORGS LÄN</t>
        </is>
      </c>
      <c r="G221" t="inlineStr">
        <is>
          <t>SANDVIKEN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46262</v>
      </c>
      <c r="F222" t="inlineStr">
        <is>
          <t>GÄVLEBORGS LÄN</t>
        </is>
      </c>
      <c r="G222" t="inlineStr">
        <is>
          <t>SANDVIKEN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46262</v>
      </c>
      <c r="F223" t="inlineStr">
        <is>
          <t>GÄVLEBORGS LÄN</t>
        </is>
      </c>
      <c r="G223" t="inlineStr">
        <is>
          <t>SANDVIKEN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45983</v>
      </c>
      <c r="E224" s="1" t="n">
        <v>46262</v>
      </c>
      <c r="F224" t="inlineStr">
        <is>
          <t>GÄVLEBORGS LÄN</t>
        </is>
      </c>
      <c r="G224" t="inlineStr">
        <is>
          <t>SANDVIKEN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45984</v>
      </c>
      <c r="E225" s="1" t="n">
        <v>46262</v>
      </c>
      <c r="F225" t="inlineStr">
        <is>
          <t>GÄVLEBORGS LÄN</t>
        </is>
      </c>
      <c r="G225" t="inlineStr">
        <is>
          <t>SANDVIKEN</t>
        </is>
      </c>
      <c r="H225" t="inlineStr">
        <is>
          <t>Bergvik skog öst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45984</v>
      </c>
      <c r="E226" s="1" t="n">
        <v>46262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öst AB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45984</v>
      </c>
      <c r="E227" s="1" t="n">
        <v>46262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46262</v>
      </c>
      <c r="F228" t="inlineStr">
        <is>
          <t>GÄVLEBORGS LÄN</t>
        </is>
      </c>
      <c r="G228" t="inlineStr">
        <is>
          <t>SANDVIKEN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45981</v>
      </c>
      <c r="E229" s="1" t="n">
        <v>46262</v>
      </c>
      <c r="F229" t="inlineStr">
        <is>
          <t>GÄVLEBORGS LÄN</t>
        </is>
      </c>
      <c r="G229" t="inlineStr">
        <is>
          <t>SANDVIKEN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46262</v>
      </c>
      <c r="F230" t="inlineStr">
        <is>
          <t>GÄVLEBORGS LÄN</t>
        </is>
      </c>
      <c r="G230" t="inlineStr">
        <is>
          <t>SANDVIKEN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46262</v>
      </c>
      <c r="F231" t="inlineStr">
        <is>
          <t>GÄVLEBORGS LÄN</t>
        </is>
      </c>
      <c r="G231" t="inlineStr">
        <is>
          <t>SANDVIKEN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45819</v>
      </c>
      <c r="E232" s="1" t="n">
        <v>46262</v>
      </c>
      <c r="F232" t="inlineStr">
        <is>
          <t>GÄVLEBORGS LÄN</t>
        </is>
      </c>
      <c r="G232" t="inlineStr">
        <is>
          <t>SANDVIKEN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46262</v>
      </c>
      <c r="F233" t="inlineStr">
        <is>
          <t>GÄVLEBORGS LÄN</t>
        </is>
      </c>
      <c r="G233" t="inlineStr">
        <is>
          <t>SANDVIKEN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46262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46262</v>
      </c>
      <c r="F235" t="inlineStr">
        <is>
          <t>GÄVLEBORGS LÄN</t>
        </is>
      </c>
      <c r="G235" t="inlineStr">
        <is>
          <t>SANDVIKEN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45169</v>
      </c>
      <c r="E236" s="1" t="n">
        <v>46262</v>
      </c>
      <c r="F236" t="inlineStr">
        <is>
          <t>GÄVLEBORGS LÄN</t>
        </is>
      </c>
      <c r="G236" t="inlineStr">
        <is>
          <t>SANDVIKEN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46262</v>
      </c>
      <c r="F237" t="inlineStr">
        <is>
          <t>GÄVLEBORGS LÄN</t>
        </is>
      </c>
      <c r="G237" t="inlineStr">
        <is>
          <t>SANDVIKEN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46262</v>
      </c>
      <c r="F238" t="inlineStr">
        <is>
          <t>GÄVLEBORGS LÄN</t>
        </is>
      </c>
      <c r="G238" t="inlineStr">
        <is>
          <t>SANDVIKEN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27967-2022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44744</v>
      </c>
      <c r="E239" s="1" t="n">
        <v>46262</v>
      </c>
      <c r="F239" t="inlineStr">
        <is>
          <t>GÄVLEBORGS LÄN</t>
        </is>
      </c>
      <c r="G239" t="inlineStr">
        <is>
          <t>SANDVIKEN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45825</v>
      </c>
      <c r="E240" s="1" t="n">
        <v>46262</v>
      </c>
      <c r="F240" t="inlineStr">
        <is>
          <t>GÄVLEBORGS LÄN</t>
        </is>
      </c>
      <c r="G240" t="inlineStr">
        <is>
          <t>SANDVIKEN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46262</v>
      </c>
      <c r="F241" t="inlineStr">
        <is>
          <t>GÄVLEBORGS LÄN</t>
        </is>
      </c>
      <c r="G241" t="inlineStr">
        <is>
          <t>SANDVIKEN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46262</v>
      </c>
      <c r="F242" t="inlineStr">
        <is>
          <t>GÄVLEBORGS LÄN</t>
        </is>
      </c>
      <c r="G242" t="inlineStr">
        <is>
          <t>SANDVIKEN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46262</v>
      </c>
      <c r="F243" t="inlineStr">
        <is>
          <t>GÄVLEBORGS LÄN</t>
        </is>
      </c>
      <c r="G243" t="inlineStr">
        <is>
          <t>SANDVIKEN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46262</v>
      </c>
      <c r="F244" t="inlineStr">
        <is>
          <t>GÄVLEBORGS LÄN</t>
        </is>
      </c>
      <c r="G244" t="inlineStr">
        <is>
          <t>SANDVIKEN</t>
        </is>
      </c>
      <c r="I244" t="n">
        <v>10.2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46262</v>
      </c>
      <c r="F245" t="inlineStr">
        <is>
          <t>GÄVLEBORGS LÄN</t>
        </is>
      </c>
      <c r="G245" t="inlineStr">
        <is>
          <t>SANDVIKEN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46262</v>
      </c>
      <c r="F246" t="inlineStr">
        <is>
          <t>GÄVLEBORGS LÄN</t>
        </is>
      </c>
      <c r="G246" t="inlineStr">
        <is>
          <t>SANDVIKEN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45832</v>
      </c>
      <c r="E247" s="1" t="n">
        <v>46262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30843-2025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45831</v>
      </c>
      <c r="E248" s="1" t="n">
        <v>46262</v>
      </c>
      <c r="F248" t="inlineStr">
        <is>
          <t>GÄVLEBORGS LÄN</t>
        </is>
      </c>
      <c r="G248" t="inlineStr">
        <is>
          <t>SANDVIKEN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16683-2024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45408</v>
      </c>
      <c r="E249" s="1" t="n">
        <v>46262</v>
      </c>
      <c r="F249" t="inlineStr">
        <is>
          <t>GÄVLEBORGS LÄN</t>
        </is>
      </c>
      <c r="G249" t="inlineStr">
        <is>
          <t>SANDVIKEN</t>
        </is>
      </c>
      <c r="H249" t="inlineStr">
        <is>
          <t>Bergvik skog väst AB</t>
        </is>
      </c>
      <c r="I249" t="n">
        <v>14.2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45103-2025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46262</v>
      </c>
      <c r="F250" t="inlineStr">
        <is>
          <t>GÄVLEBORGS LÄN</t>
        </is>
      </c>
      <c r="G250" t="inlineStr">
        <is>
          <t>SANDVIKEN</t>
        </is>
      </c>
      <c r="H250" t="inlineStr">
        <is>
          <t>Kyrkan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46262</v>
      </c>
      <c r="F251" t="inlineStr">
        <is>
          <t>GÄVLEBORGS LÄN</t>
        </is>
      </c>
      <c r="G251" t="inlineStr">
        <is>
          <t>SANDVIKEN</t>
        </is>
      </c>
      <c r="H251" t="inlineStr">
        <is>
          <t>Kyrkan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46262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46262</v>
      </c>
      <c r="F253" t="inlineStr">
        <is>
          <t>GÄVLEBORGS LÄN</t>
        </is>
      </c>
      <c r="G253" t="inlineStr">
        <is>
          <t>SANDVIKEN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46262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59623-2025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46262</v>
      </c>
      <c r="F255" t="inlineStr">
        <is>
          <t>GÄVLEBORGS LÄN</t>
        </is>
      </c>
      <c r="G255" t="inlineStr">
        <is>
          <t>SANDVIKEN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46262</v>
      </c>
      <c r="F256" t="inlineStr">
        <is>
          <t>GÄVLEBORGS LÄN</t>
        </is>
      </c>
      <c r="G256" t="inlineStr">
        <is>
          <t>SANDVIKEN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46262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öst AB</t>
        </is>
      </c>
      <c r="I257" t="n">
        <v>27.3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45649</v>
      </c>
      <c r="E258" s="1" t="n">
        <v>46262</v>
      </c>
      <c r="F258" t="inlineStr">
        <is>
          <t>GÄVLEBORGS LÄN</t>
        </is>
      </c>
      <c r="G258" t="inlineStr">
        <is>
          <t>SANDVIKEN</t>
        </is>
      </c>
      <c r="I258" t="n">
        <v>11.1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46262</v>
      </c>
      <c r="F259" t="inlineStr">
        <is>
          <t>GÄVLEBORGS LÄN</t>
        </is>
      </c>
      <c r="G259" t="inlineStr">
        <is>
          <t>SANDVIKEN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46269-2025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46262</v>
      </c>
      <c r="F260" t="inlineStr">
        <is>
          <t>GÄVLEBORGS LÄN</t>
        </is>
      </c>
      <c r="G260" t="inlineStr">
        <is>
          <t>SANDVIKEN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34219-2025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45845</v>
      </c>
      <c r="E261" s="1" t="n">
        <v>46262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46262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46262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45762</v>
      </c>
      <c r="E264" s="1" t="n">
        <v>46262</v>
      </c>
      <c r="F264" t="inlineStr">
        <is>
          <t>GÄVLEBORGS LÄN</t>
        </is>
      </c>
      <c r="G264" t="inlineStr">
        <is>
          <t>SANDVIKEN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46262</v>
      </c>
      <c r="F265" t="inlineStr">
        <is>
          <t>GÄVLEBORGS LÄN</t>
        </is>
      </c>
      <c r="G265" t="inlineStr">
        <is>
          <t>SANDVIKEN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46262</v>
      </c>
      <c r="F266" t="inlineStr">
        <is>
          <t>GÄVLEBORGS LÄN</t>
        </is>
      </c>
      <c r="G266" t="inlineStr">
        <is>
          <t>SANDVIKEN</t>
        </is>
      </c>
      <c r="H266" t="inlineStr">
        <is>
          <t>Bergvik skog öst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46262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46262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46262</v>
      </c>
      <c r="F269" t="inlineStr">
        <is>
          <t>GÄVLEBORGS LÄN</t>
        </is>
      </c>
      <c r="G269" t="inlineStr">
        <is>
          <t>SANDVIKEN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46262</v>
      </c>
      <c r="F270" t="inlineStr">
        <is>
          <t>GÄVLEBORGS LÄN</t>
        </is>
      </c>
      <c r="G270" t="inlineStr">
        <is>
          <t>SANDVIKEN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46262</v>
      </c>
      <c r="F271" t="inlineStr">
        <is>
          <t>GÄVLEBORGS LÄN</t>
        </is>
      </c>
      <c r="G271" t="inlineStr">
        <is>
          <t>SANDVIKEN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46262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46262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46262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46262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45863</v>
      </c>
      <c r="E276" s="1" t="n">
        <v>46262</v>
      </c>
      <c r="F276" t="inlineStr">
        <is>
          <t>GÄVLEBORGS LÄN</t>
        </is>
      </c>
      <c r="G276" t="inlineStr">
        <is>
          <t>SANDVIKEN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46262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36091-2025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46262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46262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väst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43121-2024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46262</v>
      </c>
      <c r="F280" t="inlineStr">
        <is>
          <t>GÄVLEBORGS LÄN</t>
        </is>
      </c>
      <c r="G280" t="inlineStr">
        <is>
          <t>SANDVIKEN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46262</v>
      </c>
      <c r="F281" t="inlineStr">
        <is>
          <t>GÄVLEBORGS LÄN</t>
        </is>
      </c>
      <c r="G281" t="inlineStr">
        <is>
          <t>SANDVIKEN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45260</v>
      </c>
      <c r="E282" s="1" t="n">
        <v>46262</v>
      </c>
      <c r="F282" t="inlineStr">
        <is>
          <t>GÄVLEBORGS LÄN</t>
        </is>
      </c>
      <c r="G282" t="inlineStr">
        <is>
          <t>SANDVIKEN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46262</v>
      </c>
      <c r="F283" t="inlineStr">
        <is>
          <t>GÄVLEBORGS LÄN</t>
        </is>
      </c>
      <c r="G283" t="inlineStr">
        <is>
          <t>SANDVIKEN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46262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44784</v>
      </c>
      <c r="E285" s="1" t="n">
        <v>46262</v>
      </c>
      <c r="F285" t="inlineStr">
        <is>
          <t>GÄVLEBORGS LÄN</t>
        </is>
      </c>
      <c r="G285" t="inlineStr">
        <is>
          <t>SANDVIKEN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45870</v>
      </c>
      <c r="E286" s="1" t="n">
        <v>46262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46262</v>
      </c>
      <c r="F287" t="inlineStr">
        <is>
          <t>GÄVLEBORGS LÄN</t>
        </is>
      </c>
      <c r="G287" t="inlineStr">
        <is>
          <t>SANDVIKEN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46262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46262</v>
      </c>
      <c r="F289" t="inlineStr">
        <is>
          <t>GÄVLEBORGS LÄN</t>
        </is>
      </c>
      <c r="G289" t="inlineStr">
        <is>
          <t>SANDVIKEN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46262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45873</v>
      </c>
      <c r="E291" s="1" t="n">
        <v>46262</v>
      </c>
      <c r="F291" t="inlineStr">
        <is>
          <t>GÄVLEBORGS LÄN</t>
        </is>
      </c>
      <c r="G291" t="inlineStr">
        <is>
          <t>SANDVIKEN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46262</v>
      </c>
      <c r="F292" t="inlineStr">
        <is>
          <t>GÄVLEBORGS LÄN</t>
        </is>
      </c>
      <c r="G292" t="inlineStr">
        <is>
          <t>SANDVIKEN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46262</v>
      </c>
      <c r="F293" t="inlineStr">
        <is>
          <t>GÄVLEBORGS LÄN</t>
        </is>
      </c>
      <c r="G293" t="inlineStr">
        <is>
          <t>SANDVIKEN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46262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46262</v>
      </c>
      <c r="F295" t="inlineStr">
        <is>
          <t>GÄVLEBORGS LÄN</t>
        </is>
      </c>
      <c r="G295" t="inlineStr">
        <is>
          <t>SANDVIKEN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46262</v>
      </c>
      <c r="F296" t="inlineStr">
        <is>
          <t>GÄVLEBORGS LÄN</t>
        </is>
      </c>
      <c r="G296" t="inlineStr">
        <is>
          <t>SANDVIKEN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45873</v>
      </c>
      <c r="E297" s="1" t="n">
        <v>46262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46262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46262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44813</v>
      </c>
      <c r="E300" s="1" t="n">
        <v>46262</v>
      </c>
      <c r="F300" t="inlineStr">
        <is>
          <t>GÄVLEBORGS LÄN</t>
        </is>
      </c>
      <c r="G300" t="inlineStr">
        <is>
          <t>SANDVIKEN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45226</v>
      </c>
      <c r="E301" s="1" t="n">
        <v>46262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46262</v>
      </c>
      <c r="F302" t="inlineStr">
        <is>
          <t>GÄVLEBORGS LÄN</t>
        </is>
      </c>
      <c r="G302" t="inlineStr">
        <is>
          <t>SANDVIKEN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46262</v>
      </c>
      <c r="F303" t="inlineStr">
        <is>
          <t>GÄVLEBORGS LÄN</t>
        </is>
      </c>
      <c r="G303" t="inlineStr">
        <is>
          <t>SANDVIKEN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46262</v>
      </c>
      <c r="F304" t="inlineStr">
        <is>
          <t>GÄVLEBORGS LÄN</t>
        </is>
      </c>
      <c r="G304" t="inlineStr">
        <is>
          <t>SANDVIKEN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46262</v>
      </c>
      <c r="F305" t="inlineStr">
        <is>
          <t>GÄVLEBORGS LÄN</t>
        </is>
      </c>
      <c r="G305" t="inlineStr">
        <is>
          <t>SANDVIKEN</t>
        </is>
      </c>
      <c r="I305" t="n">
        <v>9.6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46262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46262</v>
      </c>
      <c r="F307" t="inlineStr">
        <is>
          <t>GÄVLEBORGS LÄN</t>
        </is>
      </c>
      <c r="G307" t="inlineStr">
        <is>
          <t>SANDVIKEN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45883</v>
      </c>
      <c r="E308" s="1" t="n">
        <v>46262</v>
      </c>
      <c r="F308" t="inlineStr">
        <is>
          <t>GÄVLEBORGS LÄN</t>
        </is>
      </c>
      <c r="G308" t="inlineStr">
        <is>
          <t>SANDVIKEN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45480</v>
      </c>
      <c r="E309" s="1" t="n">
        <v>46262</v>
      </c>
      <c r="F309" t="inlineStr">
        <is>
          <t>GÄVLEBORGS LÄN</t>
        </is>
      </c>
      <c r="G309" t="inlineStr">
        <is>
          <t>SANDVIKEN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46262</v>
      </c>
      <c r="F310" t="inlineStr">
        <is>
          <t>GÄVLEBORGS LÄN</t>
        </is>
      </c>
      <c r="G310" t="inlineStr">
        <is>
          <t>SANDVIKEN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44797</v>
      </c>
      <c r="E311" s="1" t="n">
        <v>46262</v>
      </c>
      <c r="F311" t="inlineStr">
        <is>
          <t>GÄVLEBORGS LÄN</t>
        </is>
      </c>
      <c r="G311" t="inlineStr">
        <is>
          <t>SANDVIKEN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46262</v>
      </c>
      <c r="F312" t="inlineStr">
        <is>
          <t>GÄVLEBORGS LÄN</t>
        </is>
      </c>
      <c r="G312" t="inlineStr">
        <is>
          <t>SANDVIKEN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46262</v>
      </c>
      <c r="F313" t="inlineStr">
        <is>
          <t>GÄVLEBORGS LÄN</t>
        </is>
      </c>
      <c r="G313" t="inlineStr">
        <is>
          <t>SANDVIKEN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45984</v>
      </c>
      <c r="E314" s="1" t="n">
        <v>46262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46262</v>
      </c>
      <c r="F315" t="inlineStr">
        <is>
          <t>GÄVLEBORGS LÄN</t>
        </is>
      </c>
      <c r="G315" t="inlineStr">
        <is>
          <t>SANDVIKEN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46262</v>
      </c>
      <c r="F316" t="inlineStr">
        <is>
          <t>GÄVLEBORGS LÄN</t>
        </is>
      </c>
      <c r="G316" t="inlineStr">
        <is>
          <t>SANDVIKEN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46262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46262</v>
      </c>
      <c r="F318" t="inlineStr">
        <is>
          <t>GÄVLEBORGS LÄN</t>
        </is>
      </c>
      <c r="G318" t="inlineStr">
        <is>
          <t>SANDVIKEN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44582</v>
      </c>
      <c r="E319" s="1" t="n">
        <v>46262</v>
      </c>
      <c r="F319" t="inlineStr">
        <is>
          <t>GÄVLEBORGS LÄN</t>
        </is>
      </c>
      <c r="G319" t="inlineStr">
        <is>
          <t>SANDVIKEN</t>
        </is>
      </c>
      <c r="H319" t="inlineStr">
        <is>
          <t>Kyrkan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46262</v>
      </c>
      <c r="F320" t="inlineStr">
        <is>
          <t>GÄVLEBORGS LÄN</t>
        </is>
      </c>
      <c r="G320" t="inlineStr">
        <is>
          <t>SANDVIKEN</t>
        </is>
      </c>
      <c r="I320" t="n">
        <v>8.5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45240</v>
      </c>
      <c r="E321" s="1" t="n">
        <v>46262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10.6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46262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36646-2022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46262</v>
      </c>
      <c r="F323" t="inlineStr">
        <is>
          <t>GÄVLEBORGS LÄN</t>
        </is>
      </c>
      <c r="G323" t="inlineStr">
        <is>
          <t>SANDVIKEN</t>
        </is>
      </c>
      <c r="I323" t="n">
        <v>9.199999999999999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46262</v>
      </c>
      <c r="F324" t="inlineStr">
        <is>
          <t>GÄVLEBORGS LÄN</t>
        </is>
      </c>
      <c r="G324" t="inlineStr">
        <is>
          <t>SANDVIKEN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64112-2023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45279</v>
      </c>
      <c r="E325" s="1" t="n">
        <v>46262</v>
      </c>
      <c r="F325" t="inlineStr">
        <is>
          <t>GÄVLEBORGS LÄN</t>
        </is>
      </c>
      <c r="G325" t="inlineStr">
        <is>
          <t>SANDVIKEN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45984</v>
      </c>
      <c r="E326" s="1" t="n">
        <v>46262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45112</v>
      </c>
      <c r="E327" s="1" t="n">
        <v>46262</v>
      </c>
      <c r="F327" t="inlineStr">
        <is>
          <t>GÄVLEBORGS LÄN</t>
        </is>
      </c>
      <c r="G327" t="inlineStr">
        <is>
          <t>SANDVIKEN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46262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46262</v>
      </c>
      <c r="F329" t="inlineStr">
        <is>
          <t>GÄVLEBORGS LÄN</t>
        </is>
      </c>
      <c r="G329" t="inlineStr">
        <is>
          <t>SANDVIKEN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45252</v>
      </c>
      <c r="E330" s="1" t="n">
        <v>46262</v>
      </c>
      <c r="F330" t="inlineStr">
        <is>
          <t>GÄVLEBORGS LÄN</t>
        </is>
      </c>
      <c r="G330" t="inlineStr">
        <is>
          <t>SANDVIKEN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46021</v>
      </c>
      <c r="E331" s="1" t="n">
        <v>46262</v>
      </c>
      <c r="F331" t="inlineStr">
        <is>
          <t>GÄVLEBORGS LÄN</t>
        </is>
      </c>
      <c r="G331" t="inlineStr">
        <is>
          <t>SANDVIKEN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45540</v>
      </c>
      <c r="E332" s="1" t="n">
        <v>46262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46262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46262</v>
      </c>
      <c r="F334" t="inlineStr">
        <is>
          <t>GÄVLEBORGS LÄN</t>
        </is>
      </c>
      <c r="G334" t="inlineStr">
        <is>
          <t>SANDVIKEN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46262</v>
      </c>
      <c r="F335" t="inlineStr">
        <is>
          <t>GÄVLEBORGS LÄN</t>
        </is>
      </c>
      <c r="G335" t="inlineStr">
        <is>
          <t>SANDVIKEN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46262</v>
      </c>
      <c r="F336" t="inlineStr">
        <is>
          <t>GÄVLEBORGS LÄN</t>
        </is>
      </c>
      <c r="G336" t="inlineStr">
        <is>
          <t>SANDVIKEN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46262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46262</v>
      </c>
      <c r="F338" t="inlineStr">
        <is>
          <t>GÄVLEBORGS LÄN</t>
        </is>
      </c>
      <c r="G338" t="inlineStr">
        <is>
          <t>SANDVIKEN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46262</v>
      </c>
      <c r="F339" t="inlineStr">
        <is>
          <t>GÄVLEBORGS LÄN</t>
        </is>
      </c>
      <c r="G339" t="inlineStr">
        <is>
          <t>SANDVIKEN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46262</v>
      </c>
      <c r="F340" t="inlineStr">
        <is>
          <t>GÄVLEBORGS LÄN</t>
        </is>
      </c>
      <c r="G340" t="inlineStr">
        <is>
          <t>SANDVIKEN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46262</v>
      </c>
      <c r="F341" t="inlineStr">
        <is>
          <t>GÄVLEBORGS LÄN</t>
        </is>
      </c>
      <c r="G341" t="inlineStr">
        <is>
          <t>SANDVIKEN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46262</v>
      </c>
      <c r="F342" t="inlineStr">
        <is>
          <t>GÄVLEBORGS LÄN</t>
        </is>
      </c>
      <c r="G342" t="inlineStr">
        <is>
          <t>SANDVIKEN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46262</v>
      </c>
      <c r="F343" t="inlineStr">
        <is>
          <t>GÄVLEBORGS LÄN</t>
        </is>
      </c>
      <c r="G343" t="inlineStr">
        <is>
          <t>SANDVIKEN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46262</v>
      </c>
      <c r="F344" t="inlineStr">
        <is>
          <t>GÄVLEBORGS LÄN</t>
        </is>
      </c>
      <c r="G344" t="inlineStr">
        <is>
          <t>SANDVIKEN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46262</v>
      </c>
      <c r="F345" t="inlineStr">
        <is>
          <t>GÄVLEBORGS LÄN</t>
        </is>
      </c>
      <c r="G345" t="inlineStr">
        <is>
          <t>SANDVIKEN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25828-2024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45467</v>
      </c>
      <c r="E346" s="1" t="n">
        <v>46262</v>
      </c>
      <c r="F346" t="inlineStr">
        <is>
          <t>GÄVLEBORGS LÄN</t>
        </is>
      </c>
      <c r="G346" t="inlineStr">
        <is>
          <t>SANDVIKEN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61694-2021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44501</v>
      </c>
      <c r="E347" s="1" t="n">
        <v>46262</v>
      </c>
      <c r="F347" t="inlineStr">
        <is>
          <t>GÄVLEBORGS LÄN</t>
        </is>
      </c>
      <c r="G347" t="inlineStr">
        <is>
          <t>SANDVIKEN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46262</v>
      </c>
      <c r="F348" t="inlineStr">
        <is>
          <t>GÄVLEBORGS LÄN</t>
        </is>
      </c>
      <c r="G348" t="inlineStr">
        <is>
          <t>SANDVIKEN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46262</v>
      </c>
      <c r="F349" t="inlineStr">
        <is>
          <t>GÄVLEBORGS LÄN</t>
        </is>
      </c>
      <c r="G349" t="inlineStr">
        <is>
          <t>SANDVIKEN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46262</v>
      </c>
      <c r="F350" t="inlineStr">
        <is>
          <t>GÄVLEBORGS LÄN</t>
        </is>
      </c>
      <c r="G350" t="inlineStr">
        <is>
          <t>SANDVIKEN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46262</v>
      </c>
      <c r="F351" t="inlineStr">
        <is>
          <t>GÄVLEBORGS LÄN</t>
        </is>
      </c>
      <c r="G351" t="inlineStr">
        <is>
          <t>SANDVIKEN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72997-2021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44549</v>
      </c>
      <c r="E352" s="1" t="n">
        <v>46262</v>
      </c>
      <c r="F352" t="inlineStr">
        <is>
          <t>GÄVLEBORGS LÄN</t>
        </is>
      </c>
      <c r="G352" t="inlineStr">
        <is>
          <t>SANDVIKEN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45701</v>
      </c>
      <c r="E353" s="1" t="n">
        <v>46262</v>
      </c>
      <c r="F353" t="inlineStr">
        <is>
          <t>GÄVLEBORGS LÄN</t>
        </is>
      </c>
      <c r="G353" t="inlineStr">
        <is>
          <t>SANDVIKEN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46262</v>
      </c>
      <c r="F354" t="inlineStr">
        <is>
          <t>GÄVLEBORGS LÄN</t>
        </is>
      </c>
      <c r="G354" t="inlineStr">
        <is>
          <t>SANDVIKEN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45121</v>
      </c>
      <c r="E355" s="1" t="n">
        <v>46262</v>
      </c>
      <c r="F355" t="inlineStr">
        <is>
          <t>GÄVLEBORGS LÄN</t>
        </is>
      </c>
      <c r="G355" t="inlineStr">
        <is>
          <t>SANDVIKEN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45769</v>
      </c>
      <c r="E356" s="1" t="n">
        <v>46262</v>
      </c>
      <c r="F356" t="inlineStr">
        <is>
          <t>GÄVLEBORGS LÄN</t>
        </is>
      </c>
      <c r="G356" t="inlineStr">
        <is>
          <t>SANDVIKEN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46262</v>
      </c>
      <c r="F357" t="inlineStr">
        <is>
          <t>GÄVLEBORGS LÄN</t>
        </is>
      </c>
      <c r="G357" t="inlineStr">
        <is>
          <t>SANDVIKEN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46262</v>
      </c>
      <c r="F358" t="inlineStr">
        <is>
          <t>GÄVLEBORGS LÄN</t>
        </is>
      </c>
      <c r="G358" t="inlineStr">
        <is>
          <t>SANDVIKEN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45390</v>
      </c>
      <c r="E359" s="1" t="n">
        <v>46262</v>
      </c>
      <c r="F359" t="inlineStr">
        <is>
          <t>GÄVLEBORGS LÄN</t>
        </is>
      </c>
      <c r="G359" t="inlineStr">
        <is>
          <t>SANDVIKEN</t>
        </is>
      </c>
      <c r="H359" t="inlineStr">
        <is>
          <t>Kyrkan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46262</v>
      </c>
      <c r="F360" t="inlineStr">
        <is>
          <t>GÄVLEBORGS LÄN</t>
        </is>
      </c>
      <c r="G360" t="inlineStr">
        <is>
          <t>SANDVIKEN</t>
        </is>
      </c>
      <c r="H360" t="inlineStr">
        <is>
          <t>Kommuner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46262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46262</v>
      </c>
      <c r="F362" t="inlineStr">
        <is>
          <t>GÄVLEBORGS LÄN</t>
        </is>
      </c>
      <c r="G362" t="inlineStr">
        <is>
          <t>SANDVIKEN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45660</v>
      </c>
      <c r="E363" s="1" t="n">
        <v>46262</v>
      </c>
      <c r="F363" t="inlineStr">
        <is>
          <t>GÄVLEBORGS LÄN</t>
        </is>
      </c>
      <c r="G363" t="inlineStr">
        <is>
          <t>SANDVIKEN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45670</v>
      </c>
      <c r="E364" s="1" t="n">
        <v>46262</v>
      </c>
      <c r="F364" t="inlineStr">
        <is>
          <t>GÄVLEBORGS LÄN</t>
        </is>
      </c>
      <c r="G364" t="inlineStr">
        <is>
          <t>SANDVIKEN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46262</v>
      </c>
      <c r="F365" t="inlineStr">
        <is>
          <t>GÄVLEBORGS LÄN</t>
        </is>
      </c>
      <c r="G365" t="inlineStr">
        <is>
          <t>SANDVIKEN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46262</v>
      </c>
      <c r="F366" t="inlineStr">
        <is>
          <t>GÄVLEBORGS LÄN</t>
        </is>
      </c>
      <c r="G366" t="inlineStr">
        <is>
          <t>SANDVIKEN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57609-2023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46262</v>
      </c>
      <c r="F367" t="inlineStr">
        <is>
          <t>GÄVLEBORGS LÄN</t>
        </is>
      </c>
      <c r="G367" t="inlineStr">
        <is>
          <t>SANDVIKEN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46262</v>
      </c>
      <c r="F368" t="inlineStr">
        <is>
          <t>GÄVLEBORGS LÄN</t>
        </is>
      </c>
      <c r="G368" t="inlineStr">
        <is>
          <t>SANDVIKEN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28523-2024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45478</v>
      </c>
      <c r="E369" s="1" t="n">
        <v>46262</v>
      </c>
      <c r="F369" t="inlineStr">
        <is>
          <t>GÄVLEBORGS LÄN</t>
        </is>
      </c>
      <c r="G369" t="inlineStr">
        <is>
          <t>SANDVIKEN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46051</v>
      </c>
      <c r="E370" s="1" t="n">
        <v>46262</v>
      </c>
      <c r="F370" t="inlineStr">
        <is>
          <t>GÄVLEBORGS LÄN</t>
        </is>
      </c>
      <c r="G370" t="inlineStr">
        <is>
          <t>SANDVIKEN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46262</v>
      </c>
      <c r="F371" t="inlineStr">
        <is>
          <t>GÄVLEBORGS LÄN</t>
        </is>
      </c>
      <c r="G371" t="inlineStr">
        <is>
          <t>SANDVIKEN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46262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46262</v>
      </c>
      <c r="F373" t="inlineStr">
        <is>
          <t>GÄVLEBORGS LÄN</t>
        </is>
      </c>
      <c r="G373" t="inlineStr">
        <is>
          <t>SANDVIKEN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46262</v>
      </c>
      <c r="F374" t="inlineStr">
        <is>
          <t>GÄVLEBORGS LÄN</t>
        </is>
      </c>
      <c r="G374" t="inlineStr">
        <is>
          <t>SANDVIKEN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46262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46262</v>
      </c>
      <c r="F376" t="inlineStr">
        <is>
          <t>GÄVLEBORGS LÄN</t>
        </is>
      </c>
      <c r="G376" t="inlineStr">
        <is>
          <t>SANDVIKEN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46262</v>
      </c>
      <c r="F377" t="inlineStr">
        <is>
          <t>GÄVLEBORGS LÄN</t>
        </is>
      </c>
      <c r="G377" t="inlineStr">
        <is>
          <t>SANDVIKEN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46262</v>
      </c>
      <c r="F378" t="inlineStr">
        <is>
          <t>GÄVLEBORGS LÄN</t>
        </is>
      </c>
      <c r="G378" t="inlineStr">
        <is>
          <t>SANDVIKEN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46262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46262</v>
      </c>
      <c r="F380" t="inlineStr">
        <is>
          <t>GÄVLEBORGS LÄN</t>
        </is>
      </c>
      <c r="G380" t="inlineStr">
        <is>
          <t>SANDVIKEN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46262</v>
      </c>
      <c r="F381" t="inlineStr">
        <is>
          <t>GÄVLEBORGS LÄN</t>
        </is>
      </c>
      <c r="G381" t="inlineStr">
        <is>
          <t>SANDVIKEN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46262</v>
      </c>
      <c r="F382" t="inlineStr">
        <is>
          <t>GÄVLEBORGS LÄN</t>
        </is>
      </c>
      <c r="G382" t="inlineStr">
        <is>
          <t>SANDVIKEN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46262</v>
      </c>
      <c r="F383" t="inlineStr">
        <is>
          <t>GÄVLEBORGS LÄN</t>
        </is>
      </c>
      <c r="G383" t="inlineStr">
        <is>
          <t>SANDVIKEN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46262</v>
      </c>
      <c r="F384" t="inlineStr">
        <is>
          <t>GÄVLEBORGS LÄN</t>
        </is>
      </c>
      <c r="G384" t="inlineStr">
        <is>
          <t>SANDVIKEN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7890-2026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46262</v>
      </c>
      <c r="F385" t="inlineStr">
        <is>
          <t>GÄVLEBORGS LÄN</t>
        </is>
      </c>
      <c r="G385" t="inlineStr">
        <is>
          <t>SANDVIKEN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46262</v>
      </c>
      <c r="F386" t="inlineStr">
        <is>
          <t>GÄVLEBORGS LÄN</t>
        </is>
      </c>
      <c r="G386" t="inlineStr">
        <is>
          <t>SANDVIKEN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46262</v>
      </c>
      <c r="F387" t="inlineStr">
        <is>
          <t>GÄVLEBORGS LÄN</t>
        </is>
      </c>
      <c r="G387" t="inlineStr">
        <is>
          <t>SANDVIKEN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44586</v>
      </c>
      <c r="E388" s="1" t="n">
        <v>46262</v>
      </c>
      <c r="F388" t="inlineStr">
        <is>
          <t>GÄVLEBORGS LÄN</t>
        </is>
      </c>
      <c r="G388" t="inlineStr">
        <is>
          <t>SANDVIKEN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46262</v>
      </c>
      <c r="F389" t="inlineStr">
        <is>
          <t>GÄVLEBORGS LÄN</t>
        </is>
      </c>
      <c r="G389" t="inlineStr">
        <is>
          <t>SANDVIKEN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46262</v>
      </c>
      <c r="F390" t="inlineStr">
        <is>
          <t>GÄVLEBORGS LÄN</t>
        </is>
      </c>
      <c r="G390" t="inlineStr">
        <is>
          <t>SANDVIKEN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46262</v>
      </c>
      <c r="F391" t="inlineStr">
        <is>
          <t>GÄVLEBORGS LÄN</t>
        </is>
      </c>
      <c r="G391" t="inlineStr">
        <is>
          <t>SANDVIKEN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46262</v>
      </c>
      <c r="F392" t="inlineStr">
        <is>
          <t>GÄVLEBORGS LÄN</t>
        </is>
      </c>
      <c r="G392" t="inlineStr">
        <is>
          <t>SANDVIKEN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46262</v>
      </c>
      <c r="F393" t="inlineStr">
        <is>
          <t>GÄVLEBORGS LÄN</t>
        </is>
      </c>
      <c r="G393" t="inlineStr">
        <is>
          <t>SANDVIKEN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46262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46063</v>
      </c>
      <c r="E395" s="1" t="n">
        <v>46262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väst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46262</v>
      </c>
      <c r="F396" t="inlineStr">
        <is>
          <t>GÄVLEBORGS LÄN</t>
        </is>
      </c>
      <c r="G396" t="inlineStr">
        <is>
          <t>SANDVIKEN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46262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46262</v>
      </c>
      <c r="F398" t="inlineStr">
        <is>
          <t>GÄVLEBORGS LÄN</t>
        </is>
      </c>
      <c r="G398" t="inlineStr">
        <is>
          <t>SANDVIKEN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46064</v>
      </c>
      <c r="E399" s="1" t="n">
        <v>46262</v>
      </c>
      <c r="F399" t="inlineStr">
        <is>
          <t>GÄVLEBORGS LÄN</t>
        </is>
      </c>
      <c r="G399" t="inlineStr">
        <is>
          <t>SANDVIKEN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46262</v>
      </c>
      <c r="F400" t="inlineStr">
        <is>
          <t>GÄVLEBORGS LÄN</t>
        </is>
      </c>
      <c r="G400" t="inlineStr">
        <is>
          <t>SANDVIKEN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46262</v>
      </c>
      <c r="F401" t="inlineStr">
        <is>
          <t>GÄVLEBORGS LÄN</t>
        </is>
      </c>
      <c r="G401" t="inlineStr">
        <is>
          <t>SANDVIKEN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9093-2026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46262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46066</v>
      </c>
      <c r="E403" s="1" t="n">
        <v>46262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46262</v>
      </c>
      <c r="F404" t="inlineStr">
        <is>
          <t>GÄVLEBORGS LÄN</t>
        </is>
      </c>
      <c r="G404" t="inlineStr">
        <is>
          <t>SANDVIKEN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46262</v>
      </c>
      <c r="F405" t="inlineStr">
        <is>
          <t>GÄVLEBORGS LÄN</t>
        </is>
      </c>
      <c r="G405" t="inlineStr">
        <is>
          <t>SANDVIKEN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46262</v>
      </c>
      <c r="F406" t="inlineStr">
        <is>
          <t>GÄVLEBORGS LÄN</t>
        </is>
      </c>
      <c r="G406" t="inlineStr">
        <is>
          <t>SANDVIKEN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46262</v>
      </c>
      <c r="F407" t="inlineStr">
        <is>
          <t>GÄVLEBORGS LÄN</t>
        </is>
      </c>
      <c r="G407" t="inlineStr">
        <is>
          <t>SANDVIKEN</t>
        </is>
      </c>
      <c r="H407" t="inlineStr">
        <is>
          <t>Naturvårdsverket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22373-2023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45070</v>
      </c>
      <c r="E408" s="1" t="n">
        <v>46262</v>
      </c>
      <c r="F408" t="inlineStr">
        <is>
          <t>GÄVLEBORGS LÄN</t>
        </is>
      </c>
      <c r="G408" t="inlineStr">
        <is>
          <t>SANDVIKEN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58796-2024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45636</v>
      </c>
      <c r="E409" s="1" t="n">
        <v>46262</v>
      </c>
      <c r="F409" t="inlineStr">
        <is>
          <t>GÄVLEBORGS LÄN</t>
        </is>
      </c>
      <c r="G409" t="inlineStr">
        <is>
          <t>SANDVIKEN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45087</v>
      </c>
      <c r="E410" s="1" t="n">
        <v>46262</v>
      </c>
      <c r="F410" t="inlineStr">
        <is>
          <t>GÄVLEBORGS LÄN</t>
        </is>
      </c>
      <c r="G410" t="inlineStr">
        <is>
          <t>SANDVIKEN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46262</v>
      </c>
      <c r="F411" t="inlineStr">
        <is>
          <t>GÄVLEBORGS LÄN</t>
        </is>
      </c>
      <c r="G411" t="inlineStr">
        <is>
          <t>SANDVIKEN</t>
        </is>
      </c>
      <c r="H411" t="inlineStr">
        <is>
          <t>Sveaskog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46262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46262</v>
      </c>
      <c r="F413" t="inlineStr">
        <is>
          <t>GÄVLEBORGS LÄN</t>
        </is>
      </c>
      <c r="G413" t="inlineStr">
        <is>
          <t>SANDVIKEN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46262</v>
      </c>
      <c r="F414" t="inlineStr">
        <is>
          <t>GÄVLEBORGS LÄN</t>
        </is>
      </c>
      <c r="G414" t="inlineStr">
        <is>
          <t>SANDVIKEN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32291-2024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45512</v>
      </c>
      <c r="E415" s="1" t="n">
        <v>46262</v>
      </c>
      <c r="F415" t="inlineStr">
        <is>
          <t>GÄVLEBORGS LÄN</t>
        </is>
      </c>
      <c r="G415" t="inlineStr">
        <is>
          <t>SANDVIKEN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46262</v>
      </c>
      <c r="F416" t="inlineStr">
        <is>
          <t>GÄVLEBORGS LÄN</t>
        </is>
      </c>
      <c r="G416" t="inlineStr">
        <is>
          <t>SANDVIKEN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46262</v>
      </c>
      <c r="F417" t="inlineStr">
        <is>
          <t>GÄVLEBORGS LÄN</t>
        </is>
      </c>
      <c r="G417" t="inlineStr">
        <is>
          <t>SANDVIKEN</t>
        </is>
      </c>
      <c r="H417" t="inlineStr">
        <is>
          <t>Naturvårdsverket</t>
        </is>
      </c>
      <c r="I417" t="n">
        <v>19.5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46262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24764-2024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45460</v>
      </c>
      <c r="E419" s="1" t="n">
        <v>46262</v>
      </c>
      <c r="F419" t="inlineStr">
        <is>
          <t>GÄVLEBORGS LÄN</t>
        </is>
      </c>
      <c r="G419" t="inlineStr">
        <is>
          <t>SANDVIKEN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46074</v>
      </c>
      <c r="E420" s="1" t="n">
        <v>46262</v>
      </c>
      <c r="F420" t="inlineStr">
        <is>
          <t>GÄVLEBORGS LÄN</t>
        </is>
      </c>
      <c r="G420" t="inlineStr">
        <is>
          <t>SANDVIKEN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46262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45153</v>
      </c>
      <c r="E422" s="1" t="n">
        <v>46262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46031</v>
      </c>
      <c r="E423" s="1" t="n">
        <v>46262</v>
      </c>
      <c r="F423" t="inlineStr">
        <is>
          <t>GÄVLEBORGS LÄN</t>
        </is>
      </c>
      <c r="G423" t="inlineStr">
        <is>
          <t>SANDVIKEN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46078</v>
      </c>
      <c r="E424" s="1" t="n">
        <v>46262</v>
      </c>
      <c r="F424" t="inlineStr">
        <is>
          <t>GÄVLEBORGS LÄN</t>
        </is>
      </c>
      <c r="G424" t="inlineStr">
        <is>
          <t>SANDVIKEN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46262</v>
      </c>
      <c r="F425" t="inlineStr">
        <is>
          <t>GÄVLEBORGS LÄN</t>
        </is>
      </c>
      <c r="G425" t="inlineStr">
        <is>
          <t>SANDVIKEN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46262</v>
      </c>
      <c r="F426" t="inlineStr">
        <is>
          <t>GÄVLEBORGS LÄN</t>
        </is>
      </c>
      <c r="G426" t="inlineStr">
        <is>
          <t>SANDVIKEN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46262</v>
      </c>
      <c r="F427" t="inlineStr">
        <is>
          <t>GÄVLEBORGS LÄN</t>
        </is>
      </c>
      <c r="G427" t="inlineStr">
        <is>
          <t>SANDVIKEN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60897-2023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45261</v>
      </c>
      <c r="E428" s="1" t="n">
        <v>46262</v>
      </c>
      <c r="F428" t="inlineStr">
        <is>
          <t>GÄVLEBORGS LÄN</t>
        </is>
      </c>
      <c r="G428" t="inlineStr">
        <is>
          <t>SANDVIKEN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11213-2026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46080</v>
      </c>
      <c r="E429" s="1" t="n">
        <v>46262</v>
      </c>
      <c r="F429" t="inlineStr">
        <is>
          <t>GÄVLEBORGS LÄN</t>
        </is>
      </c>
      <c r="G429" t="inlineStr">
        <is>
          <t>SANDVIKEN</t>
        </is>
      </c>
      <c r="I429" t="n">
        <v>14.5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62047-2022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44918</v>
      </c>
      <c r="E430" s="1" t="n">
        <v>46262</v>
      </c>
      <c r="F430" t="inlineStr">
        <is>
          <t>GÄVLEBORGS LÄN</t>
        </is>
      </c>
      <c r="G430" t="inlineStr">
        <is>
          <t>SANDVIKEN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46262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45331-2024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45576</v>
      </c>
      <c r="E432" s="1" t="n">
        <v>46262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46262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10.5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46262</v>
      </c>
      <c r="F434" t="inlineStr">
        <is>
          <t>GÄVLEBORGS LÄN</t>
        </is>
      </c>
      <c r="G434" t="inlineStr">
        <is>
          <t>SANDVIKEN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45271</v>
      </c>
      <c r="E435" s="1" t="n">
        <v>46262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44918</v>
      </c>
      <c r="E436" s="1" t="n">
        <v>46262</v>
      </c>
      <c r="F436" t="inlineStr">
        <is>
          <t>GÄVLEBORGS LÄN</t>
        </is>
      </c>
      <c r="G436" t="inlineStr">
        <is>
          <t>SANDVIKEN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46262</v>
      </c>
      <c r="F437" t="inlineStr">
        <is>
          <t>GÄVLEBORGS LÄN</t>
        </is>
      </c>
      <c r="G437" t="inlineStr">
        <is>
          <t>SANDVIKEN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46262</v>
      </c>
      <c r="F438" t="inlineStr">
        <is>
          <t>GÄVLEBORGS LÄN</t>
        </is>
      </c>
      <c r="G438" t="inlineStr">
        <is>
          <t>SANDVIKEN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46262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46262</v>
      </c>
      <c r="F440" t="inlineStr">
        <is>
          <t>GÄVLEBORGS LÄN</t>
        </is>
      </c>
      <c r="G440" t="inlineStr">
        <is>
          <t>SANDVIKEN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46262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46262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11940-2026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46085</v>
      </c>
      <c r="E443" s="1" t="n">
        <v>46262</v>
      </c>
      <c r="F443" t="inlineStr">
        <is>
          <t>GÄVLEBORGS LÄN</t>
        </is>
      </c>
      <c r="G443" t="inlineStr">
        <is>
          <t>SANDVIKEN</t>
        </is>
      </c>
      <c r="H443" t="inlineStr">
        <is>
          <t>Naturvårdsverket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46086</v>
      </c>
      <c r="E444" s="1" t="n">
        <v>46262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46262</v>
      </c>
      <c r="F445" t="inlineStr">
        <is>
          <t>GÄVLEBORGS LÄN</t>
        </is>
      </c>
      <c r="G445" t="inlineStr">
        <is>
          <t>SANDVIKEN</t>
        </is>
      </c>
      <c r="H445" t="inlineStr">
        <is>
          <t>Naturvårdsverket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46262</v>
      </c>
      <c r="F446" t="inlineStr">
        <is>
          <t>GÄVLEBORGS LÄN</t>
        </is>
      </c>
      <c r="G446" t="inlineStr">
        <is>
          <t>SANDVIKEN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46086</v>
      </c>
      <c r="E447" s="1" t="n">
        <v>46262</v>
      </c>
      <c r="F447" t="inlineStr">
        <is>
          <t>GÄVLEBORGS LÄN</t>
        </is>
      </c>
      <c r="G447" t="inlineStr">
        <is>
          <t>SANDVIKEN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12091-2026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46086</v>
      </c>
      <c r="E448" s="1" t="n">
        <v>46262</v>
      </c>
      <c r="F448" t="inlineStr">
        <is>
          <t>GÄVLEBORGS LÄN</t>
        </is>
      </c>
      <c r="G448" t="inlineStr">
        <is>
          <t>SANDVIKEN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46262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46262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46086</v>
      </c>
      <c r="E451" s="1" t="n">
        <v>46262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46262</v>
      </c>
      <c r="F452" t="inlineStr">
        <is>
          <t>GÄVLEBORGS LÄN</t>
        </is>
      </c>
      <c r="G452" t="inlineStr">
        <is>
          <t>SANDVIKEN</t>
        </is>
      </c>
      <c r="I452" t="n">
        <v>8.1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46262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45404</v>
      </c>
      <c r="E454" s="1" t="n">
        <v>46262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46262</v>
      </c>
      <c r="F455" t="inlineStr">
        <is>
          <t>GÄVLEBORGS LÄN</t>
        </is>
      </c>
      <c r="G455" t="inlineStr">
        <is>
          <t>SANDVIKEN</t>
        </is>
      </c>
      <c r="I455" t="n">
        <v>9.4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46262</v>
      </c>
      <c r="F456" t="inlineStr">
        <is>
          <t>GÄVLEBORGS LÄN</t>
        </is>
      </c>
      <c r="G456" t="inlineStr">
        <is>
          <t>SANDVIKEN</t>
        </is>
      </c>
      <c r="H456" t="inlineStr">
        <is>
          <t>Kommuner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12293-2026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46262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46262</v>
      </c>
      <c r="F458" t="inlineStr">
        <is>
          <t>GÄVLEBORGS LÄN</t>
        </is>
      </c>
      <c r="G458" t="inlineStr">
        <is>
          <t>SANDVIKEN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46262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27.2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46262</v>
      </c>
      <c r="F460" t="inlineStr">
        <is>
          <t>GÄVLEBORGS LÄN</t>
        </is>
      </c>
      <c r="G460" t="inlineStr">
        <is>
          <t>SANDVIKEN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45666</v>
      </c>
      <c r="E461" s="1" t="n">
        <v>46262</v>
      </c>
      <c r="F461" t="inlineStr">
        <is>
          <t>GÄVLEBORGS LÄN</t>
        </is>
      </c>
      <c r="G461" t="inlineStr">
        <is>
          <t>SANDVIKEN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46262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45755</v>
      </c>
      <c r="E463" s="1" t="n">
        <v>46262</v>
      </c>
      <c r="F463" t="inlineStr">
        <is>
          <t>GÄVLEBORGS LÄN</t>
        </is>
      </c>
      <c r="G463" t="inlineStr">
        <is>
          <t>SANDVIKEN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46262</v>
      </c>
      <c r="F464" t="inlineStr">
        <is>
          <t>GÄVLEBORGS LÄN</t>
        </is>
      </c>
      <c r="G464" t="inlineStr">
        <is>
          <t>SANDVIKEN</t>
        </is>
      </c>
      <c r="H464" t="inlineStr">
        <is>
          <t>Naturvårdsverket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46262</v>
      </c>
      <c r="F465" t="inlineStr">
        <is>
          <t>GÄVLEBORGS LÄN</t>
        </is>
      </c>
      <c r="G465" t="inlineStr">
        <is>
          <t>SANDVIKEN</t>
        </is>
      </c>
      <c r="H465" t="inlineStr">
        <is>
          <t>Naturvårdsverket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46091</v>
      </c>
      <c r="E466" s="1" t="n">
        <v>46262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46262</v>
      </c>
      <c r="F467" t="inlineStr">
        <is>
          <t>GÄVLEBORGS LÄN</t>
        </is>
      </c>
      <c r="G467" t="inlineStr">
        <is>
          <t>SANDVIKEN</t>
        </is>
      </c>
      <c r="H467" t="inlineStr">
        <is>
          <t>Naturvårdsverket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45415</v>
      </c>
      <c r="E468" s="1" t="n">
        <v>46262</v>
      </c>
      <c r="F468" t="inlineStr">
        <is>
          <t>GÄVLEBORGS LÄN</t>
        </is>
      </c>
      <c r="G468" t="inlineStr">
        <is>
          <t>SANDVIKEN</t>
        </is>
      </c>
      <c r="H468" t="inlineStr">
        <is>
          <t>Kommuner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46262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46092</v>
      </c>
      <c r="E470" s="1" t="n">
        <v>46262</v>
      </c>
      <c r="F470" t="inlineStr">
        <is>
          <t>GÄVLEBORGS LÄN</t>
        </is>
      </c>
      <c r="G470" t="inlineStr">
        <is>
          <t>SANDVIKEN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46262</v>
      </c>
      <c r="F471" t="inlineStr">
        <is>
          <t>GÄVLEBORGS LÄN</t>
        </is>
      </c>
      <c r="G471" t="inlineStr">
        <is>
          <t>SANDVIKEN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44994</v>
      </c>
      <c r="E472" s="1" t="n">
        <v>46262</v>
      </c>
      <c r="F472" t="inlineStr">
        <is>
          <t>GÄVLEBORGS LÄN</t>
        </is>
      </c>
      <c r="G472" t="inlineStr">
        <is>
          <t>SANDVIKEN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46262</v>
      </c>
      <c r="F473" t="inlineStr">
        <is>
          <t>GÄVLEBORGS LÄN</t>
        </is>
      </c>
      <c r="G473" t="inlineStr">
        <is>
          <t>SANDVIKEN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46262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46262</v>
      </c>
      <c r="F475" t="inlineStr">
        <is>
          <t>GÄVLEBORGS LÄN</t>
        </is>
      </c>
      <c r="G475" t="inlineStr">
        <is>
          <t>SANDVIKEN</t>
        </is>
      </c>
      <c r="H475" t="inlineStr">
        <is>
          <t>Sveaskog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46093</v>
      </c>
      <c r="E476" s="1" t="n">
        <v>46262</v>
      </c>
      <c r="F476" t="inlineStr">
        <is>
          <t>GÄVLEBORGS LÄN</t>
        </is>
      </c>
      <c r="G476" t="inlineStr">
        <is>
          <t>SANDVIKEN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46262</v>
      </c>
      <c r="F477" t="inlineStr">
        <is>
          <t>GÄVLEBORGS LÄN</t>
        </is>
      </c>
      <c r="G477" t="inlineStr">
        <is>
          <t>SANDVIKEN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45649</v>
      </c>
      <c r="E478" s="1" t="n">
        <v>46262</v>
      </c>
      <c r="F478" t="inlineStr">
        <is>
          <t>GÄVLEBORGS LÄN</t>
        </is>
      </c>
      <c r="G478" t="inlineStr">
        <is>
          <t>SANDVIKEN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45343</v>
      </c>
      <c r="E479" s="1" t="n">
        <v>46262</v>
      </c>
      <c r="F479" t="inlineStr">
        <is>
          <t>GÄVLEBORGS LÄN</t>
        </is>
      </c>
      <c r="G479" t="inlineStr">
        <is>
          <t>SANDVIKEN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46262</v>
      </c>
      <c r="F480" t="inlineStr">
        <is>
          <t>GÄVLEBORGS LÄN</t>
        </is>
      </c>
      <c r="G480" t="inlineStr">
        <is>
          <t>SANDVIKEN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13108-2026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46262</v>
      </c>
      <c r="F481" t="inlineStr">
        <is>
          <t>GÄVLEBORGS LÄN</t>
        </is>
      </c>
      <c r="G481" t="inlineStr">
        <is>
          <t>SANDVIKEN</t>
        </is>
      </c>
      <c r="I481" t="n">
        <v>22.5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46262</v>
      </c>
      <c r="F482" t="inlineStr">
        <is>
          <t>GÄVLEBORGS LÄN</t>
        </is>
      </c>
      <c r="G482" t="inlineStr">
        <is>
          <t>SANDVIKEN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46094</v>
      </c>
      <c r="E483" s="1" t="n">
        <v>46262</v>
      </c>
      <c r="F483" t="inlineStr">
        <is>
          <t>GÄVLEBORGS LÄN</t>
        </is>
      </c>
      <c r="G483" t="inlineStr">
        <is>
          <t>SANDVIKEN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46097</v>
      </c>
      <c r="E484" s="1" t="n">
        <v>46262</v>
      </c>
      <c r="F484" t="inlineStr">
        <is>
          <t>GÄVLEBORGS LÄN</t>
        </is>
      </c>
      <c r="G484" t="inlineStr">
        <is>
          <t>SANDVIKEN</t>
        </is>
      </c>
      <c r="H484" t="inlineStr">
        <is>
          <t>Kommuner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46262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46095</v>
      </c>
      <c r="E486" s="1" t="n">
        <v>46262</v>
      </c>
      <c r="F486" t="inlineStr">
        <is>
          <t>GÄVLEBORGS LÄN</t>
        </is>
      </c>
      <c r="G486" t="inlineStr">
        <is>
          <t>SANDVIKEN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46095</v>
      </c>
      <c r="E487" s="1" t="n">
        <v>46262</v>
      </c>
      <c r="F487" t="inlineStr">
        <is>
          <t>GÄVLEBORGS LÄN</t>
        </is>
      </c>
      <c r="G487" t="inlineStr">
        <is>
          <t>SANDVIKEN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46095</v>
      </c>
      <c r="E488" s="1" t="n">
        <v>46262</v>
      </c>
      <c r="F488" t="inlineStr">
        <is>
          <t>GÄVLEBORGS LÄN</t>
        </is>
      </c>
      <c r="G488" t="inlineStr">
        <is>
          <t>SANDVIKEN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46095</v>
      </c>
      <c r="E489" s="1" t="n">
        <v>46262</v>
      </c>
      <c r="F489" t="inlineStr">
        <is>
          <t>GÄVLEBORGS LÄN</t>
        </is>
      </c>
      <c r="G489" t="inlineStr">
        <is>
          <t>SANDVIKEN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46262</v>
      </c>
      <c r="F490" t="inlineStr">
        <is>
          <t>GÄVLEBORGS LÄN</t>
        </is>
      </c>
      <c r="G490" t="inlineStr">
        <is>
          <t>SANDVIKEN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46095</v>
      </c>
      <c r="E491" s="1" t="n">
        <v>46262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46262</v>
      </c>
      <c r="F492" t="inlineStr">
        <is>
          <t>GÄVLEBORGS LÄN</t>
        </is>
      </c>
      <c r="G492" t="inlineStr">
        <is>
          <t>SANDVIKEN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46262</v>
      </c>
      <c r="F493" t="inlineStr">
        <is>
          <t>GÄVLEBORGS LÄN</t>
        </is>
      </c>
      <c r="G493" t="inlineStr">
        <is>
          <t>SANDVIKEN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46095</v>
      </c>
      <c r="E494" s="1" t="n">
        <v>46262</v>
      </c>
      <c r="F494" t="inlineStr">
        <is>
          <t>GÄVLEBORGS LÄN</t>
        </is>
      </c>
      <c r="G494" t="inlineStr">
        <is>
          <t>SANDVIKEN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46262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46262</v>
      </c>
      <c r="F496" t="inlineStr">
        <is>
          <t>GÄVLEBORGS LÄN</t>
        </is>
      </c>
      <c r="G496" t="inlineStr">
        <is>
          <t>SANDVIKEN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46100</v>
      </c>
      <c r="E497" s="1" t="n">
        <v>46262</v>
      </c>
      <c r="F497" t="inlineStr">
        <is>
          <t>GÄVLEBORGS LÄN</t>
        </is>
      </c>
      <c r="G497" t="inlineStr">
        <is>
          <t>SANDVIKEN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46100</v>
      </c>
      <c r="E498" s="1" t="n">
        <v>46262</v>
      </c>
      <c r="F498" t="inlineStr">
        <is>
          <t>GÄVLEBORGS LÄN</t>
        </is>
      </c>
      <c r="G498" t="inlineStr">
        <is>
          <t>SANDVIKEN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46262</v>
      </c>
      <c r="F499" t="inlineStr">
        <is>
          <t>GÄVLEBORGS LÄN</t>
        </is>
      </c>
      <c r="G499" t="inlineStr">
        <is>
          <t>SANDVIKEN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46099</v>
      </c>
      <c r="E500" s="1" t="n">
        <v>46262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46262</v>
      </c>
      <c r="F501" t="inlineStr">
        <is>
          <t>GÄVLEBORGS LÄN</t>
        </is>
      </c>
      <c r="G501" t="inlineStr">
        <is>
          <t>SANDVIKEN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12417-2025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45730</v>
      </c>
      <c r="E502" s="1" t="n">
        <v>46262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45730</v>
      </c>
      <c r="E503" s="1" t="n">
        <v>46262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46262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46262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14676-2026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46262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14663-2026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46101</v>
      </c>
      <c r="E507" s="1" t="n">
        <v>46262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60891-2023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45261</v>
      </c>
      <c r="E508" s="1" t="n">
        <v>46262</v>
      </c>
      <c r="F508" t="inlineStr">
        <is>
          <t>GÄVLEBORGS LÄN</t>
        </is>
      </c>
      <c r="G508" t="inlineStr">
        <is>
          <t>SANDVIKEN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45293</v>
      </c>
      <c r="E509" s="1" t="n">
        <v>46262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45293</v>
      </c>
      <c r="E510" s="1" t="n">
        <v>46262</v>
      </c>
      <c r="F510" t="inlineStr">
        <is>
          <t>GÄVLEBORGS LÄN</t>
        </is>
      </c>
      <c r="G510" t="inlineStr">
        <is>
          <t>SANDVIKEN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46262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46262</v>
      </c>
      <c r="F512" t="inlineStr">
        <is>
          <t>GÄVLEBORGS LÄN</t>
        </is>
      </c>
      <c r="G512" t="inlineStr">
        <is>
          <t>SANDVIKEN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46262</v>
      </c>
      <c r="F513" t="inlineStr">
        <is>
          <t>GÄVLEBORGS LÄN</t>
        </is>
      </c>
      <c r="G513" t="inlineStr">
        <is>
          <t>SANDVIKEN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46262</v>
      </c>
      <c r="F514" t="inlineStr">
        <is>
          <t>GÄVLEBORGS LÄN</t>
        </is>
      </c>
      <c r="G514" t="inlineStr">
        <is>
          <t>SANDVIKEN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46262</v>
      </c>
      <c r="F515" t="inlineStr">
        <is>
          <t>GÄVLEBORGS LÄN</t>
        </is>
      </c>
      <c r="G515" t="inlineStr">
        <is>
          <t>SANDVIKEN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46262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46262</v>
      </c>
      <c r="F517" t="inlineStr">
        <is>
          <t>GÄVLEBORGS LÄN</t>
        </is>
      </c>
      <c r="G517" t="inlineStr">
        <is>
          <t>SANDVIKEN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45327</v>
      </c>
      <c r="E518" s="1" t="n">
        <v>46262</v>
      </c>
      <c r="F518" t="inlineStr">
        <is>
          <t>GÄVLEBORGS LÄN</t>
        </is>
      </c>
      <c r="G518" t="inlineStr">
        <is>
          <t>SANDVIKEN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46262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46262</v>
      </c>
      <c r="F520" t="inlineStr">
        <is>
          <t>GÄVLEBORGS LÄN</t>
        </is>
      </c>
      <c r="G520" t="inlineStr">
        <is>
          <t>SANDVIKEN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46262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46262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46262</v>
      </c>
      <c r="F523" t="inlineStr">
        <is>
          <t>GÄVLEBORGS LÄN</t>
        </is>
      </c>
      <c r="G523" t="inlineStr">
        <is>
          <t>SANDVIKEN</t>
        </is>
      </c>
      <c r="H523" t="inlineStr">
        <is>
          <t>Kommuner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46262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46049</v>
      </c>
      <c r="E525" s="1" t="n">
        <v>46262</v>
      </c>
      <c r="F525" t="inlineStr">
        <is>
          <t>GÄVLEBORGS LÄN</t>
        </is>
      </c>
      <c r="G525" t="inlineStr">
        <is>
          <t>SANDVIKEN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46112</v>
      </c>
      <c r="E526" s="1" t="n">
        <v>46262</v>
      </c>
      <c r="F526" t="inlineStr">
        <is>
          <t>GÄVLEBORGS LÄN</t>
        </is>
      </c>
      <c r="G526" t="inlineStr">
        <is>
          <t>SANDVIKEN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45321</v>
      </c>
      <c r="E527" s="1" t="n">
        <v>46262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62459-2023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45268</v>
      </c>
      <c r="E528" s="1" t="n">
        <v>46262</v>
      </c>
      <c r="F528" t="inlineStr">
        <is>
          <t>GÄVLEBORGS LÄN</t>
        </is>
      </c>
      <c r="G528" t="inlineStr">
        <is>
          <t>SANDVIKEN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46114</v>
      </c>
      <c r="E529" s="1" t="n">
        <v>46262</v>
      </c>
      <c r="F529" t="inlineStr">
        <is>
          <t>GÄVLEBORGS LÄN</t>
        </is>
      </c>
      <c r="G529" t="inlineStr">
        <is>
          <t>SANDVIKEN</t>
        </is>
      </c>
      <c r="I529" t="n">
        <v>10.3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46115</v>
      </c>
      <c r="E530" s="1" t="n">
        <v>46262</v>
      </c>
      <c r="F530" t="inlineStr">
        <is>
          <t>GÄVLEBORGS LÄN</t>
        </is>
      </c>
      <c r="G530" t="inlineStr">
        <is>
          <t>SANDVIKEN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17182-2026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46116</v>
      </c>
      <c r="E531" s="1" t="n">
        <v>46262</v>
      </c>
      <c r="F531" t="inlineStr">
        <is>
          <t>GÄVLEBORGS LÄN</t>
        </is>
      </c>
      <c r="G531" t="inlineStr">
        <is>
          <t>SANDVIKEN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46115</v>
      </c>
      <c r="E532" s="1" t="n">
        <v>46262</v>
      </c>
      <c r="F532" t="inlineStr">
        <is>
          <t>GÄVLEBORGS LÄN</t>
        </is>
      </c>
      <c r="G532" t="inlineStr">
        <is>
          <t>SANDVIKEN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46115</v>
      </c>
      <c r="E533" s="1" t="n">
        <v>46262</v>
      </c>
      <c r="F533" t="inlineStr">
        <is>
          <t>GÄVLEBORGS LÄN</t>
        </is>
      </c>
      <c r="G533" t="inlineStr">
        <is>
          <t>SANDVIKEN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17180-2026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46116</v>
      </c>
      <c r="E534" s="1" t="n">
        <v>46262</v>
      </c>
      <c r="F534" t="inlineStr">
        <is>
          <t>GÄVLEBORGS LÄN</t>
        </is>
      </c>
      <c r="G534" t="inlineStr">
        <is>
          <t>SANDVIKEN</t>
        </is>
      </c>
      <c r="I534" t="n">
        <v>8.9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17171-2026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46115</v>
      </c>
      <c r="E535" s="1" t="n">
        <v>46262</v>
      </c>
      <c r="F535" t="inlineStr">
        <is>
          <t>GÄVLEBORGS LÄN</t>
        </is>
      </c>
      <c r="G535" t="inlineStr">
        <is>
          <t>SANDVIKEN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46116</v>
      </c>
      <c r="E536" s="1" t="n">
        <v>46262</v>
      </c>
      <c r="F536" t="inlineStr">
        <is>
          <t>GÄVLEBORGS LÄN</t>
        </is>
      </c>
      <c r="G536" t="inlineStr">
        <is>
          <t>SANDVIKEN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17166-2026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46115</v>
      </c>
      <c r="E537" s="1" t="n">
        <v>46262</v>
      </c>
      <c r="F537" t="inlineStr">
        <is>
          <t>GÄVLEBORGS LÄN</t>
        </is>
      </c>
      <c r="G537" t="inlineStr">
        <is>
          <t>SANDVIKEN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46115</v>
      </c>
      <c r="E538" s="1" t="n">
        <v>46262</v>
      </c>
      <c r="F538" t="inlineStr">
        <is>
          <t>GÄVLEBORGS LÄN</t>
        </is>
      </c>
      <c r="G538" t="inlineStr">
        <is>
          <t>SANDVIKEN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46262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46119</v>
      </c>
      <c r="E540" s="1" t="n">
        <v>46262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17365-2026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46262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46262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46262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46262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46262</v>
      </c>
      <c r="F545" t="inlineStr">
        <is>
          <t>GÄVLEBORGS LÄN</t>
        </is>
      </c>
      <c r="G545" t="inlineStr">
        <is>
          <t>SANDVIKEN</t>
        </is>
      </c>
      <c r="H545" t="inlineStr">
        <is>
          <t>Sveaskog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46262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45153</v>
      </c>
      <c r="E547" s="1" t="n">
        <v>46262</v>
      </c>
      <c r="F547" t="inlineStr">
        <is>
          <t>GÄVLEBORGS LÄN</t>
        </is>
      </c>
      <c r="G547" t="inlineStr">
        <is>
          <t>SANDVIKEN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17596-2026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46121</v>
      </c>
      <c r="E548" s="1" t="n">
        <v>46262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23539-2026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46163</v>
      </c>
      <c r="E549" s="1" t="n">
        <v>46262</v>
      </c>
      <c r="F549" t="inlineStr">
        <is>
          <t>GÄVLEBORGS LÄN</t>
        </is>
      </c>
      <c r="G549" t="inlineStr">
        <is>
          <t>SANDVIKEN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46126</v>
      </c>
      <c r="E550" s="1" t="n">
        <v>46262</v>
      </c>
      <c r="F550" t="inlineStr">
        <is>
          <t>GÄVLEBORGS LÄN</t>
        </is>
      </c>
      <c r="G550" t="inlineStr">
        <is>
          <t>SANDVIKEN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18224-2026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46126</v>
      </c>
      <c r="E551" s="1" t="n">
        <v>46262</v>
      </c>
      <c r="F551" t="inlineStr">
        <is>
          <t>GÄVLEBORGS LÄN</t>
        </is>
      </c>
      <c r="G551" t="inlineStr">
        <is>
          <t>SANDVIKEN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46126</v>
      </c>
      <c r="E552" s="1" t="n">
        <v>46262</v>
      </c>
      <c r="F552" t="inlineStr">
        <is>
          <t>GÄVLEBORGS LÄN</t>
        </is>
      </c>
      <c r="G552" t="inlineStr">
        <is>
          <t>SANDVIKEN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18219-2026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46262</v>
      </c>
      <c r="F553" t="inlineStr">
        <is>
          <t>GÄVLEBORGS LÄN</t>
        </is>
      </c>
      <c r="G553" t="inlineStr">
        <is>
          <t>SANDVIKEN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45989-2023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45196</v>
      </c>
      <c r="E554" s="1" t="n">
        <v>46262</v>
      </c>
      <c r="F554" t="inlineStr">
        <is>
          <t>GÄVLEBORGS LÄN</t>
        </is>
      </c>
      <c r="G554" t="inlineStr">
        <is>
          <t>SANDVIKEN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46129</v>
      </c>
      <c r="E555" s="1" t="n">
        <v>46262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46262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18997-2026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46129</v>
      </c>
      <c r="E557" s="1" t="n">
        <v>46262</v>
      </c>
      <c r="F557" t="inlineStr">
        <is>
          <t>GÄVLEBORGS LÄN</t>
        </is>
      </c>
      <c r="G557" t="inlineStr">
        <is>
          <t>SANDVIKEN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46262</v>
      </c>
      <c r="F558" t="inlineStr">
        <is>
          <t>GÄVLEBORGS LÄN</t>
        </is>
      </c>
      <c r="G558" t="inlineStr">
        <is>
          <t>SANDVIKEN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46262</v>
      </c>
      <c r="F559" t="inlineStr">
        <is>
          <t>GÄVLEBORGS LÄN</t>
        </is>
      </c>
      <c r="G559" t="inlineStr">
        <is>
          <t>SANDVIKEN</t>
        </is>
      </c>
      <c r="H559" t="inlineStr">
        <is>
          <t>Sveaskog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46129</v>
      </c>
      <c r="E560" s="1" t="n">
        <v>46262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46099</v>
      </c>
      <c r="E561" s="1" t="n">
        <v>46262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18990-2026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46129</v>
      </c>
      <c r="E562" s="1" t="n">
        <v>46262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18987-2026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46129</v>
      </c>
      <c r="E563" s="1" t="n">
        <v>46262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46128</v>
      </c>
      <c r="E564" s="1" t="n">
        <v>46262</v>
      </c>
      <c r="F564" t="inlineStr">
        <is>
          <t>GÄVLEBORGS LÄN</t>
        </is>
      </c>
      <c r="G564" t="inlineStr">
        <is>
          <t>SANDVIKEN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46262</v>
      </c>
      <c r="F565" t="inlineStr">
        <is>
          <t>GÄVLEBORGS LÄN</t>
        </is>
      </c>
      <c r="G565" t="inlineStr">
        <is>
          <t>SANDVIKEN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65098-2023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45288</v>
      </c>
      <c r="E566" s="1" t="n">
        <v>46262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35185-2022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44797</v>
      </c>
      <c r="E567" s="1" t="n">
        <v>46262</v>
      </c>
      <c r="F567" t="inlineStr">
        <is>
          <t>GÄVLEBORGS LÄN</t>
        </is>
      </c>
      <c r="G567" t="inlineStr">
        <is>
          <t>SANDVIKEN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15855-2026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46107</v>
      </c>
      <c r="E568" s="1" t="n">
        <v>46262</v>
      </c>
      <c r="F568" t="inlineStr">
        <is>
          <t>GÄVLEBORGS LÄN</t>
        </is>
      </c>
      <c r="G568" t="inlineStr">
        <is>
          <t>SANDVIKEN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45645</v>
      </c>
      <c r="E569" s="1" t="n">
        <v>46262</v>
      </c>
      <c r="F569" t="inlineStr">
        <is>
          <t>GÄVLEBORGS LÄN</t>
        </is>
      </c>
      <c r="G569" t="inlineStr">
        <is>
          <t>SANDVIKEN</t>
        </is>
      </c>
      <c r="H569" t="inlineStr">
        <is>
          <t>Naturvårdsverket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52785-2023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46262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46262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45701</v>
      </c>
      <c r="E572" s="1" t="n">
        <v>46262</v>
      </c>
      <c r="F572" t="inlineStr">
        <is>
          <t>GÄVLEBORGS LÄN</t>
        </is>
      </c>
      <c r="G572" t="inlineStr">
        <is>
          <t>SANDVIKEN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7825-2026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46262</v>
      </c>
      <c r="F573" t="inlineStr">
        <is>
          <t>GÄVLEBORGS LÄN</t>
        </is>
      </c>
      <c r="G573" t="inlineStr">
        <is>
          <t>SANDVIKEN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46130</v>
      </c>
      <c r="E574" s="1" t="n">
        <v>46262</v>
      </c>
      <c r="F574" t="inlineStr">
        <is>
          <t>GÄVLEBORGS LÄN</t>
        </is>
      </c>
      <c r="G574" t="inlineStr">
        <is>
          <t>SANDVIKEN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46262</v>
      </c>
      <c r="F575" t="inlineStr">
        <is>
          <t>GÄVLEBORGS LÄN</t>
        </is>
      </c>
      <c r="G575" t="inlineStr">
        <is>
          <t>SANDVIKEN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71995-2021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44544</v>
      </c>
      <c r="E576" s="1" t="n">
        <v>46262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45162</v>
      </c>
      <c r="E577" s="1" t="n">
        <v>46262</v>
      </c>
      <c r="F577" t="inlineStr">
        <is>
          <t>GÄVLEBORGS LÄN</t>
        </is>
      </c>
      <c r="G577" t="inlineStr">
        <is>
          <t>SANDVIKEN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12732-2026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46091</v>
      </c>
      <c r="E578" s="1" t="n">
        <v>46262</v>
      </c>
      <c r="F578" t="inlineStr">
        <is>
          <t>GÄVLEBORGS LÄN</t>
        </is>
      </c>
      <c r="G578" t="inlineStr">
        <is>
          <t>SANDVIKEN</t>
        </is>
      </c>
      <c r="H578" t="inlineStr">
        <is>
          <t>Naturvårdsverket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46262</v>
      </c>
      <c r="F579" t="inlineStr">
        <is>
          <t>GÄVLEBORGS LÄN</t>
        </is>
      </c>
      <c r="G579" t="inlineStr">
        <is>
          <t>SANDVIKEN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46262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10.1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46262</v>
      </c>
      <c r="F581" t="inlineStr">
        <is>
          <t>GÄVLEBORGS LÄN</t>
        </is>
      </c>
      <c r="G581" t="inlineStr">
        <is>
          <t>SANDVIKEN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46262</v>
      </c>
      <c r="F582" t="inlineStr">
        <is>
          <t>GÄVLEBORGS LÄN</t>
        </is>
      </c>
      <c r="G582" t="inlineStr">
        <is>
          <t>SANDVIKEN</t>
        </is>
      </c>
      <c r="H582" t="inlineStr">
        <is>
          <t>Naturvårdsverket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44988</v>
      </c>
      <c r="E583" s="1" t="n">
        <v>46262</v>
      </c>
      <c r="F583" t="inlineStr">
        <is>
          <t>GÄVLEBORGS LÄN</t>
        </is>
      </c>
      <c r="G583" t="inlineStr">
        <is>
          <t>SANDVIKEN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48799-2023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45209</v>
      </c>
      <c r="E584" s="1" t="n">
        <v>46262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19865-2026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46135</v>
      </c>
      <c r="E585" s="1" t="n">
        <v>46262</v>
      </c>
      <c r="F585" t="inlineStr">
        <is>
          <t>GÄVLEBORGS LÄN</t>
        </is>
      </c>
      <c r="G585" t="inlineStr">
        <is>
          <t>SANDVIKEN</t>
        </is>
      </c>
      <c r="H585" t="inlineStr">
        <is>
          <t>Sveaskog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19827-2026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46135</v>
      </c>
      <c r="E586" s="1" t="n">
        <v>46262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46086</v>
      </c>
      <c r="E587" s="1" t="n">
        <v>46262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46065</v>
      </c>
      <c r="E588" s="1" t="n">
        <v>46262</v>
      </c>
      <c r="F588" t="inlineStr">
        <is>
          <t>GÄVLEBORGS LÄN</t>
        </is>
      </c>
      <c r="G588" t="inlineStr">
        <is>
          <t>SANDVIKEN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46090</v>
      </c>
      <c r="E589" s="1" t="n">
        <v>46262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45159</v>
      </c>
      <c r="E590" s="1" t="n">
        <v>46262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12776-2026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46091</v>
      </c>
      <c r="E591" s="1" t="n">
        <v>46262</v>
      </c>
      <c r="F591" t="inlineStr">
        <is>
          <t>GÄVLEBORGS LÄN</t>
        </is>
      </c>
      <c r="G591" t="inlineStr">
        <is>
          <t>SANDVIKEN</t>
        </is>
      </c>
      <c r="H591" t="inlineStr">
        <is>
          <t>Naturvårdsverket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44949</v>
      </c>
      <c r="E592" s="1" t="n">
        <v>46262</v>
      </c>
      <c r="F592" t="inlineStr">
        <is>
          <t>GÄVLEBORGS LÄN</t>
        </is>
      </c>
      <c r="G592" t="inlineStr">
        <is>
          <t>SANDVIKEN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46262</v>
      </c>
      <c r="F593" t="inlineStr">
        <is>
          <t>GÄVLEBORGS LÄN</t>
        </is>
      </c>
      <c r="G593" t="inlineStr">
        <is>
          <t>SANDVIKEN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45476</v>
      </c>
      <c r="E594" s="1" t="n">
        <v>46262</v>
      </c>
      <c r="F594" t="inlineStr">
        <is>
          <t>GÄVLEBORGS LÄN</t>
        </is>
      </c>
      <c r="G594" t="inlineStr">
        <is>
          <t>SANDVIKEN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46036</v>
      </c>
      <c r="E595" s="1" t="n">
        <v>46262</v>
      </c>
      <c r="F595" t="inlineStr">
        <is>
          <t>GÄVLEBORGS LÄN</t>
        </is>
      </c>
      <c r="G595" t="inlineStr">
        <is>
          <t>SANDVIKEN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45303</v>
      </c>
      <c r="E596" s="1" t="n">
        <v>46262</v>
      </c>
      <c r="F596" t="inlineStr">
        <is>
          <t>GÄVLEBORGS LÄN</t>
        </is>
      </c>
      <c r="G596" t="inlineStr">
        <is>
          <t>SANDVIKEN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31317-2023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45103</v>
      </c>
      <c r="E597" s="1" t="n">
        <v>46262</v>
      </c>
      <c r="F597" t="inlineStr">
        <is>
          <t>GÄVLEBORGS LÄN</t>
        </is>
      </c>
      <c r="G597" t="inlineStr">
        <is>
          <t>SANDVIKEN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56734-2021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44481</v>
      </c>
      <c r="E598" s="1" t="n">
        <v>46262</v>
      </c>
      <c r="F598" t="inlineStr">
        <is>
          <t>GÄVLEBORGS LÄN</t>
        </is>
      </c>
      <c r="G598" t="inlineStr">
        <is>
          <t>SANDVIKEN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46262</v>
      </c>
      <c r="F599" t="inlineStr">
        <is>
          <t>GÄVLEBORGS LÄN</t>
        </is>
      </c>
      <c r="G599" t="inlineStr">
        <is>
          <t>SANDVIKEN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42495-2025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45905</v>
      </c>
      <c r="E600" s="1" t="n">
        <v>46262</v>
      </c>
      <c r="F600" t="inlineStr">
        <is>
          <t>GÄVLEBORGS LÄN</t>
        </is>
      </c>
      <c r="G600" t="inlineStr">
        <is>
          <t>SANDVIKEN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8379-2025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45709</v>
      </c>
      <c r="E601" s="1" t="n">
        <v>46262</v>
      </c>
      <c r="F601" t="inlineStr">
        <is>
          <t>GÄVLEBORGS LÄN</t>
        </is>
      </c>
      <c r="G601" t="inlineStr">
        <is>
          <t>SANDVIKEN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46035</v>
      </c>
      <c r="E602" s="1" t="n">
        <v>46262</v>
      </c>
      <c r="F602" t="inlineStr">
        <is>
          <t>GÄVLEBORGS LÄN</t>
        </is>
      </c>
      <c r="G602" t="inlineStr">
        <is>
          <t>SANDVIKEN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10895-2025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45722</v>
      </c>
      <c r="E603" s="1" t="n">
        <v>46262</v>
      </c>
      <c r="F603" t="inlineStr">
        <is>
          <t>GÄVLEBORGS LÄN</t>
        </is>
      </c>
      <c r="G603" t="inlineStr">
        <is>
          <t>SANDVIKEN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46030</v>
      </c>
      <c r="E604" s="1" t="n">
        <v>46262</v>
      </c>
      <c r="F604" t="inlineStr">
        <is>
          <t>GÄVLEBORGS LÄN</t>
        </is>
      </c>
      <c r="G604" t="inlineStr">
        <is>
          <t>SANDVIKEN</t>
        </is>
      </c>
      <c r="I604" t="n">
        <v>10.1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45617</v>
      </c>
      <c r="E605" s="1" t="n">
        <v>46262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46262</v>
      </c>
      <c r="F606" t="inlineStr">
        <is>
          <t>GÄVLEBORGS LÄN</t>
        </is>
      </c>
      <c r="G606" t="inlineStr">
        <is>
          <t>SANDVIKEN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46030</v>
      </c>
      <c r="E607" s="1" t="n">
        <v>46262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19499-2026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46262</v>
      </c>
      <c r="F608" t="inlineStr">
        <is>
          <t>GÄVLEBORGS LÄN</t>
        </is>
      </c>
      <c r="G608" t="inlineStr">
        <is>
          <t>SANDVIKEN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46029</v>
      </c>
      <c r="E609" s="1" t="n">
        <v>46262</v>
      </c>
      <c r="F609" t="inlineStr">
        <is>
          <t>GÄVLEBORGS LÄN</t>
        </is>
      </c>
      <c r="G609" t="inlineStr">
        <is>
          <t>SANDVIKEN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45666</v>
      </c>
      <c r="E610" s="1" t="n">
        <v>46262</v>
      </c>
      <c r="F610" t="inlineStr">
        <is>
          <t>GÄVLEBORGS LÄN</t>
        </is>
      </c>
      <c r="G610" t="inlineStr">
        <is>
          <t>SANDVIKEN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55539-2023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45238</v>
      </c>
      <c r="E611" s="1" t="n">
        <v>46262</v>
      </c>
      <c r="F611" t="inlineStr">
        <is>
          <t>GÄVLEBORGS LÄN</t>
        </is>
      </c>
      <c r="G611" t="inlineStr">
        <is>
          <t>SANDVIKEN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46061</v>
      </c>
      <c r="E612" s="1" t="n">
        <v>46262</v>
      </c>
      <c r="F612" t="inlineStr">
        <is>
          <t>GÄVLEBORGS LÄN</t>
        </is>
      </c>
      <c r="G612" t="inlineStr">
        <is>
          <t>SANDVIKEN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7624-2023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44972</v>
      </c>
      <c r="E613" s="1" t="n">
        <v>46262</v>
      </c>
      <c r="F613" t="inlineStr">
        <is>
          <t>GÄVLEBORGS LÄN</t>
        </is>
      </c>
      <c r="G613" t="inlineStr">
        <is>
          <t>SANDVIKEN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49706-2023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45212</v>
      </c>
      <c r="E614" s="1" t="n">
        <v>46262</v>
      </c>
      <c r="F614" t="inlineStr">
        <is>
          <t>GÄVLEBORGS LÄN</t>
        </is>
      </c>
      <c r="G614" t="inlineStr">
        <is>
          <t>SANDVIKEN</t>
        </is>
      </c>
      <c r="H614" t="inlineStr">
        <is>
          <t>Sveaskog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46037</v>
      </c>
      <c r="E615" s="1" t="n">
        <v>46262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46262</v>
      </c>
      <c r="F616" t="inlineStr">
        <is>
          <t>GÄVLEBORGS LÄN</t>
        </is>
      </c>
      <c r="G616" t="inlineStr">
        <is>
          <t>SANDVIKEN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7898-2026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46262</v>
      </c>
      <c r="F617" t="inlineStr">
        <is>
          <t>GÄVLEBORGS LÄN</t>
        </is>
      </c>
      <c r="G617" t="inlineStr">
        <is>
          <t>SANDVIKEN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46262</v>
      </c>
      <c r="F618" t="inlineStr">
        <is>
          <t>GÄVLEBORGS LÄN</t>
        </is>
      </c>
      <c r="G618" t="inlineStr">
        <is>
          <t>SANDVIKEN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10575-2025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45721</v>
      </c>
      <c r="E619" s="1" t="n">
        <v>46262</v>
      </c>
      <c r="F619" t="inlineStr">
        <is>
          <t>GÄVLEBORGS LÄN</t>
        </is>
      </c>
      <c r="G619" t="inlineStr">
        <is>
          <t>SANDVIKEN</t>
        </is>
      </c>
      <c r="H619" t="inlineStr">
        <is>
          <t>Sveaskog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45721</v>
      </c>
      <c r="E620" s="1" t="n">
        <v>46262</v>
      </c>
      <c r="F620" t="inlineStr">
        <is>
          <t>GÄVLEBORGS LÄN</t>
        </is>
      </c>
      <c r="G620" t="inlineStr">
        <is>
          <t>SANDVIKEN</t>
        </is>
      </c>
      <c r="H620" t="inlineStr">
        <is>
          <t>Sveaskog</t>
        </is>
      </c>
      <c r="I620" t="n">
        <v>10.9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45721</v>
      </c>
      <c r="E621" s="1" t="n">
        <v>46262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46104</v>
      </c>
      <c r="E622" s="1" t="n">
        <v>46262</v>
      </c>
      <c r="F622" t="inlineStr">
        <is>
          <t>GÄVLEBORGS LÄN</t>
        </is>
      </c>
      <c r="G622" t="inlineStr">
        <is>
          <t>SANDVIKEN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19910-2026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46136</v>
      </c>
      <c r="E623" s="1" t="n">
        <v>46262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46262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8698-2024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45356</v>
      </c>
      <c r="E625" s="1" t="n">
        <v>46262</v>
      </c>
      <c r="F625" t="inlineStr">
        <is>
          <t>GÄVLEBORGS LÄN</t>
        </is>
      </c>
      <c r="G625" t="inlineStr">
        <is>
          <t>SANDVIKEN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46046</v>
      </c>
      <c r="E626" s="1" t="n">
        <v>46262</v>
      </c>
      <c r="F626" t="inlineStr">
        <is>
          <t>GÄVLEBORGS LÄN</t>
        </is>
      </c>
      <c r="G626" t="inlineStr">
        <is>
          <t>SANDVIKEN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40745-2024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45558</v>
      </c>
      <c r="E627" s="1" t="n">
        <v>46262</v>
      </c>
      <c r="F627" t="inlineStr">
        <is>
          <t>GÄVLEBORGS LÄN</t>
        </is>
      </c>
      <c r="G627" t="inlineStr">
        <is>
          <t>SANDVIKEN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50900-2024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45602</v>
      </c>
      <c r="E628" s="1" t="n">
        <v>46262</v>
      </c>
      <c r="F628" t="inlineStr">
        <is>
          <t>GÄVLEBORGS LÄN</t>
        </is>
      </c>
      <c r="G628" t="inlineStr">
        <is>
          <t>SANDVIKEN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45075</v>
      </c>
      <c r="E629" s="1" t="n">
        <v>46262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13194-2025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45735</v>
      </c>
      <c r="E630" s="1" t="n">
        <v>46262</v>
      </c>
      <c r="F630" t="inlineStr">
        <is>
          <t>GÄVLEBORGS LÄN</t>
        </is>
      </c>
      <c r="G630" t="inlineStr">
        <is>
          <t>SANDVIKEN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46262</v>
      </c>
      <c r="F631" t="inlineStr">
        <is>
          <t>GÄVLEBORGS LÄN</t>
        </is>
      </c>
      <c r="G631" t="inlineStr">
        <is>
          <t>SANDVIKEN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46262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10.9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9139-2026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46262</v>
      </c>
      <c r="F633" t="inlineStr">
        <is>
          <t>GÄVLEBORGS LÄN</t>
        </is>
      </c>
      <c r="G633" t="inlineStr">
        <is>
          <t>SANDVIKEN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29296-2024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45483</v>
      </c>
      <c r="E634" s="1" t="n">
        <v>46262</v>
      </c>
      <c r="F634" t="inlineStr">
        <is>
          <t>GÄVLEBORGS LÄN</t>
        </is>
      </c>
      <c r="G634" t="inlineStr">
        <is>
          <t>SANDVIKEN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44717-2025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45917</v>
      </c>
      <c r="E635" s="1" t="n">
        <v>46262</v>
      </c>
      <c r="F635" t="inlineStr">
        <is>
          <t>GÄVLEBORGS LÄN</t>
        </is>
      </c>
      <c r="G635" t="inlineStr">
        <is>
          <t>SANDVIKEN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46262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36656-2024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45537</v>
      </c>
      <c r="E637" s="1" t="n">
        <v>46262</v>
      </c>
      <c r="F637" t="inlineStr">
        <is>
          <t>GÄVLEBORGS LÄN</t>
        </is>
      </c>
      <c r="G637" t="inlineStr">
        <is>
          <t>SANDVIKEN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21178-2025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45779</v>
      </c>
      <c r="E638" s="1" t="n">
        <v>46262</v>
      </c>
      <c r="F638" t="inlineStr">
        <is>
          <t>GÄVLEBORGS LÄN</t>
        </is>
      </c>
      <c r="G638" t="inlineStr">
        <is>
          <t>SANDVIKEN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46262</v>
      </c>
      <c r="F639" t="inlineStr">
        <is>
          <t>GÄVLEBORGS LÄN</t>
        </is>
      </c>
      <c r="G639" t="inlineStr">
        <is>
          <t>SANDVIKEN</t>
        </is>
      </c>
      <c r="H639" t="inlineStr">
        <is>
          <t>Kommuner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46042</v>
      </c>
      <c r="E640" s="1" t="n">
        <v>46262</v>
      </c>
      <c r="F640" t="inlineStr">
        <is>
          <t>GÄVLEBORGS LÄN</t>
        </is>
      </c>
      <c r="G640" t="inlineStr">
        <is>
          <t>SANDVIKEN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11967-2025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45728</v>
      </c>
      <c r="E641" s="1" t="n">
        <v>46262</v>
      </c>
      <c r="F641" t="inlineStr">
        <is>
          <t>GÄVLEBORGS LÄN</t>
        </is>
      </c>
      <c r="G641" t="inlineStr">
        <is>
          <t>SANDVIKEN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46057</v>
      </c>
      <c r="E642" s="1" t="n">
        <v>46262</v>
      </c>
      <c r="F642" t="inlineStr">
        <is>
          <t>GÄVLEBORGS LÄN</t>
        </is>
      </c>
      <c r="G642" t="inlineStr">
        <is>
          <t>SANDVIKEN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46044</v>
      </c>
      <c r="E643" s="1" t="n">
        <v>46262</v>
      </c>
      <c r="F643" t="inlineStr">
        <is>
          <t>GÄVLEBORGS LÄN</t>
        </is>
      </c>
      <c r="G643" t="inlineStr">
        <is>
          <t>SANDVIKEN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43090-2023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45182</v>
      </c>
      <c r="E644" s="1" t="n">
        <v>46262</v>
      </c>
      <c r="F644" t="inlineStr">
        <is>
          <t>GÄVLEBORGS LÄN</t>
        </is>
      </c>
      <c r="G644" t="inlineStr">
        <is>
          <t>SANDVIKEN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46262</v>
      </c>
      <c r="F645" t="inlineStr">
        <is>
          <t>GÄVLEBORGS LÄN</t>
        </is>
      </c>
      <c r="G645" t="inlineStr">
        <is>
          <t>SANDVIKEN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45102-2022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44843</v>
      </c>
      <c r="E646" s="1" t="n">
        <v>46262</v>
      </c>
      <c r="F646" t="inlineStr">
        <is>
          <t>GÄVLEBORGS LÄN</t>
        </is>
      </c>
      <c r="G646" t="inlineStr">
        <is>
          <t>SANDVIKEN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8952-2026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46262</v>
      </c>
      <c r="F647" t="inlineStr">
        <is>
          <t>GÄVLEBORGS LÄN</t>
        </is>
      </c>
      <c r="G647" t="inlineStr">
        <is>
          <t>SANDVIKEN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8570-2026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46065</v>
      </c>
      <c r="E648" s="1" t="n">
        <v>46262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7911-2026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46063</v>
      </c>
      <c r="E649" s="1" t="n">
        <v>46262</v>
      </c>
      <c r="F649" t="inlineStr">
        <is>
          <t>GÄVLEBORGS LÄN</t>
        </is>
      </c>
      <c r="G649" t="inlineStr">
        <is>
          <t>SANDVIKEN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46058</v>
      </c>
      <c r="E650" s="1" t="n">
        <v>46262</v>
      </c>
      <c r="F650" t="inlineStr">
        <is>
          <t>GÄVLEBORGS LÄN</t>
        </is>
      </c>
      <c r="G650" t="inlineStr">
        <is>
          <t>SANDVIKEN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46262</v>
      </c>
      <c r="F651" t="inlineStr">
        <is>
          <t>GÄVLEBORGS LÄN</t>
        </is>
      </c>
      <c r="G651" t="inlineStr">
        <is>
          <t>SANDVIKEN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46262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8604-2026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46262</v>
      </c>
      <c r="F653" t="inlineStr">
        <is>
          <t>GÄVLEBORGS LÄN</t>
        </is>
      </c>
      <c r="G653" t="inlineStr">
        <is>
          <t>SANDVIKEN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45327</v>
      </c>
      <c r="E654" s="1" t="n">
        <v>46262</v>
      </c>
      <c r="F654" t="inlineStr">
        <is>
          <t>GÄVLEBORGS LÄN</t>
        </is>
      </c>
      <c r="G654" t="inlineStr">
        <is>
          <t>SANDVIKEN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46140</v>
      </c>
      <c r="E655" s="1" t="n">
        <v>46262</v>
      </c>
      <c r="F655" t="inlineStr">
        <is>
          <t>GÄVLEBORGS LÄN</t>
        </is>
      </c>
      <c r="G655" t="inlineStr">
        <is>
          <t>SANDVIKEN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46055</v>
      </c>
      <c r="E656" s="1" t="n">
        <v>46262</v>
      </c>
      <c r="F656" t="inlineStr">
        <is>
          <t>GÄVLEBORGS LÄN</t>
        </is>
      </c>
      <c r="G656" t="inlineStr">
        <is>
          <t>SANDVIKEN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46262</v>
      </c>
      <c r="F657" t="inlineStr">
        <is>
          <t>GÄVLEBORGS LÄN</t>
        </is>
      </c>
      <c r="G657" t="inlineStr">
        <is>
          <t>SANDVIKEN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20636-2026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46141</v>
      </c>
      <c r="E658" s="1" t="n">
        <v>46262</v>
      </c>
      <c r="F658" t="inlineStr">
        <is>
          <t>GÄVLEBORGS LÄN</t>
        </is>
      </c>
      <c r="G658" t="inlineStr">
        <is>
          <t>SANDVIKEN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37697-2022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44810</v>
      </c>
      <c r="E659" s="1" t="n">
        <v>46262</v>
      </c>
      <c r="F659" t="inlineStr">
        <is>
          <t>GÄVLEBORGS LÄN</t>
        </is>
      </c>
      <c r="G659" t="inlineStr">
        <is>
          <t>SANDVIKEN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6167-2025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45698</v>
      </c>
      <c r="E660" s="1" t="n">
        <v>46262</v>
      </c>
      <c r="F660" t="inlineStr">
        <is>
          <t>GÄVLEBORGS LÄN</t>
        </is>
      </c>
      <c r="G660" t="inlineStr">
        <is>
          <t>SANDVIKEN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38319-2025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45883</v>
      </c>
      <c r="E661" s="1" t="n">
        <v>46262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49211-2023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45210</v>
      </c>
      <c r="E662" s="1" t="n">
        <v>46262</v>
      </c>
      <c r="F662" t="inlineStr">
        <is>
          <t>GÄVLEBORGS LÄN</t>
        </is>
      </c>
      <c r="G662" t="inlineStr">
        <is>
          <t>SANDVIKEN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11894-2026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46085</v>
      </c>
      <c r="E663" s="1" t="n">
        <v>46262</v>
      </c>
      <c r="F663" t="inlineStr">
        <is>
          <t>GÄVLEBORGS LÄN</t>
        </is>
      </c>
      <c r="G663" t="inlineStr">
        <is>
          <t>SANDVIKEN</t>
        </is>
      </c>
      <c r="I663" t="n">
        <v>8.199999999999999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46262</v>
      </c>
      <c r="F664" t="inlineStr">
        <is>
          <t>GÄVLEBORGS LÄN</t>
        </is>
      </c>
      <c r="G664" t="inlineStr">
        <is>
          <t>SANDVIKEN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1360-2026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46262</v>
      </c>
      <c r="F665" t="inlineStr">
        <is>
          <t>GÄVLEBORGS LÄN</t>
        </is>
      </c>
      <c r="G665" t="inlineStr">
        <is>
          <t>SANDVIKEN</t>
        </is>
      </c>
      <c r="I665" t="n">
        <v>11.2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12427-2026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46090</v>
      </c>
      <c r="E666" s="1" t="n">
        <v>46262</v>
      </c>
      <c r="F666" t="inlineStr">
        <is>
          <t>GÄVLEBORGS LÄN</t>
        </is>
      </c>
      <c r="G666" t="inlineStr">
        <is>
          <t>SANDVIKEN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46262</v>
      </c>
      <c r="F667" t="inlineStr">
        <is>
          <t>GÄVLEBORGS LÄN</t>
        </is>
      </c>
      <c r="G667" t="inlineStr">
        <is>
          <t>SANDVIKEN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45265</v>
      </c>
      <c r="E668" s="1" t="n">
        <v>46262</v>
      </c>
      <c r="F668" t="inlineStr">
        <is>
          <t>GÄVLEBORGS LÄN</t>
        </is>
      </c>
      <c r="G668" t="inlineStr">
        <is>
          <t>SANDVIKEN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46038</v>
      </c>
      <c r="E669" s="1" t="n">
        <v>46262</v>
      </c>
      <c r="F669" t="inlineStr">
        <is>
          <t>GÄVLEBORGS LÄN</t>
        </is>
      </c>
      <c r="G669" t="inlineStr">
        <is>
          <t>SANDVIKEN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44586</v>
      </c>
      <c r="E670" s="1" t="n">
        <v>46262</v>
      </c>
      <c r="F670" t="inlineStr">
        <is>
          <t>GÄVLEBORGS LÄN</t>
        </is>
      </c>
      <c r="G670" t="inlineStr">
        <is>
          <t>SANDVIKEN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15237-2026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46105</v>
      </c>
      <c r="E671" s="1" t="n">
        <v>46262</v>
      </c>
      <c r="F671" t="inlineStr">
        <is>
          <t>GÄVLEBORGS LÄN</t>
        </is>
      </c>
      <c r="G671" t="inlineStr">
        <is>
          <t>SANDVIKEN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20917-2026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46142</v>
      </c>
      <c r="E672" s="1" t="n">
        <v>46262</v>
      </c>
      <c r="F672" t="inlineStr">
        <is>
          <t>GÄVLEBORGS LÄN</t>
        </is>
      </c>
      <c r="G672" t="inlineStr">
        <is>
          <t>SANDVIKEN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9694-2026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46072</v>
      </c>
      <c r="E673" s="1" t="n">
        <v>46262</v>
      </c>
      <c r="F673" t="inlineStr">
        <is>
          <t>GÄVLEBORGS LÄN</t>
        </is>
      </c>
      <c r="G673" t="inlineStr">
        <is>
          <t>SANDVIKEN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58911-2023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46262</v>
      </c>
      <c r="F674" t="inlineStr">
        <is>
          <t>GÄVLEBORGS LÄN</t>
        </is>
      </c>
      <c r="G674" t="inlineStr">
        <is>
          <t>SANDVIKEN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46065</v>
      </c>
      <c r="E675" s="1" t="n">
        <v>46262</v>
      </c>
      <c r="F675" t="inlineStr">
        <is>
          <t>GÄVLEBORGS LÄN</t>
        </is>
      </c>
      <c r="G675" t="inlineStr">
        <is>
          <t>SANDVIKEN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46262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21288-2026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46147</v>
      </c>
      <c r="E677" s="1" t="n">
        <v>46262</v>
      </c>
      <c r="F677" t="inlineStr">
        <is>
          <t>GÄVLEBORGS LÄN</t>
        </is>
      </c>
      <c r="G677" t="inlineStr">
        <is>
          <t>SANDVIKEN</t>
        </is>
      </c>
      <c r="H677" t="inlineStr">
        <is>
          <t>Kommuner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21334-2026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46262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30714-2023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45112</v>
      </c>
      <c r="E679" s="1" t="n">
        <v>46262</v>
      </c>
      <c r="F679" t="inlineStr">
        <is>
          <t>GÄVLEBORGS LÄN</t>
        </is>
      </c>
      <c r="G679" t="inlineStr">
        <is>
          <t>SANDVIKEN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17177-2026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46115</v>
      </c>
      <c r="E680" s="1" t="n">
        <v>46262</v>
      </c>
      <c r="F680" t="inlineStr">
        <is>
          <t>GÄVLEBORGS LÄN</t>
        </is>
      </c>
      <c r="G680" t="inlineStr">
        <is>
          <t>SANDVIKEN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46147</v>
      </c>
      <c r="E681" s="1" t="n">
        <v>46262</v>
      </c>
      <c r="F681" t="inlineStr">
        <is>
          <t>GÄVLEBORGS LÄN</t>
        </is>
      </c>
      <c r="G681" t="inlineStr">
        <is>
          <t>SANDVIKEN</t>
        </is>
      </c>
      <c r="H681" t="inlineStr">
        <is>
          <t>Kommuner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21343-2026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46262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46038</v>
      </c>
      <c r="E683" s="1" t="n">
        <v>46262</v>
      </c>
      <c r="F683" t="inlineStr">
        <is>
          <t>GÄVLEBORGS LÄN</t>
        </is>
      </c>
      <c r="G683" t="inlineStr">
        <is>
          <t>SANDVIKEN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21576-2026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46262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63309-2023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45274</v>
      </c>
      <c r="E685" s="1" t="n">
        <v>46262</v>
      </c>
      <c r="F685" t="inlineStr">
        <is>
          <t>GÄVLEBORGS LÄN</t>
        </is>
      </c>
      <c r="G685" t="inlineStr">
        <is>
          <t>SANDVIKEN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21951-2026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46151</v>
      </c>
      <c r="E686" s="1" t="n">
        <v>46262</v>
      </c>
      <c r="F686" t="inlineStr">
        <is>
          <t>GÄVLEBORGS LÄN</t>
        </is>
      </c>
      <c r="G686" t="inlineStr">
        <is>
          <t>SANDVIKEN</t>
        </is>
      </c>
      <c r="I686" t="n">
        <v>11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46262</v>
      </c>
      <c r="F687" t="inlineStr">
        <is>
          <t>GÄVLEBORGS LÄN</t>
        </is>
      </c>
      <c r="G687" t="inlineStr">
        <is>
          <t>SANDVIKEN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46262</v>
      </c>
      <c r="F688" t="inlineStr">
        <is>
          <t>GÄVLEBORGS LÄN</t>
        </is>
      </c>
      <c r="G688" t="inlineStr">
        <is>
          <t>SANDVIKEN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17818-2025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45758</v>
      </c>
      <c r="E689" s="1" t="n">
        <v>46262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21773-2026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46150</v>
      </c>
      <c r="E690" s="1" t="n">
        <v>46262</v>
      </c>
      <c r="F690" t="inlineStr">
        <is>
          <t>GÄVLEBORGS LÄN</t>
        </is>
      </c>
      <c r="G690" t="inlineStr">
        <is>
          <t>SANDVIKEN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45476</v>
      </c>
      <c r="E691" s="1" t="n">
        <v>46262</v>
      </c>
      <c r="F691" t="inlineStr">
        <is>
          <t>GÄVLEBORGS LÄN</t>
        </is>
      </c>
      <c r="G691" t="inlineStr">
        <is>
          <t>SANDVIKEN</t>
        </is>
      </c>
      <c r="H691" t="inlineStr">
        <is>
          <t>Kommuner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3635-2026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46043</v>
      </c>
      <c r="E692" s="1" t="n">
        <v>46262</v>
      </c>
      <c r="F692" t="inlineStr">
        <is>
          <t>GÄVLEBORGS LÄN</t>
        </is>
      </c>
      <c r="G692" t="inlineStr">
        <is>
          <t>SANDVIKEN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48765-2021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44452</v>
      </c>
      <c r="E693" s="1" t="n">
        <v>46262</v>
      </c>
      <c r="F693" t="inlineStr">
        <is>
          <t>GÄVLEBORGS LÄN</t>
        </is>
      </c>
      <c r="G693" t="inlineStr">
        <is>
          <t>SANDVIKEN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22068-2026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46262</v>
      </c>
      <c r="F694" t="inlineStr">
        <is>
          <t>GÄVLEBORGS LÄN</t>
        </is>
      </c>
      <c r="G694" t="inlineStr">
        <is>
          <t>SANDVIKEN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16012-2026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46108</v>
      </c>
      <c r="E695" s="1" t="n">
        <v>46262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45221-2021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44439</v>
      </c>
      <c r="E696" s="1" t="n">
        <v>46262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7.6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11089-2026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46079</v>
      </c>
      <c r="E697" s="1" t="n">
        <v>46262</v>
      </c>
      <c r="F697" t="inlineStr">
        <is>
          <t>GÄVLEBORGS LÄN</t>
        </is>
      </c>
      <c r="G697" t="inlineStr">
        <is>
          <t>SANDVIKEN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46048</v>
      </c>
      <c r="E698" s="1" t="n">
        <v>46262</v>
      </c>
      <c r="F698" t="inlineStr">
        <is>
          <t>GÄVLEBORGS LÄN</t>
        </is>
      </c>
      <c r="G698" t="inlineStr">
        <is>
          <t>SANDVIKEN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46262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45279-2023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45191</v>
      </c>
      <c r="E700" s="1" t="n">
        <v>46262</v>
      </c>
      <c r="F700" t="inlineStr">
        <is>
          <t>GÄVLEBORGS LÄN</t>
        </is>
      </c>
      <c r="G700" t="inlineStr">
        <is>
          <t>SANDVIKEN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12120-2026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46086</v>
      </c>
      <c r="E701" s="1" t="n">
        <v>46262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11897-2024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45376</v>
      </c>
      <c r="E702" s="1" t="n">
        <v>46262</v>
      </c>
      <c r="F702" t="inlineStr">
        <is>
          <t>GÄVLEBORGS LÄN</t>
        </is>
      </c>
      <c r="G702" t="inlineStr">
        <is>
          <t>SANDVIKEN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13551-2026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46262</v>
      </c>
      <c r="F703" t="inlineStr">
        <is>
          <t>GÄVLEBORGS LÄN</t>
        </is>
      </c>
      <c r="G703" t="inlineStr">
        <is>
          <t>SANDVIKEN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46104</v>
      </c>
      <c r="E704" s="1" t="n">
        <v>46262</v>
      </c>
      <c r="F704" t="inlineStr">
        <is>
          <t>GÄVLEBORGS LÄN</t>
        </is>
      </c>
      <c r="G704" t="inlineStr">
        <is>
          <t>SANDVIKEN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23217-2023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45075</v>
      </c>
      <c r="E705" s="1" t="n">
        <v>46262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16102-2026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46262</v>
      </c>
      <c r="F706" t="inlineStr">
        <is>
          <t>GÄVLEBORGS LÄN</t>
        </is>
      </c>
      <c r="G706" t="inlineStr">
        <is>
          <t>SANDVIKEN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46161</v>
      </c>
      <c r="E707" s="1" t="n">
        <v>46262</v>
      </c>
      <c r="F707" t="inlineStr">
        <is>
          <t>GÄVLEBORGS LÄN</t>
        </is>
      </c>
      <c r="G707" t="inlineStr">
        <is>
          <t>SANDVIKEN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42069-2024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45562</v>
      </c>
      <c r="E708" s="1" t="n">
        <v>46262</v>
      </c>
      <c r="F708" t="inlineStr">
        <is>
          <t>GÄVLEBORGS LÄN</t>
        </is>
      </c>
      <c r="G708" t="inlineStr">
        <is>
          <t>SANDVIKEN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46262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22070-2023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45069</v>
      </c>
      <c r="E710" s="1" t="n">
        <v>46262</v>
      </c>
      <c r="F710" t="inlineStr">
        <is>
          <t>GÄVLEBORGS LÄN</t>
        </is>
      </c>
      <c r="G710" t="inlineStr">
        <is>
          <t>SANDVIKEN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17164-2026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46115</v>
      </c>
      <c r="E711" s="1" t="n">
        <v>46262</v>
      </c>
      <c r="F711" t="inlineStr">
        <is>
          <t>GÄVLEBORGS LÄN</t>
        </is>
      </c>
      <c r="G711" t="inlineStr">
        <is>
          <t>SANDVIKEN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46262</v>
      </c>
      <c r="F712" t="inlineStr">
        <is>
          <t>GÄVLEBORGS LÄN</t>
        </is>
      </c>
      <c r="G712" t="inlineStr">
        <is>
          <t>SANDVIKEN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23085-2023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45075</v>
      </c>
      <c r="E713" s="1" t="n">
        <v>46262</v>
      </c>
      <c r="F713" t="inlineStr">
        <is>
          <t>GÄVLEBORGS LÄN</t>
        </is>
      </c>
      <c r="G713" t="inlineStr">
        <is>
          <t>SANDVIKEN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36833-2022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44805</v>
      </c>
      <c r="E714" s="1" t="n">
        <v>46262</v>
      </c>
      <c r="F714" t="inlineStr">
        <is>
          <t>GÄVLEBORGS LÄN</t>
        </is>
      </c>
      <c r="G714" t="inlineStr">
        <is>
          <t>SANDVIKEN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23465-2026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46163</v>
      </c>
      <c r="E715" s="1" t="n">
        <v>46262</v>
      </c>
      <c r="F715" t="inlineStr">
        <is>
          <t>GÄVLEBORGS LÄN</t>
        </is>
      </c>
      <c r="G715" t="inlineStr">
        <is>
          <t>SANDVIKEN</t>
        </is>
      </c>
      <c r="H715" t="inlineStr">
        <is>
          <t>Övriga statliga verk och myndigheter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23429-2026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46262</v>
      </c>
      <c r="F716" t="inlineStr">
        <is>
          <t>GÄVLEBORGS LÄN</t>
        </is>
      </c>
      <c r="G716" t="inlineStr">
        <is>
          <t>SANDVIKEN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23493-2026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46262</v>
      </c>
      <c r="F717" t="inlineStr">
        <is>
          <t>GÄVLEBORGS LÄN</t>
        </is>
      </c>
      <c r="G717" t="inlineStr">
        <is>
          <t>SANDVIKEN</t>
        </is>
      </c>
      <c r="H717" t="inlineStr">
        <is>
          <t>Övriga statliga verk och myndigheter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46030</v>
      </c>
      <c r="E718" s="1" t="n">
        <v>46262</v>
      </c>
      <c r="F718" t="inlineStr">
        <is>
          <t>GÄVLEBORGS LÄN</t>
        </is>
      </c>
      <c r="G718" t="inlineStr">
        <is>
          <t>SANDVIKEN</t>
        </is>
      </c>
      <c r="I718" t="n">
        <v>14.2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28063-2023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45099</v>
      </c>
      <c r="E719" s="1" t="n">
        <v>46262</v>
      </c>
      <c r="F719" t="inlineStr">
        <is>
          <t>GÄVLEBORGS LÄN</t>
        </is>
      </c>
      <c r="G719" t="inlineStr">
        <is>
          <t>SANDVIKEN</t>
        </is>
      </c>
      <c r="I719" t="n">
        <v>8.1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59738-2022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46262</v>
      </c>
      <c r="F720" t="inlineStr">
        <is>
          <t>GÄVLEBORGS LÄN</t>
        </is>
      </c>
      <c r="G720" t="inlineStr">
        <is>
          <t>SANDVIKEN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23474-2026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46163</v>
      </c>
      <c r="E721" s="1" t="n">
        <v>46262</v>
      </c>
      <c r="F721" t="inlineStr">
        <is>
          <t>GÄVLEBORGS LÄN</t>
        </is>
      </c>
      <c r="G721" t="inlineStr">
        <is>
          <t>SANDVIKEN</t>
        </is>
      </c>
      <c r="H721" t="inlineStr">
        <is>
          <t>Övriga statliga verk och myndigheter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23471-2026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46163</v>
      </c>
      <c r="E722" s="1" t="n">
        <v>46262</v>
      </c>
      <c r="F722" t="inlineStr">
        <is>
          <t>GÄVLEBORGS LÄN</t>
        </is>
      </c>
      <c r="G722" t="inlineStr">
        <is>
          <t>SANDVIKEN</t>
        </is>
      </c>
      <c r="H722" t="inlineStr">
        <is>
          <t>Övriga statliga verk och myndigheter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45240</v>
      </c>
      <c r="E723" s="1" t="n">
        <v>46262</v>
      </c>
      <c r="F723" t="inlineStr">
        <is>
          <t>GÄVLEBORGS LÄN</t>
        </is>
      </c>
      <c r="G723" t="inlineStr">
        <is>
          <t>SANDVIKEN</t>
        </is>
      </c>
      <c r="H723" t="inlineStr">
        <is>
          <t>Sveaskog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23459-2026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46163</v>
      </c>
      <c r="E724" s="1" t="n">
        <v>46262</v>
      </c>
      <c r="F724" t="inlineStr">
        <is>
          <t>GÄVLEBORGS LÄN</t>
        </is>
      </c>
      <c r="G724" t="inlineStr">
        <is>
          <t>SANDVIKEN</t>
        </is>
      </c>
      <c r="H724" t="inlineStr">
        <is>
          <t>Övriga statliga verk och myndigheter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23821-2026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46165</v>
      </c>
      <c r="E725" s="1" t="n">
        <v>46262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59661-2024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46262</v>
      </c>
      <c r="F726" t="inlineStr">
        <is>
          <t>GÄVLEBORGS LÄN</t>
        </is>
      </c>
      <c r="G726" t="inlineStr">
        <is>
          <t>SANDVIKEN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23848-2026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46167</v>
      </c>
      <c r="E727" s="1" t="n">
        <v>46262</v>
      </c>
      <c r="F727" t="inlineStr">
        <is>
          <t>GÄVLEBORGS LÄN</t>
        </is>
      </c>
      <c r="G727" t="inlineStr">
        <is>
          <t>SANDVIKEN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23820-2026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46165</v>
      </c>
      <c r="E728" s="1" t="n">
        <v>46262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23822-2026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46165</v>
      </c>
      <c r="E729" s="1" t="n">
        <v>46262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23823-2026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46165</v>
      </c>
      <c r="E730" s="1" t="n">
        <v>46262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5.8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46165</v>
      </c>
      <c r="E731" s="1" t="n">
        <v>46262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45320</v>
      </c>
      <c r="E732" s="1" t="n">
        <v>46262</v>
      </c>
      <c r="F732" t="inlineStr">
        <is>
          <t>GÄVLEBORGS LÄN</t>
        </is>
      </c>
      <c r="G732" t="inlineStr">
        <is>
          <t>SANDVIKEN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46169</v>
      </c>
      <c r="E733" s="1" t="n">
        <v>46262</v>
      </c>
      <c r="F733" t="inlineStr">
        <is>
          <t>GÄVLEBORGS LÄN</t>
        </is>
      </c>
      <c r="G733" t="inlineStr">
        <is>
          <t>SANDVIKEN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46169</v>
      </c>
      <c r="E734" s="1" t="n">
        <v>46262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46262</v>
      </c>
      <c r="F735" t="inlineStr">
        <is>
          <t>GÄVLEBORGS LÄN</t>
        </is>
      </c>
      <c r="G735" t="inlineStr">
        <is>
          <t>SANDVIKEN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24177-2026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46262</v>
      </c>
      <c r="F736" t="inlineStr">
        <is>
          <t>GÄVLEBORGS LÄN</t>
        </is>
      </c>
      <c r="G736" t="inlineStr">
        <is>
          <t>SANDVIKEN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24355-2026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46262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8.9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46262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46262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46262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18752-2026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46262</v>
      </c>
      <c r="F741" t="inlineStr">
        <is>
          <t>GÄVLEBORGS LÄN</t>
        </is>
      </c>
      <c r="G741" t="inlineStr">
        <is>
          <t>SANDVIKEN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11778-2024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45374</v>
      </c>
      <c r="E742" s="1" t="n">
        <v>46262</v>
      </c>
      <c r="F742" t="inlineStr">
        <is>
          <t>GÄVLEBORGS LÄN</t>
        </is>
      </c>
      <c r="G742" t="inlineStr">
        <is>
          <t>SANDVIKEN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24650-2026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46171</v>
      </c>
      <c r="E743" s="1" t="n">
        <v>46262</v>
      </c>
      <c r="F743" t="inlineStr">
        <is>
          <t>GÄVLEBORGS LÄN</t>
        </is>
      </c>
      <c r="G743" t="inlineStr">
        <is>
          <t>SANDVIKEN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47710-2022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44854</v>
      </c>
      <c r="E744" s="1" t="n">
        <v>46262</v>
      </c>
      <c r="F744" t="inlineStr">
        <is>
          <t>GÄVLEBORGS LÄN</t>
        </is>
      </c>
      <c r="G744" t="inlineStr">
        <is>
          <t>SANDVIKEN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48300-2023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45205</v>
      </c>
      <c r="E745" s="1" t="n">
        <v>46262</v>
      </c>
      <c r="F745" t="inlineStr">
        <is>
          <t>GÄVLEBORGS LÄN</t>
        </is>
      </c>
      <c r="G745" t="inlineStr">
        <is>
          <t>SANDVIKEN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24627-2026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46262</v>
      </c>
      <c r="F746" t="inlineStr">
        <is>
          <t>GÄVLEBORGS LÄN</t>
        </is>
      </c>
      <c r="G746" t="inlineStr">
        <is>
          <t>SANDVIKEN</t>
        </is>
      </c>
      <c r="I746" t="n">
        <v>6.9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4483-2026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46045</v>
      </c>
      <c r="E747" s="1" t="n">
        <v>46262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10578-2025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45721</v>
      </c>
      <c r="E748" s="1" t="n">
        <v>46262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44101-2023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45188</v>
      </c>
      <c r="E749" s="1" t="n">
        <v>46262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46045</v>
      </c>
      <c r="E750" s="1" t="n">
        <v>46262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29297-2024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45483</v>
      </c>
      <c r="E751" s="1" t="n">
        <v>46262</v>
      </c>
      <c r="F751" t="inlineStr">
        <is>
          <t>GÄVLEBORGS LÄN</t>
        </is>
      </c>
      <c r="G751" t="inlineStr">
        <is>
          <t>SANDVIKEN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53007-2023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45226</v>
      </c>
      <c r="E752" s="1" t="n">
        <v>46262</v>
      </c>
      <c r="F752" t="inlineStr">
        <is>
          <t>GÄVLEBORGS LÄN</t>
        </is>
      </c>
      <c r="G752" t="inlineStr">
        <is>
          <t>SANDVIKEN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5960-2026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46262</v>
      </c>
      <c r="F753" t="inlineStr">
        <is>
          <t>GÄVLEBORGS LÄN</t>
        </is>
      </c>
      <c r="G753" t="inlineStr">
        <is>
          <t>SANDVIKEN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39566-2022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44818</v>
      </c>
      <c r="E754" s="1" t="n">
        <v>46262</v>
      </c>
      <c r="F754" t="inlineStr">
        <is>
          <t>GÄVLEBORGS LÄN</t>
        </is>
      </c>
      <c r="G754" t="inlineStr">
        <is>
          <t>SANDVIKEN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11385-2023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44988</v>
      </c>
      <c r="E755" s="1" t="n">
        <v>46262</v>
      </c>
      <c r="F755" t="inlineStr">
        <is>
          <t>GÄVLEBORGS LÄN</t>
        </is>
      </c>
      <c r="G755" t="inlineStr">
        <is>
          <t>SANDVIKEN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25249-2026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46175</v>
      </c>
      <c r="E756" s="1" t="n">
        <v>46262</v>
      </c>
      <c r="F756" t="inlineStr">
        <is>
          <t>GÄVLEBORGS LÄN</t>
        </is>
      </c>
      <c r="G756" t="inlineStr">
        <is>
          <t>SANDVIKEN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25220-2026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46175</v>
      </c>
      <c r="E757" s="1" t="n">
        <v>46262</v>
      </c>
      <c r="F757" t="inlineStr">
        <is>
          <t>GÄVLEBORGS LÄN</t>
        </is>
      </c>
      <c r="G757" t="inlineStr">
        <is>
          <t>SANDVIKEN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25412-2026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46176</v>
      </c>
      <c r="E758" s="1" t="n">
        <v>46262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25413-2026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46176</v>
      </c>
      <c r="E759" s="1" t="n">
        <v>46262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25175-2026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46175</v>
      </c>
      <c r="E760" s="1" t="n">
        <v>46262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52932-2022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44875</v>
      </c>
      <c r="E761" s="1" t="n">
        <v>46262</v>
      </c>
      <c r="F761" t="inlineStr">
        <is>
          <t>GÄVLEBORGS LÄN</t>
        </is>
      </c>
      <c r="G761" t="inlineStr">
        <is>
          <t>SANDVIKEN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25691-2026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46262</v>
      </c>
      <c r="F762" t="inlineStr">
        <is>
          <t>GÄVLEBORGS LÄN</t>
        </is>
      </c>
      <c r="G762" t="inlineStr">
        <is>
          <t>SANDVIKEN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19186-2026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46262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7.3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25826-2026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46178</v>
      </c>
      <c r="E764" s="1" t="n">
        <v>46262</v>
      </c>
      <c r="F764" t="inlineStr">
        <is>
          <t>GÄVLEBORGS LÄN</t>
        </is>
      </c>
      <c r="G764" t="inlineStr">
        <is>
          <t>SANDVIKEN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25836-2026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46262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4.6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25840-2026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46262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46178</v>
      </c>
      <c r="E767" s="1" t="n">
        <v>46262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8940-2026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46069</v>
      </c>
      <c r="E768" s="1" t="n">
        <v>46262</v>
      </c>
      <c r="F768" t="inlineStr">
        <is>
          <t>GÄVLEBORGS LÄN</t>
        </is>
      </c>
      <c r="G768" t="inlineStr">
        <is>
          <t>SANDVIKEN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46262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25837-2026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46262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25841-2026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46178</v>
      </c>
      <c r="E771" s="1" t="n">
        <v>46262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30721-2023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45112</v>
      </c>
      <c r="E772" s="1" t="n">
        <v>46262</v>
      </c>
      <c r="F772" t="inlineStr">
        <is>
          <t>GÄVLEBORGS LÄN</t>
        </is>
      </c>
      <c r="G772" t="inlineStr">
        <is>
          <t>SANDVIKEN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25834-2026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46178</v>
      </c>
      <c r="E773" s="1" t="n">
        <v>46262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34946-2022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46262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25647-2026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46177</v>
      </c>
      <c r="E775" s="1" t="n">
        <v>46262</v>
      </c>
      <c r="F775" t="inlineStr">
        <is>
          <t>GÄVLEBORGS LÄN</t>
        </is>
      </c>
      <c r="G775" t="inlineStr">
        <is>
          <t>SANDVIKEN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25456-2026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46262</v>
      </c>
      <c r="F776" t="inlineStr">
        <is>
          <t>GÄVLEBORGS LÄN</t>
        </is>
      </c>
      <c r="G776" t="inlineStr">
        <is>
          <t>SANDVIKEN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38200-2024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45545</v>
      </c>
      <c r="E777" s="1" t="n">
        <v>46262</v>
      </c>
      <c r="F777" t="inlineStr">
        <is>
          <t>GÄVLEBORGS LÄN</t>
        </is>
      </c>
      <c r="G777" t="inlineStr">
        <is>
          <t>SANDVIKEN</t>
        </is>
      </c>
      <c r="H777" t="inlineStr">
        <is>
          <t>Sveaskog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22238-2023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45070</v>
      </c>
      <c r="E778" s="1" t="n">
        <v>46262</v>
      </c>
      <c r="F778" t="inlineStr">
        <is>
          <t>GÄVLEBORGS LÄN</t>
        </is>
      </c>
      <c r="G778" t="inlineStr">
        <is>
          <t>SANDVIKEN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4461-2023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44956</v>
      </c>
      <c r="E779" s="1" t="n">
        <v>46262</v>
      </c>
      <c r="F779" t="inlineStr">
        <is>
          <t>GÄVLEBORGS LÄN</t>
        </is>
      </c>
      <c r="G779" t="inlineStr">
        <is>
          <t>SANDVIKEN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26763-2026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46262</v>
      </c>
      <c r="F780" t="inlineStr">
        <is>
          <t>GÄVLEBORGS LÄN</t>
        </is>
      </c>
      <c r="G780" t="inlineStr">
        <is>
          <t>SANDVIKEN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31723-2026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46227</v>
      </c>
      <c r="E781" s="1" t="n">
        <v>46262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9.300000000000001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45300</v>
      </c>
      <c r="E782" s="1" t="n">
        <v>46262</v>
      </c>
      <c r="F782" t="inlineStr">
        <is>
          <t>GÄVLEBORGS LÄN</t>
        </is>
      </c>
      <c r="G782" t="inlineStr">
        <is>
          <t>SANDVIKEN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64801-2023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45282</v>
      </c>
      <c r="E783" s="1" t="n">
        <v>46262</v>
      </c>
      <c r="F783" t="inlineStr">
        <is>
          <t>GÄVLEBORGS LÄN</t>
        </is>
      </c>
      <c r="G783" t="inlineStr">
        <is>
          <t>SANDVIKEN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26780-2026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46184</v>
      </c>
      <c r="E784" s="1" t="n">
        <v>46262</v>
      </c>
      <c r="F784" t="inlineStr">
        <is>
          <t>GÄVLEBORGS LÄN</t>
        </is>
      </c>
      <c r="G784" t="inlineStr">
        <is>
          <t>SANDVIKEN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26601-2026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46262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26882-2026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46262</v>
      </c>
      <c r="F786" t="inlineStr">
        <is>
          <t>GÄVLEBORGS LÄN</t>
        </is>
      </c>
      <c r="G786" t="inlineStr">
        <is>
          <t>SANDVIKEN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50765-2024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45602</v>
      </c>
      <c r="E787" s="1" t="n">
        <v>46262</v>
      </c>
      <c r="F787" t="inlineStr">
        <is>
          <t>GÄVLEBORGS LÄN</t>
        </is>
      </c>
      <c r="G787" t="inlineStr">
        <is>
          <t>SANDVIKEN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58363-2022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44901</v>
      </c>
      <c r="E788" s="1" t="n">
        <v>46262</v>
      </c>
      <c r="F788" t="inlineStr">
        <is>
          <t>GÄVLEBORGS LÄN</t>
        </is>
      </c>
      <c r="G788" t="inlineStr">
        <is>
          <t>SANDVIKEN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46230</v>
      </c>
      <c r="E789" s="1" t="n">
        <v>46262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31807-2026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46230</v>
      </c>
      <c r="E790" s="1" t="n">
        <v>46262</v>
      </c>
      <c r="F790" t="inlineStr">
        <is>
          <t>GÄVLEBORGS LÄN</t>
        </is>
      </c>
      <c r="G790" t="inlineStr">
        <is>
          <t>SANDVIKEN</t>
        </is>
      </c>
      <c r="H790" t="inlineStr">
        <is>
          <t>Kommuner</t>
        </is>
      </c>
      <c r="I790" t="n">
        <v>11.2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26872-2026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46262</v>
      </c>
      <c r="F791" t="inlineStr">
        <is>
          <t>GÄVLEBORGS LÄN</t>
        </is>
      </c>
      <c r="G791" t="inlineStr">
        <is>
          <t>SANDVIKEN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58983-2023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45252</v>
      </c>
      <c r="E792" s="1" t="n">
        <v>46262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24465-2023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45082</v>
      </c>
      <c r="E793" s="1" t="n">
        <v>46262</v>
      </c>
      <c r="F793" t="inlineStr">
        <is>
          <t>GÄVLEBORGS LÄN</t>
        </is>
      </c>
      <c r="G793" t="inlineStr">
        <is>
          <t>SANDVIKEN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26964-2026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46262</v>
      </c>
      <c r="F794" t="inlineStr">
        <is>
          <t>GÄVLEBORGS LÄN</t>
        </is>
      </c>
      <c r="G794" t="inlineStr">
        <is>
          <t>SANDVIKEN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2290-2025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45673</v>
      </c>
      <c r="E795" s="1" t="n">
        <v>46262</v>
      </c>
      <c r="F795" t="inlineStr">
        <is>
          <t>GÄVLEBORGS LÄN</t>
        </is>
      </c>
      <c r="G795" t="inlineStr">
        <is>
          <t>SANDVIKEN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46262</v>
      </c>
      <c r="F796" t="inlineStr">
        <is>
          <t>GÄVLEBORGS LÄN</t>
        </is>
      </c>
      <c r="G796" t="inlineStr">
        <is>
          <t>SANDVIKEN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27533-2026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46190</v>
      </c>
      <c r="E797" s="1" t="n">
        <v>46262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1418-2025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45668</v>
      </c>
      <c r="E798" s="1" t="n">
        <v>46262</v>
      </c>
      <c r="F798" t="inlineStr">
        <is>
          <t>GÄVLEBORGS LÄN</t>
        </is>
      </c>
      <c r="G798" t="inlineStr">
        <is>
          <t>SANDVIKEN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27588-2026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46190</v>
      </c>
      <c r="E799" s="1" t="n">
        <v>46262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14720-2026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46101</v>
      </c>
      <c r="E800" s="1" t="n">
        <v>46262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60908-2022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44914</v>
      </c>
      <c r="E801" s="1" t="n">
        <v>46262</v>
      </c>
      <c r="F801" t="inlineStr">
        <is>
          <t>GÄVLEBORGS LÄN</t>
        </is>
      </c>
      <c r="G801" t="inlineStr">
        <is>
          <t>SANDVIKEN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1676-2026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46034</v>
      </c>
      <c r="E802" s="1" t="n">
        <v>46262</v>
      </c>
      <c r="F802" t="inlineStr">
        <is>
          <t>GÄVLEBORGS LÄN</t>
        </is>
      </c>
      <c r="G802" t="inlineStr">
        <is>
          <t>SANDVIKEN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27743-2026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46262</v>
      </c>
      <c r="F803" t="inlineStr">
        <is>
          <t>GÄVLEBORGS LÄN</t>
        </is>
      </c>
      <c r="G803" t="inlineStr">
        <is>
          <t>SANDVIKEN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59841-2023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46262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28845-2026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46195</v>
      </c>
      <c r="E805" s="1" t="n">
        <v>46262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32158-2026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46236</v>
      </c>
      <c r="E806" s="1" t="n">
        <v>46262</v>
      </c>
      <c r="F806" t="inlineStr">
        <is>
          <t>GÄVLEBORGS LÄN</t>
        </is>
      </c>
      <c r="G806" t="inlineStr">
        <is>
          <t>SANDVIKEN</t>
        </is>
      </c>
      <c r="I806" t="n">
        <v>0.2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4783-2025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45688</v>
      </c>
      <c r="E807" s="1" t="n">
        <v>46262</v>
      </c>
      <c r="F807" t="inlineStr">
        <is>
          <t>GÄVLEBORGS LÄN</t>
        </is>
      </c>
      <c r="G807" t="inlineStr">
        <is>
          <t>SANDVIKEN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23228-2026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46262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27006-2023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45094</v>
      </c>
      <c r="E809" s="1" t="n">
        <v>46262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9.5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46177-2022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44847</v>
      </c>
      <c r="E810" s="1" t="n">
        <v>46262</v>
      </c>
      <c r="F810" t="inlineStr">
        <is>
          <t>GÄVLEBORGS LÄN</t>
        </is>
      </c>
      <c r="G810" t="inlineStr">
        <is>
          <t>SANDVIKEN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19346-2023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45049</v>
      </c>
      <c r="E811" s="1" t="n">
        <v>46262</v>
      </c>
      <c r="F811" t="inlineStr">
        <is>
          <t>GÄVLEBORGS LÄN</t>
        </is>
      </c>
      <c r="G811" t="inlineStr">
        <is>
          <t>SANDVIKEN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61363-2023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45264</v>
      </c>
      <c r="E812" s="1" t="n">
        <v>46262</v>
      </c>
      <c r="F812" t="inlineStr">
        <is>
          <t>GÄVLEBORGS LÄN</t>
        </is>
      </c>
      <c r="G812" t="inlineStr">
        <is>
          <t>SANDVIKEN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28369-2026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46196</v>
      </c>
      <c r="E813" s="1" t="n">
        <v>46262</v>
      </c>
      <c r="F813" t="inlineStr">
        <is>
          <t>GÄVLEBORGS LÄN</t>
        </is>
      </c>
      <c r="G813" t="inlineStr">
        <is>
          <t>SANDVIKEN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46196</v>
      </c>
      <c r="E814" s="1" t="n">
        <v>46262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26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28344-2026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46262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28349-2026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46196</v>
      </c>
      <c r="E816" s="1" t="n">
        <v>46262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46196</v>
      </c>
      <c r="E817" s="1" t="n">
        <v>46262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11.9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46482-2023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45197</v>
      </c>
      <c r="E818" s="1" t="n">
        <v>46262</v>
      </c>
      <c r="F818" t="inlineStr">
        <is>
          <t>GÄVLEBORGS LÄN</t>
        </is>
      </c>
      <c r="G818" t="inlineStr">
        <is>
          <t>SANDVIKEN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28728-2026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46262</v>
      </c>
      <c r="F819" t="inlineStr">
        <is>
          <t>GÄVLEBORGS LÄN</t>
        </is>
      </c>
      <c r="G819" t="inlineStr">
        <is>
          <t>SANDVIKEN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50797-2023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45217</v>
      </c>
      <c r="E820" s="1" t="n">
        <v>46262</v>
      </c>
      <c r="F820" t="inlineStr">
        <is>
          <t>GÄVLEBORGS LÄN</t>
        </is>
      </c>
      <c r="G820" t="inlineStr">
        <is>
          <t>SANDVIKEN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44564</v>
      </c>
      <c r="E821" s="1" t="n">
        <v>46262</v>
      </c>
      <c r="F821" t="inlineStr">
        <is>
          <t>GÄVLEBORGS LÄN</t>
        </is>
      </c>
      <c r="G821" t="inlineStr">
        <is>
          <t>SANDVIKEN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73331-2021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44551</v>
      </c>
      <c r="E822" s="1" t="n">
        <v>46262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32875-2026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46244</v>
      </c>
      <c r="E823" s="1" t="n">
        <v>46262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29115-2026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46201</v>
      </c>
      <c r="E824" s="1" t="n">
        <v>46262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29321-2026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46202</v>
      </c>
      <c r="E825" s="1" t="n">
        <v>46262</v>
      </c>
      <c r="F825" t="inlineStr">
        <is>
          <t>GÄVLEBORGS LÄN</t>
        </is>
      </c>
      <c r="G825" t="inlineStr">
        <is>
          <t>SANDVIKEN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41790-2024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45561</v>
      </c>
      <c r="E826" s="1" t="n">
        <v>46262</v>
      </c>
      <c r="F826" t="inlineStr">
        <is>
          <t>GÄVLEBORGS LÄN</t>
        </is>
      </c>
      <c r="G826" t="inlineStr">
        <is>
          <t>SANDVIKEN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21456-2023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45063</v>
      </c>
      <c r="E827" s="1" t="n">
        <v>46262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15788-2025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45748</v>
      </c>
      <c r="E828" s="1" t="n">
        <v>46262</v>
      </c>
      <c r="F828" t="inlineStr">
        <is>
          <t>GÄVLEBORGS LÄN</t>
        </is>
      </c>
      <c r="G828" t="inlineStr">
        <is>
          <t>SANDVIKEN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32989-2026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46262</v>
      </c>
      <c r="F829" t="inlineStr">
        <is>
          <t>GÄVLEBORGS LÄN</t>
        </is>
      </c>
      <c r="G829" t="inlineStr">
        <is>
          <t>SANDVIKEN</t>
        </is>
      </c>
      <c r="H829" t="inlineStr">
        <is>
          <t>Kommuner</t>
        </is>
      </c>
      <c r="I829" t="n">
        <v>8.6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32998-2026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46244</v>
      </c>
      <c r="E830" s="1" t="n">
        <v>46262</v>
      </c>
      <c r="F830" t="inlineStr">
        <is>
          <t>GÄVLEBORGS LÄN</t>
        </is>
      </c>
      <c r="G830" t="inlineStr">
        <is>
          <t>SANDVIKEN</t>
        </is>
      </c>
      <c r="H830" t="inlineStr">
        <is>
          <t>Kommuner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29682-2026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46204</v>
      </c>
      <c r="E831" s="1" t="n">
        <v>46262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29726-2026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46262</v>
      </c>
      <c r="F832" t="inlineStr">
        <is>
          <t>GÄVLEBORGS LÄN</t>
        </is>
      </c>
      <c r="G832" t="inlineStr">
        <is>
          <t>SANDVIKEN</t>
        </is>
      </c>
      <c r="H832" t="inlineStr">
        <is>
          <t>Naturvårdsverket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58797-2024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45636</v>
      </c>
      <c r="E833" s="1" t="n">
        <v>46262</v>
      </c>
      <c r="F833" t="inlineStr">
        <is>
          <t>GÄVLEBORGS LÄN</t>
        </is>
      </c>
      <c r="G833" t="inlineStr">
        <is>
          <t>SANDVIKEN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29471-2026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46203</v>
      </c>
      <c r="E834" s="1" t="n">
        <v>46262</v>
      </c>
      <c r="F834" t="inlineStr">
        <is>
          <t>GÄVLEBORGS LÄN</t>
        </is>
      </c>
      <c r="G834" t="inlineStr">
        <is>
          <t>SANDVIKEN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29572-2026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46204</v>
      </c>
      <c r="E835" s="1" t="n">
        <v>46262</v>
      </c>
      <c r="F835" t="inlineStr">
        <is>
          <t>GÄVLEBORGS LÄN</t>
        </is>
      </c>
      <c r="G835" t="inlineStr">
        <is>
          <t>SANDVIKEN</t>
        </is>
      </c>
      <c r="I835" t="n">
        <v>4.4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24992-2023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45085</v>
      </c>
      <c r="E836" s="1" t="n">
        <v>46262</v>
      </c>
      <c r="F836" t="inlineStr">
        <is>
          <t>GÄVLEBORGS LÄN</t>
        </is>
      </c>
      <c r="G836" t="inlineStr">
        <is>
          <t>SANDVIKEN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29681-2026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46262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29715-2026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46204</v>
      </c>
      <c r="E838" s="1" t="n">
        <v>46262</v>
      </c>
      <c r="F838" t="inlineStr">
        <is>
          <t>GÄVLEBORGS LÄN</t>
        </is>
      </c>
      <c r="G838" t="inlineStr">
        <is>
          <t>SANDVIKEN</t>
        </is>
      </c>
      <c r="H838" t="inlineStr">
        <is>
          <t>Naturvårdsverket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29717-2026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46204</v>
      </c>
      <c r="E839" s="1" t="n">
        <v>46262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46204</v>
      </c>
      <c r="E840" s="1" t="n">
        <v>46262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29616-2026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46204</v>
      </c>
      <c r="E841" s="1" t="n">
        <v>46262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33310-2026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46262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29613-2026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46262</v>
      </c>
      <c r="F843" t="inlineStr">
        <is>
          <t>GÄVLEBORGS LÄN</t>
        </is>
      </c>
      <c r="G843" t="inlineStr">
        <is>
          <t>SANDVIKEN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33383-2026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46247</v>
      </c>
      <c r="E844" s="1" t="n">
        <v>46262</v>
      </c>
      <c r="F844" t="inlineStr">
        <is>
          <t>GÄVLEBORGS LÄN</t>
        </is>
      </c>
      <c r="G844" t="inlineStr">
        <is>
          <t>SANDVIKEN</t>
        </is>
      </c>
      <c r="H844" t="inlineStr">
        <is>
          <t>Kommuner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29620-2026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46204</v>
      </c>
      <c r="E845" s="1" t="n">
        <v>46262</v>
      </c>
      <c r="F845" t="inlineStr">
        <is>
          <t>GÄVLEBORGS LÄN</t>
        </is>
      </c>
      <c r="G845" t="inlineStr">
        <is>
          <t>SANDVIKEN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29608-2026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46204</v>
      </c>
      <c r="E846" s="1" t="n">
        <v>46262</v>
      </c>
      <c r="F846" t="inlineStr">
        <is>
          <t>GÄVLEBORGS LÄN</t>
        </is>
      </c>
      <c r="G846" t="inlineStr">
        <is>
          <t>SANDVIKEN</t>
        </is>
      </c>
      <c r="I846" t="n">
        <v>5.4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7056-2025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45701</v>
      </c>
      <c r="E847" s="1" t="n">
        <v>46262</v>
      </c>
      <c r="F847" t="inlineStr">
        <is>
          <t>GÄVLEBORGS LÄN</t>
        </is>
      </c>
      <c r="G847" t="inlineStr">
        <is>
          <t>SANDVIKEN</t>
        </is>
      </c>
      <c r="I847" t="n">
        <v>6.4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6765-2025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45700</v>
      </c>
      <c r="E848" s="1" t="n">
        <v>46262</v>
      </c>
      <c r="F848" t="inlineStr">
        <is>
          <t>GÄVLEBORGS LÄN</t>
        </is>
      </c>
      <c r="G848" t="inlineStr">
        <is>
          <t>SANDVIKEN</t>
        </is>
      </c>
      <c r="I848" t="n">
        <v>7.1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47889-2022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44855</v>
      </c>
      <c r="E849" s="1" t="n">
        <v>46262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29972-2022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44756</v>
      </c>
      <c r="E850" s="1" t="n">
        <v>46262</v>
      </c>
      <c r="F850" t="inlineStr">
        <is>
          <t>GÄVLEBORGS LÄN</t>
        </is>
      </c>
      <c r="G850" t="inlineStr">
        <is>
          <t>SANDVIKEN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16385-2023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45022</v>
      </c>
      <c r="E851" s="1" t="n">
        <v>46262</v>
      </c>
      <c r="F851" t="inlineStr">
        <is>
          <t>GÄVLEBORGS LÄN</t>
        </is>
      </c>
      <c r="G851" t="inlineStr">
        <is>
          <t>SANDVIKEN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33873-2026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46262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33877-2026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46262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25544-2024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45463</v>
      </c>
      <c r="E854" s="1" t="n">
        <v>46262</v>
      </c>
      <c r="F854" t="inlineStr">
        <is>
          <t>GÄVLEBORGS LÄN</t>
        </is>
      </c>
      <c r="G854" t="inlineStr">
        <is>
          <t>SANDVIKEN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33874-2026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46262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37641-2024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45541</v>
      </c>
      <c r="E856" s="1" t="n">
        <v>46262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37643-2024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45541</v>
      </c>
      <c r="E857" s="1" t="n">
        <v>46262</v>
      </c>
      <c r="F857" t="inlineStr">
        <is>
          <t>GÄVLEBORGS LÄN</t>
        </is>
      </c>
      <c r="G857" t="inlineStr">
        <is>
          <t>SANDVIKEN</t>
        </is>
      </c>
      <c r="H857" t="inlineStr">
        <is>
          <t>Sveaskog</t>
        </is>
      </c>
      <c r="I857" t="n">
        <v>4.1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22851-2026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46160</v>
      </c>
      <c r="E858" s="1" t="n">
        <v>46262</v>
      </c>
      <c r="F858" t="inlineStr">
        <is>
          <t>GÄVLEBORGS LÄN</t>
        </is>
      </c>
      <c r="G858" t="inlineStr">
        <is>
          <t>SANDVIKEN</t>
        </is>
      </c>
      <c r="H858" t="inlineStr">
        <is>
          <t>Kommuner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29833-2026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46205</v>
      </c>
      <c r="E859" s="1" t="n">
        <v>46262</v>
      </c>
      <c r="F859" t="inlineStr">
        <is>
          <t>GÄVLEBORGS LÄN</t>
        </is>
      </c>
      <c r="G859" t="inlineStr">
        <is>
          <t>SANDVIKEN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29842-2026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46262</v>
      </c>
      <c r="F860" t="inlineStr">
        <is>
          <t>GÄVLEBORGS LÄN</t>
        </is>
      </c>
      <c r="G860" t="inlineStr">
        <is>
          <t>SANDVIKEN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33007-2026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46262</v>
      </c>
      <c r="F861" t="inlineStr">
        <is>
          <t>GÄVLEBORGS LÄN</t>
        </is>
      </c>
      <c r="G861" t="inlineStr">
        <is>
          <t>SANDVIKEN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3899-2022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44587</v>
      </c>
      <c r="E862" s="1" t="n">
        <v>46262</v>
      </c>
      <c r="F862" t="inlineStr">
        <is>
          <t>GÄVLEBORGS LÄN</t>
        </is>
      </c>
      <c r="G862" t="inlineStr">
        <is>
          <t>SANDVIKEN</t>
        </is>
      </c>
      <c r="H862" t="inlineStr">
        <is>
          <t>Kyrkan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4511-2024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45327</v>
      </c>
      <c r="E863" s="1" t="n">
        <v>46262</v>
      </c>
      <c r="F863" t="inlineStr">
        <is>
          <t>GÄVLEBORGS LÄN</t>
        </is>
      </c>
      <c r="G863" t="inlineStr">
        <is>
          <t>SANDVIKEN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15340-2026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46105</v>
      </c>
      <c r="E864" s="1" t="n">
        <v>46262</v>
      </c>
      <c r="F864" t="inlineStr">
        <is>
          <t>GÄVLEBORGS LÄN</t>
        </is>
      </c>
      <c r="G864" t="inlineStr">
        <is>
          <t>SANDVIKEN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34036-2026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46252</v>
      </c>
      <c r="E865" s="1" t="n">
        <v>46262</v>
      </c>
      <c r="F865" t="inlineStr">
        <is>
          <t>GÄVLEBORGS LÄN</t>
        </is>
      </c>
      <c r="G865" t="inlineStr">
        <is>
          <t>SANDVIKEN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19269-2025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45769</v>
      </c>
      <c r="E866" s="1" t="n">
        <v>46262</v>
      </c>
      <c r="F866" t="inlineStr">
        <is>
          <t>GÄVLEBORGS LÄN</t>
        </is>
      </c>
      <c r="G866" t="inlineStr">
        <is>
          <t>SANDVIKEN</t>
        </is>
      </c>
      <c r="I866" t="n">
        <v>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34253-2026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46253</v>
      </c>
      <c r="E867" s="1" t="n">
        <v>46262</v>
      </c>
      <c r="F867" t="inlineStr">
        <is>
          <t>GÄVLEBORGS LÄN</t>
        </is>
      </c>
      <c r="G867" t="inlineStr">
        <is>
          <t>SANDVIKEN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15671-2024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45404</v>
      </c>
      <c r="E868" s="1" t="n">
        <v>46262</v>
      </c>
      <c r="F868" t="inlineStr">
        <is>
          <t>GÄVLEBORGS LÄN</t>
        </is>
      </c>
      <c r="G868" t="inlineStr">
        <is>
          <t>SANDVIKEN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25498-2026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46177</v>
      </c>
      <c r="E869" s="1" t="n">
        <v>46262</v>
      </c>
      <c r="F869" t="inlineStr">
        <is>
          <t>GÄVLEBORGS LÄN</t>
        </is>
      </c>
      <c r="G869" t="inlineStr">
        <is>
          <t>SANDVIKEN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34408-2026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46254</v>
      </c>
      <c r="E870" s="1" t="n">
        <v>46262</v>
      </c>
      <c r="F870" t="inlineStr">
        <is>
          <t>GÄVLEBORGS LÄN</t>
        </is>
      </c>
      <c r="G870" t="inlineStr">
        <is>
          <t>SANDVIKEN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48435-2024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45590</v>
      </c>
      <c r="E871" s="1" t="n">
        <v>46262</v>
      </c>
      <c r="F871" t="inlineStr">
        <is>
          <t>GÄVLEBORGS LÄN</t>
        </is>
      </c>
      <c r="G871" t="inlineStr">
        <is>
          <t>SANDVIKEN</t>
        </is>
      </c>
      <c r="I871" t="n">
        <v>6.7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45672</v>
      </c>
      <c r="E872" s="1" t="n">
        <v>46262</v>
      </c>
      <c r="F872" t="inlineStr">
        <is>
          <t>GÄVLEBORGS LÄN</t>
        </is>
      </c>
      <c r="G872" t="inlineStr">
        <is>
          <t>SANDVIKEN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49518-2023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45211</v>
      </c>
      <c r="E873" s="1" t="n">
        <v>46262</v>
      </c>
      <c r="F873" t="inlineStr">
        <is>
          <t>GÄVLEBORGS LÄN</t>
        </is>
      </c>
      <c r="G873" t="inlineStr">
        <is>
          <t>SANDVIKEN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44566</v>
      </c>
      <c r="E874" s="1" t="n">
        <v>46262</v>
      </c>
      <c r="F874" t="inlineStr">
        <is>
          <t>GÄVLEBORGS LÄN</t>
        </is>
      </c>
      <c r="G874" t="inlineStr">
        <is>
          <t>SANDVIKEN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36656-2023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45153</v>
      </c>
      <c r="E875" s="1" t="n">
        <v>46262</v>
      </c>
      <c r="F875" t="inlineStr">
        <is>
          <t>GÄVLEBORGS LÄN</t>
        </is>
      </c>
      <c r="G875" t="inlineStr">
        <is>
          <t>SANDVIKEN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34603-2026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46255</v>
      </c>
      <c r="E876" s="1" t="n">
        <v>46262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16258-2023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45022</v>
      </c>
      <c r="E877" s="1" t="n">
        <v>46262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5.2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21182-2025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45779</v>
      </c>
      <c r="E878" s="1" t="n">
        <v>46262</v>
      </c>
      <c r="F878" t="inlineStr">
        <is>
          <t>GÄVLEBORGS LÄN</t>
        </is>
      </c>
      <c r="G878" t="inlineStr">
        <is>
          <t>SANDVIKEN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34606-2026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46262</v>
      </c>
      <c r="F879" t="inlineStr">
        <is>
          <t>GÄVLEBORGS LÄN</t>
        </is>
      </c>
      <c r="G879" t="inlineStr">
        <is>
          <t>SANDVIKEN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34879-2026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46258</v>
      </c>
      <c r="E880" s="1" t="n">
        <v>46262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34608-2026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46255</v>
      </c>
      <c r="E881" s="1" t="n">
        <v>46262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46262</v>
      </c>
      <c r="F882" t="inlineStr">
        <is>
          <t>GÄVLEBORGS LÄN</t>
        </is>
      </c>
      <c r="G882" t="inlineStr">
        <is>
          <t>SANDVIKEN</t>
        </is>
      </c>
      <c r="I882" t="n">
        <v>10.2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34997-2026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46259</v>
      </c>
      <c r="E883" s="1" t="n">
        <v>46262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35107-2026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46260</v>
      </c>
      <c r="E884" s="1" t="n">
        <v>46262</v>
      </c>
      <c r="F884" t="inlineStr">
        <is>
          <t>GÄVLEBORGS LÄN</t>
        </is>
      </c>
      <c r="G884" t="inlineStr">
        <is>
          <t>SANDVIKEN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35253-2026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46262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35255-2026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46262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35345-2026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46262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46262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46262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35324-2026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46261</v>
      </c>
      <c r="E890" s="1" t="n">
        <v>46262</v>
      </c>
      <c r="F890" t="inlineStr">
        <is>
          <t>GÄVLEBORGS LÄN</t>
        </is>
      </c>
      <c r="G890" t="inlineStr">
        <is>
          <t>SANDVIKEN</t>
        </is>
      </c>
      <c r="H890" t="inlineStr">
        <is>
          <t>Naturvårdsverket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35325-2026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46262</v>
      </c>
      <c r="F891" t="inlineStr">
        <is>
          <t>GÄVLEBORGS LÄN</t>
        </is>
      </c>
      <c r="G891" t="inlineStr">
        <is>
          <t>SANDVIKEN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35320-2026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46262</v>
      </c>
      <c r="F892" t="inlineStr">
        <is>
          <t>GÄVLEBORGS LÄN</t>
        </is>
      </c>
      <c r="G892" t="inlineStr">
        <is>
          <t>SANDVIKEN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35370-2026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46262</v>
      </c>
      <c r="F893" t="inlineStr">
        <is>
          <t>GÄVLEBORGS LÄN</t>
        </is>
      </c>
      <c r="G893" t="inlineStr">
        <is>
          <t>SANDVIKEN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46262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35414-2026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46262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46219</v>
      </c>
      <c r="E896" s="1" t="n">
        <v>46262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35254-2026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46262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5.3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35348-2026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46262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öst AB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35420-2026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46262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35317-2026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46261</v>
      </c>
      <c r="E900" s="1" t="n">
        <v>46262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46262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219-2024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45316</v>
      </c>
      <c r="E902" s="1" t="n">
        <v>46262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198-2024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45315</v>
      </c>
      <c r="E903" s="1" t="n">
        <v>46262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64.59999999999999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7975-2021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44484</v>
      </c>
      <c r="E904" s="1" t="n">
        <v>46262</v>
      </c>
      <c r="F904" t="inlineStr">
        <is>
          <t>GÄVLEBORGS LÄN</t>
        </is>
      </c>
      <c r="G904" t="inlineStr">
        <is>
          <t>SANDVIKEN</t>
        </is>
      </c>
      <c r="H904" t="inlineStr">
        <is>
          <t>Kommuner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2574-2023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45142</v>
      </c>
      <c r="E905" s="1" t="n">
        <v>46262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31.8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10363-2021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44550</v>
      </c>
      <c r="E906" s="1" t="n">
        <v>46262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73.3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513-2025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45706</v>
      </c>
      <c r="E907" s="1" t="n">
        <v>46262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706-2025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45720</v>
      </c>
      <c r="E908" s="1" t="n">
        <v>46262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väst AB</t>
        </is>
      </c>
      <c r="I908" t="n">
        <v>24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531-2025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46262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14.4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530-2025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45707</v>
      </c>
      <c r="E910" s="1" t="n">
        <v>46262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318-2026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46262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14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320-2026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46059</v>
      </c>
      <c r="E912" s="1" t="n">
        <v>46262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36.3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664-2026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46262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>
      <c r="A914" t="inlineStr">
        <is>
          <t>S 677-2026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46089</v>
      </c>
      <c r="E914" s="1" t="n">
        <v>46262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2026-08-28T01:52:02Z</dcterms:created>
  <dcterms:modified xmlns:dcterms="http://purl.org/dc/terms/" xmlns:xsi="http://www.w3.org/2001/XMLSchema-instance" xsi:type="dcterms:W3CDTF">2026-08-28T01:52:03Z</dcterms:modified>
</cp:coreProperties>
</file>