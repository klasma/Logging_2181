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46220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Y9">
        <f>HYPERLINK("https://klasma.github.io/Logging_2181/klagomål/A 7459-2026 FSC-klagomål.docx", "A 7459-2026")</f>
        <v/>
      </c>
      <c r="Z9">
        <f>HYPERLINK("https://klasma.github.io/Logging_2181/klagomålsmail/A 7459-2026 FSC-klagomål mail.docx", "A 7459-2026")</f>
        <v/>
      </c>
      <c r="AA9">
        <f>HYPERLINK("https://klasma.github.io/Logging_2181/tillsyn/A 7459-2026 tillsynsbegäran.docx", "A 7459-2026")</f>
        <v/>
      </c>
      <c r="AB9">
        <f>HYPERLINK("https://klasma.github.io/Logging_2181/tillsynsmail/A 7459-2026 tillsynsbegäran mail.docx", "A 7459-2026")</f>
        <v/>
      </c>
      <c r="AC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46220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Y10">
        <f>HYPERLINK("https://klasma.github.io/Logging_2181/klagomål/A 24802-2023 FSC-klagomål.docx", "A 24802-2023")</f>
        <v/>
      </c>
      <c r="Z10">
        <f>HYPERLINK("https://klasma.github.io/Logging_2181/klagomålsmail/A 24802-2023 FSC-klagomål mail.docx", "A 24802-2023")</f>
        <v/>
      </c>
      <c r="AA10">
        <f>HYPERLINK("https://klasma.github.io/Logging_2181/tillsyn/A 24802-2023 tillsynsbegäran.docx", "A 24802-2023")</f>
        <v/>
      </c>
      <c r="AB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46220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s="2" t="inlineStr">
        <is>
          <t>Grönfink
Järpe
Tjäder
Fläcknycklar</t>
        </is>
      </c>
      <c r="V11">
        <f>HYPERLINK("https://klasma.github.io/Logging_2181/artfynd/A 49333-2025 artfynd.xlsx", "A 49333-2025")</f>
        <v/>
      </c>
      <c r="W11">
        <f>HYPERLINK("https://klasma.github.io/Logging_2181/kartor/A 49333-2025 karta.png", "A 49333-2025")</f>
        <v/>
      </c>
      <c r="Y11">
        <f>HYPERLINK("https://klasma.github.io/Logging_2181/klagomål/A 49333-2025 FSC-klagomål.docx", "A 49333-2025")</f>
        <v/>
      </c>
      <c r="Z11">
        <f>HYPERLINK("https://klasma.github.io/Logging_2181/klagomålsmail/A 49333-2025 FSC-klagomål mail.docx", "A 49333-2025")</f>
        <v/>
      </c>
      <c r="AA11">
        <f>HYPERLINK("https://klasma.github.io/Logging_2181/tillsyn/A 49333-2025 tillsynsbegäran.docx", "A 49333-2025")</f>
        <v/>
      </c>
      <c r="AB11">
        <f>HYPERLINK("https://klasma.github.io/Logging_2181/tillsynsmail/A 49333-2025 tillsynsbegäran mail.docx", "A 49333-2025")</f>
        <v/>
      </c>
      <c r="AC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46220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s="2" t="inlineStr">
        <is>
          <t>Garnlav
Knärot
Dropptaggsvamp
Bronshjon</t>
        </is>
      </c>
      <c r="V12">
        <f>HYPERLINK("https://klasma.github.io/Logging_2181/artfynd/A 52784-2025 artfynd.xlsx", "A 52784-2025")</f>
        <v/>
      </c>
      <c r="W12">
        <f>HYPERLINK("https://klasma.github.io/Logging_2181/kartor/A 52784-2025 karta.png", "A 52784-2025")</f>
        <v/>
      </c>
      <c r="X12">
        <f>HYPERLINK("https://klasma.github.io/Logging_2181/knärot/A 52784-2025 karta knärot.png", "A 52784-2025")</f>
        <v/>
      </c>
      <c r="Y12">
        <f>HYPERLINK("https://klasma.github.io/Logging_2181/klagomål/A 52784-2025 FSC-klagomål.docx", "A 52784-2025")</f>
        <v/>
      </c>
      <c r="Z12">
        <f>HYPERLINK("https://klasma.github.io/Logging_2181/klagomålsmail/A 52784-2025 FSC-klagomål mail.docx", "A 52784-2025")</f>
        <v/>
      </c>
      <c r="AA12">
        <f>HYPERLINK("https://klasma.github.io/Logging_2181/tillsyn/A 52784-2025 tillsynsbegäran.docx", "A 52784-2025")</f>
        <v/>
      </c>
      <c r="AB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s="2" t="inlineStr">
        <is>
          <t>Garnlav
Knärot
Dropptaggsvamp
Bronshjon</t>
        </is>
      </c>
      <c r="V13">
        <f>HYPERLINK("https://klasma.github.io/Logging_2181/artfynd/A 52785-2025 artfynd.xlsx", "A 52785-2025")</f>
        <v/>
      </c>
      <c r="W13">
        <f>HYPERLINK("https://klasma.github.io/Logging_2181/kartor/A 52785-2025 karta.png", "A 52785-2025")</f>
        <v/>
      </c>
      <c r="X13">
        <f>HYPERLINK("https://klasma.github.io/Logging_2181/knärot/A 52785-2025 karta knärot.png", "A 52785-2025")</f>
        <v/>
      </c>
      <c r="Y13">
        <f>HYPERLINK("https://klasma.github.io/Logging_2181/klagomål/A 52785-2025 FSC-klagomål.docx", "A 52785-2025")</f>
        <v/>
      </c>
      <c r="Z13">
        <f>HYPERLINK("https://klasma.github.io/Logging_2181/klagomålsmail/A 52785-2025 FSC-klagomål mail.docx", "A 52785-2025")</f>
        <v/>
      </c>
      <c r="AA13">
        <f>HYPERLINK("https://klasma.github.io/Logging_2181/tillsyn/A 52785-2025 tillsynsbegäran.docx", "A 52785-2025")</f>
        <v/>
      </c>
      <c r="AB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46220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s="2" t="inlineStr">
        <is>
          <t>Knärot
Motaggsvamp
Tvåblad
Fläcknycklar</t>
        </is>
      </c>
      <c r="V14">
        <f>HYPERLINK("https://klasma.github.io/Logging_2181/artfynd/A 52782-2025 artfynd.xlsx", "A 52782-2025")</f>
        <v/>
      </c>
      <c r="W14">
        <f>HYPERLINK("https://klasma.github.io/Logging_2181/kartor/A 52782-2025 karta.png", "A 52782-2025")</f>
        <v/>
      </c>
      <c r="X14">
        <f>HYPERLINK("https://klasma.github.io/Logging_2181/knärot/A 52782-2025 karta knärot.png", "A 52782-2025")</f>
        <v/>
      </c>
      <c r="Y14">
        <f>HYPERLINK("https://klasma.github.io/Logging_2181/klagomål/A 52782-2025 FSC-klagomål.docx", "A 52782-2025")</f>
        <v/>
      </c>
      <c r="Z14">
        <f>HYPERLINK("https://klasma.github.io/Logging_2181/klagomålsmail/A 52782-2025 FSC-klagomål mail.docx", "A 52782-2025")</f>
        <v/>
      </c>
      <c r="AA14">
        <f>HYPERLINK("https://klasma.github.io/Logging_2181/tillsyn/A 52782-2025 tillsynsbegäran.docx", "A 52782-2025")</f>
        <v/>
      </c>
      <c r="AB14">
        <f>HYPERLINK("https://klasma.github.io/Logging_2181/tillsynsmail/A 52782-2025 tillsynsbegäran mail.docx", "A 52782-2025")</f>
        <v/>
      </c>
    </row>
    <row r="15" ht="15" customHeight="1">
      <c r="A15" t="inlineStr">
        <is>
          <t>A 12192-2026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46086</v>
      </c>
      <c r="E15" s="1" t="n">
        <v>46220</v>
      </c>
      <c r="F15" t="inlineStr">
        <is>
          <t>GÄVLEBORGS LÄN</t>
        </is>
      </c>
      <c r="G15" t="inlineStr">
        <is>
          <t>SANDVIKEN</t>
        </is>
      </c>
      <c r="I15" t="n">
        <v>0.6</v>
      </c>
      <c r="J15" t="n">
        <v>3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8</v>
      </c>
      <c r="U15" s="2" t="inlineStr">
        <is>
          <t>Knärot
Rynkskinn
Tretåig hackspett
Spillkråka</t>
        </is>
      </c>
      <c r="V15">
        <f>HYPERLINK("https://klasma.github.io/Logging_2181/artfynd/A 12192-2026 artfynd.xlsx", "A 12192-2026")</f>
        <v/>
      </c>
      <c r="W15">
        <f>HYPERLINK("https://klasma.github.io/Logging_2181/kartor/A 12192-2026 karta.png", "A 12192-2026")</f>
        <v/>
      </c>
      <c r="X15">
        <f>HYPERLINK("https://klasma.github.io/Logging_2181/knärot/A 12192-2026 karta knärot.png", "A 12192-2026")</f>
        <v/>
      </c>
      <c r="Y15">
        <f>HYPERLINK("https://klasma.github.io/Logging_2181/klagomål/A 12192-2026 FSC-klagomål.docx", "A 12192-2026")</f>
        <v/>
      </c>
      <c r="Z15">
        <f>HYPERLINK("https://klasma.github.io/Logging_2181/klagomålsmail/A 12192-2026 FSC-klagomål mail.docx", "A 12192-2026")</f>
        <v/>
      </c>
      <c r="AA15">
        <f>HYPERLINK("https://klasma.github.io/Logging_2181/tillsyn/A 12192-2026 tillsynsbegäran.docx", "A 12192-2026")</f>
        <v/>
      </c>
      <c r="AB15">
        <f>HYPERLINK("https://klasma.github.io/Logging_2181/tillsynsmail/A 12192-2026 tillsynsbegäran mail.docx", "A 12192-2026")</f>
        <v/>
      </c>
      <c r="AC15">
        <f>HYPERLINK("https://klasma.github.io/Logging_2181/fåglar/A 12192-2026 prioriterade fågelarter.docx", "A 12192-2026")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46220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s="2" t="inlineStr">
        <is>
          <t>Större flatbagge
Tallticka
Bronshjon
Thomsons trägnagare</t>
        </is>
      </c>
      <c r="V16">
        <f>HYPERLINK("https://klasma.github.io/Logging_2181/artfynd/A 2857-2025 artfynd.xlsx", "A 2857-2025")</f>
        <v/>
      </c>
      <c r="W16">
        <f>HYPERLINK("https://klasma.github.io/Logging_2181/kartor/A 2857-2025 karta.png", "A 2857-2025")</f>
        <v/>
      </c>
      <c r="Y16">
        <f>HYPERLINK("https://klasma.github.io/Logging_2181/klagomål/A 2857-2025 FSC-klagomål.docx", "A 2857-2025")</f>
        <v/>
      </c>
      <c r="Z16">
        <f>HYPERLINK("https://klasma.github.io/Logging_2181/klagomålsmail/A 2857-2025 FSC-klagomål mail.docx", "A 2857-2025")</f>
        <v/>
      </c>
      <c r="AA16">
        <f>HYPERLINK("https://klasma.github.io/Logging_2181/tillsyn/A 2857-2025 tillsynsbegäran.docx", "A 2857-2025")</f>
        <v/>
      </c>
      <c r="AB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46220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s="2" t="inlineStr">
        <is>
          <t>Garnlav
Knärot
Dropptaggsvamp
Motaggsvamp</t>
        </is>
      </c>
      <c r="V17">
        <f>HYPERLINK("https://klasma.github.io/Logging_2181/artfynd/A 14696-2026 artfynd.xlsx", "A 14696-2026")</f>
        <v/>
      </c>
      <c r="W17">
        <f>HYPERLINK("https://klasma.github.io/Logging_2181/kartor/A 14696-2026 karta.png", "A 14696-2026")</f>
        <v/>
      </c>
      <c r="X17">
        <f>HYPERLINK("https://klasma.github.io/Logging_2181/knärot/A 14696-2026 karta knärot.png", "A 14696-2026")</f>
        <v/>
      </c>
      <c r="Y17">
        <f>HYPERLINK("https://klasma.github.io/Logging_2181/klagomål/A 14696-2026 FSC-klagomål.docx", "A 14696-2026")</f>
        <v/>
      </c>
      <c r="Z17">
        <f>HYPERLINK("https://klasma.github.io/Logging_2181/klagomålsmail/A 14696-2026 FSC-klagomål mail.docx", "A 14696-2026")</f>
        <v/>
      </c>
      <c r="AA17">
        <f>HYPERLINK("https://klasma.github.io/Logging_2181/tillsyn/A 14696-2026 tillsynsbegäran.docx", "A 14696-2026")</f>
        <v/>
      </c>
      <c r="AB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46220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s="2" t="inlineStr">
        <is>
          <t>Större vattensalamander
Åkergroda
Mindre vattensalamander
Vanlig groda</t>
        </is>
      </c>
      <c r="V18">
        <f>HYPERLINK("https://klasma.github.io/Logging_2181/artfynd/A 36672-2023 artfynd.xlsx", "A 36672-2023")</f>
        <v/>
      </c>
      <c r="W18">
        <f>HYPERLINK("https://klasma.github.io/Logging_2181/kartor/A 36672-2023 karta.png", "A 36672-2023")</f>
        <v/>
      </c>
      <c r="Y18">
        <f>HYPERLINK("https://klasma.github.io/Logging_2181/klagomål/A 36672-2023 FSC-klagomål.docx", "A 36672-2023")</f>
        <v/>
      </c>
      <c r="Z18">
        <f>HYPERLINK("https://klasma.github.io/Logging_2181/klagomålsmail/A 36672-2023 FSC-klagomål mail.docx", "A 36672-2023")</f>
        <v/>
      </c>
      <c r="AA18">
        <f>HYPERLINK("https://klasma.github.io/Logging_2181/tillsyn/A 36672-2023 tillsynsbegäran.docx", "A 36672-2023")</f>
        <v/>
      </c>
      <c r="AB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46220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s="2" t="inlineStr">
        <is>
          <t>Talltita
Tjäder
Kungsfågel
Revlummer</t>
        </is>
      </c>
      <c r="V19">
        <f>HYPERLINK("https://klasma.github.io/Logging_2181/artfynd/A 37635-2024 artfynd.xlsx", "A 37635-2024")</f>
        <v/>
      </c>
      <c r="W19">
        <f>HYPERLINK("https://klasma.github.io/Logging_2181/kartor/A 37635-2024 karta.png", "A 37635-2024")</f>
        <v/>
      </c>
      <c r="Y19">
        <f>HYPERLINK("https://klasma.github.io/Logging_2181/klagomål/A 37635-2024 FSC-klagomål.docx", "A 37635-2024")</f>
        <v/>
      </c>
      <c r="Z19">
        <f>HYPERLINK("https://klasma.github.io/Logging_2181/klagomålsmail/A 37635-2024 FSC-klagomål mail.docx", "A 37635-2024")</f>
        <v/>
      </c>
      <c r="AA19">
        <f>HYPERLINK("https://klasma.github.io/Logging_2181/tillsyn/A 37635-2024 tillsynsbegäran.docx", "A 37635-2024")</f>
        <v/>
      </c>
      <c r="AB19">
        <f>HYPERLINK("https://klasma.github.io/Logging_2181/tillsynsmail/A 37635-2024 tillsynsbegäran mail.docx", "A 37635-2024")</f>
        <v/>
      </c>
      <c r="AC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46220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s="2" t="inlineStr">
        <is>
          <t>Knärot
Dropptaggsvamp
Fjällig taggsvamp s.str.
Grönpyrola</t>
        </is>
      </c>
      <c r="V20">
        <f>HYPERLINK("https://klasma.github.io/Logging_2181/artfynd/A 15650-2024 artfynd.xlsx", "A 15650-2024")</f>
        <v/>
      </c>
      <c r="W20">
        <f>HYPERLINK("https://klasma.github.io/Logging_2181/kartor/A 15650-2024 karta.png", "A 15650-2024")</f>
        <v/>
      </c>
      <c r="X20">
        <f>HYPERLINK("https://klasma.github.io/Logging_2181/knärot/A 15650-2024 karta knärot.png", "A 15650-2024")</f>
        <v/>
      </c>
      <c r="Y20">
        <f>HYPERLINK("https://klasma.github.io/Logging_2181/klagomål/A 15650-2024 FSC-klagomål.docx", "A 15650-2024")</f>
        <v/>
      </c>
      <c r="Z20">
        <f>HYPERLINK("https://klasma.github.io/Logging_2181/klagomålsmail/A 15650-2024 FSC-klagomål mail.docx", "A 15650-2024")</f>
        <v/>
      </c>
      <c r="AA20">
        <f>HYPERLINK("https://klasma.github.io/Logging_2181/tillsyn/A 15650-2024 tillsynsbegäran.docx", "A 15650-2024")</f>
        <v/>
      </c>
      <c r="AB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s="2" t="inlineStr">
        <is>
          <t>Garnlav
Jättesvampmal
Tjäder
Revlummer</t>
        </is>
      </c>
      <c r="V21">
        <f>HYPERLINK("https://klasma.github.io/Logging_2181/artfynd/S 2083-2020 artfynd.xlsx", "S 2083-2020")</f>
        <v/>
      </c>
      <c r="W21">
        <f>HYPERLINK("https://klasma.github.io/Logging_2181/kartor/S 2083-2020 karta.png", "S 2083-2020")</f>
        <v/>
      </c>
      <c r="Y21">
        <f>HYPERLINK("https://klasma.github.io/Logging_2181/klagomål/S 2083-2020 FSC-klagomål.docx", "S 2083-2020")</f>
        <v/>
      </c>
      <c r="Z21">
        <f>HYPERLINK("https://klasma.github.io/Logging_2181/klagomålsmail/S 2083-2020 FSC-klagomål mail.docx", "S 2083-2020")</f>
        <v/>
      </c>
      <c r="AA21">
        <f>HYPERLINK("https://klasma.github.io/Logging_2181/tillsyn/S 2083-2020 tillsynsbegäran.docx", "S 2083-2020")</f>
        <v/>
      </c>
      <c r="AB21">
        <f>HYPERLINK("https://klasma.github.io/Logging_2181/tillsynsmail/S 2083-2020 tillsynsbegäran mail.docx", "S 2083-2020")</f>
        <v/>
      </c>
      <c r="AC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s="2" t="inlineStr">
        <is>
          <t>Garnlav
Ullticka
Vedticka
Revlummer</t>
        </is>
      </c>
      <c r="V22">
        <f>HYPERLINK("https://klasma.github.io/Logging_2181/artfynd/S 1038-2026 artfynd.xlsx", "S 1038-2026")</f>
        <v/>
      </c>
      <c r="W22">
        <f>HYPERLINK("https://klasma.github.io/Logging_2181/kartor/S 1038-2026 karta.png", "S 1038-2026")</f>
        <v/>
      </c>
      <c r="Y22">
        <f>HYPERLINK("https://klasma.github.io/Logging_2181/klagomål/S 1038-2026 FSC-klagomål.docx", "S 1038-2026")</f>
        <v/>
      </c>
      <c r="Z22">
        <f>HYPERLINK("https://klasma.github.io/Logging_2181/klagomålsmail/S 1038-2026 FSC-klagomål mail.docx", "S 1038-2026")</f>
        <v/>
      </c>
      <c r="AA22">
        <f>HYPERLINK("https://klasma.github.io/Logging_2181/tillsyn/S 1038-2026 tillsynsbegäran.docx", "S 1038-2026")</f>
        <v/>
      </c>
      <c r="AB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46220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s="2" t="inlineStr">
        <is>
          <t>Järnsparv
Talltita
Kungsfågel</t>
        </is>
      </c>
      <c r="V23">
        <f>HYPERLINK("https://klasma.github.io/Logging_2181/artfynd/A 63033-2021 artfynd.xlsx", "A 63033-2021")</f>
        <v/>
      </c>
      <c r="W23">
        <f>HYPERLINK("https://klasma.github.io/Logging_2181/kartor/A 63033-2021 karta.png", "A 63033-2021")</f>
        <v/>
      </c>
      <c r="Y23">
        <f>HYPERLINK("https://klasma.github.io/Logging_2181/klagomål/A 63033-2021 FSC-klagomål.docx", "A 63033-2021")</f>
        <v/>
      </c>
      <c r="Z23">
        <f>HYPERLINK("https://klasma.github.io/Logging_2181/klagomålsmail/A 63033-2021 FSC-klagomål mail.docx", "A 63033-2021")</f>
        <v/>
      </c>
      <c r="AA23">
        <f>HYPERLINK("https://klasma.github.io/Logging_2181/tillsyn/A 63033-2021 tillsynsbegäran.docx", "A 63033-2021")</f>
        <v/>
      </c>
      <c r="AB23">
        <f>HYPERLINK("https://klasma.github.io/Logging_2181/tillsynsmail/A 63033-2021 tillsynsbegäran mail.docx", "A 63033-2021")</f>
        <v/>
      </c>
      <c r="AC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46220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Knärot
Granvivel
Linnea</t>
        </is>
      </c>
      <c r="V24">
        <f>HYPERLINK("https://klasma.github.io/Logging_2181/artfynd/A 6108-2026 artfynd.xlsx", "A 6108-2026")</f>
        <v/>
      </c>
      <c r="W24">
        <f>HYPERLINK("https://klasma.github.io/Logging_2181/kartor/A 6108-2026 karta.png", "A 6108-2026")</f>
        <v/>
      </c>
      <c r="X24">
        <f>HYPERLINK("https://klasma.github.io/Logging_2181/knärot/A 6108-2026 karta knärot.png", "A 6108-2026")</f>
        <v/>
      </c>
      <c r="Y24">
        <f>HYPERLINK("https://klasma.github.io/Logging_2181/klagomål/A 6108-2026 FSC-klagomål.docx", "A 6108-2026")</f>
        <v/>
      </c>
      <c r="Z24">
        <f>HYPERLINK("https://klasma.github.io/Logging_2181/klagomålsmail/A 6108-2026 FSC-klagomål mail.docx", "A 6108-2026")</f>
        <v/>
      </c>
      <c r="AA24">
        <f>HYPERLINK("https://klasma.github.io/Logging_2181/tillsyn/A 6108-2026 tillsynsbegäran.docx", "A 6108-2026")</f>
        <v/>
      </c>
      <c r="AB24">
        <f>HYPERLINK("https://klasma.github.io/Logging_2181/tillsynsmail/A 6108-2026 tillsynsbegäran mail.docx", "A 6108-2026")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46220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Rödvingetrast
Törnskata
Vanlig groda</t>
        </is>
      </c>
      <c r="V25">
        <f>HYPERLINK("https://klasma.github.io/Logging_2181/artfynd/A 6378-2023 artfynd.xlsx", "A 6378-2023")</f>
        <v/>
      </c>
      <c r="W25">
        <f>HYPERLINK("https://klasma.github.io/Logging_2181/kartor/A 6378-2023 karta.png", "A 6378-2023")</f>
        <v/>
      </c>
      <c r="Y25">
        <f>HYPERLINK("https://klasma.github.io/Logging_2181/klagomål/A 6378-2023 FSC-klagomål.docx", "A 6378-2023")</f>
        <v/>
      </c>
      <c r="Z25">
        <f>HYPERLINK("https://klasma.github.io/Logging_2181/klagomålsmail/A 6378-2023 FSC-klagomål mail.docx", "A 6378-2023")</f>
        <v/>
      </c>
      <c r="AA25">
        <f>HYPERLINK("https://klasma.github.io/Logging_2181/tillsyn/A 6378-2023 tillsynsbegäran.docx", "A 6378-2023")</f>
        <v/>
      </c>
      <c r="AB25">
        <f>HYPERLINK("https://klasma.github.io/Logging_2181/tillsynsmail/A 6378-2023 tillsynsbegäran mail.docx", "A 6378-2023")</f>
        <v/>
      </c>
      <c r="AC25">
        <f>HYPERLINK("https://klasma.github.io/Logging_2181/fåglar/A 6378-2023 prioriterade fågelarter.docx", "A 6378-2023")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46220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Blåsippa
Fläcknycklar
Äkta lopplummer</t>
        </is>
      </c>
      <c r="V26">
        <f>HYPERLINK("https://klasma.github.io/Logging_2181/artfynd/A 12696-2026 artfynd.xlsx", "A 12696-2026")</f>
        <v/>
      </c>
      <c r="W26">
        <f>HYPERLINK("https://klasma.github.io/Logging_2181/kartor/A 12696-2026 karta.png", "A 12696-2026")</f>
        <v/>
      </c>
      <c r="Y26">
        <f>HYPERLINK("https://klasma.github.io/Logging_2181/klagomål/A 12696-2026 FSC-klagomål.docx", "A 12696-2026")</f>
        <v/>
      </c>
      <c r="Z26">
        <f>HYPERLINK("https://klasma.github.io/Logging_2181/klagomålsmail/A 12696-2026 FSC-klagomål mail.docx", "A 12696-2026")</f>
        <v/>
      </c>
      <c r="AA26">
        <f>HYPERLINK("https://klasma.github.io/Logging_2181/tillsyn/A 12696-2026 tillsynsbegäran.docx", "A 12696-2026")</f>
        <v/>
      </c>
      <c r="AB26">
        <f>HYPERLINK("https://klasma.github.io/Logging_2181/tillsynsmail/A 12696-2026 tillsynsbegäran mail.docx", "A 12696-2026")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46220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Blå taggsvamp
Talltita
Kungsfågel</t>
        </is>
      </c>
      <c r="V27">
        <f>HYPERLINK("https://klasma.github.io/Logging_2181/artfynd/A 26047-2026 artfynd.xlsx", "A 26047-2026")</f>
        <v/>
      </c>
      <c r="W27">
        <f>HYPERLINK("https://klasma.github.io/Logging_2181/kartor/A 26047-2026 karta.png", "A 26047-2026")</f>
        <v/>
      </c>
      <c r="Y27">
        <f>HYPERLINK("https://klasma.github.io/Logging_2181/klagomål/A 26047-2026 FSC-klagomål.docx", "A 26047-2026")</f>
        <v/>
      </c>
      <c r="Z27">
        <f>HYPERLINK("https://klasma.github.io/Logging_2181/klagomålsmail/A 26047-2026 FSC-klagomål mail.docx", "A 26047-2026")</f>
        <v/>
      </c>
      <c r="AA27">
        <f>HYPERLINK("https://klasma.github.io/Logging_2181/tillsyn/A 26047-2026 tillsynsbegäran.docx", "A 26047-2026")</f>
        <v/>
      </c>
      <c r="AB27">
        <f>HYPERLINK("https://klasma.github.io/Logging_2181/tillsynsmail/A 26047-2026 tillsynsbegäran mail.docx", "A 26047-2026")</f>
        <v/>
      </c>
      <c r="AC27">
        <f>HYPERLINK("https://klasma.github.io/Logging_2181/fåglar/A 26047-2026 prioriterade fågelarter.docx", "A 26047-2026")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46220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Tjäder
Vanlig groda
Vanlig padda</t>
        </is>
      </c>
      <c r="V28">
        <f>HYPERLINK("https://klasma.github.io/Logging_2181/artfynd/A 6311-2026 artfynd.xlsx", "A 6311-2026")</f>
        <v/>
      </c>
      <c r="W28">
        <f>HYPERLINK("https://klasma.github.io/Logging_2181/kartor/A 6311-2026 karta.png", "A 6311-2026")</f>
        <v/>
      </c>
      <c r="Y28">
        <f>HYPERLINK("https://klasma.github.io/Logging_2181/klagomål/A 6311-2026 FSC-klagomål.docx", "A 6311-2026")</f>
        <v/>
      </c>
      <c r="Z28">
        <f>HYPERLINK("https://klasma.github.io/Logging_2181/klagomålsmail/A 6311-2026 FSC-klagomål mail.docx", "A 6311-2026")</f>
        <v/>
      </c>
      <c r="AA28">
        <f>HYPERLINK("https://klasma.github.io/Logging_2181/tillsyn/A 6311-2026 tillsynsbegäran.docx", "A 6311-2026")</f>
        <v/>
      </c>
      <c r="AB28">
        <f>HYPERLINK("https://klasma.github.io/Logging_2181/tillsynsmail/A 6311-2026 tillsynsbegäran mail.docx", "A 6311-2026")</f>
        <v/>
      </c>
      <c r="AC28">
        <f>HYPERLINK("https://klasma.github.io/Logging_2181/fåglar/A 6311-2026 prioriterade fågelarter.docx", "A 6311-2026")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46220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Tibast
Grönsiska
Kungsfågel</t>
        </is>
      </c>
      <c r="V29">
        <f>HYPERLINK("https://klasma.github.io/Logging_2181/artfynd/A 29114-2026 artfynd.xlsx", "A 29114-2026")</f>
        <v/>
      </c>
      <c r="W29">
        <f>HYPERLINK("https://klasma.github.io/Logging_2181/kartor/A 29114-2026 karta.png", "A 29114-2026")</f>
        <v/>
      </c>
      <c r="Y29">
        <f>HYPERLINK("https://klasma.github.io/Logging_2181/klagomål/A 29114-2026 FSC-klagomål.docx", "A 29114-2026")</f>
        <v/>
      </c>
      <c r="Z29">
        <f>HYPERLINK("https://klasma.github.io/Logging_2181/klagomålsmail/A 29114-2026 FSC-klagomål mail.docx", "A 29114-2026")</f>
        <v/>
      </c>
      <c r="AA29">
        <f>HYPERLINK("https://klasma.github.io/Logging_2181/tillsyn/A 29114-2026 tillsynsbegäran.docx", "A 29114-2026")</f>
        <v/>
      </c>
      <c r="AB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46220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Y30">
        <f>HYPERLINK("https://klasma.github.io/Logging_2181/klagomål/A 31123-2026 FSC-klagomål.docx", "A 31123-2026")</f>
        <v/>
      </c>
      <c r="Z30">
        <f>HYPERLINK("https://klasma.github.io/Logging_2181/klagomålsmail/A 31123-2026 FSC-klagomål mail.docx", "A 31123-2026")</f>
        <v/>
      </c>
      <c r="AA30">
        <f>HYPERLINK("https://klasma.github.io/Logging_2181/tillsyn/A 31123-2026 tillsynsbegäran.docx", "A 31123-2026")</f>
        <v/>
      </c>
      <c r="AB30">
        <f>HYPERLINK("https://klasma.github.io/Logging_2181/tillsynsmail/A 31123-2026 tillsynsbegäran mail.docx", "A 31123-2026")</f>
        <v/>
      </c>
      <c r="AC30">
        <f>HYPERLINK("https://klasma.github.io/Logging_2181/fåglar/A 31123-2026 prioriterade fågelarter.docx", "A 31123-2026")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46220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s="2" t="inlineStr">
        <is>
          <t>Vågbandad barkbock
Åkergroda
Vanlig padda</t>
        </is>
      </c>
      <c r="V31">
        <f>HYPERLINK("https://klasma.github.io/Logging_2181/artfynd/A 31310-2026 artfynd.xlsx", "A 31310-2026")</f>
        <v/>
      </c>
      <c r="W31">
        <f>HYPERLINK("https://klasma.github.io/Logging_2181/kartor/A 31310-2026 karta.png", "A 31310-2026")</f>
        <v/>
      </c>
      <c r="Y31">
        <f>HYPERLINK("https://klasma.github.io/Logging_2181/klagomål/A 31310-2026 FSC-klagomål.docx", "A 31310-2026")</f>
        <v/>
      </c>
      <c r="Z31">
        <f>HYPERLINK("https://klasma.github.io/Logging_2181/klagomålsmail/A 31310-2026 FSC-klagomål mail.docx", "A 31310-2026")</f>
        <v/>
      </c>
      <c r="AA31">
        <f>HYPERLINK("https://klasma.github.io/Logging_2181/tillsyn/A 31310-2026 tillsynsbegäran.docx", "A 31310-2026")</f>
        <v/>
      </c>
      <c r="AB31">
        <f>HYPERLINK("https://klasma.github.io/Logging_2181/tillsynsmail/A 31310-2026 tillsynsbegäran mail.docx", "A 31310-2026")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46220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s="2" t="inlineStr">
        <is>
          <t>Dropptaggsvamp
Tallticka
Nästlav</t>
        </is>
      </c>
      <c r="V32">
        <f>HYPERLINK("https://klasma.github.io/Logging_2181/artfynd/A 31312-2026 artfynd.xlsx", "A 31312-2026")</f>
        <v/>
      </c>
      <c r="W32">
        <f>HYPERLINK("https://klasma.github.io/Logging_2181/kartor/A 31312-2026 karta.png", "A 31312-2026")</f>
        <v/>
      </c>
      <c r="Y32">
        <f>HYPERLINK("https://klasma.github.io/Logging_2181/klagomål/A 31312-2026 FSC-klagomål.docx", "A 31312-2026")</f>
        <v/>
      </c>
      <c r="Z32">
        <f>HYPERLINK("https://klasma.github.io/Logging_2181/klagomålsmail/A 31312-2026 FSC-klagomål mail.docx", "A 31312-2026")</f>
        <v/>
      </c>
      <c r="AA32">
        <f>HYPERLINK("https://klasma.github.io/Logging_2181/tillsyn/A 31312-2026 tillsynsbegäran.docx", "A 31312-2026")</f>
        <v/>
      </c>
      <c r="AB32">
        <f>HYPERLINK("https://klasma.github.io/Logging_2181/tillsynsmail/A 31312-2026 tillsynsbegäran mail.docx", "A 31312-2026")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s="2" t="inlineStr">
        <is>
          <t>Garnlav
Vedticka
Revlummer</t>
        </is>
      </c>
      <c r="V33">
        <f>HYPERLINK("https://klasma.github.io/Logging_2181/artfynd/S 241-2024 artfynd.xlsx", "S 241-2024")</f>
        <v/>
      </c>
      <c r="W33">
        <f>HYPERLINK("https://klasma.github.io/Logging_2181/kartor/S 241-2024 karta.png", "S 241-2024")</f>
        <v/>
      </c>
      <c r="Y33">
        <f>HYPERLINK("https://klasma.github.io/Logging_2181/klagomål/S 241-2024 FSC-klagomål.docx", "S 241-2024")</f>
        <v/>
      </c>
      <c r="Z33">
        <f>HYPERLINK("https://klasma.github.io/Logging_2181/klagomålsmail/S 241-2024 FSC-klagomål mail.docx", "S 241-2024")</f>
        <v/>
      </c>
      <c r="AA33">
        <f>HYPERLINK("https://klasma.github.io/Logging_2181/tillsyn/S 241-2024 tillsynsbegäran.docx", "S 241-2024")</f>
        <v/>
      </c>
      <c r="AB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Skinnlav</t>
        </is>
      </c>
      <c r="V34">
        <f>HYPERLINK("https://klasma.github.io/Logging_2181/artfynd/A 21297-2022 artfynd.xlsx", "A 21297-2022")</f>
        <v/>
      </c>
      <c r="W34">
        <f>HYPERLINK("https://klasma.github.io/Logging_2181/kartor/A 21297-2022 karta.png", "A 21297-2022")</f>
        <v/>
      </c>
      <c r="Y34">
        <f>HYPERLINK("https://klasma.github.io/Logging_2181/klagomål/A 21297-2022 FSC-klagomål.docx", "A 21297-2022")</f>
        <v/>
      </c>
      <c r="Z34">
        <f>HYPERLINK("https://klasma.github.io/Logging_2181/klagomålsmail/A 21297-2022 FSC-klagomål mail.docx", "A 21297-2022")</f>
        <v/>
      </c>
      <c r="AA34">
        <f>HYPERLINK("https://klasma.github.io/Logging_2181/tillsyn/A 21297-2022 tillsynsbegäran.docx", "A 21297-2022")</f>
        <v/>
      </c>
      <c r="AB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46220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s="2" t="inlineStr">
        <is>
          <t>Knärot
Revlummer</t>
        </is>
      </c>
      <c r="V35">
        <f>HYPERLINK("https://klasma.github.io/Logging_2181/artfynd/A 10623-2025 artfynd.xlsx", "A 10623-2025")</f>
        <v/>
      </c>
      <c r="W35">
        <f>HYPERLINK("https://klasma.github.io/Logging_2181/kartor/A 10623-2025 karta.png", "A 10623-2025")</f>
        <v/>
      </c>
      <c r="X35">
        <f>HYPERLINK("https://klasma.github.io/Logging_2181/knärot/A 10623-2025 karta knärot.png", "A 10623-2025")</f>
        <v/>
      </c>
      <c r="Y35">
        <f>HYPERLINK("https://klasma.github.io/Logging_2181/klagomål/A 10623-2025 FSC-klagomål.docx", "A 10623-2025")</f>
        <v/>
      </c>
      <c r="Z35">
        <f>HYPERLINK("https://klasma.github.io/Logging_2181/klagomålsmail/A 10623-2025 FSC-klagomål mail.docx", "A 10623-2025")</f>
        <v/>
      </c>
      <c r="AA35">
        <f>HYPERLINK("https://klasma.github.io/Logging_2181/tillsyn/A 10623-2025 tillsynsbegäran.docx", "A 10623-2025")</f>
        <v/>
      </c>
      <c r="AB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46220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s="2" t="inlineStr">
        <is>
          <t>Lappuggla
Ullticka</t>
        </is>
      </c>
      <c r="V36">
        <f>HYPERLINK("https://klasma.github.io/Logging_2181/artfynd/A 21196-2024 artfynd.xlsx", "A 21196-2024")</f>
        <v/>
      </c>
      <c r="W36">
        <f>HYPERLINK("https://klasma.github.io/Logging_2181/kartor/A 21196-2024 karta.png", "A 21196-2024")</f>
        <v/>
      </c>
      <c r="Y36">
        <f>HYPERLINK("https://klasma.github.io/Logging_2181/klagomål/A 21196-2024 FSC-klagomål.docx", "A 21196-2024")</f>
        <v/>
      </c>
      <c r="Z36">
        <f>HYPERLINK("https://klasma.github.io/Logging_2181/klagomålsmail/A 21196-2024 FSC-klagomål mail.docx", "A 21196-2024")</f>
        <v/>
      </c>
      <c r="AA36">
        <f>HYPERLINK("https://klasma.github.io/Logging_2181/tillsyn/A 21196-2024 tillsynsbegäran.docx", "A 21196-2024")</f>
        <v/>
      </c>
      <c r="AB36">
        <f>HYPERLINK("https://klasma.github.io/Logging_2181/tillsynsmail/A 21196-2024 tillsynsbegäran mail.docx", "A 21196-2024")</f>
        <v/>
      </c>
      <c r="AC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46220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Motaggsvamp
Ullticka</t>
        </is>
      </c>
      <c r="V37">
        <f>HYPERLINK("https://klasma.github.io/Logging_2181/artfynd/A 46729-2025 artfynd.xlsx", "A 46729-2025")</f>
        <v/>
      </c>
      <c r="W37">
        <f>HYPERLINK("https://klasma.github.io/Logging_2181/kartor/A 46729-2025 karta.png", "A 46729-2025")</f>
        <v/>
      </c>
      <c r="Y37">
        <f>HYPERLINK("https://klasma.github.io/Logging_2181/klagomål/A 46729-2025 FSC-klagomål.docx", "A 46729-2025")</f>
        <v/>
      </c>
      <c r="Z37">
        <f>HYPERLINK("https://klasma.github.io/Logging_2181/klagomålsmail/A 46729-2025 FSC-klagomål mail.docx", "A 46729-2025")</f>
        <v/>
      </c>
      <c r="AA37">
        <f>HYPERLINK("https://klasma.github.io/Logging_2181/tillsyn/A 46729-2025 tillsynsbegäran.docx", "A 46729-2025")</f>
        <v/>
      </c>
      <c r="AB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46220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Nattviol</t>
        </is>
      </c>
      <c r="V38">
        <f>HYPERLINK("https://klasma.github.io/Logging_2181/artfynd/A 35523-2022 artfynd.xlsx", "A 35523-2022")</f>
        <v/>
      </c>
      <c r="W38">
        <f>HYPERLINK("https://klasma.github.io/Logging_2181/kartor/A 35523-2022 karta.png", "A 35523-2022")</f>
        <v/>
      </c>
      <c r="X38">
        <f>HYPERLINK("https://klasma.github.io/Logging_2181/knärot/A 35523-2022 karta knärot.png", "A 35523-2022")</f>
        <v/>
      </c>
      <c r="Y38">
        <f>HYPERLINK("https://klasma.github.io/Logging_2181/klagomål/A 35523-2022 FSC-klagomål.docx", "A 35523-2022")</f>
        <v/>
      </c>
      <c r="Z38">
        <f>HYPERLINK("https://klasma.github.io/Logging_2181/klagomålsmail/A 35523-2022 FSC-klagomål mail.docx", "A 35523-2022")</f>
        <v/>
      </c>
      <c r="AA38">
        <f>HYPERLINK("https://klasma.github.io/Logging_2181/tillsyn/A 35523-2022 tillsynsbegäran.docx", "A 35523-2022")</f>
        <v/>
      </c>
      <c r="AB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46220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Mattlummer
Revlummer</t>
        </is>
      </c>
      <c r="V39">
        <f>HYPERLINK("https://klasma.github.io/Logging_2181/artfynd/A 15895-2026 artfynd.xlsx", "A 15895-2026")</f>
        <v/>
      </c>
      <c r="W39">
        <f>HYPERLINK("https://klasma.github.io/Logging_2181/kartor/A 15895-2026 karta.png", "A 15895-2026")</f>
        <v/>
      </c>
      <c r="Y39">
        <f>HYPERLINK("https://klasma.github.io/Logging_2181/klagomål/A 15895-2026 FSC-klagomål.docx", "A 15895-2026")</f>
        <v/>
      </c>
      <c r="Z39">
        <f>HYPERLINK("https://klasma.github.io/Logging_2181/klagomålsmail/A 15895-2026 FSC-klagomål mail.docx", "A 15895-2026")</f>
        <v/>
      </c>
      <c r="AA39">
        <f>HYPERLINK("https://klasma.github.io/Logging_2181/tillsyn/A 15895-2026 tillsynsbegäran.docx", "A 15895-2026")</f>
        <v/>
      </c>
      <c r="AB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46220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Knärot
Vedticka</t>
        </is>
      </c>
      <c r="V40">
        <f>HYPERLINK("https://klasma.github.io/Logging_2181/artfynd/A 7733-2026 artfynd.xlsx", "A 7733-2026")</f>
        <v/>
      </c>
      <c r="W40">
        <f>HYPERLINK("https://klasma.github.io/Logging_2181/kartor/A 7733-2026 karta.png", "A 7733-2026")</f>
        <v/>
      </c>
      <c r="X40">
        <f>HYPERLINK("https://klasma.github.io/Logging_2181/knärot/A 7733-2026 karta knärot.png", "A 7733-2026")</f>
        <v/>
      </c>
      <c r="Y40">
        <f>HYPERLINK("https://klasma.github.io/Logging_2181/klagomål/A 7733-2026 FSC-klagomål.docx", "A 7733-2026")</f>
        <v/>
      </c>
      <c r="Z40">
        <f>HYPERLINK("https://klasma.github.io/Logging_2181/klagomålsmail/A 7733-2026 FSC-klagomål mail.docx", "A 7733-2026")</f>
        <v/>
      </c>
      <c r="AA40">
        <f>HYPERLINK("https://klasma.github.io/Logging_2181/tillsyn/A 7733-2026 tillsynsbegäran.docx", "A 7733-2026")</f>
        <v/>
      </c>
      <c r="AB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46220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Kambräken
Lopplummer (aggregat)</t>
        </is>
      </c>
      <c r="V41">
        <f>HYPERLINK("https://klasma.github.io/Logging_2181/artfynd/A 19526-2026 artfynd.xlsx", "A 19526-2026")</f>
        <v/>
      </c>
      <c r="W41">
        <f>HYPERLINK("https://klasma.github.io/Logging_2181/kartor/A 19526-2026 karta.png", "A 19526-2026")</f>
        <v/>
      </c>
      <c r="Y41">
        <f>HYPERLINK("https://klasma.github.io/Logging_2181/klagomål/A 19526-2026 FSC-klagomål.docx", "A 19526-2026")</f>
        <v/>
      </c>
      <c r="Z41">
        <f>HYPERLINK("https://klasma.github.io/Logging_2181/klagomålsmail/A 19526-2026 FSC-klagomål mail.docx", "A 19526-2026")</f>
        <v/>
      </c>
      <c r="AA41">
        <f>HYPERLINK("https://klasma.github.io/Logging_2181/tillsyn/A 19526-2026 tillsynsbegäran.docx", "A 19526-2026")</f>
        <v/>
      </c>
      <c r="AB41">
        <f>HYPERLINK("https://klasma.github.io/Logging_2181/tillsynsmail/A 19526-2026 tillsynsbegäran mail.docx", "A 19526-2026")</f>
        <v/>
      </c>
    </row>
    <row r="42" ht="15" customHeight="1">
      <c r="A42" t="inlineStr">
        <is>
          <t>A 42869-2024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46220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6.9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Rödgul trumpetsvamp
Vanlig padda</t>
        </is>
      </c>
      <c r="V42">
        <f>HYPERLINK("https://klasma.github.io/Logging_2181/artfynd/A 42869-2024 artfynd.xlsx", "A 42869-2024")</f>
        <v/>
      </c>
      <c r="W42">
        <f>HYPERLINK("https://klasma.github.io/Logging_2181/kartor/A 42869-2024 karta.png", "A 42869-2024")</f>
        <v/>
      </c>
      <c r="Y42">
        <f>HYPERLINK("https://klasma.github.io/Logging_2181/klagomål/A 42869-2024 FSC-klagomål.docx", "A 42869-2024")</f>
        <v/>
      </c>
      <c r="Z42">
        <f>HYPERLINK("https://klasma.github.io/Logging_2181/klagomålsmail/A 42869-2024 FSC-klagomål mail.docx", "A 42869-2024")</f>
        <v/>
      </c>
      <c r="AA42">
        <f>HYPERLINK("https://klasma.github.io/Logging_2181/tillsyn/A 42869-2024 tillsynsbegäran.docx", "A 42869-2024")</f>
        <v/>
      </c>
      <c r="AB42">
        <f>HYPERLINK("https://klasma.github.io/Logging_2181/tillsynsmail/A 42869-2024 tillsynsbegäran mail.docx", "A 42869-2024")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46220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Nordfladdermus
Tjäder</t>
        </is>
      </c>
      <c r="V43">
        <f>HYPERLINK("https://klasma.github.io/Logging_2181/artfynd/A 27014-2026 artfynd.xlsx", "A 27014-2026")</f>
        <v/>
      </c>
      <c r="W43">
        <f>HYPERLINK("https://klasma.github.io/Logging_2181/kartor/A 27014-2026 karta.png", "A 27014-2026")</f>
        <v/>
      </c>
      <c r="Y43">
        <f>HYPERLINK("https://klasma.github.io/Logging_2181/klagomål/A 27014-2026 FSC-klagomål.docx", "A 27014-2026")</f>
        <v/>
      </c>
      <c r="Z43">
        <f>HYPERLINK("https://klasma.github.io/Logging_2181/klagomålsmail/A 27014-2026 FSC-klagomål mail.docx", "A 27014-2026")</f>
        <v/>
      </c>
      <c r="AA43">
        <f>HYPERLINK("https://klasma.github.io/Logging_2181/tillsyn/A 27014-2026 tillsynsbegäran.docx", "A 27014-2026")</f>
        <v/>
      </c>
      <c r="AB43">
        <f>HYPERLINK("https://klasma.github.io/Logging_2181/tillsynsmail/A 27014-2026 tillsynsbegäran mail.docx", "A 27014-2026")</f>
        <v/>
      </c>
      <c r="AC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46220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Dropptaggsvamp
Talltita</t>
        </is>
      </c>
      <c r="V44">
        <f>HYPERLINK("https://klasma.github.io/Logging_2181/artfynd/A 27184-2026 artfynd.xlsx", "A 27184-2026")</f>
        <v/>
      </c>
      <c r="W44">
        <f>HYPERLINK("https://klasma.github.io/Logging_2181/kartor/A 27184-2026 karta.png", "A 27184-2026")</f>
        <v/>
      </c>
      <c r="Y44">
        <f>HYPERLINK("https://klasma.github.io/Logging_2181/klagomål/A 27184-2026 FSC-klagomål.docx", "A 27184-2026")</f>
        <v/>
      </c>
      <c r="Z44">
        <f>HYPERLINK("https://klasma.github.io/Logging_2181/klagomålsmail/A 27184-2026 FSC-klagomål mail.docx", "A 27184-2026")</f>
        <v/>
      </c>
      <c r="AA44">
        <f>HYPERLINK("https://klasma.github.io/Logging_2181/tillsyn/A 27184-2026 tillsynsbegäran.docx", "A 27184-2026")</f>
        <v/>
      </c>
      <c r="AB44">
        <f>HYPERLINK("https://klasma.github.io/Logging_2181/tillsynsmail/A 27184-2026 tillsynsbegäran mail.docx", "A 27184-2026")</f>
        <v/>
      </c>
      <c r="AC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46220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Strutbräken
Revlummer</t>
        </is>
      </c>
      <c r="V45">
        <f>HYPERLINK("https://klasma.github.io/Logging_2181/artfynd/A 1179-2026 artfynd.xlsx", "A 1179-2026")</f>
        <v/>
      </c>
      <c r="W45">
        <f>HYPERLINK("https://klasma.github.io/Logging_2181/kartor/A 1179-2026 karta.png", "A 1179-2026")</f>
        <v/>
      </c>
      <c r="Y45">
        <f>HYPERLINK("https://klasma.github.io/Logging_2181/klagomål/A 1179-2026 FSC-klagomål.docx", "A 1179-2026")</f>
        <v/>
      </c>
      <c r="Z45">
        <f>HYPERLINK("https://klasma.github.io/Logging_2181/klagomålsmail/A 1179-2026 FSC-klagomål mail.docx", "A 1179-2026")</f>
        <v/>
      </c>
      <c r="AA45">
        <f>HYPERLINK("https://klasma.github.io/Logging_2181/tillsyn/A 1179-2026 tillsynsbegäran.docx", "A 1179-2026")</f>
        <v/>
      </c>
      <c r="AB45">
        <f>HYPERLINK("https://klasma.github.io/Logging_2181/tillsynsmail/A 1179-2026 tillsynsbegäran mail.docx", "A 1179-2026")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46220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Knärot
Dropptaggsvamp</t>
        </is>
      </c>
      <c r="V46">
        <f>HYPERLINK("https://klasma.github.io/Logging_2181/artfynd/A 43716-2023 artfynd.xlsx", "A 43716-2023")</f>
        <v/>
      </c>
      <c r="W46">
        <f>HYPERLINK("https://klasma.github.io/Logging_2181/kartor/A 43716-2023 karta.png", "A 43716-2023")</f>
        <v/>
      </c>
      <c r="X46">
        <f>HYPERLINK("https://klasma.github.io/Logging_2181/knärot/A 43716-2023 karta knärot.png", "A 43716-2023")</f>
        <v/>
      </c>
      <c r="Y46">
        <f>HYPERLINK("https://klasma.github.io/Logging_2181/klagomål/A 43716-2023 FSC-klagomål.docx", "A 43716-2023")</f>
        <v/>
      </c>
      <c r="Z46">
        <f>HYPERLINK("https://klasma.github.io/Logging_2181/klagomålsmail/A 43716-2023 FSC-klagomål mail.docx", "A 43716-2023")</f>
        <v/>
      </c>
      <c r="AA46">
        <f>HYPERLINK("https://klasma.github.io/Logging_2181/tillsyn/A 43716-2023 tillsynsbegäran.docx", "A 43716-2023")</f>
        <v/>
      </c>
      <c r="AB46">
        <f>HYPERLINK("https://klasma.github.io/Logging_2181/tillsynsmail/A 43716-2023 tillsynsbegäran mail.docx", "A 43716-2023")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46220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Grönsångare
Spillkråka</t>
        </is>
      </c>
      <c r="V47">
        <f>HYPERLINK("https://klasma.github.io/Logging_2181/artfynd/S 423-2025 artfynd.xlsx", "S 423-2025")</f>
        <v/>
      </c>
      <c r="W47">
        <f>HYPERLINK("https://klasma.github.io/Logging_2181/kartor/S 423-2025 karta.png", "S 423-2025")</f>
        <v/>
      </c>
      <c r="Y47">
        <f>HYPERLINK("https://klasma.github.io/Logging_2181/klagomål/S 423-2025 FSC-klagomål.docx", "S 423-2025")</f>
        <v/>
      </c>
      <c r="Z47">
        <f>HYPERLINK("https://klasma.github.io/Logging_2181/klagomålsmail/S 423-2025 FSC-klagomål mail.docx", "S 423-2025")</f>
        <v/>
      </c>
      <c r="AA47">
        <f>HYPERLINK("https://klasma.github.io/Logging_2181/tillsyn/S 423-2025 tillsynsbegäran.docx", "S 423-2025")</f>
        <v/>
      </c>
      <c r="AB47">
        <f>HYPERLINK("https://klasma.github.io/Logging_2181/tillsynsmail/S 423-2025 tillsynsbegäran mail.docx", "S 423-2025")</f>
        <v/>
      </c>
      <c r="AC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46220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s="2" t="inlineStr">
        <is>
          <t>Knärot
Tibast</t>
        </is>
      </c>
      <c r="V48">
        <f>HYPERLINK("https://klasma.github.io/Logging_2181/artfynd/S 519-2022 artfynd.xlsx", "S 519-2022")</f>
        <v/>
      </c>
      <c r="W48">
        <f>HYPERLINK("https://klasma.github.io/Logging_2181/kartor/S 519-2022 karta.png", "S 519-2022")</f>
        <v/>
      </c>
      <c r="X48">
        <f>HYPERLINK("https://klasma.github.io/Logging_2181/knärot/S 519-2022 karta knärot.png", "S 519-2022")</f>
        <v/>
      </c>
      <c r="Y48">
        <f>HYPERLINK("https://klasma.github.io/Logging_2181/klagomål/S 519-2022 FSC-klagomål.docx", "S 519-2022")</f>
        <v/>
      </c>
      <c r="Z48">
        <f>HYPERLINK("https://klasma.github.io/Logging_2181/klagomålsmail/S 519-2022 FSC-klagomål mail.docx", "S 519-2022")</f>
        <v/>
      </c>
      <c r="AA48">
        <f>HYPERLINK("https://klasma.github.io/Logging_2181/tillsyn/S 519-2022 tillsynsbegäran.docx", "S 519-2022")</f>
        <v/>
      </c>
      <c r="AB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46220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Kungsfågel</t>
        </is>
      </c>
      <c r="V49">
        <f>HYPERLINK("https://klasma.github.io/Logging_2181/artfynd/A 63084-2021 artfynd.xlsx", "A 63084-2021")</f>
        <v/>
      </c>
      <c r="W49">
        <f>HYPERLINK("https://klasma.github.io/Logging_2181/kartor/A 63084-2021 karta.png", "A 63084-2021")</f>
        <v/>
      </c>
      <c r="Y49">
        <f>HYPERLINK("https://klasma.github.io/Logging_2181/klagomål/A 63084-2021 FSC-klagomål.docx", "A 63084-2021")</f>
        <v/>
      </c>
      <c r="Z49">
        <f>HYPERLINK("https://klasma.github.io/Logging_2181/klagomålsmail/A 63084-2021 FSC-klagomål mail.docx", "A 63084-2021")</f>
        <v/>
      </c>
      <c r="AA49">
        <f>HYPERLINK("https://klasma.github.io/Logging_2181/tillsyn/A 63084-2021 tillsynsbegäran.docx", "A 63084-2021")</f>
        <v/>
      </c>
      <c r="AB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46220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Kortskaftad ärgspik</t>
        </is>
      </c>
      <c r="V50">
        <f>HYPERLINK("https://klasma.github.io/Logging_2181/artfynd/A 27966-2022 artfynd.xlsx", "A 27966-2022")</f>
        <v/>
      </c>
      <c r="W50">
        <f>HYPERLINK("https://klasma.github.io/Logging_2181/kartor/A 27966-2022 karta.png", "A 27966-2022")</f>
        <v/>
      </c>
      <c r="Y50">
        <f>HYPERLINK("https://klasma.github.io/Logging_2181/klagomål/A 27966-2022 FSC-klagomål.docx", "A 27966-2022")</f>
        <v/>
      </c>
      <c r="Z50">
        <f>HYPERLINK("https://klasma.github.io/Logging_2181/klagomålsmail/A 27966-2022 FSC-klagomål mail.docx", "A 27966-2022")</f>
        <v/>
      </c>
      <c r="AA50">
        <f>HYPERLINK("https://klasma.github.io/Logging_2181/tillsyn/A 27966-2022 tillsynsbegäran.docx", "A 27966-2022")</f>
        <v/>
      </c>
      <c r="AB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46220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HYPERLINK("https://klasma.github.io/Logging_2181/artfynd/A 65270-2021 artfynd.xlsx", "A 65270-2021")</f>
        <v/>
      </c>
      <c r="W51">
        <f>HYPERLINK("https://klasma.github.io/Logging_2181/kartor/A 65270-2021 karta.png", "A 65270-2021")</f>
        <v/>
      </c>
      <c r="Y51">
        <f>HYPERLINK("https://klasma.github.io/Logging_2181/klagomål/A 65270-2021 FSC-klagomål.docx", "A 65270-2021")</f>
        <v/>
      </c>
      <c r="Z51">
        <f>HYPERLINK("https://klasma.github.io/Logging_2181/klagomålsmail/A 65270-2021 FSC-klagomål mail.docx", "A 65270-2021")</f>
        <v/>
      </c>
      <c r="AA51">
        <f>HYPERLINK("https://klasma.github.io/Logging_2181/tillsyn/A 65270-2021 tillsynsbegäran.docx", "A 65270-2021")</f>
        <v/>
      </c>
      <c r="AB51">
        <f>HYPERLINK("https://klasma.github.io/Logging_2181/tillsynsmail/A 65270-2021 tillsynsbegäran mail.docx", "A 65270-2021")</f>
        <v/>
      </c>
      <c r="AC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46220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Lopplummer (aggregat)</t>
        </is>
      </c>
      <c r="V52">
        <f>HYPERLINK("https://klasma.github.io/Logging_2181/artfynd/A 35525-2022 artfynd.xlsx", "A 35525-2022")</f>
        <v/>
      </c>
      <c r="W52">
        <f>HYPERLINK("https://klasma.github.io/Logging_2181/kartor/A 35525-2022 karta.png", "A 35525-2022")</f>
        <v/>
      </c>
      <c r="Y52">
        <f>HYPERLINK("https://klasma.github.io/Logging_2181/klagomål/A 35525-2022 FSC-klagomål.docx", "A 35525-2022")</f>
        <v/>
      </c>
      <c r="Z52">
        <f>HYPERLINK("https://klasma.github.io/Logging_2181/klagomålsmail/A 35525-2022 FSC-klagomål mail.docx", "A 35525-2022")</f>
        <v/>
      </c>
      <c r="AA52">
        <f>HYPERLINK("https://klasma.github.io/Logging_2181/tillsyn/A 35525-2022 tillsynsbegäran.docx", "A 35525-2022")</f>
        <v/>
      </c>
      <c r="AB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46220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Tvåblad</t>
        </is>
      </c>
      <c r="V53">
        <f>HYPERLINK("https://klasma.github.io/Logging_2181/artfynd/A 41862-2022 artfynd.xlsx", "A 41862-2022")</f>
        <v/>
      </c>
      <c r="W53">
        <f>HYPERLINK("https://klasma.github.io/Logging_2181/kartor/A 41862-2022 karta.png", "A 41862-2022")</f>
        <v/>
      </c>
      <c r="Y53">
        <f>HYPERLINK("https://klasma.github.io/Logging_2181/klagomål/A 41862-2022 FSC-klagomål.docx", "A 41862-2022")</f>
        <v/>
      </c>
      <c r="Z53">
        <f>HYPERLINK("https://klasma.github.io/Logging_2181/klagomålsmail/A 41862-2022 FSC-klagomål mail.docx", "A 41862-2022")</f>
        <v/>
      </c>
      <c r="AA53">
        <f>HYPERLINK("https://klasma.github.io/Logging_2181/tillsyn/A 41862-2022 tillsynsbegäran.docx", "A 41862-2022")</f>
        <v/>
      </c>
      <c r="AB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46220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s="2" t="inlineStr">
        <is>
          <t>Vanlig padda</t>
        </is>
      </c>
      <c r="V54">
        <f>HYPERLINK("https://klasma.github.io/Logging_2181/artfynd/A 58845-2023 artfynd.xlsx", "A 58845-2023")</f>
        <v/>
      </c>
      <c r="W54">
        <f>HYPERLINK("https://klasma.github.io/Logging_2181/kartor/A 58845-2023 karta.png", "A 58845-2023")</f>
        <v/>
      </c>
      <c r="Y54">
        <f>HYPERLINK("https://klasma.github.io/Logging_2181/klagomål/A 58845-2023 FSC-klagomål.docx", "A 58845-2023")</f>
        <v/>
      </c>
      <c r="Z54">
        <f>HYPERLINK("https://klasma.github.io/Logging_2181/klagomålsmail/A 58845-2023 FSC-klagomål mail.docx", "A 58845-2023")</f>
        <v/>
      </c>
      <c r="AA54">
        <f>HYPERLINK("https://klasma.github.io/Logging_2181/tillsyn/A 58845-2023 tillsynsbegäran.docx", "A 58845-2023")</f>
        <v/>
      </c>
      <c r="AB54">
        <f>HYPERLINK("https://klasma.github.io/Logging_2181/tillsynsmail/A 58845-2023 tillsynsbegäran mail.docx", "A 58845-2023")</f>
        <v/>
      </c>
    </row>
    <row r="55" ht="15" customHeight="1">
      <c r="A55" t="inlineStr">
        <is>
          <t>A 448-2026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46220</v>
      </c>
      <c r="F55" t="inlineStr">
        <is>
          <t>GÄVLEBORGS LÄN</t>
        </is>
      </c>
      <c r="G55" t="inlineStr">
        <is>
          <t>SANDVIKEN</t>
        </is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Dvärghäxört</t>
        </is>
      </c>
      <c r="V55">
        <f>HYPERLINK("https://klasma.github.io/Logging_2181/artfynd/A 448-2026 artfynd.xlsx", "A 448-2026")</f>
        <v/>
      </c>
      <c r="W55">
        <f>HYPERLINK("https://klasma.github.io/Logging_2181/kartor/A 448-2026 karta.png", "A 448-2026")</f>
        <v/>
      </c>
      <c r="Y55">
        <f>HYPERLINK("https://klasma.github.io/Logging_2181/klagomål/A 448-2026 FSC-klagomål.docx", "A 448-2026")</f>
        <v/>
      </c>
      <c r="Z55">
        <f>HYPERLINK("https://klasma.github.io/Logging_2181/klagomålsmail/A 448-2026 FSC-klagomål mail.docx", "A 448-2026")</f>
        <v/>
      </c>
      <c r="AA55">
        <f>HYPERLINK("https://klasma.github.io/Logging_2181/tillsyn/A 448-2026 tillsynsbegäran.docx", "A 448-2026")</f>
        <v/>
      </c>
      <c r="AB55">
        <f>HYPERLINK("https://klasma.github.io/Logging_2181/tillsynsmail/A 448-2026 tillsynsbegäran mail.docx", "A 448-2026")</f>
        <v/>
      </c>
    </row>
    <row r="56" ht="15" customHeight="1">
      <c r="A56" t="inlineStr">
        <is>
          <t>A 1083-2026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46220</v>
      </c>
      <c r="F56" t="inlineStr">
        <is>
          <t>GÄVLEBORGS LÄN</t>
        </is>
      </c>
      <c r="G56" t="inlineStr">
        <is>
          <t>SANDVIKEN</t>
        </is>
      </c>
      <c r="I56" t="n">
        <v>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padda</t>
        </is>
      </c>
      <c r="V56">
        <f>HYPERLINK("https://klasma.github.io/Logging_2181/artfynd/A 1083-2026 artfynd.xlsx", "A 1083-2026")</f>
        <v/>
      </c>
      <c r="W56">
        <f>HYPERLINK("https://klasma.github.io/Logging_2181/kartor/A 1083-2026 karta.png", "A 1083-2026")</f>
        <v/>
      </c>
      <c r="Y56">
        <f>HYPERLINK("https://klasma.github.io/Logging_2181/klagomål/A 1083-2026 FSC-klagomål.docx", "A 1083-2026")</f>
        <v/>
      </c>
      <c r="Z56">
        <f>HYPERLINK("https://klasma.github.io/Logging_2181/klagomålsmail/A 1083-2026 FSC-klagomål mail.docx", "A 1083-2026")</f>
        <v/>
      </c>
      <c r="AA56">
        <f>HYPERLINK("https://klasma.github.io/Logging_2181/tillsyn/A 1083-2026 tillsynsbegäran.docx", "A 1083-2026")</f>
        <v/>
      </c>
      <c r="AB56">
        <f>HYPERLINK("https://klasma.github.io/Logging_2181/tillsynsmail/A 1083-2026 tillsynsbegäran mail.docx", "A 1083-2026")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46220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HYPERLINK("https://klasma.github.io/Logging_2181/artfynd/A 25314-2025 artfynd.xlsx", "A 25314-2025")</f>
        <v/>
      </c>
      <c r="W57">
        <f>HYPERLINK("https://klasma.github.io/Logging_2181/kartor/A 25314-2025 karta.png", "A 25314-2025")</f>
        <v/>
      </c>
      <c r="Y57">
        <f>HYPERLINK("https://klasma.github.io/Logging_2181/klagomål/A 25314-2025 FSC-klagomål.docx", "A 25314-2025")</f>
        <v/>
      </c>
      <c r="Z57">
        <f>HYPERLINK("https://klasma.github.io/Logging_2181/klagomålsmail/A 25314-2025 FSC-klagomål mail.docx", "A 25314-2025")</f>
        <v/>
      </c>
      <c r="AA57">
        <f>HYPERLINK("https://klasma.github.io/Logging_2181/tillsyn/A 25314-2025 tillsynsbegäran.docx", "A 25314-2025")</f>
        <v/>
      </c>
      <c r="AB57">
        <f>HYPERLINK("https://klasma.github.io/Logging_2181/tillsynsmail/A 25314-2025 tillsynsbegäran mail.docx", "A 25314-2025")</f>
        <v/>
      </c>
    </row>
    <row r="58" ht="15" customHeight="1">
      <c r="A58" t="inlineStr">
        <is>
          <t>A 25323-2025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46220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s="2" t="inlineStr">
        <is>
          <t>Plattlummer</t>
        </is>
      </c>
      <c r="V58">
        <f>HYPERLINK("https://klasma.github.io/Logging_2181/artfynd/A 25323-2025 artfynd.xlsx", "A 25323-2025")</f>
        <v/>
      </c>
      <c r="W58">
        <f>HYPERLINK("https://klasma.github.io/Logging_2181/kartor/A 25323-2025 karta.png", "A 25323-2025")</f>
        <v/>
      </c>
      <c r="Y58">
        <f>HYPERLINK("https://klasma.github.io/Logging_2181/klagomål/A 25323-2025 FSC-klagomål.docx", "A 25323-2025")</f>
        <v/>
      </c>
      <c r="Z58">
        <f>HYPERLINK("https://klasma.github.io/Logging_2181/klagomålsmail/A 25323-2025 FSC-klagomål mail.docx", "A 25323-2025")</f>
        <v/>
      </c>
      <c r="AA58">
        <f>HYPERLINK("https://klasma.github.io/Logging_2181/tillsyn/A 25323-2025 tillsynsbegäran.docx", "A 25323-2025")</f>
        <v/>
      </c>
      <c r="AB58">
        <f>HYPERLINK("https://klasma.github.io/Logging_2181/tillsynsmail/A 25323-2025 tillsynsbegäran mail.docx", "A 25323-2025")</f>
        <v/>
      </c>
    </row>
    <row r="59" ht="15" customHeight="1">
      <c r="A59" t="inlineStr">
        <is>
          <t>A 39872-2025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46220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s="2" t="inlineStr">
        <is>
          <t>Plattlummer</t>
        </is>
      </c>
      <c r="V59">
        <f>HYPERLINK("https://klasma.github.io/Logging_2181/artfynd/A 39872-2025 artfynd.xlsx", "A 39872-2025")</f>
        <v/>
      </c>
      <c r="W59">
        <f>HYPERLINK("https://klasma.github.io/Logging_2181/kartor/A 39872-2025 karta.png", "A 39872-2025")</f>
        <v/>
      </c>
      <c r="Y59">
        <f>HYPERLINK("https://klasma.github.io/Logging_2181/klagomål/A 39872-2025 FSC-klagomål.docx", "A 39872-2025")</f>
        <v/>
      </c>
      <c r="Z59">
        <f>HYPERLINK("https://klasma.github.io/Logging_2181/klagomålsmail/A 39872-2025 FSC-klagomål mail.docx", "A 39872-2025")</f>
        <v/>
      </c>
      <c r="AA59">
        <f>HYPERLINK("https://klasma.github.io/Logging_2181/tillsyn/A 39872-2025 tillsynsbegäran.docx", "A 39872-2025")</f>
        <v/>
      </c>
      <c r="AB59">
        <f>HYPERLINK("https://klasma.github.io/Logging_2181/tillsynsmail/A 39872-2025 tillsynsbegäran mail.docx", "A 39872-2025")</f>
        <v/>
      </c>
    </row>
    <row r="60" ht="15" customHeight="1">
      <c r="A60" t="inlineStr">
        <is>
          <t>A 39873-2025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46220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Dropptaggsvamp</t>
        </is>
      </c>
      <c r="V60">
        <f>HYPERLINK("https://klasma.github.io/Logging_2181/artfynd/A 39873-2025 artfynd.xlsx", "A 39873-2025")</f>
        <v/>
      </c>
      <c r="W60">
        <f>HYPERLINK("https://klasma.github.io/Logging_2181/kartor/A 39873-2025 karta.png", "A 39873-2025")</f>
        <v/>
      </c>
      <c r="Y60">
        <f>HYPERLINK("https://klasma.github.io/Logging_2181/klagomål/A 39873-2025 FSC-klagomål.docx", "A 39873-2025")</f>
        <v/>
      </c>
      <c r="Z60">
        <f>HYPERLINK("https://klasma.github.io/Logging_2181/klagomålsmail/A 39873-2025 FSC-klagomål mail.docx", "A 39873-2025")</f>
        <v/>
      </c>
      <c r="AA60">
        <f>HYPERLINK("https://klasma.github.io/Logging_2181/tillsyn/A 39873-2025 tillsynsbegäran.docx", "A 39873-2025")</f>
        <v/>
      </c>
      <c r="AB60">
        <f>HYPERLINK("https://klasma.github.io/Logging_2181/tillsynsmail/A 39873-2025 tillsynsbegäran mail.docx", "A 39873-2025")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46220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Orre</t>
        </is>
      </c>
      <c r="V61">
        <f>HYPERLINK("https://klasma.github.io/Logging_2181/artfynd/A 3316-2023 artfynd.xlsx", "A 3316-2023")</f>
        <v/>
      </c>
      <c r="W61">
        <f>HYPERLINK("https://klasma.github.io/Logging_2181/kartor/A 3316-2023 karta.png", "A 3316-2023")</f>
        <v/>
      </c>
      <c r="Y61">
        <f>HYPERLINK("https://klasma.github.io/Logging_2181/klagomål/A 3316-2023 FSC-klagomål.docx", "A 3316-2023")</f>
        <v/>
      </c>
      <c r="Z61">
        <f>HYPERLINK("https://klasma.github.io/Logging_2181/klagomålsmail/A 3316-2023 FSC-klagomål mail.docx", "A 3316-2023")</f>
        <v/>
      </c>
      <c r="AA61">
        <f>HYPERLINK("https://klasma.github.io/Logging_2181/tillsyn/A 3316-2023 tillsynsbegäran.docx", "A 3316-2023")</f>
        <v/>
      </c>
      <c r="AB61">
        <f>HYPERLINK("https://klasma.github.io/Logging_2181/tillsynsmail/A 3316-2023 tillsynsbegäran mail.docx", "A 3316-2023")</f>
        <v/>
      </c>
      <c r="AC61">
        <f>HYPERLINK("https://klasma.github.io/Logging_2181/fåglar/A 3316-2023 prioriterade fågelarter.docx", "A 3316-2023")</f>
        <v/>
      </c>
    </row>
    <row r="62" ht="15" customHeight="1">
      <c r="A62" t="inlineStr">
        <is>
          <t>A 46610-2025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46220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16.3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Tallticka</t>
        </is>
      </c>
      <c r="V62">
        <f>HYPERLINK("https://klasma.github.io/Logging_2181/artfynd/A 46610-2025 artfynd.xlsx", "A 46610-2025")</f>
        <v/>
      </c>
      <c r="W62">
        <f>HYPERLINK("https://klasma.github.io/Logging_2181/kartor/A 46610-2025 karta.png", "A 46610-2025")</f>
        <v/>
      </c>
      <c r="Y62">
        <f>HYPERLINK("https://klasma.github.io/Logging_2181/klagomål/A 46610-2025 FSC-klagomål.docx", "A 46610-2025")</f>
        <v/>
      </c>
      <c r="Z62">
        <f>HYPERLINK("https://klasma.github.io/Logging_2181/klagomålsmail/A 46610-2025 FSC-klagomål mail.docx", "A 46610-2025")</f>
        <v/>
      </c>
      <c r="AA62">
        <f>HYPERLINK("https://klasma.github.io/Logging_2181/tillsyn/A 46610-2025 tillsynsbegäran.docx", "A 46610-2025")</f>
        <v/>
      </c>
      <c r="AB62">
        <f>HYPERLINK("https://klasma.github.io/Logging_2181/tillsynsmail/A 46610-2025 tillsynsbegäran mail.docx", "A 46610-2025")</f>
        <v/>
      </c>
    </row>
    <row r="63" ht="15" customHeight="1">
      <c r="A63" t="inlineStr">
        <is>
          <t>A 47174-2025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46220</v>
      </c>
      <c r="F63" t="inlineStr">
        <is>
          <t>GÄVLEBORGS LÄN</t>
        </is>
      </c>
      <c r="G63" t="inlineStr">
        <is>
          <t>SANDVIKEN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Garnlav</t>
        </is>
      </c>
      <c r="V63">
        <f>HYPERLINK("https://klasma.github.io/Logging_2181/artfynd/A 47174-2025 artfynd.xlsx", "A 47174-2025")</f>
        <v/>
      </c>
      <c r="W63">
        <f>HYPERLINK("https://klasma.github.io/Logging_2181/kartor/A 47174-2025 karta.png", "A 47174-2025")</f>
        <v/>
      </c>
      <c r="Y63">
        <f>HYPERLINK("https://klasma.github.io/Logging_2181/klagomål/A 47174-2025 FSC-klagomål.docx", "A 47174-2025")</f>
        <v/>
      </c>
      <c r="Z63">
        <f>HYPERLINK("https://klasma.github.io/Logging_2181/klagomålsmail/A 47174-2025 FSC-klagomål mail.docx", "A 47174-2025")</f>
        <v/>
      </c>
      <c r="AA63">
        <f>HYPERLINK("https://klasma.github.io/Logging_2181/tillsyn/A 47174-2025 tillsynsbegäran.docx", "A 47174-2025")</f>
        <v/>
      </c>
      <c r="AB63">
        <f>HYPERLINK("https://klasma.github.io/Logging_2181/tillsynsmail/A 47174-2025 tillsynsbegäran mail.docx", "A 47174-2025")</f>
        <v/>
      </c>
    </row>
    <row r="64" ht="15" customHeight="1">
      <c r="A64" t="inlineStr">
        <is>
          <t>A 12419-2025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46220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öst AB</t>
        </is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Månlåsbräken</t>
        </is>
      </c>
      <c r="V64">
        <f>HYPERLINK("https://klasma.github.io/Logging_2181/artfynd/A 12419-2025 artfynd.xlsx", "A 12419-2025")</f>
        <v/>
      </c>
      <c r="W64">
        <f>HYPERLINK("https://klasma.github.io/Logging_2181/kartor/A 12419-2025 karta.png", "A 12419-2025")</f>
        <v/>
      </c>
      <c r="Y64">
        <f>HYPERLINK("https://klasma.github.io/Logging_2181/klagomål/A 12419-2025 FSC-klagomål.docx", "A 12419-2025")</f>
        <v/>
      </c>
      <c r="Z64">
        <f>HYPERLINK("https://klasma.github.io/Logging_2181/klagomålsmail/A 12419-2025 FSC-klagomål mail.docx", "A 12419-2025")</f>
        <v/>
      </c>
      <c r="AA64">
        <f>HYPERLINK("https://klasma.github.io/Logging_2181/tillsyn/A 12419-2025 tillsynsbegäran.docx", "A 12419-2025")</f>
        <v/>
      </c>
      <c r="AB64">
        <f>HYPERLINK("https://klasma.github.io/Logging_2181/tillsynsmail/A 12419-2025 tillsynsbegäran mail.docx", "A 12419-2025")</f>
        <v/>
      </c>
    </row>
    <row r="65" ht="15" customHeight="1">
      <c r="A65" t="inlineStr">
        <is>
          <t>A 15729-2022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44663</v>
      </c>
      <c r="E65" s="1" t="n">
        <v>46220</v>
      </c>
      <c r="F65" t="inlineStr">
        <is>
          <t>GÄVLEBORGS LÄN</t>
        </is>
      </c>
      <c r="G65" t="inlineStr">
        <is>
          <t>SANDVIKEN</t>
        </is>
      </c>
      <c r="I65" t="n">
        <v>2.1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Knärot</t>
        </is>
      </c>
      <c r="V65">
        <f>HYPERLINK("https://klasma.github.io/Logging_2181/artfynd/A 15729-2022 artfynd.xlsx", "A 15729-2022")</f>
        <v/>
      </c>
      <c r="W65">
        <f>HYPERLINK("https://klasma.github.io/Logging_2181/kartor/A 15729-2022 karta.png", "A 15729-2022")</f>
        <v/>
      </c>
      <c r="X65">
        <f>HYPERLINK("https://klasma.github.io/Logging_2181/knärot/A 15729-2022 karta knärot.png", "A 15729-2022")</f>
        <v/>
      </c>
      <c r="Y65">
        <f>HYPERLINK("https://klasma.github.io/Logging_2181/klagomål/A 15729-2022 FSC-klagomål.docx", "A 15729-2022")</f>
        <v/>
      </c>
      <c r="Z65">
        <f>HYPERLINK("https://klasma.github.io/Logging_2181/klagomålsmail/A 15729-2022 FSC-klagomål mail.docx", "A 15729-2022")</f>
        <v/>
      </c>
      <c r="AA65">
        <f>HYPERLINK("https://klasma.github.io/Logging_2181/tillsyn/A 15729-2022 tillsynsbegäran.docx", "A 15729-2022")</f>
        <v/>
      </c>
      <c r="AB65">
        <f>HYPERLINK("https://klasma.github.io/Logging_2181/tillsynsmail/A 15729-2022 tillsynsbegäran mail.docx", "A 15729-2022")</f>
        <v/>
      </c>
    </row>
    <row r="66" ht="15" customHeight="1">
      <c r="A66" t="inlineStr">
        <is>
          <t>A 36417-2025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45868</v>
      </c>
      <c r="E66" s="1" t="n">
        <v>46220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Knärot</t>
        </is>
      </c>
      <c r="V66">
        <f>HYPERLINK("https://klasma.github.io/Logging_2181/artfynd/A 36417-2025 artfynd.xlsx", "A 36417-2025")</f>
        <v/>
      </c>
      <c r="W66">
        <f>HYPERLINK("https://klasma.github.io/Logging_2181/kartor/A 36417-2025 karta.png", "A 36417-2025")</f>
        <v/>
      </c>
      <c r="X66">
        <f>HYPERLINK("https://klasma.github.io/Logging_2181/knärot/A 36417-2025 karta knärot.png", "A 36417-2025")</f>
        <v/>
      </c>
      <c r="Y66">
        <f>HYPERLINK("https://klasma.github.io/Logging_2181/klagomål/A 36417-2025 FSC-klagomål.docx", "A 36417-2025")</f>
        <v/>
      </c>
      <c r="Z66">
        <f>HYPERLINK("https://klasma.github.io/Logging_2181/klagomålsmail/A 36417-2025 FSC-klagomål mail.docx", "A 36417-2025")</f>
        <v/>
      </c>
      <c r="AA66">
        <f>HYPERLINK("https://klasma.github.io/Logging_2181/tillsyn/A 36417-2025 tillsynsbegäran.docx", "A 36417-2025")</f>
        <v/>
      </c>
      <c r="AB66">
        <f>HYPERLINK("https://klasma.github.io/Logging_2181/tillsynsmail/A 36417-2025 tillsynsbegäran mail.docx", "A 36417-2025")</f>
        <v/>
      </c>
    </row>
    <row r="67" ht="15" customHeight="1">
      <c r="A67" t="inlineStr">
        <is>
          <t>A 45427-2023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46220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Mattlummer</t>
        </is>
      </c>
      <c r="V67">
        <f>HYPERLINK("https://klasma.github.io/Logging_2181/artfynd/A 45427-2023 artfynd.xlsx", "A 45427-2023")</f>
        <v/>
      </c>
      <c r="W67">
        <f>HYPERLINK("https://klasma.github.io/Logging_2181/kartor/A 45427-2023 karta.png", "A 45427-2023")</f>
        <v/>
      </c>
      <c r="Y67">
        <f>HYPERLINK("https://klasma.github.io/Logging_2181/klagomål/A 45427-2023 FSC-klagomål.docx", "A 45427-2023")</f>
        <v/>
      </c>
      <c r="Z67">
        <f>HYPERLINK("https://klasma.github.io/Logging_2181/klagomålsmail/A 45427-2023 FSC-klagomål mail.docx", "A 45427-2023")</f>
        <v/>
      </c>
      <c r="AA67">
        <f>HYPERLINK("https://klasma.github.io/Logging_2181/tillsyn/A 45427-2023 tillsynsbegäran.docx", "A 45427-2023")</f>
        <v/>
      </c>
      <c r="AB67">
        <f>HYPERLINK("https://klasma.github.io/Logging_2181/tillsynsmail/A 45427-2023 tillsynsbegäran mail.docx", "A 45427-2023")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46220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Brandticka</t>
        </is>
      </c>
      <c r="V68">
        <f>HYPERLINK("https://klasma.github.io/Logging_2181/artfynd/A 38350-2025 artfynd.xlsx", "A 38350-2025")</f>
        <v/>
      </c>
      <c r="W68">
        <f>HYPERLINK("https://klasma.github.io/Logging_2181/kartor/A 38350-2025 karta.png", "A 38350-2025")</f>
        <v/>
      </c>
      <c r="Y68">
        <f>HYPERLINK("https://klasma.github.io/Logging_2181/klagomål/A 38350-2025 FSC-klagomål.docx", "A 38350-2025")</f>
        <v/>
      </c>
      <c r="Z68">
        <f>HYPERLINK("https://klasma.github.io/Logging_2181/klagomålsmail/A 38350-2025 FSC-klagomål mail.docx", "A 38350-2025")</f>
        <v/>
      </c>
      <c r="AA68">
        <f>HYPERLINK("https://klasma.github.io/Logging_2181/tillsyn/A 38350-2025 tillsynsbegäran.docx", "A 38350-2025")</f>
        <v/>
      </c>
      <c r="AB68">
        <f>HYPERLINK("https://klasma.github.io/Logging_2181/tillsynsmail/A 38350-2025 tillsynsbegäran mail.docx", "A 38350-2025")</f>
        <v/>
      </c>
    </row>
    <row r="69" ht="15" customHeight="1">
      <c r="A69" t="inlineStr">
        <is>
          <t>A 48188-2025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46220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4.6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Talltita</t>
        </is>
      </c>
      <c r="V69">
        <f>HYPERLINK("https://klasma.github.io/Logging_2181/artfynd/A 48188-2025 artfynd.xlsx", "A 48188-2025")</f>
        <v/>
      </c>
      <c r="W69">
        <f>HYPERLINK("https://klasma.github.io/Logging_2181/kartor/A 48188-2025 karta.png", "A 48188-2025")</f>
        <v/>
      </c>
      <c r="Y69">
        <f>HYPERLINK("https://klasma.github.io/Logging_2181/klagomål/A 48188-2025 FSC-klagomål.docx", "A 48188-2025")</f>
        <v/>
      </c>
      <c r="Z69">
        <f>HYPERLINK("https://klasma.github.io/Logging_2181/klagomålsmail/A 48188-2025 FSC-klagomål mail.docx", "A 48188-2025")</f>
        <v/>
      </c>
      <c r="AA69">
        <f>HYPERLINK("https://klasma.github.io/Logging_2181/tillsyn/A 48188-2025 tillsynsbegäran.docx", "A 48188-2025")</f>
        <v/>
      </c>
      <c r="AB69">
        <f>HYPERLINK("https://klasma.github.io/Logging_2181/tillsynsmail/A 48188-2025 tillsynsbegäran mail.docx", "A 48188-2025")</f>
        <v/>
      </c>
      <c r="AC69">
        <f>HYPERLINK("https://klasma.github.io/Logging_2181/fåglar/A 48188-2025 prioriterade fågelarter.docx", "A 48188-2025")</f>
        <v/>
      </c>
    </row>
    <row r="70" ht="15" customHeight="1">
      <c r="A70" t="inlineStr">
        <is>
          <t>A 4350-2026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46220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Scharlakansskål</t>
        </is>
      </c>
      <c r="V70">
        <f>HYPERLINK("https://klasma.github.io/Logging_2181/artfynd/A 4350-2026 artfynd.xlsx", "A 4350-2026")</f>
        <v/>
      </c>
      <c r="W70">
        <f>HYPERLINK("https://klasma.github.io/Logging_2181/kartor/A 4350-2026 karta.png", "A 4350-2026")</f>
        <v/>
      </c>
      <c r="Y70">
        <f>HYPERLINK("https://klasma.github.io/Logging_2181/klagomål/A 4350-2026 FSC-klagomål.docx", "A 4350-2026")</f>
        <v/>
      </c>
      <c r="Z70">
        <f>HYPERLINK("https://klasma.github.io/Logging_2181/klagomålsmail/A 4350-2026 FSC-klagomål mail.docx", "A 4350-2026")</f>
        <v/>
      </c>
      <c r="AA70">
        <f>HYPERLINK("https://klasma.github.io/Logging_2181/tillsyn/A 4350-2026 tillsynsbegäran.docx", "A 4350-2026")</f>
        <v/>
      </c>
      <c r="AB70">
        <f>HYPERLINK("https://klasma.github.io/Logging_2181/tillsynsmail/A 4350-2026 tillsynsbegäran mail.docx", "A 4350-2026")</f>
        <v/>
      </c>
    </row>
    <row r="71" ht="15" customHeight="1">
      <c r="A71" t="inlineStr">
        <is>
          <t>A 7393-2026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46220</v>
      </c>
      <c r="F71" t="inlineStr">
        <is>
          <t>GÄVLEBORGS LÄN</t>
        </is>
      </c>
      <c r="G71" t="inlineStr">
        <is>
          <t>SANDVIKEN</t>
        </is>
      </c>
      <c r="I71" t="n">
        <v>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Brunklöver</t>
        </is>
      </c>
      <c r="V71">
        <f>HYPERLINK("https://klasma.github.io/Logging_2181/artfynd/A 7393-2026 artfynd.xlsx", "A 7393-2026")</f>
        <v/>
      </c>
      <c r="W71">
        <f>HYPERLINK("https://klasma.github.io/Logging_2181/kartor/A 7393-2026 karta.png", "A 7393-2026")</f>
        <v/>
      </c>
      <c r="Y71">
        <f>HYPERLINK("https://klasma.github.io/Logging_2181/klagomål/A 7393-2026 FSC-klagomål.docx", "A 7393-2026")</f>
        <v/>
      </c>
      <c r="Z71">
        <f>HYPERLINK("https://klasma.github.io/Logging_2181/klagomålsmail/A 7393-2026 FSC-klagomål mail.docx", "A 7393-2026")</f>
        <v/>
      </c>
      <c r="AA71">
        <f>HYPERLINK("https://klasma.github.io/Logging_2181/tillsyn/A 7393-2026 tillsynsbegäran.docx", "A 7393-2026")</f>
        <v/>
      </c>
      <c r="AB71">
        <f>HYPERLINK("https://klasma.github.io/Logging_2181/tillsynsmail/A 7393-2026 tillsynsbegäran mail.docx", "A 7393-2026")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46220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Grönsiska</t>
        </is>
      </c>
      <c r="V72">
        <f>HYPERLINK("https://klasma.github.io/Logging_2181/artfynd/A 57934-2025 artfynd.xlsx", "A 57934-2025")</f>
        <v/>
      </c>
      <c r="W72">
        <f>HYPERLINK("https://klasma.github.io/Logging_2181/kartor/A 57934-2025 karta.png", "A 57934-2025")</f>
        <v/>
      </c>
      <c r="Y72">
        <f>HYPERLINK("https://klasma.github.io/Logging_2181/klagomål/A 57934-2025 FSC-klagomål.docx", "A 57934-2025")</f>
        <v/>
      </c>
      <c r="Z72">
        <f>HYPERLINK("https://klasma.github.io/Logging_2181/klagomålsmail/A 57934-2025 FSC-klagomål mail.docx", "A 57934-2025")</f>
        <v/>
      </c>
      <c r="AA72">
        <f>HYPERLINK("https://klasma.github.io/Logging_2181/tillsyn/A 57934-2025 tillsynsbegäran.docx", "A 57934-2025")</f>
        <v/>
      </c>
      <c r="AB72">
        <f>HYPERLINK("https://klasma.github.io/Logging_2181/tillsynsmail/A 57934-2025 tillsynsbegäran mail.docx", "A 57934-2025")</f>
        <v/>
      </c>
    </row>
    <row r="73" ht="15" customHeight="1">
      <c r="A73" t="inlineStr">
        <is>
          <t>A 25479-2023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46220</v>
      </c>
      <c r="F73" t="inlineStr">
        <is>
          <t>GÄVLEBORGS LÄN</t>
        </is>
      </c>
      <c r="G73" t="inlineStr">
        <is>
          <t>SANDVIKEN</t>
        </is>
      </c>
      <c r="I73" t="n">
        <v>4.1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Grönpyrola</t>
        </is>
      </c>
      <c r="V73">
        <f>HYPERLINK("https://klasma.github.io/Logging_2181/artfynd/A 25479-2023 artfynd.xlsx", "A 25479-2023")</f>
        <v/>
      </c>
      <c r="W73">
        <f>HYPERLINK("https://klasma.github.io/Logging_2181/kartor/A 25479-2023 karta.png", "A 25479-2023")</f>
        <v/>
      </c>
      <c r="Y73">
        <f>HYPERLINK("https://klasma.github.io/Logging_2181/klagomål/A 25479-2023 FSC-klagomål.docx", "A 25479-2023")</f>
        <v/>
      </c>
      <c r="Z73">
        <f>HYPERLINK("https://klasma.github.io/Logging_2181/klagomålsmail/A 25479-2023 FSC-klagomål mail.docx", "A 25479-2023")</f>
        <v/>
      </c>
      <c r="AA73">
        <f>HYPERLINK("https://klasma.github.io/Logging_2181/tillsyn/A 25479-2023 tillsynsbegäran.docx", "A 25479-2023")</f>
        <v/>
      </c>
      <c r="AB73">
        <f>HYPERLINK("https://klasma.github.io/Logging_2181/tillsynsmail/A 25479-2023 tillsynsbegäran mail.docx", "A 25479-2023")</f>
        <v/>
      </c>
    </row>
    <row r="74" ht="15" customHeight="1">
      <c r="A74" t="inlineStr">
        <is>
          <t>A 9267-2026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46220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Gullpudra</t>
        </is>
      </c>
      <c r="V74">
        <f>HYPERLINK("https://klasma.github.io/Logging_2181/artfynd/A 9267-2026 artfynd.xlsx", "A 9267-2026")</f>
        <v/>
      </c>
      <c r="W74">
        <f>HYPERLINK("https://klasma.github.io/Logging_2181/kartor/A 9267-2026 karta.png", "A 9267-2026")</f>
        <v/>
      </c>
      <c r="Y74">
        <f>HYPERLINK("https://klasma.github.io/Logging_2181/klagomål/A 9267-2026 FSC-klagomål.docx", "A 9267-2026")</f>
        <v/>
      </c>
      <c r="Z74">
        <f>HYPERLINK("https://klasma.github.io/Logging_2181/klagomålsmail/A 9267-2026 FSC-klagomål mail.docx", "A 9267-2026")</f>
        <v/>
      </c>
      <c r="AA74">
        <f>HYPERLINK("https://klasma.github.io/Logging_2181/tillsyn/A 9267-2026 tillsynsbegäran.docx", "A 9267-2026")</f>
        <v/>
      </c>
      <c r="AB74">
        <f>HYPERLINK("https://klasma.github.io/Logging_2181/tillsynsmail/A 9267-2026 tillsynsbegäran mail.docx", "A 9267-2026")</f>
        <v/>
      </c>
    </row>
    <row r="75" ht="15" customHeight="1">
      <c r="A75" t="inlineStr">
        <is>
          <t>A 11784-2026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46220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Revlummer</t>
        </is>
      </c>
      <c r="V75">
        <f>HYPERLINK("https://klasma.github.io/Logging_2181/artfynd/A 11784-2026 artfynd.xlsx", "A 11784-2026")</f>
        <v/>
      </c>
      <c r="W75">
        <f>HYPERLINK("https://klasma.github.io/Logging_2181/kartor/A 11784-2026 karta.png", "A 11784-2026")</f>
        <v/>
      </c>
      <c r="Y75">
        <f>HYPERLINK("https://klasma.github.io/Logging_2181/klagomål/A 11784-2026 FSC-klagomål.docx", "A 11784-2026")</f>
        <v/>
      </c>
      <c r="Z75">
        <f>HYPERLINK("https://klasma.github.io/Logging_2181/klagomålsmail/A 11784-2026 FSC-klagomål mail.docx", "A 11784-2026")</f>
        <v/>
      </c>
      <c r="AA75">
        <f>HYPERLINK("https://klasma.github.io/Logging_2181/tillsyn/A 11784-2026 tillsynsbegäran.docx", "A 11784-2026")</f>
        <v/>
      </c>
      <c r="AB75">
        <f>HYPERLINK("https://klasma.github.io/Logging_2181/tillsynsmail/A 11784-2026 tillsynsbegäran mail.docx", "A 11784-2026")</f>
        <v/>
      </c>
    </row>
    <row r="76" ht="15" customHeight="1">
      <c r="A76" t="inlineStr">
        <is>
          <t>A 13135-2026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46220</v>
      </c>
      <c r="F76" t="inlineStr">
        <is>
          <t>GÄVLEBORGS LÄN</t>
        </is>
      </c>
      <c r="G76" t="inlineStr">
        <is>
          <t>SANDVIKEN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Blåsippa</t>
        </is>
      </c>
      <c r="V76">
        <f>HYPERLINK("https://klasma.github.io/Logging_2181/artfynd/A 13135-2026 artfynd.xlsx", "A 13135-2026")</f>
        <v/>
      </c>
      <c r="W76">
        <f>HYPERLINK("https://klasma.github.io/Logging_2181/kartor/A 13135-2026 karta.png", "A 13135-2026")</f>
        <v/>
      </c>
      <c r="Y76">
        <f>HYPERLINK("https://klasma.github.io/Logging_2181/klagomål/A 13135-2026 FSC-klagomål.docx", "A 13135-2026")</f>
        <v/>
      </c>
      <c r="Z76">
        <f>HYPERLINK("https://klasma.github.io/Logging_2181/klagomålsmail/A 13135-2026 FSC-klagomål mail.docx", "A 13135-2026")</f>
        <v/>
      </c>
      <c r="AA76">
        <f>HYPERLINK("https://klasma.github.io/Logging_2181/tillsyn/A 13135-2026 tillsynsbegäran.docx", "A 13135-2026")</f>
        <v/>
      </c>
      <c r="AB76">
        <f>HYPERLINK("https://klasma.github.io/Logging_2181/tillsynsmail/A 13135-2026 tillsynsbegäran mail.docx", "A 13135-2026")</f>
        <v/>
      </c>
    </row>
    <row r="77" ht="15" customHeight="1">
      <c r="A77" t="inlineStr">
        <is>
          <t>A 13645-2026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46220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Tjäder</t>
        </is>
      </c>
      <c r="V77">
        <f>HYPERLINK("https://klasma.github.io/Logging_2181/artfynd/A 13645-2026 artfynd.xlsx", "A 13645-2026")</f>
        <v/>
      </c>
      <c r="W77">
        <f>HYPERLINK("https://klasma.github.io/Logging_2181/kartor/A 13645-2026 karta.png", "A 13645-2026")</f>
        <v/>
      </c>
      <c r="Y77">
        <f>HYPERLINK("https://klasma.github.io/Logging_2181/klagomål/A 13645-2026 FSC-klagomål.docx", "A 13645-2026")</f>
        <v/>
      </c>
      <c r="Z77">
        <f>HYPERLINK("https://klasma.github.io/Logging_2181/klagomålsmail/A 13645-2026 FSC-klagomål mail.docx", "A 13645-2026")</f>
        <v/>
      </c>
      <c r="AA77">
        <f>HYPERLINK("https://klasma.github.io/Logging_2181/tillsyn/A 13645-2026 tillsynsbegäran.docx", "A 13645-2026")</f>
        <v/>
      </c>
      <c r="AB77">
        <f>HYPERLINK("https://klasma.github.io/Logging_2181/tillsynsmail/A 13645-2026 tillsynsbegäran mail.docx", "A 13645-2026")</f>
        <v/>
      </c>
      <c r="AC77">
        <f>HYPERLINK("https://klasma.github.io/Logging_2181/fåglar/A 13645-2026 prioriterade fågelarter.docx", "A 13645-2026")</f>
        <v/>
      </c>
    </row>
    <row r="78" ht="15" customHeight="1">
      <c r="A78" t="inlineStr">
        <is>
          <t>A 14835-2026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46104</v>
      </c>
      <c r="E78" s="1" t="n">
        <v>46220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2.5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Höstlåsbräken</t>
        </is>
      </c>
      <c r="V78">
        <f>HYPERLINK("https://klasma.github.io/Logging_2181/artfynd/A 14835-2026 artfynd.xlsx", "A 14835-2026")</f>
        <v/>
      </c>
      <c r="W78">
        <f>HYPERLINK("https://klasma.github.io/Logging_2181/kartor/A 14835-2026 karta.png", "A 14835-2026")</f>
        <v/>
      </c>
      <c r="Y78">
        <f>HYPERLINK("https://klasma.github.io/Logging_2181/klagomål/A 14835-2026 FSC-klagomål.docx", "A 14835-2026")</f>
        <v/>
      </c>
      <c r="Z78">
        <f>HYPERLINK("https://klasma.github.io/Logging_2181/klagomålsmail/A 14835-2026 FSC-klagomål mail.docx", "A 14835-2026")</f>
        <v/>
      </c>
      <c r="AA78">
        <f>HYPERLINK("https://klasma.github.io/Logging_2181/tillsyn/A 14835-2026 tillsynsbegäran.docx", "A 14835-2026")</f>
        <v/>
      </c>
      <c r="AB78">
        <f>HYPERLINK("https://klasma.github.io/Logging_2181/tillsynsmail/A 14835-2026 tillsynsbegäran mail.docx", "A 14835-2026")</f>
        <v/>
      </c>
    </row>
    <row r="79" ht="15" customHeight="1">
      <c r="A79" t="inlineStr">
        <is>
          <t>A 15121-2026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46105</v>
      </c>
      <c r="E79" s="1" t="n">
        <v>46220</v>
      </c>
      <c r="F79" t="inlineStr">
        <is>
          <t>GÄVLEBORGS LÄN</t>
        </is>
      </c>
      <c r="G79" t="inlineStr">
        <is>
          <t>SANDVIKEN</t>
        </is>
      </c>
      <c r="I79" t="n">
        <v>2.7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Brandticka</t>
        </is>
      </c>
      <c r="V79">
        <f>HYPERLINK("https://klasma.github.io/Logging_2181/artfynd/A 15121-2026 artfynd.xlsx", "A 15121-2026")</f>
        <v/>
      </c>
      <c r="W79">
        <f>HYPERLINK("https://klasma.github.io/Logging_2181/kartor/A 15121-2026 karta.png", "A 15121-2026")</f>
        <v/>
      </c>
      <c r="Y79">
        <f>HYPERLINK("https://klasma.github.io/Logging_2181/klagomål/A 15121-2026 FSC-klagomål.docx", "A 15121-2026")</f>
        <v/>
      </c>
      <c r="Z79">
        <f>HYPERLINK("https://klasma.github.io/Logging_2181/klagomålsmail/A 15121-2026 FSC-klagomål mail.docx", "A 15121-2026")</f>
        <v/>
      </c>
      <c r="AA79">
        <f>HYPERLINK("https://klasma.github.io/Logging_2181/tillsyn/A 15121-2026 tillsynsbegäran.docx", "A 15121-2026")</f>
        <v/>
      </c>
      <c r="AB79">
        <f>HYPERLINK("https://klasma.github.io/Logging_2181/tillsynsmail/A 15121-2026 tillsynsbegäran mail.docx", "A 15121-2026")</f>
        <v/>
      </c>
    </row>
    <row r="80" ht="15" customHeight="1">
      <c r="A80" t="inlineStr">
        <is>
          <t>A 23289-2024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46220</v>
      </c>
      <c r="F80" t="inlineStr">
        <is>
          <t>GÄVLEBORGS LÄN</t>
        </is>
      </c>
      <c r="G80" t="inlineStr">
        <is>
          <t>SANDVIKEN</t>
        </is>
      </c>
      <c r="H80" t="inlineStr">
        <is>
          <t>Kyrkan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Skogsödla</t>
        </is>
      </c>
      <c r="V80">
        <f>HYPERLINK("https://klasma.github.io/Logging_2181/artfynd/A 23289-2024 artfynd.xlsx", "A 23289-2024")</f>
        <v/>
      </c>
      <c r="W80">
        <f>HYPERLINK("https://klasma.github.io/Logging_2181/kartor/A 23289-2024 karta.png", "A 23289-2024")</f>
        <v/>
      </c>
      <c r="Y80">
        <f>HYPERLINK("https://klasma.github.io/Logging_2181/klagomål/A 23289-2024 FSC-klagomål.docx", "A 23289-2024")</f>
        <v/>
      </c>
      <c r="Z80">
        <f>HYPERLINK("https://klasma.github.io/Logging_2181/klagomålsmail/A 23289-2024 FSC-klagomål mail.docx", "A 23289-2024")</f>
        <v/>
      </c>
      <c r="AA80">
        <f>HYPERLINK("https://klasma.github.io/Logging_2181/tillsyn/A 23289-2024 tillsynsbegäran.docx", "A 23289-2024")</f>
        <v/>
      </c>
      <c r="AB80">
        <f>HYPERLINK("https://klasma.github.io/Logging_2181/tillsynsmail/A 23289-2024 tillsynsbegäran mail.docx", "A 23289-2024")</f>
        <v/>
      </c>
    </row>
    <row r="81" ht="15" customHeight="1">
      <c r="A81" t="inlineStr">
        <is>
          <t>A 17062-2026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46220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5.7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Vårärt</t>
        </is>
      </c>
      <c r="V81">
        <f>HYPERLINK("https://klasma.github.io/Logging_2181/artfynd/A 17062-2026 artfynd.xlsx", "A 17062-2026")</f>
        <v/>
      </c>
      <c r="W81">
        <f>HYPERLINK("https://klasma.github.io/Logging_2181/kartor/A 17062-2026 karta.png", "A 17062-2026")</f>
        <v/>
      </c>
      <c r="Y81">
        <f>HYPERLINK("https://klasma.github.io/Logging_2181/klagomål/A 17062-2026 FSC-klagomål.docx", "A 17062-2026")</f>
        <v/>
      </c>
      <c r="Z81">
        <f>HYPERLINK("https://klasma.github.io/Logging_2181/klagomålsmail/A 17062-2026 FSC-klagomål mail.docx", "A 17062-2026")</f>
        <v/>
      </c>
      <c r="AA81">
        <f>HYPERLINK("https://klasma.github.io/Logging_2181/tillsyn/A 17062-2026 tillsynsbegäran.docx", "A 17062-2026")</f>
        <v/>
      </c>
      <c r="AB81">
        <f>HYPERLINK("https://klasma.github.io/Logging_2181/tillsynsmail/A 17062-2026 tillsynsbegäran mail.docx", "A 17062-2026")</f>
        <v/>
      </c>
    </row>
    <row r="82" ht="15" customHeight="1">
      <c r="A82" t="inlineStr">
        <is>
          <t>A 22275-2024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46220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Ekorrbär</t>
        </is>
      </c>
      <c r="V82">
        <f>HYPERLINK("https://klasma.github.io/Logging_2181/artfynd/A 22275-2024 artfynd.xlsx", "A 22275-2024")</f>
        <v/>
      </c>
      <c r="W82">
        <f>HYPERLINK("https://klasma.github.io/Logging_2181/kartor/A 22275-2024 karta.png", "A 22275-2024")</f>
        <v/>
      </c>
      <c r="Y82">
        <f>HYPERLINK("https://klasma.github.io/Logging_2181/klagomål/A 22275-2024 FSC-klagomål.docx", "A 22275-2024")</f>
        <v/>
      </c>
      <c r="Z82">
        <f>HYPERLINK("https://klasma.github.io/Logging_2181/klagomålsmail/A 22275-2024 FSC-klagomål mail.docx", "A 22275-2024")</f>
        <v/>
      </c>
      <c r="AA82">
        <f>HYPERLINK("https://klasma.github.io/Logging_2181/tillsyn/A 22275-2024 tillsynsbegäran.docx", "A 22275-2024")</f>
        <v/>
      </c>
      <c r="AB82">
        <f>HYPERLINK("https://klasma.github.io/Logging_2181/tillsynsmail/A 22275-2024 tillsynsbegäran mail.docx", "A 22275-2024")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46220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Höstlåsbräken</t>
        </is>
      </c>
      <c r="V83">
        <f>HYPERLINK("https://klasma.github.io/Logging_2181/artfynd/A 17364-2026 artfynd.xlsx", "A 17364-2026")</f>
        <v/>
      </c>
      <c r="W83">
        <f>HYPERLINK("https://klasma.github.io/Logging_2181/kartor/A 17364-2026 karta.png", "A 17364-2026")</f>
        <v/>
      </c>
      <c r="Y83">
        <f>HYPERLINK("https://klasma.github.io/Logging_2181/klagomål/A 17364-2026 FSC-klagomål.docx", "A 17364-2026")</f>
        <v/>
      </c>
      <c r="Z83">
        <f>HYPERLINK("https://klasma.github.io/Logging_2181/klagomålsmail/A 17364-2026 FSC-klagomål mail.docx", "A 17364-2026")</f>
        <v/>
      </c>
      <c r="AA83">
        <f>HYPERLINK("https://klasma.github.io/Logging_2181/tillsyn/A 17364-2026 tillsynsbegäran.docx", "A 17364-2026")</f>
        <v/>
      </c>
      <c r="AB83">
        <f>HYPERLINK("https://klasma.github.io/Logging_2181/tillsynsmail/A 17364-2026 tillsynsbegäran mail.docx", "A 17364-2026")</f>
        <v/>
      </c>
    </row>
    <row r="84" ht="15" customHeight="1">
      <c r="A84" t="inlineStr">
        <is>
          <t>A 5015-2023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46220</v>
      </c>
      <c r="F84" t="inlineStr">
        <is>
          <t>GÄVLEBORGS LÄN</t>
        </is>
      </c>
      <c r="G84" t="inlineStr">
        <is>
          <t>SANDVIKEN</t>
        </is>
      </c>
      <c r="I84" t="n">
        <v>7.8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Slåtterfibbla</t>
        </is>
      </c>
      <c r="V84">
        <f>HYPERLINK("https://klasma.github.io/Logging_2181/artfynd/A 5015-2023 artfynd.xlsx", "A 5015-2023")</f>
        <v/>
      </c>
      <c r="W84">
        <f>HYPERLINK("https://klasma.github.io/Logging_2181/kartor/A 5015-2023 karta.png", "A 5015-2023")</f>
        <v/>
      </c>
      <c r="Y84">
        <f>HYPERLINK("https://klasma.github.io/Logging_2181/klagomål/A 5015-2023 FSC-klagomål.docx", "A 5015-2023")</f>
        <v/>
      </c>
      <c r="Z84">
        <f>HYPERLINK("https://klasma.github.io/Logging_2181/klagomålsmail/A 5015-2023 FSC-klagomål mail.docx", "A 5015-2023")</f>
        <v/>
      </c>
      <c r="AA84">
        <f>HYPERLINK("https://klasma.github.io/Logging_2181/tillsyn/A 5015-2023 tillsynsbegäran.docx", "A 5015-2023")</f>
        <v/>
      </c>
      <c r="AB84">
        <f>HYPERLINK("https://klasma.github.io/Logging_2181/tillsynsmail/A 5015-2023 tillsynsbegäran mail.docx", "A 5015-2023")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46220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Nattviol</t>
        </is>
      </c>
      <c r="V85">
        <f>HYPERLINK("https://klasma.github.io/Logging_2181/artfynd/A 19272-2026 artfynd.xlsx", "A 19272-2026")</f>
        <v/>
      </c>
      <c r="W85">
        <f>HYPERLINK("https://klasma.github.io/Logging_2181/kartor/A 19272-2026 karta.png", "A 19272-2026")</f>
        <v/>
      </c>
      <c r="Y85">
        <f>HYPERLINK("https://klasma.github.io/Logging_2181/klagomål/A 19272-2026 FSC-klagomål.docx", "A 19272-2026")</f>
        <v/>
      </c>
      <c r="Z85">
        <f>HYPERLINK("https://klasma.github.io/Logging_2181/klagomålsmail/A 19272-2026 FSC-klagomål mail.docx", "A 19272-2026")</f>
        <v/>
      </c>
      <c r="AA85">
        <f>HYPERLINK("https://klasma.github.io/Logging_2181/tillsyn/A 19272-2026 tillsynsbegäran.docx", "A 19272-2026")</f>
        <v/>
      </c>
      <c r="AB85">
        <f>HYPERLINK("https://klasma.github.io/Logging_2181/tillsynsmail/A 19272-2026 tillsynsbegäran mail.docx", "A 19272-2026")</f>
        <v/>
      </c>
    </row>
    <row r="86" ht="15" customHeight="1">
      <c r="A86" t="inlineStr">
        <is>
          <t>A 4324-2026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46220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11.2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Järpe</t>
        </is>
      </c>
      <c r="V86">
        <f>HYPERLINK("https://klasma.github.io/Logging_2181/artfynd/A 4324-2026 artfynd.xlsx", "A 4324-2026")</f>
        <v/>
      </c>
      <c r="W86">
        <f>HYPERLINK("https://klasma.github.io/Logging_2181/kartor/A 4324-2026 karta.png", "A 4324-2026")</f>
        <v/>
      </c>
      <c r="Y86">
        <f>HYPERLINK("https://klasma.github.io/Logging_2181/klagomål/A 4324-2026 FSC-klagomål.docx", "A 4324-2026")</f>
        <v/>
      </c>
      <c r="Z86">
        <f>HYPERLINK("https://klasma.github.io/Logging_2181/klagomålsmail/A 4324-2026 FSC-klagomål mail.docx", "A 4324-2026")</f>
        <v/>
      </c>
      <c r="AA86">
        <f>HYPERLINK("https://klasma.github.io/Logging_2181/tillsyn/A 4324-2026 tillsynsbegäran.docx", "A 4324-2026")</f>
        <v/>
      </c>
      <c r="AB86">
        <f>HYPERLINK("https://klasma.github.io/Logging_2181/tillsynsmail/A 4324-2026 tillsynsbegäran mail.docx", "A 4324-2026")</f>
        <v/>
      </c>
      <c r="AC86">
        <f>HYPERLINK("https://klasma.github.io/Logging_2181/fåglar/A 4324-2026 prioriterade fågelarter.docx", "A 4324-2026")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46220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HYPERLINK("https://klasma.github.io/Logging_2181/artfynd/A 42115-2023 artfynd.xlsx", "A 42115-2023")</f>
        <v/>
      </c>
      <c r="W87">
        <f>HYPERLINK("https://klasma.github.io/Logging_2181/kartor/A 42115-2023 karta.png", "A 42115-2023")</f>
        <v/>
      </c>
      <c r="Y87">
        <f>HYPERLINK("https://klasma.github.io/Logging_2181/klagomål/A 42115-2023 FSC-klagomål.docx", "A 42115-2023")</f>
        <v/>
      </c>
      <c r="Z87">
        <f>HYPERLINK("https://klasma.github.io/Logging_2181/klagomålsmail/A 42115-2023 FSC-klagomål mail.docx", "A 42115-2023")</f>
        <v/>
      </c>
      <c r="AA87">
        <f>HYPERLINK("https://klasma.github.io/Logging_2181/tillsyn/A 42115-2023 tillsynsbegäran.docx", "A 42115-2023")</f>
        <v/>
      </c>
      <c r="AB87">
        <f>HYPERLINK("https://klasma.github.io/Logging_2181/tillsynsmail/A 42115-2023 tillsynsbegäran mail.docx", "A 42115-2023")</f>
        <v/>
      </c>
      <c r="AC87">
        <f>HYPERLINK("https://klasma.github.io/Logging_2181/fåglar/A 42115-2023 prioriterade fågelarter.docx", "A 42115-2023")</f>
        <v/>
      </c>
    </row>
    <row r="88" ht="15" customHeight="1">
      <c r="A88" t="inlineStr">
        <is>
          <t>A 6972-2026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46220</v>
      </c>
      <c r="F88" t="inlineStr">
        <is>
          <t>GÄVLEBORGS LÄN</t>
        </is>
      </c>
      <c r="G88" t="inlineStr">
        <is>
          <t>SANDVIKEN</t>
        </is>
      </c>
      <c r="H88" t="inlineStr">
        <is>
          <t>Naturvårdsverket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Svartvit flugsnappare</t>
        </is>
      </c>
      <c r="V88">
        <f>HYPERLINK("https://klasma.github.io/Logging_2181/artfynd/A 6972-2026 artfynd.xlsx", "A 6972-2026")</f>
        <v/>
      </c>
      <c r="W88">
        <f>HYPERLINK("https://klasma.github.io/Logging_2181/kartor/A 6972-2026 karta.png", "A 6972-2026")</f>
        <v/>
      </c>
      <c r="Y88">
        <f>HYPERLINK("https://klasma.github.io/Logging_2181/klagomål/A 6972-2026 FSC-klagomål.docx", "A 6972-2026")</f>
        <v/>
      </c>
      <c r="Z88">
        <f>HYPERLINK("https://klasma.github.io/Logging_2181/klagomålsmail/A 6972-2026 FSC-klagomål mail.docx", "A 6972-2026")</f>
        <v/>
      </c>
      <c r="AA88">
        <f>HYPERLINK("https://klasma.github.io/Logging_2181/tillsyn/A 6972-2026 tillsynsbegäran.docx", "A 6972-2026")</f>
        <v/>
      </c>
      <c r="AB88">
        <f>HYPERLINK("https://klasma.github.io/Logging_2181/tillsynsmail/A 6972-2026 tillsynsbegäran mail.docx", "A 6972-2026")</f>
        <v/>
      </c>
    </row>
    <row r="89" ht="15" customHeight="1">
      <c r="A89" t="inlineStr">
        <is>
          <t>A 41349-2025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46220</v>
      </c>
      <c r="F89" t="inlineStr">
        <is>
          <t>GÄVLEBORGS LÄN</t>
        </is>
      </c>
      <c r="G89" t="inlineStr">
        <is>
          <t>SANDVIKEN</t>
        </is>
      </c>
      <c r="I89" t="n">
        <v>3.7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Skogsklocka</t>
        </is>
      </c>
      <c r="V89">
        <f>HYPERLINK("https://klasma.github.io/Logging_2181/artfynd/A 41349-2025 artfynd.xlsx", "A 41349-2025")</f>
        <v/>
      </c>
      <c r="W89">
        <f>HYPERLINK("https://klasma.github.io/Logging_2181/kartor/A 41349-2025 karta.png", "A 41349-2025")</f>
        <v/>
      </c>
      <c r="Y89">
        <f>HYPERLINK("https://klasma.github.io/Logging_2181/klagomål/A 41349-2025 FSC-klagomål.docx", "A 41349-2025")</f>
        <v/>
      </c>
      <c r="Z89">
        <f>HYPERLINK("https://klasma.github.io/Logging_2181/klagomålsmail/A 41349-2025 FSC-klagomål mail.docx", "A 41349-2025")</f>
        <v/>
      </c>
      <c r="AA89">
        <f>HYPERLINK("https://klasma.github.io/Logging_2181/tillsyn/A 41349-2025 tillsynsbegäran.docx", "A 41349-2025")</f>
        <v/>
      </c>
      <c r="AB89">
        <f>HYPERLINK("https://klasma.github.io/Logging_2181/tillsynsmail/A 41349-2025 tillsynsbegäran mail.docx", "A 41349-2025")</f>
        <v/>
      </c>
    </row>
    <row r="90" ht="15" customHeight="1">
      <c r="A90" t="inlineStr">
        <is>
          <t>A 26212-2026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46220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Knärot</t>
        </is>
      </c>
      <c r="V90">
        <f>HYPERLINK("https://klasma.github.io/Logging_2181/artfynd/A 26212-2026 artfynd.xlsx", "A 26212-2026")</f>
        <v/>
      </c>
      <c r="W90">
        <f>HYPERLINK("https://klasma.github.io/Logging_2181/kartor/A 26212-2026 karta.png", "A 26212-2026")</f>
        <v/>
      </c>
      <c r="X90">
        <f>HYPERLINK("https://klasma.github.io/Logging_2181/knärot/A 26212-2026 karta knärot.png", "A 26212-2026")</f>
        <v/>
      </c>
      <c r="Y90">
        <f>HYPERLINK("https://klasma.github.io/Logging_2181/klagomål/A 26212-2026 FSC-klagomål.docx", "A 26212-2026")</f>
        <v/>
      </c>
      <c r="Z90">
        <f>HYPERLINK("https://klasma.github.io/Logging_2181/klagomålsmail/A 26212-2026 FSC-klagomål mail.docx", "A 26212-2026")</f>
        <v/>
      </c>
      <c r="AA90">
        <f>HYPERLINK("https://klasma.github.io/Logging_2181/tillsyn/A 26212-2026 tillsynsbegäran.docx", "A 26212-2026")</f>
        <v/>
      </c>
      <c r="AB90">
        <f>HYPERLINK("https://klasma.github.io/Logging_2181/tillsynsmail/A 26212-2026 tillsynsbegäran mail.docx", "A 26212-2026")</f>
        <v/>
      </c>
    </row>
    <row r="91" ht="15" customHeight="1">
      <c r="A91" t="inlineStr">
        <is>
          <t>A 27207-2026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46188</v>
      </c>
      <c r="E91" s="1" t="n">
        <v>46220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Kungsfågel</t>
        </is>
      </c>
      <c r="V91">
        <f>HYPERLINK("https://klasma.github.io/Logging_2181/artfynd/A 27207-2026 artfynd.xlsx", "A 27207-2026")</f>
        <v/>
      </c>
      <c r="W91">
        <f>HYPERLINK("https://klasma.github.io/Logging_2181/kartor/A 27207-2026 karta.png", "A 27207-2026")</f>
        <v/>
      </c>
      <c r="Y91">
        <f>HYPERLINK("https://klasma.github.io/Logging_2181/klagomål/A 27207-2026 FSC-klagomål.docx", "A 27207-2026")</f>
        <v/>
      </c>
      <c r="Z91">
        <f>HYPERLINK("https://klasma.github.io/Logging_2181/klagomålsmail/A 27207-2026 FSC-klagomål mail.docx", "A 27207-2026")</f>
        <v/>
      </c>
      <c r="AA91">
        <f>HYPERLINK("https://klasma.github.io/Logging_2181/tillsyn/A 27207-2026 tillsynsbegäran.docx", "A 27207-2026")</f>
        <v/>
      </c>
      <c r="AB91">
        <f>HYPERLINK("https://klasma.github.io/Logging_2181/tillsynsmail/A 27207-2026 tillsynsbegäran mail.docx", "A 27207-2026")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46220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Svartvit flugsnappare</t>
        </is>
      </c>
      <c r="V92">
        <f>HYPERLINK("https://klasma.github.io/Logging_2181/artfynd/A 21532-2026 artfynd.xlsx", "A 21532-2026")</f>
        <v/>
      </c>
      <c r="W92">
        <f>HYPERLINK("https://klasma.github.io/Logging_2181/kartor/A 21532-2026 karta.png", "A 21532-2026")</f>
        <v/>
      </c>
      <c r="Y92">
        <f>HYPERLINK("https://klasma.github.io/Logging_2181/klagomål/A 21532-2026 FSC-klagomål.docx", "A 21532-2026")</f>
        <v/>
      </c>
      <c r="Z92">
        <f>HYPERLINK("https://klasma.github.io/Logging_2181/klagomålsmail/A 21532-2026 FSC-klagomål mail.docx", "A 21532-2026")</f>
        <v/>
      </c>
      <c r="AA92">
        <f>HYPERLINK("https://klasma.github.io/Logging_2181/tillsyn/A 21532-2026 tillsynsbegäran.docx", "A 21532-2026")</f>
        <v/>
      </c>
      <c r="AB92">
        <f>HYPERLINK("https://klasma.github.io/Logging_2181/tillsynsmail/A 21532-2026 tillsynsbegäran mail.docx", "A 21532-2026")</f>
        <v/>
      </c>
    </row>
    <row r="93" ht="15" customHeight="1">
      <c r="A93" t="inlineStr">
        <is>
          <t>A 29111-2026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46201</v>
      </c>
      <c r="E93" s="1" t="n">
        <v>46220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4.1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Tallticka</t>
        </is>
      </c>
      <c r="V93">
        <f>HYPERLINK("https://klasma.github.io/Logging_2181/artfynd/A 29111-2026 artfynd.xlsx", "A 29111-2026")</f>
        <v/>
      </c>
      <c r="W93">
        <f>HYPERLINK("https://klasma.github.io/Logging_2181/kartor/A 29111-2026 karta.png", "A 29111-2026")</f>
        <v/>
      </c>
      <c r="Y93">
        <f>HYPERLINK("https://klasma.github.io/Logging_2181/klagomål/A 29111-2026 FSC-klagomål.docx", "A 29111-2026")</f>
        <v/>
      </c>
      <c r="Z93">
        <f>HYPERLINK("https://klasma.github.io/Logging_2181/klagomålsmail/A 29111-2026 FSC-klagomål mail.docx", "A 29111-2026")</f>
        <v/>
      </c>
      <c r="AA93">
        <f>HYPERLINK("https://klasma.github.io/Logging_2181/tillsyn/A 29111-2026 tillsynsbegäran.docx", "A 29111-2026")</f>
        <v/>
      </c>
      <c r="AB93">
        <f>HYPERLINK("https://klasma.github.io/Logging_2181/tillsynsmail/A 29111-2026 tillsynsbegäran mail.docx", "A 29111-2026")</f>
        <v/>
      </c>
    </row>
    <row r="94" ht="15" customHeight="1">
      <c r="A94" t="inlineStr">
        <is>
          <t>A 23225-2026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46162</v>
      </c>
      <c r="E94" s="1" t="n">
        <v>46220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1.3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Rödvingetrast</t>
        </is>
      </c>
      <c r="V94">
        <f>HYPERLINK("https://klasma.github.io/Logging_2181/artfynd/A 23225-2026 artfynd.xlsx", "A 23225-2026")</f>
        <v/>
      </c>
      <c r="W94">
        <f>HYPERLINK("https://klasma.github.io/Logging_2181/kartor/A 23225-2026 karta.png", "A 23225-2026")</f>
        <v/>
      </c>
      <c r="Y94">
        <f>HYPERLINK("https://klasma.github.io/Logging_2181/klagomål/A 23225-2026 FSC-klagomål.docx", "A 23225-2026")</f>
        <v/>
      </c>
      <c r="Z94">
        <f>HYPERLINK("https://klasma.github.io/Logging_2181/klagomålsmail/A 23225-2026 FSC-klagomål mail.docx", "A 23225-2026")</f>
        <v/>
      </c>
      <c r="AA94">
        <f>HYPERLINK("https://klasma.github.io/Logging_2181/tillsyn/A 23225-2026 tillsynsbegäran.docx", "A 23225-2026")</f>
        <v/>
      </c>
      <c r="AB94">
        <f>HYPERLINK("https://klasma.github.io/Logging_2181/tillsynsmail/A 23225-2026 tillsynsbegäran mail.docx", "A 23225-2026")</f>
        <v/>
      </c>
      <c r="AC94">
        <f>HYPERLINK("https://klasma.github.io/Logging_2181/fåglar/A 23225-2026 prioriterade fågelarter.docx", "A 23225-2026")</f>
        <v/>
      </c>
    </row>
    <row r="95" ht="15" customHeight="1">
      <c r="A95" t="inlineStr">
        <is>
          <t>A 4384-2023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44955</v>
      </c>
      <c r="E95" s="1" t="n">
        <v>46220</v>
      </c>
      <c r="F95" t="inlineStr">
        <is>
          <t>GÄVLEBORGS LÄN</t>
        </is>
      </c>
      <c r="G95" t="inlineStr">
        <is>
          <t>SANDVIKEN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Sångsvan</t>
        </is>
      </c>
      <c r="V95">
        <f>HYPERLINK("https://klasma.github.io/Logging_2181/artfynd/A 4384-2023 artfynd.xlsx", "A 4384-2023")</f>
        <v/>
      </c>
      <c r="W95">
        <f>HYPERLINK("https://klasma.github.io/Logging_2181/kartor/A 4384-2023 karta.png", "A 4384-2023")</f>
        <v/>
      </c>
      <c r="Y95">
        <f>HYPERLINK("https://klasma.github.io/Logging_2181/klagomål/A 4384-2023 FSC-klagomål.docx", "A 4384-2023")</f>
        <v/>
      </c>
      <c r="Z95">
        <f>HYPERLINK("https://klasma.github.io/Logging_2181/klagomålsmail/A 4384-2023 FSC-klagomål mail.docx", "A 4384-2023")</f>
        <v/>
      </c>
      <c r="AA95">
        <f>HYPERLINK("https://klasma.github.io/Logging_2181/tillsyn/A 4384-2023 tillsynsbegäran.docx", "A 4384-2023")</f>
        <v/>
      </c>
      <c r="AB95">
        <f>HYPERLINK("https://klasma.github.io/Logging_2181/tillsynsmail/A 4384-2023 tillsynsbegäran mail.docx", "A 4384-2023")</f>
        <v/>
      </c>
      <c r="AC95">
        <f>HYPERLINK("https://klasma.github.io/Logging_2181/fåglar/A 4384-2023 prioriterade fågelarter.docx", "A 4384-2023")</f>
        <v/>
      </c>
    </row>
    <row r="96" ht="15" customHeight="1">
      <c r="A96" t="inlineStr">
        <is>
          <t>A 24171-2026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46168</v>
      </c>
      <c r="E96" s="1" t="n">
        <v>46220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Svedjenäva</t>
        </is>
      </c>
      <c r="V96">
        <f>HYPERLINK("https://klasma.github.io/Logging_2181/artfynd/A 24171-2026 artfynd.xlsx", "A 24171-2026")</f>
        <v/>
      </c>
      <c r="W96">
        <f>HYPERLINK("https://klasma.github.io/Logging_2181/kartor/A 24171-2026 karta.png", "A 24171-2026")</f>
        <v/>
      </c>
      <c r="Y96">
        <f>HYPERLINK("https://klasma.github.io/Logging_2181/klagomål/A 24171-2026 FSC-klagomål.docx", "A 24171-2026")</f>
        <v/>
      </c>
      <c r="Z96">
        <f>HYPERLINK("https://klasma.github.io/Logging_2181/klagomålsmail/A 24171-2026 FSC-klagomål mail.docx", "A 24171-2026")</f>
        <v/>
      </c>
      <c r="AA96">
        <f>HYPERLINK("https://klasma.github.io/Logging_2181/tillsyn/A 24171-2026 tillsynsbegäran.docx", "A 24171-2026")</f>
        <v/>
      </c>
      <c r="AB96">
        <f>HYPERLINK("https://klasma.github.io/Logging_2181/tillsynsmail/A 24171-2026 tillsynsbegäran mail.docx", "A 24171-2026")</f>
        <v/>
      </c>
    </row>
    <row r="97" ht="15" customHeight="1">
      <c r="A97" t="inlineStr">
        <is>
          <t>A 24357-2026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46220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5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Plattlummer</t>
        </is>
      </c>
      <c r="V97">
        <f>HYPERLINK("https://klasma.github.io/Logging_2181/artfynd/A 24357-2026 artfynd.xlsx", "A 24357-2026")</f>
        <v/>
      </c>
      <c r="W97">
        <f>HYPERLINK("https://klasma.github.io/Logging_2181/kartor/A 24357-2026 karta.png", "A 24357-2026")</f>
        <v/>
      </c>
      <c r="Y97">
        <f>HYPERLINK("https://klasma.github.io/Logging_2181/klagomål/A 24357-2026 FSC-klagomål.docx", "A 24357-2026")</f>
        <v/>
      </c>
      <c r="Z97">
        <f>HYPERLINK("https://klasma.github.io/Logging_2181/klagomålsmail/A 24357-2026 FSC-klagomål mail.docx", "A 24357-2026")</f>
        <v/>
      </c>
      <c r="AA97">
        <f>HYPERLINK("https://klasma.github.io/Logging_2181/tillsyn/A 24357-2026 tillsynsbegäran.docx", "A 24357-2026")</f>
        <v/>
      </c>
      <c r="AB97">
        <f>HYPERLINK("https://klasma.github.io/Logging_2181/tillsynsmail/A 24357-2026 tillsynsbegäran mail.docx", "A 24357-2026")</f>
        <v/>
      </c>
    </row>
    <row r="98" ht="15" customHeight="1">
      <c r="A98" t="inlineStr">
        <is>
          <t>A 25247-2026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46220</v>
      </c>
      <c r="F98" t="inlineStr">
        <is>
          <t>GÄVLEBORGS LÄN</t>
        </is>
      </c>
      <c r="G98" t="inlineStr">
        <is>
          <t>SANDVIKEN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Skinnlav</t>
        </is>
      </c>
      <c r="V98">
        <f>HYPERLINK("https://klasma.github.io/Logging_2181/artfynd/A 25247-2026 artfynd.xlsx", "A 25247-2026")</f>
        <v/>
      </c>
      <c r="W98">
        <f>HYPERLINK("https://klasma.github.io/Logging_2181/kartor/A 25247-2026 karta.png", "A 25247-2026")</f>
        <v/>
      </c>
      <c r="Y98">
        <f>HYPERLINK("https://klasma.github.io/Logging_2181/klagomål/A 25247-2026 FSC-klagomål.docx", "A 25247-2026")</f>
        <v/>
      </c>
      <c r="Z98">
        <f>HYPERLINK("https://klasma.github.io/Logging_2181/klagomålsmail/A 25247-2026 FSC-klagomål mail.docx", "A 25247-2026")</f>
        <v/>
      </c>
      <c r="AA98">
        <f>HYPERLINK("https://klasma.github.io/Logging_2181/tillsyn/A 25247-2026 tillsynsbegäran.docx", "A 25247-2026")</f>
        <v/>
      </c>
      <c r="AB98">
        <f>HYPERLINK("https://klasma.github.io/Logging_2181/tillsynsmail/A 25247-2026 tillsynsbegäran mail.docx", "A 25247-2026")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46220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Vanlig padda</t>
        </is>
      </c>
      <c r="V99">
        <f>HYPERLINK("https://klasma.github.io/Logging_2181/artfynd/A 31311-2026 artfynd.xlsx", "A 31311-2026")</f>
        <v/>
      </c>
      <c r="W99">
        <f>HYPERLINK("https://klasma.github.io/Logging_2181/kartor/A 31311-2026 karta.png", "A 31311-2026")</f>
        <v/>
      </c>
      <c r="Y99">
        <f>HYPERLINK("https://klasma.github.io/Logging_2181/klagomål/A 31311-2026 FSC-klagomål.docx", "A 31311-2026")</f>
        <v/>
      </c>
      <c r="Z99">
        <f>HYPERLINK("https://klasma.github.io/Logging_2181/klagomålsmail/A 31311-2026 FSC-klagomål mail.docx", "A 31311-2026")</f>
        <v/>
      </c>
      <c r="AA99">
        <f>HYPERLINK("https://klasma.github.io/Logging_2181/tillsyn/A 31311-2026 tillsynsbegäran.docx", "A 31311-2026")</f>
        <v/>
      </c>
      <c r="AB99">
        <f>HYPERLINK("https://klasma.github.io/Logging_2181/tillsynsmail/A 31311-2026 tillsynsbegäran mail.docx", "A 31311-2026")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46220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Bivråk</t>
        </is>
      </c>
      <c r="V100">
        <f>HYPERLINK("https://klasma.github.io/Logging_2181/artfynd/S 242-2024 artfynd.xlsx", "S 242-2024")</f>
        <v/>
      </c>
      <c r="W100">
        <f>HYPERLINK("https://klasma.github.io/Logging_2181/kartor/S 242-2024 karta.png", "S 242-2024")</f>
        <v/>
      </c>
      <c r="Y100">
        <f>HYPERLINK("https://klasma.github.io/Logging_2181/klagomål/S 242-2024 FSC-klagomål.docx", "S 242-2024")</f>
        <v/>
      </c>
      <c r="Z100">
        <f>HYPERLINK("https://klasma.github.io/Logging_2181/klagomålsmail/S 242-2024 FSC-klagomål mail.docx", "S 242-2024")</f>
        <v/>
      </c>
      <c r="AA100">
        <f>HYPERLINK("https://klasma.github.io/Logging_2181/tillsyn/S 242-2024 tillsynsbegäran.docx", "S 242-2024")</f>
        <v/>
      </c>
      <c r="AB100">
        <f>HYPERLINK("https://klasma.github.io/Logging_2181/tillsynsmail/S 242-2024 tillsynsbegäran mail.docx", "S 242-2024")</f>
        <v/>
      </c>
      <c r="AC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46220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Fläcknycklar</t>
        </is>
      </c>
      <c r="V101">
        <f>HYPERLINK("https://klasma.github.io/Logging_2181/artfynd/S 1687-2023 artfynd.xlsx", "S 1687-2023")</f>
        <v/>
      </c>
      <c r="W101">
        <f>HYPERLINK("https://klasma.github.io/Logging_2181/kartor/S 1687-2023 karta.png", "S 1687-2023")</f>
        <v/>
      </c>
      <c r="Y101">
        <f>HYPERLINK("https://klasma.github.io/Logging_2181/klagomål/S 1687-2023 FSC-klagomål.docx", "S 1687-2023")</f>
        <v/>
      </c>
      <c r="Z101">
        <f>HYPERLINK("https://klasma.github.io/Logging_2181/klagomålsmail/S 1687-2023 FSC-klagomål mail.docx", "S 1687-2023")</f>
        <v/>
      </c>
      <c r="AA101">
        <f>HYPERLINK("https://klasma.github.io/Logging_2181/tillsyn/S 1687-2023 tillsynsbegäran.docx", "S 1687-2023")</f>
        <v/>
      </c>
      <c r="AB101">
        <f>HYPERLINK("https://klasma.github.io/Logging_2181/tillsynsmail/S 1687-2023 tillsynsbegäran mail.docx", "S 1687-2023")</f>
        <v/>
      </c>
    </row>
    <row r="102" ht="15" customHeight="1">
      <c r="A102" t="inlineStr">
        <is>
          <t>S 504-2025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45706</v>
      </c>
      <c r="E102" s="1" t="n">
        <v>46220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19.3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s="2" t="inlineStr">
        <is>
          <t>Fläcknycklar</t>
        </is>
      </c>
      <c r="V102">
        <f>HYPERLINK("https://klasma.github.io/Logging_2181/artfynd/S 504-2025 artfynd.xlsx", "S 504-2025")</f>
        <v/>
      </c>
      <c r="W102">
        <f>HYPERLINK("https://klasma.github.io/Logging_2181/kartor/S 504-2025 karta.png", "S 504-2025")</f>
        <v/>
      </c>
      <c r="Y102">
        <f>HYPERLINK("https://klasma.github.io/Logging_2181/klagomål/S 504-2025 FSC-klagomål.docx", "S 504-2025")</f>
        <v/>
      </c>
      <c r="Z102">
        <f>HYPERLINK("https://klasma.github.io/Logging_2181/klagomålsmail/S 504-2025 FSC-klagomål mail.docx", "S 504-2025")</f>
        <v/>
      </c>
      <c r="AA102">
        <f>HYPERLINK("https://klasma.github.io/Logging_2181/tillsyn/S 504-2025 tillsynsbegäran.docx", "S 504-2025")</f>
        <v/>
      </c>
      <c r="AB102">
        <f>HYPERLINK("https://klasma.github.io/Logging_2181/tillsynsmail/S 504-2025 tillsynsbegäran mail.docx", "S 504-2025")</f>
        <v/>
      </c>
    </row>
    <row r="103" ht="15" customHeight="1">
      <c r="A103" t="inlineStr">
        <is>
          <t>S 412-2025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45699</v>
      </c>
      <c r="E103" s="1" t="n">
        <v>46220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öst AB</t>
        </is>
      </c>
      <c r="I103" t="n">
        <v>21.2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Aspbarkgnagare</t>
        </is>
      </c>
      <c r="V103">
        <f>HYPERLINK("https://klasma.github.io/Logging_2181/artfynd/S 412-2025 artfynd.xlsx", "S 412-2025")</f>
        <v/>
      </c>
      <c r="W103">
        <f>HYPERLINK("https://klasma.github.io/Logging_2181/kartor/S 412-2025 karta.png", "S 412-2025")</f>
        <v/>
      </c>
      <c r="Y103">
        <f>HYPERLINK("https://klasma.github.io/Logging_2181/klagomål/S 412-2025 FSC-klagomål.docx", "S 412-2025")</f>
        <v/>
      </c>
      <c r="Z103">
        <f>HYPERLINK("https://klasma.github.io/Logging_2181/klagomålsmail/S 412-2025 FSC-klagomål mail.docx", "S 412-2025")</f>
        <v/>
      </c>
      <c r="AA103">
        <f>HYPERLINK("https://klasma.github.io/Logging_2181/tillsyn/S 412-2025 tillsynsbegäran.docx", "S 412-2025")</f>
        <v/>
      </c>
      <c r="AB103">
        <f>HYPERLINK("https://klasma.github.io/Logging_2181/tillsynsmail/S 412-2025 tillsynsbegäran mail.docx", "S 412-2025")</f>
        <v/>
      </c>
    </row>
    <row r="104" ht="15" customHeight="1">
      <c r="A104" t="inlineStr">
        <is>
          <t>S 501-2025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45706</v>
      </c>
      <c r="E104" s="1" t="n">
        <v>46220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Talltita</t>
        </is>
      </c>
      <c r="V104">
        <f>HYPERLINK("https://klasma.github.io/Logging_2181/artfynd/S 501-2025 artfynd.xlsx", "S 501-2025")</f>
        <v/>
      </c>
      <c r="W104">
        <f>HYPERLINK("https://klasma.github.io/Logging_2181/kartor/S 501-2025 karta.png", "S 501-2025")</f>
        <v/>
      </c>
      <c r="Y104">
        <f>HYPERLINK("https://klasma.github.io/Logging_2181/klagomål/S 501-2025 FSC-klagomål.docx", "S 501-2025")</f>
        <v/>
      </c>
      <c r="Z104">
        <f>HYPERLINK("https://klasma.github.io/Logging_2181/klagomålsmail/S 501-2025 FSC-klagomål mail.docx", "S 501-2025")</f>
        <v/>
      </c>
      <c r="AA104">
        <f>HYPERLINK("https://klasma.github.io/Logging_2181/tillsyn/S 501-2025 tillsynsbegäran.docx", "S 501-2025")</f>
        <v/>
      </c>
      <c r="AB104">
        <f>HYPERLINK("https://klasma.github.io/Logging_2181/tillsynsmail/S 501-2025 tillsynsbegäran mail.docx", "S 501-2025")</f>
        <v/>
      </c>
      <c r="AC104">
        <f>HYPERLINK("https://klasma.github.io/Logging_2181/fåglar/S 501-2025 prioriterade fågelarter.docx", "S 501-2025")</f>
        <v/>
      </c>
    </row>
    <row r="105" ht="15" customHeight="1">
      <c r="A105" t="inlineStr">
        <is>
          <t>S 1025-2026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46122</v>
      </c>
      <c r="E105" s="1" t="n">
        <v>46220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62.8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Bivråk</t>
        </is>
      </c>
      <c r="V105">
        <f>HYPERLINK("https://klasma.github.io/Logging_2181/artfynd/S 1025-2026 artfynd.xlsx", "S 1025-2026")</f>
        <v/>
      </c>
      <c r="W105">
        <f>HYPERLINK("https://klasma.github.io/Logging_2181/kartor/S 1025-2026 karta.png", "S 1025-2026")</f>
        <v/>
      </c>
      <c r="Y105">
        <f>HYPERLINK("https://klasma.github.io/Logging_2181/klagomål/S 1025-2026 FSC-klagomål.docx", "S 1025-2026")</f>
        <v/>
      </c>
      <c r="Z105">
        <f>HYPERLINK("https://klasma.github.io/Logging_2181/klagomålsmail/S 1025-2026 FSC-klagomål mail.docx", "S 1025-2026")</f>
        <v/>
      </c>
      <c r="AA105">
        <f>HYPERLINK("https://klasma.github.io/Logging_2181/tillsyn/S 1025-2026 tillsynsbegäran.docx", "S 1025-2026")</f>
        <v/>
      </c>
      <c r="AB105">
        <f>HYPERLINK("https://klasma.github.io/Logging_2181/tillsynsmail/S 1025-2026 tillsynsbegäran mail.docx", "S 1025-2026")</f>
        <v/>
      </c>
      <c r="AC105">
        <f>HYPERLINK("https://klasma.github.io/Logging_2181/fåglar/S 1025-2026 prioriterade fågelarter.docx", "S 1025-2026")</f>
        <v/>
      </c>
    </row>
    <row r="106" ht="15" customHeight="1">
      <c r="A106" t="inlineStr">
        <is>
          <t>A 51162-2022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44868</v>
      </c>
      <c r="E106" s="1" t="n">
        <v>46220</v>
      </c>
      <c r="F106" t="inlineStr">
        <is>
          <t>GÄVLEBORGS LÄN</t>
        </is>
      </c>
      <c r="G106" t="inlineStr">
        <is>
          <t>SANDVIKEN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63086-2021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46220</v>
      </c>
      <c r="F107" t="inlineStr">
        <is>
          <t>GÄVLEBORGS LÄN</t>
        </is>
      </c>
      <c r="G107" t="inlineStr">
        <is>
          <t>SANDVIKEN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50277-2022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46220</v>
      </c>
      <c r="F108" t="inlineStr">
        <is>
          <t>GÄVLEBORGS LÄN</t>
        </is>
      </c>
      <c r="G108" t="inlineStr">
        <is>
          <t>SANDVIKEN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31419-2022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46220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50876-2021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44460</v>
      </c>
      <c r="E110" s="1" t="n">
        <v>46220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64068-2021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46220</v>
      </c>
      <c r="F111" t="inlineStr">
        <is>
          <t>GÄVLEBORGS LÄN</t>
        </is>
      </c>
      <c r="G111" t="inlineStr">
        <is>
          <t>SANDVIKEN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61729-2021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46220</v>
      </c>
      <c r="F112" t="inlineStr">
        <is>
          <t>GÄVLEBORGS LÄN</t>
        </is>
      </c>
      <c r="G112" t="inlineStr">
        <is>
          <t>SANDVIKEN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46220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40926-2021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46220</v>
      </c>
      <c r="F114" t="inlineStr">
        <is>
          <t>GÄVLEBORGS LÄN</t>
        </is>
      </c>
      <c r="G114" t="inlineStr">
        <is>
          <t>SANDVIKEN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46220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46220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46220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46220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64720-2021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46220</v>
      </c>
      <c r="F119" t="inlineStr">
        <is>
          <t>GÄVLEBORGS LÄN</t>
        </is>
      </c>
      <c r="G119" t="inlineStr">
        <is>
          <t>SANDVIKEN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46220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11923-2022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44635</v>
      </c>
      <c r="E121" s="1" t="n">
        <v>46220</v>
      </c>
      <c r="F121" t="inlineStr">
        <is>
          <t>GÄVLEBORGS LÄN</t>
        </is>
      </c>
      <c r="G121" t="inlineStr">
        <is>
          <t>SANDVIKEN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46220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46220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60405-2021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46220</v>
      </c>
      <c r="F124" t="inlineStr">
        <is>
          <t>GÄVLEBORGS LÄN</t>
        </is>
      </c>
      <c r="G124" t="inlineStr">
        <is>
          <t>SANDVIKEN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61616-2021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46220</v>
      </c>
      <c r="F125" t="inlineStr">
        <is>
          <t>GÄVLEBORGS LÄN</t>
        </is>
      </c>
      <c r="G125" t="inlineStr">
        <is>
          <t>SANDVIKEN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66590-2021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46220</v>
      </c>
      <c r="F126" t="inlineStr">
        <is>
          <t>GÄVLEBORGS LÄN</t>
        </is>
      </c>
      <c r="G126" t="inlineStr">
        <is>
          <t>SANDVIKEN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44595</v>
      </c>
      <c r="E127" s="1" t="n">
        <v>46220</v>
      </c>
      <c r="F127" t="inlineStr">
        <is>
          <t>GÄVLEBORGS LÄN</t>
        </is>
      </c>
      <c r="G127" t="inlineStr">
        <is>
          <t>SANDVIKEN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46854-2021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46220</v>
      </c>
      <c r="F128" t="inlineStr">
        <is>
          <t>GÄVLEBORGS LÄN</t>
        </is>
      </c>
      <c r="G128" t="inlineStr">
        <is>
          <t>SANDVIKEN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49493-2022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44861</v>
      </c>
      <c r="E129" s="1" t="n">
        <v>46220</v>
      </c>
      <c r="F129" t="inlineStr">
        <is>
          <t>GÄVLEBORGS LÄN</t>
        </is>
      </c>
      <c r="G129" t="inlineStr">
        <is>
          <t>SANDVIKEN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39241-2022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46220</v>
      </c>
      <c r="F130" t="inlineStr">
        <is>
          <t>GÄVLEBORGS LÄN</t>
        </is>
      </c>
      <c r="G130" t="inlineStr">
        <is>
          <t>SANDVIKEN</t>
        </is>
      </c>
      <c r="H130" t="inlineStr">
        <is>
          <t>Bergvik skog öst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47718-2022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46220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67180-2021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46220</v>
      </c>
      <c r="F132" t="inlineStr">
        <is>
          <t>GÄVLEBORGS LÄN</t>
        </is>
      </c>
      <c r="G132" t="inlineStr">
        <is>
          <t>SANDVIKEN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22654-2022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46220</v>
      </c>
      <c r="F133" t="inlineStr">
        <is>
          <t>GÄVLEBORGS LÄN</t>
        </is>
      </c>
      <c r="G133" t="inlineStr">
        <is>
          <t>SANDVIKEN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11993-2022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44635</v>
      </c>
      <c r="E134" s="1" t="n">
        <v>46220</v>
      </c>
      <c r="F134" t="inlineStr">
        <is>
          <t>GÄVLEBORGS LÄN</t>
        </is>
      </c>
      <c r="G134" t="inlineStr">
        <is>
          <t>SANDVIKEN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6947-2022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44603</v>
      </c>
      <c r="E135" s="1" t="n">
        <v>46220</v>
      </c>
      <c r="F135" t="inlineStr">
        <is>
          <t>GÄVLEBORGS LÄN</t>
        </is>
      </c>
      <c r="G135" t="inlineStr">
        <is>
          <t>SANDVIKEN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46220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46220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46220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15907-2023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46220</v>
      </c>
      <c r="F139" t="inlineStr">
        <is>
          <t>GÄVLEBORGS LÄN</t>
        </is>
      </c>
      <c r="G139" t="inlineStr">
        <is>
          <t>SANDVIKEN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29928-2024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45488</v>
      </c>
      <c r="E140" s="1" t="n">
        <v>46220</v>
      </c>
      <c r="F140" t="inlineStr">
        <is>
          <t>GÄVLEBORGS LÄN</t>
        </is>
      </c>
      <c r="G140" t="inlineStr">
        <is>
          <t>SANDVIKEN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53719-2024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46220</v>
      </c>
      <c r="F141" t="inlineStr">
        <is>
          <t>GÄVLEBORGS LÄN</t>
        </is>
      </c>
      <c r="G141" t="inlineStr">
        <is>
          <t>SANDVIKEN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46220</v>
      </c>
      <c r="F142" t="inlineStr">
        <is>
          <t>GÄVLEBORGS LÄN</t>
        </is>
      </c>
      <c r="G142" t="inlineStr">
        <is>
          <t>SANDVIKEN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45920-2022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44846</v>
      </c>
      <c r="E143" s="1" t="n">
        <v>46220</v>
      </c>
      <c r="F143" t="inlineStr">
        <is>
          <t>GÄVLEBORGS LÄN</t>
        </is>
      </c>
      <c r="G143" t="inlineStr">
        <is>
          <t>SANDVIKEN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14840-2022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46220</v>
      </c>
      <c r="F144" t="inlineStr">
        <is>
          <t>GÄVLEBORGS LÄN</t>
        </is>
      </c>
      <c r="G144" t="inlineStr">
        <is>
          <t>SANDVIKEN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34013-2024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45523</v>
      </c>
      <c r="E145" s="1" t="n">
        <v>46220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11438-2023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46220</v>
      </c>
      <c r="F146" t="inlineStr">
        <is>
          <t>GÄVLEBORGS LÄN</t>
        </is>
      </c>
      <c r="G146" t="inlineStr">
        <is>
          <t>SANDVIKEN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44988</v>
      </c>
      <c r="E147" s="1" t="n">
        <v>46220</v>
      </c>
      <c r="F147" t="inlineStr">
        <is>
          <t>GÄVLEBORGS LÄN</t>
        </is>
      </c>
      <c r="G147" t="inlineStr">
        <is>
          <t>SANDVIKEN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45299-2023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46220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46220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45562-2022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44845</v>
      </c>
      <c r="E150" s="1" t="n">
        <v>46220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46220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49704-2023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45212</v>
      </c>
      <c r="E152" s="1" t="n">
        <v>46220</v>
      </c>
      <c r="F152" t="inlineStr">
        <is>
          <t>GÄVLEBORGS LÄN</t>
        </is>
      </c>
      <c r="G152" t="inlineStr">
        <is>
          <t>SANDVIKEN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46220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61848-2023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46220</v>
      </c>
      <c r="F154" t="inlineStr">
        <is>
          <t>GÄVLEBORGS LÄN</t>
        </is>
      </c>
      <c r="G154" t="inlineStr">
        <is>
          <t>SANDVIKEN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61859-2024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46220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46220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46220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37232-2024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46220</v>
      </c>
      <c r="F158" t="inlineStr">
        <is>
          <t>GÄVLEBORGS LÄN</t>
        </is>
      </c>
      <c r="G158" t="inlineStr">
        <is>
          <t>SANDVIKEN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46220</v>
      </c>
      <c r="F159" t="inlineStr">
        <is>
          <t>GÄVLEBORGS LÄN</t>
        </is>
      </c>
      <c r="G159" t="inlineStr">
        <is>
          <t>SANDVIKEN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39591-2024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46220</v>
      </c>
      <c r="F160" t="inlineStr">
        <is>
          <t>GÄVLEBORGS LÄN</t>
        </is>
      </c>
      <c r="G160" t="inlineStr">
        <is>
          <t>SANDVIKEN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45673</v>
      </c>
      <c r="E161" s="1" t="n">
        <v>46220</v>
      </c>
      <c r="F161" t="inlineStr">
        <is>
          <t>GÄVLEBORGS LÄN</t>
        </is>
      </c>
      <c r="G161" t="inlineStr">
        <is>
          <t>SANDVIKEN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10260-2024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46220</v>
      </c>
      <c r="F162" t="inlineStr">
        <is>
          <t>GÄVLEBORGS LÄN</t>
        </is>
      </c>
      <c r="G162" t="inlineStr">
        <is>
          <t>SANDVIKEN</t>
        </is>
      </c>
      <c r="H162" t="inlineStr">
        <is>
          <t>Kommuner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18725-2025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46220</v>
      </c>
      <c r="F163" t="inlineStr">
        <is>
          <t>GÄVLEBORGS LÄN</t>
        </is>
      </c>
      <c r="G163" t="inlineStr">
        <is>
          <t>SANDVIKEN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64000-2023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45278</v>
      </c>
      <c r="E164" s="1" t="n">
        <v>46220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46021</v>
      </c>
      <c r="E165" s="1" t="n">
        <v>46220</v>
      </c>
      <c r="F165" t="inlineStr">
        <is>
          <t>GÄVLEBORGS LÄN</t>
        </is>
      </c>
      <c r="G165" t="inlineStr">
        <is>
          <t>SANDVIKEN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17735-2024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45418</v>
      </c>
      <c r="E166" s="1" t="n">
        <v>46220</v>
      </c>
      <c r="F166" t="inlineStr">
        <is>
          <t>GÄVLEBORGS LÄN</t>
        </is>
      </c>
      <c r="G166" t="inlineStr">
        <is>
          <t>SANDVIKEN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38673-2025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46220</v>
      </c>
      <c r="F167" t="inlineStr">
        <is>
          <t>GÄVLEBORGS LÄN</t>
        </is>
      </c>
      <c r="G167" t="inlineStr">
        <is>
          <t>SANDVIKEN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38846-2025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46220</v>
      </c>
      <c r="F168" t="inlineStr">
        <is>
          <t>GÄVLEBORGS LÄN</t>
        </is>
      </c>
      <c r="G168" t="inlineStr">
        <is>
          <t>SANDVIKEN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53322-2024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45614</v>
      </c>
      <c r="E169" s="1" t="n">
        <v>46220</v>
      </c>
      <c r="F169" t="inlineStr">
        <is>
          <t>GÄVLEBORGS LÄN</t>
        </is>
      </c>
      <c r="G169" t="inlineStr">
        <is>
          <t>SANDVIKEN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11810-2023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46220</v>
      </c>
      <c r="F170" t="inlineStr">
        <is>
          <t>GÄVLEBORGS LÄN</t>
        </is>
      </c>
      <c r="G170" t="inlineStr">
        <is>
          <t>SANDVIKEN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46220</v>
      </c>
      <c r="F171" t="inlineStr">
        <is>
          <t>GÄVLEBORGS LÄN</t>
        </is>
      </c>
      <c r="G171" t="inlineStr">
        <is>
          <t>SANDVIKEN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37996-2024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46220</v>
      </c>
      <c r="F172" t="inlineStr">
        <is>
          <t>GÄVLEBORGS LÄN</t>
        </is>
      </c>
      <c r="G172" t="inlineStr">
        <is>
          <t>SANDVIKEN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46220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24940-2025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46220</v>
      </c>
      <c r="F174" t="inlineStr">
        <is>
          <t>GÄVLEBORGS LÄN</t>
        </is>
      </c>
      <c r="G174" t="inlineStr">
        <is>
          <t>SANDVIKEN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24948-2025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46220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24953-2025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46220</v>
      </c>
      <c r="F176" t="inlineStr">
        <is>
          <t>GÄVLEBORGS LÄN</t>
        </is>
      </c>
      <c r="G176" t="inlineStr">
        <is>
          <t>SANDVIKEN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25265-2025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46220</v>
      </c>
      <c r="F177" t="inlineStr">
        <is>
          <t>GÄVLEBORGS LÄN</t>
        </is>
      </c>
      <c r="G177" t="inlineStr">
        <is>
          <t>SANDVIKEN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45284-2023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46220</v>
      </c>
      <c r="F178" t="inlineStr">
        <is>
          <t>GÄVLEBORGS LÄN</t>
        </is>
      </c>
      <c r="G178" t="inlineStr">
        <is>
          <t>SANDVIKEN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46220</v>
      </c>
      <c r="F179" t="inlineStr">
        <is>
          <t>GÄVLEBORGS LÄN</t>
        </is>
      </c>
      <c r="G179" t="inlineStr">
        <is>
          <t>SANDVIKEN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46220</v>
      </c>
      <c r="F180" t="inlineStr">
        <is>
          <t>GÄVLEBORGS LÄN</t>
        </is>
      </c>
      <c r="G180" t="inlineStr">
        <is>
          <t>SANDVIKEN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59614-2024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46220</v>
      </c>
      <c r="F181" t="inlineStr">
        <is>
          <t>GÄVLEBORGS LÄN</t>
        </is>
      </c>
      <c r="G181" t="inlineStr">
        <is>
          <t>SANDVIKEN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33136-2023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45126</v>
      </c>
      <c r="E182" s="1" t="n">
        <v>46220</v>
      </c>
      <c r="F182" t="inlineStr">
        <is>
          <t>GÄVLEBORGS LÄN</t>
        </is>
      </c>
      <c r="G182" t="inlineStr">
        <is>
          <t>SANDVIKEN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46220</v>
      </c>
      <c r="F183" t="inlineStr">
        <is>
          <t>GÄVLEBORGS LÄN</t>
        </is>
      </c>
      <c r="G183" t="inlineStr">
        <is>
          <t>SANDVIKEN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46220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25300-2025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46220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25327-2025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46220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25111-2025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46220</v>
      </c>
      <c r="F187" t="inlineStr">
        <is>
          <t>GÄVLEBORGS LÄN</t>
        </is>
      </c>
      <c r="G187" t="inlineStr">
        <is>
          <t>SANDVIKEN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25317-2025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46220</v>
      </c>
      <c r="F188" t="inlineStr">
        <is>
          <t>GÄVLEBORGS LÄN</t>
        </is>
      </c>
      <c r="G188" t="inlineStr">
        <is>
          <t>SANDVIKEN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26294-2025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46220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46220</v>
      </c>
      <c r="F190" t="inlineStr">
        <is>
          <t>GÄVLEBORGS LÄN</t>
        </is>
      </c>
      <c r="G190" t="inlineStr">
        <is>
          <t>SANDVIKEN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46220</v>
      </c>
      <c r="F191" t="inlineStr">
        <is>
          <t>GÄVLEBORGS LÄN</t>
        </is>
      </c>
      <c r="G191" t="inlineStr">
        <is>
          <t>SANDVIKEN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11393-2023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44988</v>
      </c>
      <c r="E192" s="1" t="n">
        <v>46220</v>
      </c>
      <c r="F192" t="inlineStr">
        <is>
          <t>GÄVLEBORGS LÄN</t>
        </is>
      </c>
      <c r="G192" t="inlineStr">
        <is>
          <t>SANDVIKEN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40363-2023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45169</v>
      </c>
      <c r="E193" s="1" t="n">
        <v>46220</v>
      </c>
      <c r="F193" t="inlineStr">
        <is>
          <t>GÄVLEBORGS LÄN</t>
        </is>
      </c>
      <c r="G193" t="inlineStr">
        <is>
          <t>SANDVIKEN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27967-2022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44744</v>
      </c>
      <c r="E194" s="1" t="n">
        <v>46220</v>
      </c>
      <c r="F194" t="inlineStr">
        <is>
          <t>GÄVLEBORGS LÄN</t>
        </is>
      </c>
      <c r="G194" t="inlineStr">
        <is>
          <t>SANDVIKEN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46220</v>
      </c>
      <c r="F195" t="inlineStr">
        <is>
          <t>GÄVLEBORGS LÄN</t>
        </is>
      </c>
      <c r="G195" t="inlineStr">
        <is>
          <t>SANDVIKEN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46220</v>
      </c>
      <c r="F196" t="inlineStr">
        <is>
          <t>GÄVLEBORGS LÄN</t>
        </is>
      </c>
      <c r="G196" t="inlineStr">
        <is>
          <t>SANDVIKEN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39049-2025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46220</v>
      </c>
      <c r="F197" t="inlineStr">
        <is>
          <t>GÄVLEBORGS LÄN</t>
        </is>
      </c>
      <c r="G197" t="inlineStr">
        <is>
          <t>SANDVIKEN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46220</v>
      </c>
      <c r="F198" t="inlineStr">
        <is>
          <t>GÄVLEBORGS LÄN</t>
        </is>
      </c>
      <c r="G198" t="inlineStr">
        <is>
          <t>SANDVIKEN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39877-2025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46220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16683-2024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46220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väst AB</t>
        </is>
      </c>
      <c r="I200" t="n">
        <v>14.2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46220</v>
      </c>
      <c r="F201" t="inlineStr">
        <is>
          <t>GÄVLEBORGS LÄN</t>
        </is>
      </c>
      <c r="G201" t="inlineStr">
        <is>
          <t>SANDVIKEN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26787-2025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45810</v>
      </c>
      <c r="E202" s="1" t="n">
        <v>46220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40588-2025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46220</v>
      </c>
      <c r="F203" t="inlineStr">
        <is>
          <t>GÄVLEBORGS LÄN</t>
        </is>
      </c>
      <c r="G203" t="inlineStr">
        <is>
          <t>SANDVIKEN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38428-2023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46220</v>
      </c>
      <c r="F204" t="inlineStr">
        <is>
          <t>GÄVLEBORGS LÄN</t>
        </is>
      </c>
      <c r="G204" t="inlineStr">
        <is>
          <t>SANDVIKEN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38431-2023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46220</v>
      </c>
      <c r="F205" t="inlineStr">
        <is>
          <t>GÄVLEBORGS LÄN</t>
        </is>
      </c>
      <c r="G205" t="inlineStr">
        <is>
          <t>SANDVIKEN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38449-2023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46220</v>
      </c>
      <c r="F206" t="inlineStr">
        <is>
          <t>GÄVLEBORGS LÄN</t>
        </is>
      </c>
      <c r="G206" t="inlineStr">
        <is>
          <t>SANDVIKEN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46220</v>
      </c>
      <c r="F207" t="inlineStr">
        <is>
          <t>GÄVLEBORGS LÄN</t>
        </is>
      </c>
      <c r="G207" t="inlineStr">
        <is>
          <t>SANDVIKEN</t>
        </is>
      </c>
      <c r="I207" t="n">
        <v>8.699999999999999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41348-2025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45899</v>
      </c>
      <c r="E208" s="1" t="n">
        <v>46220</v>
      </c>
      <c r="F208" t="inlineStr">
        <is>
          <t>GÄVLEBORGS LÄN</t>
        </is>
      </c>
      <c r="G208" t="inlineStr">
        <is>
          <t>SANDVIKEN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41111-2025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46220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väst AB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61820-2024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46220</v>
      </c>
      <c r="F210" t="inlineStr">
        <is>
          <t>GÄVLEBORGS LÄN</t>
        </is>
      </c>
      <c r="G210" t="inlineStr">
        <is>
          <t>SANDVIKEN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48597-2023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46220</v>
      </c>
      <c r="F211" t="inlineStr">
        <is>
          <t>GÄVLEBORGS LÄN</t>
        </is>
      </c>
      <c r="G211" t="inlineStr">
        <is>
          <t>SANDVIKEN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28468-2025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46220</v>
      </c>
      <c r="F212" t="inlineStr">
        <is>
          <t>GÄVLEBORGS LÄN</t>
        </is>
      </c>
      <c r="G212" t="inlineStr">
        <is>
          <t>SANDVIKEN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46220</v>
      </c>
      <c r="F213" t="inlineStr">
        <is>
          <t>GÄVLEBORGS LÄN</t>
        </is>
      </c>
      <c r="G213" t="inlineStr">
        <is>
          <t>SANDVIKEN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46220</v>
      </c>
      <c r="F214" t="inlineStr">
        <is>
          <t>GÄVLEBORGS LÄN</t>
        </is>
      </c>
      <c r="G214" t="inlineStr">
        <is>
          <t>SANDVIKEN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12421-2025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46220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öst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46220</v>
      </c>
      <c r="F216" t="inlineStr">
        <is>
          <t>GÄVLEBORGS LÄN</t>
        </is>
      </c>
      <c r="G216" t="inlineStr">
        <is>
          <t>SANDVIKEN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28476-2025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46220</v>
      </c>
      <c r="F217" t="inlineStr">
        <is>
          <t>GÄVLEBORGS LÄN</t>
        </is>
      </c>
      <c r="G217" t="inlineStr">
        <is>
          <t>SANDVIKEN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61774-2024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46220</v>
      </c>
      <c r="F218" t="inlineStr">
        <is>
          <t>GÄVLEBORGS LÄN</t>
        </is>
      </c>
      <c r="G218" t="inlineStr">
        <is>
          <t>SANDVIKEN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46220</v>
      </c>
      <c r="F219" t="inlineStr">
        <is>
          <t>GÄVLEBORGS LÄN</t>
        </is>
      </c>
      <c r="G219" t="inlineStr">
        <is>
          <t>SANDVIKEN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29738-2025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46220</v>
      </c>
      <c r="F220" t="inlineStr">
        <is>
          <t>GÄVLEBORGS LÄN</t>
        </is>
      </c>
      <c r="G220" t="inlineStr">
        <is>
          <t>SANDVIKEN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2225-2026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46220</v>
      </c>
      <c r="F221" t="inlineStr">
        <is>
          <t>GÄVLEBORGS LÄN</t>
        </is>
      </c>
      <c r="G221" t="inlineStr">
        <is>
          <t>SANDVIKEN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46220</v>
      </c>
      <c r="F222" t="inlineStr">
        <is>
          <t>GÄVLEBORGS LÄN</t>
        </is>
      </c>
      <c r="G222" t="inlineStr">
        <is>
          <t>SANDVIKEN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30203-2025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46220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47974-2024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45589</v>
      </c>
      <c r="E224" s="1" t="n">
        <v>46220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46220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31460-2025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46220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46220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45832</v>
      </c>
      <c r="E228" s="1" t="n">
        <v>46220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30843-2025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45831</v>
      </c>
      <c r="E229" s="1" t="n">
        <v>46220</v>
      </c>
      <c r="F229" t="inlineStr">
        <is>
          <t>GÄVLEBORGS LÄN</t>
        </is>
      </c>
      <c r="G229" t="inlineStr">
        <is>
          <t>SANDVIKEN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60798-2023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46220</v>
      </c>
      <c r="F230" t="inlineStr">
        <is>
          <t>GÄVLEBORGS LÄN</t>
        </is>
      </c>
      <c r="G230" t="inlineStr">
        <is>
          <t>SANDVIKEN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44450-2025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46220</v>
      </c>
      <c r="F231" t="inlineStr">
        <is>
          <t>GÄVLEBORGS LÄN</t>
        </is>
      </c>
      <c r="G231" t="inlineStr">
        <is>
          <t>SANDVIKEN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53867-2024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46220</v>
      </c>
      <c r="F232" t="inlineStr">
        <is>
          <t>GÄVLEBORGS LÄN</t>
        </is>
      </c>
      <c r="G232" t="inlineStr">
        <is>
          <t>SANDVIKEN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53718-2024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46220</v>
      </c>
      <c r="F233" t="inlineStr">
        <is>
          <t>GÄVLEBORGS LÄN</t>
        </is>
      </c>
      <c r="G233" t="inlineStr">
        <is>
          <t>SANDVIKEN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46220</v>
      </c>
      <c r="F234" t="inlineStr">
        <is>
          <t>GÄVLEBORGS LÄN</t>
        </is>
      </c>
      <c r="G234" t="inlineStr">
        <is>
          <t>SANDVIKEN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46220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45090-2025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46220</v>
      </c>
      <c r="F236" t="inlineStr">
        <is>
          <t>GÄVLEBORGS LÄN</t>
        </is>
      </c>
      <c r="G236" t="inlineStr">
        <is>
          <t>SANDVIKEN</t>
        </is>
      </c>
      <c r="H236" t="inlineStr">
        <is>
          <t>Kyrkan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38609-2022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44813</v>
      </c>
      <c r="E237" s="1" t="n">
        <v>46220</v>
      </c>
      <c r="F237" t="inlineStr">
        <is>
          <t>GÄVLEBORGS LÄN</t>
        </is>
      </c>
      <c r="G237" t="inlineStr">
        <is>
          <t>SANDVIKEN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33015-2025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46220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27.3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52772-2023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46220</v>
      </c>
      <c r="F239" t="inlineStr">
        <is>
          <t>GÄVLEBORGS LÄN</t>
        </is>
      </c>
      <c r="G239" t="inlineStr">
        <is>
          <t>SANDVIKEN</t>
        </is>
      </c>
      <c r="H239" t="inlineStr">
        <is>
          <t>Bergvik skog öst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46220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18357-2025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46220</v>
      </c>
      <c r="F241" t="inlineStr">
        <is>
          <t>GÄVLEBORGS LÄN</t>
        </is>
      </c>
      <c r="G241" t="inlineStr">
        <is>
          <t>SANDVIKEN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33757-2025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46220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46321-2025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46220</v>
      </c>
      <c r="F243" t="inlineStr">
        <is>
          <t>GÄVLEBORGS LÄN</t>
        </is>
      </c>
      <c r="G243" t="inlineStr">
        <is>
          <t>SANDVIKEN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28897-2024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45480</v>
      </c>
      <c r="E244" s="1" t="n">
        <v>46220</v>
      </c>
      <c r="F244" t="inlineStr">
        <is>
          <t>GÄVLEBORGS LÄN</t>
        </is>
      </c>
      <c r="G244" t="inlineStr">
        <is>
          <t>SANDVIKEN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46269-2025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46220</v>
      </c>
      <c r="F245" t="inlineStr">
        <is>
          <t>GÄVLEBORGS LÄN</t>
        </is>
      </c>
      <c r="G245" t="inlineStr">
        <is>
          <t>SANDVIKEN</t>
        </is>
      </c>
      <c r="I245" t="n">
        <v>10.3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58562-2023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45251</v>
      </c>
      <c r="E246" s="1" t="n">
        <v>46220</v>
      </c>
      <c r="F246" t="inlineStr">
        <is>
          <t>GÄVLEBORGS LÄN</t>
        </is>
      </c>
      <c r="G246" t="inlineStr">
        <is>
          <t>SANDVIKEN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35184-2022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46220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46220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46220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46621-2025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46220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46607-2025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46220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47396-2025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46220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47770-2025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46220</v>
      </c>
      <c r="F253" t="inlineStr">
        <is>
          <t>GÄVLEBORGS LÄN</t>
        </is>
      </c>
      <c r="G253" t="inlineStr">
        <is>
          <t>SANDVIKEN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46220</v>
      </c>
      <c r="F254" t="inlineStr">
        <is>
          <t>GÄVLEBORGS LÄN</t>
        </is>
      </c>
      <c r="G254" t="inlineStr">
        <is>
          <t>SANDVIKEN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44582</v>
      </c>
      <c r="E255" s="1" t="n">
        <v>46220</v>
      </c>
      <c r="F255" t="inlineStr">
        <is>
          <t>GÄVLEBORGS LÄN</t>
        </is>
      </c>
      <c r="G255" t="inlineStr">
        <is>
          <t>SANDVIKEN</t>
        </is>
      </c>
      <c r="H255" t="inlineStr">
        <is>
          <t>Kyrkan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35995-2025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45863</v>
      </c>
      <c r="E256" s="1" t="n">
        <v>46220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46220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46220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56217-2023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46220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46220</v>
      </c>
      <c r="F260" t="inlineStr">
        <is>
          <t>GÄVLEBORGS LÄN</t>
        </is>
      </c>
      <c r="G260" t="inlineStr">
        <is>
          <t>SANDVIKEN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48261-2025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46220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48268-2025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46220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36646-2022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44804</v>
      </c>
      <c r="E263" s="1" t="n">
        <v>46220</v>
      </c>
      <c r="F263" t="inlineStr">
        <is>
          <t>GÄVLEBORGS LÄN</t>
        </is>
      </c>
      <c r="G263" t="inlineStr">
        <is>
          <t>SANDVIKEN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48263-2025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46220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36212-2025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45867</v>
      </c>
      <c r="E265" s="1" t="n">
        <v>46220</v>
      </c>
      <c r="F265" t="inlineStr">
        <is>
          <t>GÄVLEBORGS LÄN</t>
        </is>
      </c>
      <c r="G265" t="inlineStr">
        <is>
          <t>SANDVIKEN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64112-2023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46220</v>
      </c>
      <c r="F266" t="inlineStr">
        <is>
          <t>GÄVLEBORGS LÄN</t>
        </is>
      </c>
      <c r="G266" t="inlineStr">
        <is>
          <t>SANDVIKEN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32849-2022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44784</v>
      </c>
      <c r="E267" s="1" t="n">
        <v>46220</v>
      </c>
      <c r="F267" t="inlineStr">
        <is>
          <t>GÄVLEBORGS LÄN</t>
        </is>
      </c>
      <c r="G267" t="inlineStr">
        <is>
          <t>SANDVIKEN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48963-2025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46220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36584-2025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45870</v>
      </c>
      <c r="E269" s="1" t="n">
        <v>46220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36732-2025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46220</v>
      </c>
      <c r="F270" t="inlineStr">
        <is>
          <t>GÄVLEBORGS LÄN</t>
        </is>
      </c>
      <c r="G270" t="inlineStr">
        <is>
          <t>SANDVIKEN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49021-2025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46220</v>
      </c>
      <c r="F271" t="inlineStr">
        <is>
          <t>GÄVLEBORGS LÄN</t>
        </is>
      </c>
      <c r="G271" t="inlineStr">
        <is>
          <t>SANDVIKEN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48761-2025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46220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3909-2026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46220</v>
      </c>
      <c r="F273" t="inlineStr">
        <is>
          <t>GÄVLEBORGS LÄN</t>
        </is>
      </c>
      <c r="G273" t="inlineStr">
        <is>
          <t>SANDVIKEN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46220</v>
      </c>
      <c r="F274" t="inlineStr">
        <is>
          <t>GÄVLEBORGS LÄN</t>
        </is>
      </c>
      <c r="G274" t="inlineStr">
        <is>
          <t>SANDVIKEN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46220</v>
      </c>
      <c r="F275" t="inlineStr">
        <is>
          <t>GÄVLEBORGS LÄN</t>
        </is>
      </c>
      <c r="G275" t="inlineStr">
        <is>
          <t>SANDVIKEN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49446-2025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46220</v>
      </c>
      <c r="F276" t="inlineStr">
        <is>
          <t>GÄVLEBORGS LÄN</t>
        </is>
      </c>
      <c r="G276" t="inlineStr">
        <is>
          <t>SANDVIKEN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49454-2025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46220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36793-2025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46220</v>
      </c>
      <c r="F278" t="inlineStr">
        <is>
          <t>GÄVLEBORGS LÄN</t>
        </is>
      </c>
      <c r="G278" t="inlineStr">
        <is>
          <t>SANDVIKEN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36795-2025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46220</v>
      </c>
      <c r="F279" t="inlineStr">
        <is>
          <t>GÄVLEBORGS LÄN</t>
        </is>
      </c>
      <c r="G279" t="inlineStr">
        <is>
          <t>SANDVIKEN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49217-2025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45938</v>
      </c>
      <c r="E280" s="1" t="n">
        <v>46220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36693-2025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46220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49042-2025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46220</v>
      </c>
      <c r="F282" t="inlineStr">
        <is>
          <t>GÄVLEBORGS LÄN</t>
        </is>
      </c>
      <c r="G282" t="inlineStr">
        <is>
          <t>SANDVIKEN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30718-2023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46220</v>
      </c>
      <c r="F283" t="inlineStr">
        <is>
          <t>GÄVLEBORGS LÄN</t>
        </is>
      </c>
      <c r="G283" t="inlineStr">
        <is>
          <t>SANDVIKEN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49320-2025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46220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50012-2025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46220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50665-2025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46220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46220</v>
      </c>
      <c r="F287" t="inlineStr">
        <is>
          <t>GÄVLEBORGS LÄN</t>
        </is>
      </c>
      <c r="G287" t="inlineStr">
        <is>
          <t>SANDVIKEN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47395-2025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45930</v>
      </c>
      <c r="E288" s="1" t="n">
        <v>46220</v>
      </c>
      <c r="F288" t="inlineStr">
        <is>
          <t>GÄVLEBORGS LÄN</t>
        </is>
      </c>
      <c r="G288" t="inlineStr">
        <is>
          <t>SANDVIKEN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47398-2025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46220</v>
      </c>
      <c r="F289" t="inlineStr">
        <is>
          <t>GÄVLEBORGS LÄN</t>
        </is>
      </c>
      <c r="G289" t="inlineStr">
        <is>
          <t>SANDVIKEN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50552-2025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46220</v>
      </c>
      <c r="F290" t="inlineStr">
        <is>
          <t>GÄVLEBORGS LÄN</t>
        </is>
      </c>
      <c r="G290" t="inlineStr">
        <is>
          <t>SANDVIKEN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46220</v>
      </c>
      <c r="F291" t="inlineStr">
        <is>
          <t>GÄVLEBORGS LÄN</t>
        </is>
      </c>
      <c r="G291" t="inlineStr">
        <is>
          <t>SANDVIKEN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46220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38423-2025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46220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58885-2023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46220</v>
      </c>
      <c r="F294" t="inlineStr">
        <is>
          <t>GÄVLEBORGS LÄN</t>
        </is>
      </c>
      <c r="G294" t="inlineStr">
        <is>
          <t>SANDVIKEN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50851-2025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45946</v>
      </c>
      <c r="E295" s="1" t="n">
        <v>46220</v>
      </c>
      <c r="F295" t="inlineStr">
        <is>
          <t>GÄVLEBORGS LÄN</t>
        </is>
      </c>
      <c r="G295" t="inlineStr">
        <is>
          <t>SANDVIKEN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37367-2024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46220</v>
      </c>
      <c r="F296" t="inlineStr">
        <is>
          <t>GÄVLEBORGS LÄN</t>
        </is>
      </c>
      <c r="G296" t="inlineStr">
        <is>
          <t>SANDVIKEN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46220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50833-2025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46220</v>
      </c>
      <c r="F298" t="inlineStr">
        <is>
          <t>GÄVLEBORGS LÄN</t>
        </is>
      </c>
      <c r="G298" t="inlineStr">
        <is>
          <t>SANDVIKEN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56150-2023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45240</v>
      </c>
      <c r="E299" s="1" t="n">
        <v>46220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46220</v>
      </c>
      <c r="F300" t="inlineStr">
        <is>
          <t>GÄVLEBORGS LÄN</t>
        </is>
      </c>
      <c r="G300" t="inlineStr">
        <is>
          <t>SANDVIKEN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46220</v>
      </c>
      <c r="F301" t="inlineStr">
        <is>
          <t>GÄVLEBORGS LÄN</t>
        </is>
      </c>
      <c r="G301" t="inlineStr">
        <is>
          <t>SANDVIKEN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4375-2026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46220</v>
      </c>
      <c r="F302" t="inlineStr">
        <is>
          <t>GÄVLEBORGS LÄN</t>
        </is>
      </c>
      <c r="G302" t="inlineStr">
        <is>
          <t>SANDVIKEN</t>
        </is>
      </c>
      <c r="H302" t="inlineStr">
        <is>
          <t>Kommuner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45330</v>
      </c>
      <c r="E303" s="1" t="n">
        <v>46220</v>
      </c>
      <c r="F303" t="inlineStr">
        <is>
          <t>GÄVLEBORGS LÄN</t>
        </is>
      </c>
      <c r="G303" t="inlineStr">
        <is>
          <t>SANDVIKEN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38845-2025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46220</v>
      </c>
      <c r="F304" t="inlineStr">
        <is>
          <t>GÄVLEBORGS LÄN</t>
        </is>
      </c>
      <c r="G304" t="inlineStr">
        <is>
          <t>SANDVIKEN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46220</v>
      </c>
      <c r="F305" t="inlineStr">
        <is>
          <t>GÄVLEBORGS LÄN</t>
        </is>
      </c>
      <c r="G305" t="inlineStr">
        <is>
          <t>SANDVIKEN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46220</v>
      </c>
      <c r="F306" t="inlineStr">
        <is>
          <t>GÄVLEBORGS LÄN</t>
        </is>
      </c>
      <c r="G306" t="inlineStr">
        <is>
          <t>SANDVIKEN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38524-2025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46220</v>
      </c>
      <c r="F307" t="inlineStr">
        <is>
          <t>GÄVLEBORGS LÄN</t>
        </is>
      </c>
      <c r="G307" t="inlineStr">
        <is>
          <t>SANDVIKEN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52786-2025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46220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  <c r="X308">
        <f>HYPERLINK("https://klasma.github.io/Logging_2181/knärot/A 52786-2025 karta knärot.png", "A 52786-2025")</f>
        <v/>
      </c>
      <c r="Y308">
        <f>HYPERLINK("https://klasma.github.io/Logging_2181/klagomål/A 52786-2025 FSC-klagomål.docx", "A 52786-2025")</f>
        <v/>
      </c>
      <c r="Z308">
        <f>HYPERLINK("https://klasma.github.io/Logging_2181/klagomålsmail/A 52786-2025 FSC-klagomål mail.docx", "A 52786-2025")</f>
        <v/>
      </c>
      <c r="AA308">
        <f>HYPERLINK("https://klasma.github.io/Logging_2181/tillsyn/A 52786-2025 tillsynsbegäran.docx", "A 52786-2025")</f>
        <v/>
      </c>
      <c r="AB308">
        <f>HYPERLINK("https://klasma.github.io/Logging_2181/tillsynsmail/A 52786-2025 tillsynsbegäran mail.docx", "A 52786-2025")</f>
        <v/>
      </c>
    </row>
    <row r="309" ht="15" customHeight="1">
      <c r="A309" t="inlineStr">
        <is>
          <t>A 5567-2026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46220</v>
      </c>
      <c r="F309" t="inlineStr">
        <is>
          <t>GÄVLEBORGS LÄN</t>
        </is>
      </c>
      <c r="G309" t="inlineStr">
        <is>
          <t>SANDVIKEN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46220</v>
      </c>
      <c r="F310" t="inlineStr">
        <is>
          <t>GÄVLEBORGS LÄN</t>
        </is>
      </c>
      <c r="G310" t="inlineStr">
        <is>
          <t>SANDVIKEN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46051</v>
      </c>
      <c r="E311" s="1" t="n">
        <v>46220</v>
      </c>
      <c r="F311" t="inlineStr">
        <is>
          <t>GÄVLEBORGS LÄN</t>
        </is>
      </c>
      <c r="G311" t="inlineStr">
        <is>
          <t>SANDVIKEN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46051</v>
      </c>
      <c r="E312" s="1" t="n">
        <v>46220</v>
      </c>
      <c r="F312" t="inlineStr">
        <is>
          <t>GÄVLEBORGS LÄN</t>
        </is>
      </c>
      <c r="G312" t="inlineStr">
        <is>
          <t>SANDVIKEN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46220</v>
      </c>
      <c r="F313" t="inlineStr">
        <is>
          <t>GÄVLEBORGS LÄN</t>
        </is>
      </c>
      <c r="G313" t="inlineStr">
        <is>
          <t>SANDVIKEN</t>
        </is>
      </c>
      <c r="H313" t="inlineStr">
        <is>
          <t>Kommuner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6793-2026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46220</v>
      </c>
      <c r="F314" t="inlineStr">
        <is>
          <t>GÄVLEBORGS LÄN</t>
        </is>
      </c>
      <c r="G314" t="inlineStr">
        <is>
          <t>SANDVIKEN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46220</v>
      </c>
      <c r="F315" t="inlineStr">
        <is>
          <t>GÄVLEBORGS LÄN</t>
        </is>
      </c>
      <c r="G315" t="inlineStr">
        <is>
          <t>SANDVIKEN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46220</v>
      </c>
      <c r="F316" t="inlineStr">
        <is>
          <t>GÄVLEBORGS LÄN</t>
        </is>
      </c>
      <c r="G316" t="inlineStr">
        <is>
          <t>SANDVIKEN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46220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25828-2024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45467</v>
      </c>
      <c r="E318" s="1" t="n">
        <v>46220</v>
      </c>
      <c r="F318" t="inlineStr">
        <is>
          <t>GÄVLEBORGS LÄN</t>
        </is>
      </c>
      <c r="G318" t="inlineStr">
        <is>
          <t>SANDVIKEN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6495-2026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46220</v>
      </c>
      <c r="F319" t="inlineStr">
        <is>
          <t>GÄVLEBORGS LÄN</t>
        </is>
      </c>
      <c r="G319" t="inlineStr">
        <is>
          <t>SANDVIKEN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6651-2026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46220</v>
      </c>
      <c r="F320" t="inlineStr">
        <is>
          <t>GÄVLEBORGS LÄN</t>
        </is>
      </c>
      <c r="G320" t="inlineStr">
        <is>
          <t>SANDVIKEN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46220</v>
      </c>
      <c r="F321" t="inlineStr">
        <is>
          <t>GÄVLEBORGS LÄN</t>
        </is>
      </c>
      <c r="G321" t="inlineStr">
        <is>
          <t>SANDVIKEN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61694-2021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44501</v>
      </c>
      <c r="E322" s="1" t="n">
        <v>46220</v>
      </c>
      <c r="F322" t="inlineStr">
        <is>
          <t>GÄVLEBORGS LÄN</t>
        </is>
      </c>
      <c r="G322" t="inlineStr">
        <is>
          <t>SANDVIKEN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55595-2025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46220</v>
      </c>
      <c r="F323" t="inlineStr">
        <is>
          <t>GÄVLEBORGS LÄN</t>
        </is>
      </c>
      <c r="G323" t="inlineStr">
        <is>
          <t>SANDVIKEN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55355-2025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46220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46220</v>
      </c>
      <c r="F325" t="inlineStr">
        <is>
          <t>GÄVLEBORGS LÄN</t>
        </is>
      </c>
      <c r="G325" t="inlineStr">
        <is>
          <t>SANDVIKEN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55099-2025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46220</v>
      </c>
      <c r="F326" t="inlineStr">
        <is>
          <t>GÄVLEBORGS LÄN</t>
        </is>
      </c>
      <c r="G326" t="inlineStr">
        <is>
          <t>SANDVIKEN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72997-2021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44549</v>
      </c>
      <c r="E327" s="1" t="n">
        <v>46220</v>
      </c>
      <c r="F327" t="inlineStr">
        <is>
          <t>GÄVLEBORGS LÄN</t>
        </is>
      </c>
      <c r="G327" t="inlineStr">
        <is>
          <t>SANDVIKEN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7032-2025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46220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38215-2023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46220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32609-2023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46220</v>
      </c>
      <c r="F330" t="inlineStr">
        <is>
          <t>GÄVLEBORGS LÄN</t>
        </is>
      </c>
      <c r="G330" t="inlineStr">
        <is>
          <t>SANDVIKEN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46220</v>
      </c>
      <c r="F331" t="inlineStr">
        <is>
          <t>GÄVLEBORGS LÄN</t>
        </is>
      </c>
      <c r="G331" t="inlineStr">
        <is>
          <t>SANDVIKEN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6555-2026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46220</v>
      </c>
      <c r="F332" t="inlineStr">
        <is>
          <t>GÄVLEBORGS LÄN</t>
        </is>
      </c>
      <c r="G332" t="inlineStr">
        <is>
          <t>SANDVIKEN</t>
        </is>
      </c>
      <c r="H332" t="inlineStr">
        <is>
          <t>Kommuner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19421-2025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46220</v>
      </c>
      <c r="F333" t="inlineStr">
        <is>
          <t>GÄVLEBORGS LÄN</t>
        </is>
      </c>
      <c r="G333" t="inlineStr">
        <is>
          <t>SANDVIKEN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55607-2025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46220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7348-2026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46220</v>
      </c>
      <c r="F335" t="inlineStr">
        <is>
          <t>GÄVLEBORGS LÄN</t>
        </is>
      </c>
      <c r="G335" t="inlineStr">
        <is>
          <t>SANDVIKEN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13632-2024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45390</v>
      </c>
      <c r="E336" s="1" t="n">
        <v>46220</v>
      </c>
      <c r="F336" t="inlineStr">
        <is>
          <t>GÄVLEBORGS LÄN</t>
        </is>
      </c>
      <c r="G336" t="inlineStr">
        <is>
          <t>SANDVIKEN</t>
        </is>
      </c>
      <c r="H336" t="inlineStr">
        <is>
          <t>Kyrkan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56587-2025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46220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58916-2023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46220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7343-2026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46220</v>
      </c>
      <c r="F339" t="inlineStr">
        <is>
          <t>GÄVLEBORGS LÄN</t>
        </is>
      </c>
      <c r="G339" t="inlineStr">
        <is>
          <t>SANDVIKEN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7350-2026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46220</v>
      </c>
      <c r="F340" t="inlineStr">
        <is>
          <t>GÄVLEBORGS LÄN</t>
        </is>
      </c>
      <c r="G340" t="inlineStr">
        <is>
          <t>SANDVIKEN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46220</v>
      </c>
      <c r="F341" t="inlineStr">
        <is>
          <t>GÄVLEBORGS LÄN</t>
        </is>
      </c>
      <c r="G341" t="inlineStr">
        <is>
          <t>SANDVIKEN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45660</v>
      </c>
      <c r="E342" s="1" t="n">
        <v>46220</v>
      </c>
      <c r="F342" t="inlineStr">
        <is>
          <t>GÄVLEBORGS LÄN</t>
        </is>
      </c>
      <c r="G342" t="inlineStr">
        <is>
          <t>SANDVIKEN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46220</v>
      </c>
      <c r="F343" t="inlineStr">
        <is>
          <t>GÄVLEBORGS LÄN</t>
        </is>
      </c>
      <c r="G343" t="inlineStr">
        <is>
          <t>SANDVIKEN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7360-2026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46220</v>
      </c>
      <c r="F344" t="inlineStr">
        <is>
          <t>GÄVLEBORGS LÄN</t>
        </is>
      </c>
      <c r="G344" t="inlineStr">
        <is>
          <t>SANDVIKEN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46220</v>
      </c>
      <c r="F345" t="inlineStr">
        <is>
          <t>GÄVLEBORGS LÄN</t>
        </is>
      </c>
      <c r="G345" t="inlineStr">
        <is>
          <t>SANDVIKEN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56703-2025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45977</v>
      </c>
      <c r="E346" s="1" t="n">
        <v>46220</v>
      </c>
      <c r="F346" t="inlineStr">
        <is>
          <t>GÄVLEBORGS LÄN</t>
        </is>
      </c>
      <c r="G346" t="inlineStr">
        <is>
          <t>SANDVIKEN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56755-2025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46220</v>
      </c>
      <c r="F347" t="inlineStr">
        <is>
          <t>GÄVLEBORGS LÄN</t>
        </is>
      </c>
      <c r="G347" t="inlineStr">
        <is>
          <t>SANDVIKEN</t>
        </is>
      </c>
      <c r="I347" t="n">
        <v>10.4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57261-2025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46220</v>
      </c>
      <c r="F348" t="inlineStr">
        <is>
          <t>GÄVLEBORGS LÄN</t>
        </is>
      </c>
      <c r="G348" t="inlineStr">
        <is>
          <t>SANDVIKEN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45246</v>
      </c>
      <c r="E349" s="1" t="n">
        <v>46220</v>
      </c>
      <c r="F349" t="inlineStr">
        <is>
          <t>GÄVLEBORGS LÄN</t>
        </is>
      </c>
      <c r="G349" t="inlineStr">
        <is>
          <t>SANDVIKEN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28523-2024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45478</v>
      </c>
      <c r="E350" s="1" t="n">
        <v>46220</v>
      </c>
      <c r="F350" t="inlineStr">
        <is>
          <t>GÄVLEBORGS LÄN</t>
        </is>
      </c>
      <c r="G350" t="inlineStr">
        <is>
          <t>SANDVIKEN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32260-2023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46220</v>
      </c>
      <c r="F351" t="inlineStr">
        <is>
          <t>GÄVLEBORGS LÄN</t>
        </is>
      </c>
      <c r="G351" t="inlineStr">
        <is>
          <t>SANDVIKEN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7890-2026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46220</v>
      </c>
      <c r="F352" t="inlineStr">
        <is>
          <t>GÄVLEBORGS LÄN</t>
        </is>
      </c>
      <c r="G352" t="inlineStr">
        <is>
          <t>SANDVIKEN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7885-2026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46220</v>
      </c>
      <c r="F353" t="inlineStr">
        <is>
          <t>GÄVLEBORGS LÄN</t>
        </is>
      </c>
      <c r="G353" t="inlineStr">
        <is>
          <t>SANDVIKEN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7886-2026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46220</v>
      </c>
      <c r="F354" t="inlineStr">
        <is>
          <t>GÄVLEBORGS LÄN</t>
        </is>
      </c>
      <c r="G354" t="inlineStr">
        <is>
          <t>SANDVIKEN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45983</v>
      </c>
      <c r="E355" s="1" t="n">
        <v>46220</v>
      </c>
      <c r="F355" t="inlineStr">
        <is>
          <t>GÄVLEBORGS LÄN</t>
        </is>
      </c>
      <c r="G355" t="inlineStr">
        <is>
          <t>SANDVIKEN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58197-2025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45984</v>
      </c>
      <c r="E356" s="1" t="n">
        <v>46220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58199-2025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45984</v>
      </c>
      <c r="E357" s="1" t="n">
        <v>46220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58201-2025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45984</v>
      </c>
      <c r="E358" s="1" t="n">
        <v>46220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7725-2026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46220</v>
      </c>
      <c r="F359" t="inlineStr">
        <is>
          <t>GÄVLEBORGS LÄN</t>
        </is>
      </c>
      <c r="G359" t="inlineStr">
        <is>
          <t>SANDVIKEN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7910-2026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46220</v>
      </c>
      <c r="F360" t="inlineStr">
        <is>
          <t>GÄVLEBORGS LÄN</t>
        </is>
      </c>
      <c r="G360" t="inlineStr">
        <is>
          <t>SANDVIKEN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46220</v>
      </c>
      <c r="F361" t="inlineStr">
        <is>
          <t>GÄVLEBORGS LÄN</t>
        </is>
      </c>
      <c r="G361" t="inlineStr">
        <is>
          <t>SANDVIKEN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57933-2025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46220</v>
      </c>
      <c r="F362" t="inlineStr">
        <is>
          <t>GÄVLEBORGS LÄN</t>
        </is>
      </c>
      <c r="G362" t="inlineStr">
        <is>
          <t>SANDVIKEN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7914-2026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46220</v>
      </c>
      <c r="F363" t="inlineStr">
        <is>
          <t>GÄVLEBORGS LÄN</t>
        </is>
      </c>
      <c r="G363" t="inlineStr">
        <is>
          <t>SANDVIKEN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58207-2025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46220</v>
      </c>
      <c r="F364" t="inlineStr">
        <is>
          <t>GÄVLEBORGS LÄN</t>
        </is>
      </c>
      <c r="G364" t="inlineStr">
        <is>
          <t>SANDVIKEN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7877-2026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46220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58592-2025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46220</v>
      </c>
      <c r="F366" t="inlineStr">
        <is>
          <t>GÄVLEBORGS LÄN</t>
        </is>
      </c>
      <c r="G366" t="inlineStr">
        <is>
          <t>SANDVIKEN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7892-2026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46220</v>
      </c>
      <c r="F367" t="inlineStr">
        <is>
          <t>GÄVLEBORGS LÄN</t>
        </is>
      </c>
      <c r="G367" t="inlineStr">
        <is>
          <t>SANDVIKEN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7694-2026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46220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46220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8611-2026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46220</v>
      </c>
      <c r="F370" t="inlineStr">
        <is>
          <t>GÄVLEBORGS LÄN</t>
        </is>
      </c>
      <c r="G370" t="inlineStr">
        <is>
          <t>SANDVIKEN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3679-2022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44586</v>
      </c>
      <c r="E371" s="1" t="n">
        <v>46220</v>
      </c>
      <c r="F371" t="inlineStr">
        <is>
          <t>GÄVLEBORGS LÄN</t>
        </is>
      </c>
      <c r="G371" t="inlineStr">
        <is>
          <t>SANDVIKEN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8612-2026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46220</v>
      </c>
      <c r="F372" t="inlineStr">
        <is>
          <t>GÄVLEBORGS LÄN</t>
        </is>
      </c>
      <c r="G372" t="inlineStr">
        <is>
          <t>SANDVIKEN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8608-2026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46220</v>
      </c>
      <c r="F373" t="inlineStr">
        <is>
          <t>GÄVLEBORGS LÄN</t>
        </is>
      </c>
      <c r="G373" t="inlineStr">
        <is>
          <t>SANDVIKEN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59750-2025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46220</v>
      </c>
      <c r="F374" t="inlineStr">
        <is>
          <t>GÄVLEBORGS LÄN</t>
        </is>
      </c>
      <c r="G374" t="inlineStr">
        <is>
          <t>SANDVIKEN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8363-2026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46220</v>
      </c>
      <c r="F375" t="inlineStr">
        <is>
          <t>GÄVLEBORGS LÄN</t>
        </is>
      </c>
      <c r="G375" t="inlineStr">
        <is>
          <t>SANDVIKEN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59755-2025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46220</v>
      </c>
      <c r="F376" t="inlineStr">
        <is>
          <t>GÄVLEBORGS LÄN</t>
        </is>
      </c>
      <c r="G376" t="inlineStr">
        <is>
          <t>SANDVIKEN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59718-2025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46220</v>
      </c>
      <c r="F377" t="inlineStr">
        <is>
          <t>GÄVLEBORGS LÄN</t>
        </is>
      </c>
      <c r="G377" t="inlineStr">
        <is>
          <t>SANDVIKEN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8574-2026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46065</v>
      </c>
      <c r="E378" s="1" t="n">
        <v>46220</v>
      </c>
      <c r="F378" t="inlineStr">
        <is>
          <t>GÄVLEBORGS LÄN</t>
        </is>
      </c>
      <c r="G378" t="inlineStr">
        <is>
          <t>SANDVIKEN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59623-2025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46220</v>
      </c>
      <c r="F379" t="inlineStr">
        <is>
          <t>GÄVLEBORGS LÄN</t>
        </is>
      </c>
      <c r="G379" t="inlineStr">
        <is>
          <t>SANDVIKEN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46220</v>
      </c>
      <c r="F380" t="inlineStr">
        <is>
          <t>GÄVLEBORGS LÄN</t>
        </is>
      </c>
      <c r="G380" t="inlineStr">
        <is>
          <t>SANDVIKEN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9093-2026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46220</v>
      </c>
      <c r="F381" t="inlineStr">
        <is>
          <t>GÄVLEBORGS LÄN</t>
        </is>
      </c>
      <c r="G381" t="inlineStr">
        <is>
          <t>SANDVIKEN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60952-2025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46220</v>
      </c>
      <c r="F382" t="inlineStr">
        <is>
          <t>GÄVLEBORGS LÄN</t>
        </is>
      </c>
      <c r="G382" t="inlineStr">
        <is>
          <t>SANDVIKEN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22373-2023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45070</v>
      </c>
      <c r="E383" s="1" t="n">
        <v>46220</v>
      </c>
      <c r="F383" t="inlineStr">
        <is>
          <t>GÄVLEBORGS LÄN</t>
        </is>
      </c>
      <c r="G383" t="inlineStr">
        <is>
          <t>SANDVIKEN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58796-2024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45636</v>
      </c>
      <c r="E384" s="1" t="n">
        <v>46220</v>
      </c>
      <c r="F384" t="inlineStr">
        <is>
          <t>GÄVLEBORGS LÄN</t>
        </is>
      </c>
      <c r="G384" t="inlineStr">
        <is>
          <t>SANDVIKEN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25357-2023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45087</v>
      </c>
      <c r="E385" s="1" t="n">
        <v>46220</v>
      </c>
      <c r="F385" t="inlineStr">
        <is>
          <t>GÄVLEBORGS LÄN</t>
        </is>
      </c>
      <c r="G385" t="inlineStr">
        <is>
          <t>SANDVIKEN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8719-2026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46220</v>
      </c>
      <c r="F386" t="inlineStr">
        <is>
          <t>GÄVLEBORGS LÄN</t>
        </is>
      </c>
      <c r="G386" t="inlineStr">
        <is>
          <t>SANDVIKEN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35252-2024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45530</v>
      </c>
      <c r="E387" s="1" t="n">
        <v>46220</v>
      </c>
      <c r="F387" t="inlineStr">
        <is>
          <t>GÄVLEBORGS LÄN</t>
        </is>
      </c>
      <c r="G387" t="inlineStr">
        <is>
          <t>SANDVIKEN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9142-2026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46220</v>
      </c>
      <c r="F388" t="inlineStr">
        <is>
          <t>GÄVLEBORGS LÄN</t>
        </is>
      </c>
      <c r="G388" t="inlineStr">
        <is>
          <t>SANDVIKEN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61299-2025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46220</v>
      </c>
      <c r="F389" t="inlineStr">
        <is>
          <t>GÄVLEBORGS LÄN</t>
        </is>
      </c>
      <c r="G389" t="inlineStr">
        <is>
          <t>SANDVIKEN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61303-2025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46220</v>
      </c>
      <c r="F390" t="inlineStr">
        <is>
          <t>GÄVLEBORGS LÄN</t>
        </is>
      </c>
      <c r="G390" t="inlineStr">
        <is>
          <t>SANDVIKEN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58198-2025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46220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32291-2024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45512</v>
      </c>
      <c r="E392" s="1" t="n">
        <v>46220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58804-2025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45986</v>
      </c>
      <c r="E393" s="1" t="n">
        <v>46220</v>
      </c>
      <c r="F393" t="inlineStr">
        <is>
          <t>GÄVLEBORGS LÄN</t>
        </is>
      </c>
      <c r="G393" t="inlineStr">
        <is>
          <t>SANDVIKEN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61020-2025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46220</v>
      </c>
      <c r="F394" t="inlineStr">
        <is>
          <t>GÄVLEBORGS LÄN</t>
        </is>
      </c>
      <c r="G394" t="inlineStr">
        <is>
          <t>SANDVIKEN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61022-2025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46220</v>
      </c>
      <c r="F395" t="inlineStr">
        <is>
          <t>GÄVLEBORGS LÄN</t>
        </is>
      </c>
      <c r="G395" t="inlineStr">
        <is>
          <t>SANDVIKEN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24764-2024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45460</v>
      </c>
      <c r="E396" s="1" t="n">
        <v>46220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8713-2026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46220</v>
      </c>
      <c r="F397" t="inlineStr">
        <is>
          <t>GÄVLEBORGS LÄN</t>
        </is>
      </c>
      <c r="G397" t="inlineStr">
        <is>
          <t>SANDVIKEN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61301-2025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46220</v>
      </c>
      <c r="F398" t="inlineStr">
        <is>
          <t>GÄVLEBORGS LÄN</t>
        </is>
      </c>
      <c r="G398" t="inlineStr">
        <is>
          <t>SANDVIKEN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46220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8706-2026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46220</v>
      </c>
      <c r="F400" t="inlineStr">
        <is>
          <t>GÄVLEBORGS LÄN</t>
        </is>
      </c>
      <c r="G400" t="inlineStr">
        <is>
          <t>SANDVIKEN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45984</v>
      </c>
      <c r="E401" s="1" t="n">
        <v>46220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60897-2023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46220</v>
      </c>
      <c r="F402" t="inlineStr">
        <is>
          <t>GÄVLEBORGS LÄN</t>
        </is>
      </c>
      <c r="G402" t="inlineStr">
        <is>
          <t>SANDVIKEN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62047-2022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44918</v>
      </c>
      <c r="E403" s="1" t="n">
        <v>46220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45331-2024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45576</v>
      </c>
      <c r="E404" s="1" t="n">
        <v>46220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9480-2026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46220</v>
      </c>
      <c r="F405" t="inlineStr">
        <is>
          <t>GÄVLEBORGS LÄN</t>
        </is>
      </c>
      <c r="G405" t="inlineStr">
        <is>
          <t>SANDVIKEN</t>
        </is>
      </c>
      <c r="H405" t="inlineStr">
        <is>
          <t>Naturvårdsverket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62642-2023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46220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62056-2022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44918</v>
      </c>
      <c r="E407" s="1" t="n">
        <v>46220</v>
      </c>
      <c r="F407" t="inlineStr">
        <is>
          <t>GÄVLEBORGS LÄN</t>
        </is>
      </c>
      <c r="G407" t="inlineStr">
        <is>
          <t>SANDVIKEN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10022-2026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46220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10025-2026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46220</v>
      </c>
      <c r="F409" t="inlineStr">
        <is>
          <t>GÄVLEBORGS LÄN</t>
        </is>
      </c>
      <c r="G409" t="inlineStr">
        <is>
          <t>SANDVIKEN</t>
        </is>
      </c>
      <c r="H409" t="inlineStr">
        <is>
          <t>Kommuner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58182-2023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45245</v>
      </c>
      <c r="E410" s="1" t="n">
        <v>46220</v>
      </c>
      <c r="F410" t="inlineStr">
        <is>
          <t>GÄVLEBORGS LÄN</t>
        </is>
      </c>
      <c r="G410" t="inlineStr">
        <is>
          <t>SANDVIKEN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9651-2026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46220</v>
      </c>
      <c r="F411" t="inlineStr">
        <is>
          <t>GÄVLEBORGS LÄN</t>
        </is>
      </c>
      <c r="G411" t="inlineStr">
        <is>
          <t>SANDVIKEN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15674-2024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46220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9653-2026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46220</v>
      </c>
      <c r="F413" t="inlineStr">
        <is>
          <t>GÄVLEBORGS LÄN</t>
        </is>
      </c>
      <c r="G413" t="inlineStr">
        <is>
          <t>SANDVIKEN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9714-2026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46220</v>
      </c>
      <c r="F414" t="inlineStr">
        <is>
          <t>GÄVLEBORGS LÄN</t>
        </is>
      </c>
      <c r="G414" t="inlineStr">
        <is>
          <t>SANDVIKEN</t>
        </is>
      </c>
      <c r="H414" t="inlineStr">
        <is>
          <t>Naturvårdsverket</t>
        </is>
      </c>
      <c r="I414" t="n">
        <v>19.5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10176-2026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46220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63486-2025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46220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10107-2026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46074</v>
      </c>
      <c r="E417" s="1" t="n">
        <v>46220</v>
      </c>
      <c r="F417" t="inlineStr">
        <is>
          <t>GÄVLEBORGS LÄN</t>
        </is>
      </c>
      <c r="G417" t="inlineStr">
        <is>
          <t>SANDVIKEN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46220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22042-2023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46220</v>
      </c>
      <c r="F419" t="inlineStr">
        <is>
          <t>GÄVLEBORGS LÄN</t>
        </is>
      </c>
      <c r="G419" t="inlineStr">
        <is>
          <t>SANDVIKEN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45666</v>
      </c>
      <c r="E420" s="1" t="n">
        <v>46220</v>
      </c>
      <c r="F420" t="inlineStr">
        <is>
          <t>GÄVLEBORGS LÄN</t>
        </is>
      </c>
      <c r="G420" t="inlineStr">
        <is>
          <t>SANDVIKEN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16980-2025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45755</v>
      </c>
      <c r="E421" s="1" t="n">
        <v>46220</v>
      </c>
      <c r="F421" t="inlineStr">
        <is>
          <t>GÄVLEBORGS LÄN</t>
        </is>
      </c>
      <c r="G421" t="inlineStr">
        <is>
          <t>SANDVIKEN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46220</v>
      </c>
      <c r="F422" t="inlineStr">
        <is>
          <t>GÄVLEBORGS LÄN</t>
        </is>
      </c>
      <c r="G422" t="inlineStr">
        <is>
          <t>SANDVIKEN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10808-2026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46220</v>
      </c>
      <c r="F423" t="inlineStr">
        <is>
          <t>GÄVLEBORGS LÄN</t>
        </is>
      </c>
      <c r="G423" t="inlineStr">
        <is>
          <t>SANDVIKEN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46220</v>
      </c>
      <c r="F424" t="inlineStr">
        <is>
          <t>GÄVLEBORGS LÄN</t>
        </is>
      </c>
      <c r="G424" t="inlineStr">
        <is>
          <t>SANDVIKEN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17498-2024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45415</v>
      </c>
      <c r="E425" s="1" t="n">
        <v>46220</v>
      </c>
      <c r="F425" t="inlineStr">
        <is>
          <t>GÄVLEBORGS LÄN</t>
        </is>
      </c>
      <c r="G425" t="inlineStr">
        <is>
          <t>SANDVIKEN</t>
        </is>
      </c>
      <c r="H425" t="inlineStr">
        <is>
          <t>Kommuner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11191-2026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46220</v>
      </c>
      <c r="F426" t="inlineStr">
        <is>
          <t>GÄVLEBORGS LÄN</t>
        </is>
      </c>
      <c r="G426" t="inlineStr">
        <is>
          <t>SANDVIKEN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11756-2023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44994</v>
      </c>
      <c r="E427" s="1" t="n">
        <v>46220</v>
      </c>
      <c r="F427" t="inlineStr">
        <is>
          <t>GÄVLEBORGS LÄN</t>
        </is>
      </c>
      <c r="G427" t="inlineStr">
        <is>
          <t>SANDVIKEN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11764-2023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44994</v>
      </c>
      <c r="E428" s="1" t="n">
        <v>46220</v>
      </c>
      <c r="F428" t="inlineStr">
        <is>
          <t>GÄVLEBORGS LÄN</t>
        </is>
      </c>
      <c r="G428" t="inlineStr">
        <is>
          <t>SANDVIKEN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46220</v>
      </c>
      <c r="F429" t="inlineStr">
        <is>
          <t>GÄVLEBORGS LÄN</t>
        </is>
      </c>
      <c r="G429" t="inlineStr">
        <is>
          <t>SANDVIKEN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17256-2024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45414</v>
      </c>
      <c r="E430" s="1" t="n">
        <v>46220</v>
      </c>
      <c r="F430" t="inlineStr">
        <is>
          <t>GÄVLEBORGS LÄN</t>
        </is>
      </c>
      <c r="G430" t="inlineStr">
        <is>
          <t>SANDVIKEN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46080</v>
      </c>
      <c r="E431" s="1" t="n">
        <v>46220</v>
      </c>
      <c r="F431" t="inlineStr">
        <is>
          <t>GÄVLEBORGS LÄN</t>
        </is>
      </c>
      <c r="G431" t="inlineStr">
        <is>
          <t>SANDVIKEN</t>
        </is>
      </c>
      <c r="I431" t="n">
        <v>14.5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61858-2024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45649</v>
      </c>
      <c r="E432" s="1" t="n">
        <v>46220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46220</v>
      </c>
      <c r="F433" t="inlineStr">
        <is>
          <t>GÄVLEBORGS LÄN</t>
        </is>
      </c>
      <c r="G433" t="inlineStr">
        <is>
          <t>SANDVIKEN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11707-2026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46220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11725-2026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46220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11726-2026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46220</v>
      </c>
      <c r="F436" t="inlineStr">
        <is>
          <t>GÄVLEBORGS LÄN</t>
        </is>
      </c>
      <c r="G436" t="inlineStr">
        <is>
          <t>SANDVIKEN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11494-2026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46220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46220</v>
      </c>
      <c r="F438" t="inlineStr">
        <is>
          <t>GÄVLEBORGS LÄN</t>
        </is>
      </c>
      <c r="G438" t="inlineStr">
        <is>
          <t>SANDVIKEN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11786-2026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46220</v>
      </c>
      <c r="F439" t="inlineStr">
        <is>
          <t>GÄVLEBORGS LÄN</t>
        </is>
      </c>
      <c r="G439" t="inlineStr">
        <is>
          <t>SANDVIKEN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12064-2026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46220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11914-2026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46220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12166-2026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46220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12132-2026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46220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11940-2026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46220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12146-2026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46220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11976-2026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46220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11800-2026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46220</v>
      </c>
      <c r="F447" t="inlineStr">
        <is>
          <t>GÄVLEBORGS LÄN</t>
        </is>
      </c>
      <c r="G447" t="inlineStr">
        <is>
          <t>SANDVIKEN</t>
        </is>
      </c>
      <c r="H447" t="inlineStr">
        <is>
          <t>Naturvårdsverket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46220</v>
      </c>
      <c r="F448" t="inlineStr">
        <is>
          <t>GÄVLEBORGS LÄN</t>
        </is>
      </c>
      <c r="G448" t="inlineStr">
        <is>
          <t>SANDVIKEN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12089-2026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46220</v>
      </c>
      <c r="F449" t="inlineStr">
        <is>
          <t>GÄVLEBORGS LÄN</t>
        </is>
      </c>
      <c r="G449" t="inlineStr">
        <is>
          <t>SANDVIKEN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12091-2026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46220</v>
      </c>
      <c r="F450" t="inlineStr">
        <is>
          <t>GÄVLEBORGS LÄN</t>
        </is>
      </c>
      <c r="G450" t="inlineStr">
        <is>
          <t>SANDVIKEN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12099-2026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46086</v>
      </c>
      <c r="E451" s="1" t="n">
        <v>46220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12081-2026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46220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12062-2026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46220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12098-2026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46220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11898-2026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46220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12079-2026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46086</v>
      </c>
      <c r="E456" s="1" t="n">
        <v>46220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12208-2026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46220</v>
      </c>
      <c r="F457" t="inlineStr">
        <is>
          <t>GÄVLEBORGS LÄN</t>
        </is>
      </c>
      <c r="G457" t="inlineStr">
        <is>
          <t>SANDVIKEN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12433-2026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46220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12293-2026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46220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12417-2025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45730</v>
      </c>
      <c r="E460" s="1" t="n">
        <v>46220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12418-2025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45730</v>
      </c>
      <c r="E461" s="1" t="n">
        <v>46220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12317-2026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46220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27.2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12426-2026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46220</v>
      </c>
      <c r="F463" t="inlineStr">
        <is>
          <t>GÄVLEBORGS LÄN</t>
        </is>
      </c>
      <c r="G463" t="inlineStr">
        <is>
          <t>SANDVIKEN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12586-2026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46220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12891-2026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46220</v>
      </c>
      <c r="F465" t="inlineStr">
        <is>
          <t>GÄVLEBORGS LÄN</t>
        </is>
      </c>
      <c r="G465" t="inlineStr">
        <is>
          <t>SANDVIKEN</t>
        </is>
      </c>
      <c r="H465" t="inlineStr">
        <is>
          <t>Naturvårdsverket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12826-2026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46220</v>
      </c>
      <c r="F466" t="inlineStr">
        <is>
          <t>GÄVLEBORGS LÄN</t>
        </is>
      </c>
      <c r="G466" t="inlineStr">
        <is>
          <t>SANDVIKEN</t>
        </is>
      </c>
      <c r="H466" t="inlineStr">
        <is>
          <t>Naturvårdsverket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12641-2026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46220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12672-2026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46220</v>
      </c>
      <c r="F468" t="inlineStr">
        <is>
          <t>GÄVLEBORGS LÄN</t>
        </is>
      </c>
      <c r="G468" t="inlineStr">
        <is>
          <t>SANDVIKEN</t>
        </is>
      </c>
      <c r="H468" t="inlineStr">
        <is>
          <t>Naturvårdsverket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12656-2026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46220</v>
      </c>
      <c r="F469" t="inlineStr">
        <is>
          <t>GÄVLEBORGS LÄN</t>
        </is>
      </c>
      <c r="G469" t="inlineStr">
        <is>
          <t>SANDVIKEN</t>
        </is>
      </c>
      <c r="H469" t="inlineStr">
        <is>
          <t>Naturvårdsverket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60891-2023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46220</v>
      </c>
      <c r="F470" t="inlineStr">
        <is>
          <t>GÄVLEBORGS LÄN</t>
        </is>
      </c>
      <c r="G470" t="inlineStr">
        <is>
          <t>SANDVIKEN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12847-2026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46092</v>
      </c>
      <c r="E471" s="1" t="n">
        <v>46220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12857-2026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46220</v>
      </c>
      <c r="F472" t="inlineStr">
        <is>
          <t>GÄVLEBORGS LÄN</t>
        </is>
      </c>
      <c r="G472" t="inlineStr">
        <is>
          <t>SANDVIKEN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3788-2026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46220</v>
      </c>
      <c r="F473" t="inlineStr">
        <is>
          <t>GÄVLEBORGS LÄN</t>
        </is>
      </c>
      <c r="G473" t="inlineStr">
        <is>
          <t>SANDVIKEN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45293</v>
      </c>
      <c r="E474" s="1" t="n">
        <v>46220</v>
      </c>
      <c r="F474" t="inlineStr">
        <is>
          <t>GÄVLEBORGS LÄN</t>
        </is>
      </c>
      <c r="G474" t="inlineStr">
        <is>
          <t>SANDVIKEN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45293</v>
      </c>
      <c r="E475" s="1" t="n">
        <v>46220</v>
      </c>
      <c r="F475" t="inlineStr">
        <is>
          <t>GÄVLEBORGS LÄN</t>
        </is>
      </c>
      <c r="G475" t="inlineStr">
        <is>
          <t>SANDVIKEN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12893-2026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46220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12704-2026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46091</v>
      </c>
      <c r="E477" s="1" t="n">
        <v>46220</v>
      </c>
      <c r="F477" t="inlineStr">
        <is>
          <t>GÄVLEBORGS LÄN</t>
        </is>
      </c>
      <c r="G477" t="inlineStr">
        <is>
          <t>SANDVIKEN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13138-2026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46220</v>
      </c>
      <c r="F478" t="inlineStr">
        <is>
          <t>GÄVLEBORGS LÄN</t>
        </is>
      </c>
      <c r="G478" t="inlineStr">
        <is>
          <t>SANDVIKEN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13409-2026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46220</v>
      </c>
      <c r="F479" t="inlineStr">
        <is>
          <t>GÄVLEBORGS LÄN</t>
        </is>
      </c>
      <c r="G479" t="inlineStr">
        <is>
          <t>SANDVIKEN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13416-2026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46220</v>
      </c>
      <c r="F480" t="inlineStr">
        <is>
          <t>GÄVLEBORGS LÄN</t>
        </is>
      </c>
      <c r="G480" t="inlineStr">
        <is>
          <t>SANDVIKEN</t>
        </is>
      </c>
      <c r="H480" t="inlineStr">
        <is>
          <t>Sveaskog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4498-2024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45327</v>
      </c>
      <c r="E481" s="1" t="n">
        <v>46220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13108-2026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46220</v>
      </c>
      <c r="F482" t="inlineStr">
        <is>
          <t>GÄVLEBORGS LÄN</t>
        </is>
      </c>
      <c r="G482" t="inlineStr">
        <is>
          <t>SANDVIKEN</t>
        </is>
      </c>
      <c r="I482" t="n">
        <v>22.5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46220</v>
      </c>
      <c r="F483" t="inlineStr">
        <is>
          <t>GÄVLEBORGS LÄN</t>
        </is>
      </c>
      <c r="G483" t="inlineStr">
        <is>
          <t>SANDVIKEN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13552-2026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46220</v>
      </c>
      <c r="F484" t="inlineStr">
        <is>
          <t>GÄVLEBORGS LÄN</t>
        </is>
      </c>
      <c r="G484" t="inlineStr">
        <is>
          <t>SANDVIKEN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13642-2026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46220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13727-2026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46220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13582-2026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46095</v>
      </c>
      <c r="E487" s="1" t="n">
        <v>46220</v>
      </c>
      <c r="F487" t="inlineStr">
        <is>
          <t>GÄVLEBORGS LÄN</t>
        </is>
      </c>
      <c r="G487" t="inlineStr">
        <is>
          <t>SANDVIKEN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13577-2026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46095</v>
      </c>
      <c r="E488" s="1" t="n">
        <v>46220</v>
      </c>
      <c r="F488" t="inlineStr">
        <is>
          <t>GÄVLEBORGS LÄN</t>
        </is>
      </c>
      <c r="G488" t="inlineStr">
        <is>
          <t>SANDVIKEN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13581-2026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46095</v>
      </c>
      <c r="E489" s="1" t="n">
        <v>46220</v>
      </c>
      <c r="F489" t="inlineStr">
        <is>
          <t>GÄVLEBORGS LÄN</t>
        </is>
      </c>
      <c r="G489" t="inlineStr">
        <is>
          <t>SANDVIKEN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46220</v>
      </c>
      <c r="F490" t="inlineStr">
        <is>
          <t>GÄVLEBORGS LÄN</t>
        </is>
      </c>
      <c r="G490" t="inlineStr">
        <is>
          <t>SANDVIKEN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46095</v>
      </c>
      <c r="E491" s="1" t="n">
        <v>46220</v>
      </c>
      <c r="F491" t="inlineStr">
        <is>
          <t>GÄVLEBORGS LÄN</t>
        </is>
      </c>
      <c r="G491" t="inlineStr">
        <is>
          <t>SANDVIKEN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46095</v>
      </c>
      <c r="E492" s="1" t="n">
        <v>46220</v>
      </c>
      <c r="F492" t="inlineStr">
        <is>
          <t>GÄVLEBORGS LÄN</t>
        </is>
      </c>
      <c r="G492" t="inlineStr">
        <is>
          <t>SANDVIKEN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13966-2026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46220</v>
      </c>
      <c r="F493" t="inlineStr">
        <is>
          <t>GÄVLEBORGS LÄN</t>
        </is>
      </c>
      <c r="G493" t="inlineStr">
        <is>
          <t>SANDVIKEN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14044-2026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46220</v>
      </c>
      <c r="F494" t="inlineStr">
        <is>
          <t>GÄVLEBORGS LÄN</t>
        </is>
      </c>
      <c r="G494" t="inlineStr">
        <is>
          <t>SANDVIKEN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13586-2026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46095</v>
      </c>
      <c r="E495" s="1" t="n">
        <v>46220</v>
      </c>
      <c r="F495" t="inlineStr">
        <is>
          <t>GÄVLEBORGS LÄN</t>
        </is>
      </c>
      <c r="G495" t="inlineStr">
        <is>
          <t>SANDVIKEN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13605-2026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46097</v>
      </c>
      <c r="E496" s="1" t="n">
        <v>46220</v>
      </c>
      <c r="F496" t="inlineStr">
        <is>
          <t>GÄVLEBORGS LÄN</t>
        </is>
      </c>
      <c r="G496" t="inlineStr">
        <is>
          <t>SANDVIKEN</t>
        </is>
      </c>
      <c r="H496" t="inlineStr">
        <is>
          <t>Kommuner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14257-2026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46220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14423-2026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46220</v>
      </c>
      <c r="F498" t="inlineStr">
        <is>
          <t>GÄVLEBORGS LÄN</t>
        </is>
      </c>
      <c r="G498" t="inlineStr">
        <is>
          <t>SANDVIKEN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14330-2026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46100</v>
      </c>
      <c r="E499" s="1" t="n">
        <v>46220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14119-2026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46099</v>
      </c>
      <c r="E500" s="1" t="n">
        <v>46220</v>
      </c>
      <c r="F500" t="inlineStr">
        <is>
          <t>GÄVLEBORGS LÄN</t>
        </is>
      </c>
      <c r="G500" t="inlineStr">
        <is>
          <t>SANDVIKEN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14094-2026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46220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14192-2026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46220</v>
      </c>
      <c r="F502" t="inlineStr">
        <is>
          <t>GÄVLEBORGS LÄN</t>
        </is>
      </c>
      <c r="G502" t="inlineStr">
        <is>
          <t>SANDVIKEN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14219-2026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46220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14093-2026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46220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14676-2026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46220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14720-2026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46220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3833-2024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45321</v>
      </c>
      <c r="E507" s="1" t="n">
        <v>46220</v>
      </c>
      <c r="F507" t="inlineStr">
        <is>
          <t>GÄVLEBORGS LÄN</t>
        </is>
      </c>
      <c r="G507" t="inlineStr">
        <is>
          <t>SANDVIKEN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14663-2026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46220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62459-2023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45268</v>
      </c>
      <c r="E509" s="1" t="n">
        <v>46220</v>
      </c>
      <c r="F509" t="inlineStr">
        <is>
          <t>GÄVLEBORGS LÄN</t>
        </is>
      </c>
      <c r="G509" t="inlineStr">
        <is>
          <t>SANDVIKEN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14649-2026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46220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7351-2026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46058</v>
      </c>
      <c r="E511" s="1" t="n">
        <v>46220</v>
      </c>
      <c r="F511" t="inlineStr">
        <is>
          <t>GÄVLEBORGS LÄN</t>
        </is>
      </c>
      <c r="G511" t="inlineStr">
        <is>
          <t>SANDVIKEN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15131-2026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46220</v>
      </c>
      <c r="F512" t="inlineStr">
        <is>
          <t>GÄVLEBORGS LÄN</t>
        </is>
      </c>
      <c r="G512" t="inlineStr">
        <is>
          <t>SANDVIKEN</t>
        </is>
      </c>
      <c r="H512" t="inlineStr">
        <is>
          <t>Sveaskog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15529-2026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46220</v>
      </c>
      <c r="F513" t="inlineStr">
        <is>
          <t>GÄVLEBORGS LÄN</t>
        </is>
      </c>
      <c r="G513" t="inlineStr">
        <is>
          <t>SANDVIKEN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15113-2026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46220</v>
      </c>
      <c r="F514" t="inlineStr">
        <is>
          <t>GÄVLEBORGS LÄN</t>
        </is>
      </c>
      <c r="G514" t="inlineStr">
        <is>
          <t>SANDVIKEN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15770-2026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46220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15778-2026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46220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36660-2023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45153</v>
      </c>
      <c r="E517" s="1" t="n">
        <v>46220</v>
      </c>
      <c r="F517" t="inlineStr">
        <is>
          <t>GÄVLEBORGS LÄN</t>
        </is>
      </c>
      <c r="G517" t="inlineStr">
        <is>
          <t>SANDVIKEN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15861-2026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46220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16019-2026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46220</v>
      </c>
      <c r="F519" t="inlineStr">
        <is>
          <t>GÄVLEBORGS LÄN</t>
        </is>
      </c>
      <c r="G519" t="inlineStr">
        <is>
          <t>SANDVIKEN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16060-2026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46220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16099-2026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46220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16242-2026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46220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16270-2026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46220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16328-2026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46220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45989-2023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46220</v>
      </c>
      <c r="F525" t="inlineStr">
        <is>
          <t>GÄVLEBORGS LÄN</t>
        </is>
      </c>
      <c r="G525" t="inlineStr">
        <is>
          <t>SANDVIKEN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5247-2026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46220</v>
      </c>
      <c r="F526" t="inlineStr">
        <is>
          <t>GÄVLEBORGS LÄN</t>
        </is>
      </c>
      <c r="G526" t="inlineStr">
        <is>
          <t>SANDVIKEN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16569-2026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46220</v>
      </c>
      <c r="F527" t="inlineStr">
        <is>
          <t>GÄVLEBORGS LÄN</t>
        </is>
      </c>
      <c r="G527" t="inlineStr">
        <is>
          <t>SANDVIKEN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65098-2023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45288</v>
      </c>
      <c r="E528" s="1" t="n">
        <v>46220</v>
      </c>
      <c r="F528" t="inlineStr">
        <is>
          <t>GÄVLEBORGS LÄN</t>
        </is>
      </c>
      <c r="G528" t="inlineStr">
        <is>
          <t>SANDVIKEN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35185-2022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44797</v>
      </c>
      <c r="E529" s="1" t="n">
        <v>46220</v>
      </c>
      <c r="F529" t="inlineStr">
        <is>
          <t>GÄVLEBORGS LÄN</t>
        </is>
      </c>
      <c r="G529" t="inlineStr">
        <is>
          <t>SANDVIKEN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61052-2024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46220</v>
      </c>
      <c r="F530" t="inlineStr">
        <is>
          <t>GÄVLEBORGS LÄN</t>
        </is>
      </c>
      <c r="G530" t="inlineStr">
        <is>
          <t>SANDVIKEN</t>
        </is>
      </c>
      <c r="H530" t="inlineStr">
        <is>
          <t>Naturvårdsverket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52785-2023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46220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16958-2026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46114</v>
      </c>
      <c r="E532" s="1" t="n">
        <v>46220</v>
      </c>
      <c r="F532" t="inlineStr">
        <is>
          <t>GÄVLEBORGS LÄN</t>
        </is>
      </c>
      <c r="G532" t="inlineStr">
        <is>
          <t>SANDVIKEN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17172-2026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46115</v>
      </c>
      <c r="E533" s="1" t="n">
        <v>46220</v>
      </c>
      <c r="F533" t="inlineStr">
        <is>
          <t>GÄVLEBORGS LÄN</t>
        </is>
      </c>
      <c r="G533" t="inlineStr">
        <is>
          <t>SANDVIKEN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17182-2026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46116</v>
      </c>
      <c r="E534" s="1" t="n">
        <v>46220</v>
      </c>
      <c r="F534" t="inlineStr">
        <is>
          <t>GÄVLEBORGS LÄN</t>
        </is>
      </c>
      <c r="G534" t="inlineStr">
        <is>
          <t>SANDVIKEN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17165-2026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46115</v>
      </c>
      <c r="E535" s="1" t="n">
        <v>46220</v>
      </c>
      <c r="F535" t="inlineStr">
        <is>
          <t>GÄVLEBORGS LÄN</t>
        </is>
      </c>
      <c r="G535" t="inlineStr">
        <is>
          <t>SANDVIKEN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46115</v>
      </c>
      <c r="E536" s="1" t="n">
        <v>46220</v>
      </c>
      <c r="F536" t="inlineStr">
        <is>
          <t>GÄVLEBORGS LÄN</t>
        </is>
      </c>
      <c r="G536" t="inlineStr">
        <is>
          <t>SANDVIKEN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17180-2026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46116</v>
      </c>
      <c r="E537" s="1" t="n">
        <v>46220</v>
      </c>
      <c r="F537" t="inlineStr">
        <is>
          <t>GÄVLEBORGS LÄN</t>
        </is>
      </c>
      <c r="G537" t="inlineStr">
        <is>
          <t>SANDVIKEN</t>
        </is>
      </c>
      <c r="I537" t="n">
        <v>8.9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7038-2025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45701</v>
      </c>
      <c r="E538" s="1" t="n">
        <v>46220</v>
      </c>
      <c r="F538" t="inlineStr">
        <is>
          <t>GÄVLEBORGS LÄN</t>
        </is>
      </c>
      <c r="G538" t="inlineStr">
        <is>
          <t>SANDVIKEN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17171-2026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46115</v>
      </c>
      <c r="E539" s="1" t="n">
        <v>46220</v>
      </c>
      <c r="F539" t="inlineStr">
        <is>
          <t>GÄVLEBORGS LÄN</t>
        </is>
      </c>
      <c r="G539" t="inlineStr">
        <is>
          <t>SANDVIKEN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17183-2026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46116</v>
      </c>
      <c r="E540" s="1" t="n">
        <v>46220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17166-2026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46115</v>
      </c>
      <c r="E541" s="1" t="n">
        <v>46220</v>
      </c>
      <c r="F541" t="inlineStr">
        <is>
          <t>GÄVLEBORGS LÄN</t>
        </is>
      </c>
      <c r="G541" t="inlineStr">
        <is>
          <t>SANDVIKEN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46115</v>
      </c>
      <c r="E542" s="1" t="n">
        <v>46220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46220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17363-2026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46220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17365-2026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46220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71995-2021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44544</v>
      </c>
      <c r="E546" s="1" t="n">
        <v>46220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17361-2026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46220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38570-2023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45162</v>
      </c>
      <c r="E548" s="1" t="n">
        <v>46220</v>
      </c>
      <c r="F548" t="inlineStr">
        <is>
          <t>GÄVLEBORGS LÄN</t>
        </is>
      </c>
      <c r="G548" t="inlineStr">
        <is>
          <t>SANDVIKEN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17366-2026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46220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17360-2026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46119</v>
      </c>
      <c r="E550" s="1" t="n">
        <v>46220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17473-2026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46220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17859-2026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46220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11397-2023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44988</v>
      </c>
      <c r="E553" s="1" t="n">
        <v>46220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48799-2023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46220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17626-2026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46220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17596-2026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46220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23539-2026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46163</v>
      </c>
      <c r="E557" s="1" t="n">
        <v>46220</v>
      </c>
      <c r="F557" t="inlineStr">
        <is>
          <t>GÄVLEBORGS LÄN</t>
        </is>
      </c>
      <c r="G557" t="inlineStr">
        <is>
          <t>SANDVIKEN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8940-2026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46220</v>
      </c>
      <c r="F558" t="inlineStr">
        <is>
          <t>GÄVLEBORGS LÄN</t>
        </is>
      </c>
      <c r="G558" t="inlineStr">
        <is>
          <t>SANDVIKEN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18218-2026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46220</v>
      </c>
      <c r="F559" t="inlineStr">
        <is>
          <t>GÄVLEBORGS LÄN</t>
        </is>
      </c>
      <c r="G559" t="inlineStr">
        <is>
          <t>SANDVIKEN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46220</v>
      </c>
      <c r="F560" t="inlineStr">
        <is>
          <t>GÄVLEBORGS LÄN</t>
        </is>
      </c>
      <c r="G560" t="inlineStr">
        <is>
          <t>SANDVIKEN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18395-2026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46220</v>
      </c>
      <c r="F561" t="inlineStr">
        <is>
          <t>GÄVLEBORGS LÄN</t>
        </is>
      </c>
      <c r="G561" t="inlineStr">
        <is>
          <t>SANDVIKEN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37741-2023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45159</v>
      </c>
      <c r="E562" s="1" t="n">
        <v>46220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44949</v>
      </c>
      <c r="E563" s="1" t="n">
        <v>46220</v>
      </c>
      <c r="F563" t="inlineStr">
        <is>
          <t>GÄVLEBORGS LÄN</t>
        </is>
      </c>
      <c r="G563" t="inlineStr">
        <is>
          <t>SANDVIKEN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18219-2026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46220</v>
      </c>
      <c r="F564" t="inlineStr">
        <is>
          <t>GÄVLEBORGS LÄN</t>
        </is>
      </c>
      <c r="G564" t="inlineStr">
        <is>
          <t>SANDVIKEN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18988-2026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46129</v>
      </c>
      <c r="E565" s="1" t="n">
        <v>46220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18992-2026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46129</v>
      </c>
      <c r="E566" s="1" t="n">
        <v>46220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18997-2026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46129</v>
      </c>
      <c r="E567" s="1" t="n">
        <v>46220</v>
      </c>
      <c r="F567" t="inlineStr">
        <is>
          <t>GÄVLEBORGS LÄN</t>
        </is>
      </c>
      <c r="G567" t="inlineStr">
        <is>
          <t>SANDVIKEN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18750-2026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46220</v>
      </c>
      <c r="F568" t="inlineStr">
        <is>
          <t>GÄVLEBORGS LÄN</t>
        </is>
      </c>
      <c r="G568" t="inlineStr">
        <is>
          <t>SANDVIKEN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18656-2026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46220</v>
      </c>
      <c r="F569" t="inlineStr">
        <is>
          <t>GÄVLEBORGS LÄN</t>
        </is>
      </c>
      <c r="G569" t="inlineStr">
        <is>
          <t>SANDVIKEN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18991-2026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46220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14092-2026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46220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18990-2026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46129</v>
      </c>
      <c r="E572" s="1" t="n">
        <v>46220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46129</v>
      </c>
      <c r="E573" s="1" t="n">
        <v>46220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18749-2026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46220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18811-2026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46220</v>
      </c>
      <c r="F575" t="inlineStr">
        <is>
          <t>GÄVLEBORGS LÄN</t>
        </is>
      </c>
      <c r="G575" t="inlineStr">
        <is>
          <t>SANDVIKEN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15855-2026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46220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31317-2023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46220</v>
      </c>
      <c r="F577" t="inlineStr">
        <is>
          <t>GÄVLEBORGS LÄN</t>
        </is>
      </c>
      <c r="G577" t="inlineStr">
        <is>
          <t>SANDVIKEN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19189-2026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46220</v>
      </c>
      <c r="F578" t="inlineStr">
        <is>
          <t>GÄVLEBORGS LÄN</t>
        </is>
      </c>
      <c r="G578" t="inlineStr">
        <is>
          <t>SANDVIKEN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19186-2026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46220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7825-2026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46220</v>
      </c>
      <c r="F580" t="inlineStr">
        <is>
          <t>GÄVLEBORGS LÄN</t>
        </is>
      </c>
      <c r="G580" t="inlineStr">
        <is>
          <t>SANDVIKEN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19018-2026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46130</v>
      </c>
      <c r="E581" s="1" t="n">
        <v>46220</v>
      </c>
      <c r="F581" t="inlineStr">
        <is>
          <t>GÄVLEBORGS LÄN</t>
        </is>
      </c>
      <c r="G581" t="inlineStr">
        <is>
          <t>SANDVIKEN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19083-2026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46220</v>
      </c>
      <c r="F582" t="inlineStr">
        <is>
          <t>GÄVLEBORGS LÄN</t>
        </is>
      </c>
      <c r="G582" t="inlineStr">
        <is>
          <t>SANDVIKEN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10895-2025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45722</v>
      </c>
      <c r="E583" s="1" t="n">
        <v>46220</v>
      </c>
      <c r="F583" t="inlineStr">
        <is>
          <t>GÄVLEBORGS LÄN</t>
        </is>
      </c>
      <c r="G583" t="inlineStr">
        <is>
          <t>SANDVIKEN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54443-2024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46220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12732-2026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46220</v>
      </c>
      <c r="F585" t="inlineStr">
        <is>
          <t>GÄVLEBORGS LÄN</t>
        </is>
      </c>
      <c r="G585" t="inlineStr">
        <is>
          <t>SANDVIKEN</t>
        </is>
      </c>
      <c r="H585" t="inlineStr">
        <is>
          <t>Naturvårdsverket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19467-2026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46220</v>
      </c>
      <c r="F586" t="inlineStr">
        <is>
          <t>GÄVLEBORGS LÄN</t>
        </is>
      </c>
      <c r="G586" t="inlineStr">
        <is>
          <t>SANDVIKEN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19273-2026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46220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19080-2026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46220</v>
      </c>
      <c r="F588" t="inlineStr">
        <is>
          <t>GÄVLEBORGS LÄN</t>
        </is>
      </c>
      <c r="G588" t="inlineStr">
        <is>
          <t>SANDVIKEN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12675-2026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46091</v>
      </c>
      <c r="E589" s="1" t="n">
        <v>46220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19865-2026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46220</v>
      </c>
      <c r="F590" t="inlineStr">
        <is>
          <t>GÄVLEBORGS LÄN</t>
        </is>
      </c>
      <c r="G590" t="inlineStr">
        <is>
          <t>SANDVIKEN</t>
        </is>
      </c>
      <c r="H590" t="inlineStr">
        <is>
          <t>Sveaskog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19827-2026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46135</v>
      </c>
      <c r="E591" s="1" t="n">
        <v>46220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12115-2026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46086</v>
      </c>
      <c r="E592" s="1" t="n">
        <v>46220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8603-2026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46220</v>
      </c>
      <c r="F593" t="inlineStr">
        <is>
          <t>GÄVLEBORGS LÄN</t>
        </is>
      </c>
      <c r="G593" t="inlineStr">
        <is>
          <t>SANDVIKEN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12382-2026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46220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12776-2026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46091</v>
      </c>
      <c r="E595" s="1" t="n">
        <v>46220</v>
      </c>
      <c r="F595" t="inlineStr">
        <is>
          <t>GÄVLEBORGS LÄN</t>
        </is>
      </c>
      <c r="G595" t="inlineStr">
        <is>
          <t>SANDVIKEN</t>
        </is>
      </c>
      <c r="H595" t="inlineStr">
        <is>
          <t>Naturvårdsverket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1039-2025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45666</v>
      </c>
      <c r="E596" s="1" t="n">
        <v>46220</v>
      </c>
      <c r="F596" t="inlineStr">
        <is>
          <t>GÄVLEBORGS LÄN</t>
        </is>
      </c>
      <c r="G596" t="inlineStr">
        <is>
          <t>SANDVIKEN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36203-2025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45867</v>
      </c>
      <c r="E597" s="1" t="n">
        <v>46220</v>
      </c>
      <c r="F597" t="inlineStr">
        <is>
          <t>GÄVLEBORGS LÄN</t>
        </is>
      </c>
      <c r="G597" t="inlineStr">
        <is>
          <t>SANDVIKEN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25691-2026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46220</v>
      </c>
      <c r="F598" t="inlineStr">
        <is>
          <t>GÄVLEBORGS LÄN</t>
        </is>
      </c>
      <c r="G598" t="inlineStr">
        <is>
          <t>SANDVIKEN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27969-2024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46220</v>
      </c>
      <c r="F599" t="inlineStr">
        <is>
          <t>GÄVLEBORGS LÄN</t>
        </is>
      </c>
      <c r="G599" t="inlineStr">
        <is>
          <t>SANDVIKEN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7624-2023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44972</v>
      </c>
      <c r="E600" s="1" t="n">
        <v>46220</v>
      </c>
      <c r="F600" t="inlineStr">
        <is>
          <t>GÄVLEBORGS LÄN</t>
        </is>
      </c>
      <c r="G600" t="inlineStr">
        <is>
          <t>SANDVIKEN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49706-2023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45212</v>
      </c>
      <c r="E601" s="1" t="n">
        <v>46220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25834-2026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46178</v>
      </c>
      <c r="E602" s="1" t="n">
        <v>46220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46220</v>
      </c>
      <c r="F603" t="inlineStr">
        <is>
          <t>GÄVLEBORGS LÄN</t>
        </is>
      </c>
      <c r="G603" t="inlineStr">
        <is>
          <t>SANDVIKEN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10575-2025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46220</v>
      </c>
      <c r="F604" t="inlineStr">
        <is>
          <t>GÄVLEBORGS LÄN</t>
        </is>
      </c>
      <c r="G604" t="inlineStr">
        <is>
          <t>SANDVIKEN</t>
        </is>
      </c>
      <c r="H604" t="inlineStr">
        <is>
          <t>Sveaskog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10577-2025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46220</v>
      </c>
      <c r="F605" t="inlineStr">
        <is>
          <t>GÄVLEBORGS LÄN</t>
        </is>
      </c>
      <c r="G605" t="inlineStr">
        <is>
          <t>SANDVIKEN</t>
        </is>
      </c>
      <c r="H605" t="inlineStr">
        <is>
          <t>Sveaskog</t>
        </is>
      </c>
      <c r="I605" t="n">
        <v>10.9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10580-2025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45721</v>
      </c>
      <c r="E606" s="1" t="n">
        <v>46220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1392-2024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45303</v>
      </c>
      <c r="E607" s="1" t="n">
        <v>46220</v>
      </c>
      <c r="F607" t="inlineStr">
        <is>
          <t>GÄVLEBORGS LÄN</t>
        </is>
      </c>
      <c r="G607" t="inlineStr">
        <is>
          <t>SANDVIKEN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56734-2021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44481</v>
      </c>
      <c r="E608" s="1" t="n">
        <v>46220</v>
      </c>
      <c r="F608" t="inlineStr">
        <is>
          <t>GÄVLEBORGS LÄN</t>
        </is>
      </c>
      <c r="G608" t="inlineStr">
        <is>
          <t>SANDVIKEN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23162-2023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45075</v>
      </c>
      <c r="E609" s="1" t="n">
        <v>46220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49209-2024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45595</v>
      </c>
      <c r="E610" s="1" t="n">
        <v>46220</v>
      </c>
      <c r="F610" t="inlineStr">
        <is>
          <t>GÄVLEBORGS LÄN</t>
        </is>
      </c>
      <c r="G610" t="inlineStr">
        <is>
          <t>SANDVIKEN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29296-2024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45483</v>
      </c>
      <c r="E611" s="1" t="n">
        <v>46220</v>
      </c>
      <c r="F611" t="inlineStr">
        <is>
          <t>GÄVLEBORGS LÄN</t>
        </is>
      </c>
      <c r="G611" t="inlineStr">
        <is>
          <t>SANDVIKEN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42495-2025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45905</v>
      </c>
      <c r="E612" s="1" t="n">
        <v>46220</v>
      </c>
      <c r="F612" t="inlineStr">
        <is>
          <t>GÄVLEBORGS LÄN</t>
        </is>
      </c>
      <c r="G612" t="inlineStr">
        <is>
          <t>SANDVIKEN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8379-2025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45709</v>
      </c>
      <c r="E613" s="1" t="n">
        <v>46220</v>
      </c>
      <c r="F613" t="inlineStr">
        <is>
          <t>GÄVLEBORGS LÄN</t>
        </is>
      </c>
      <c r="G613" t="inlineStr">
        <is>
          <t>SANDVIKEN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1974-2026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46220</v>
      </c>
      <c r="F614" t="inlineStr">
        <is>
          <t>GÄVLEBORGS LÄN</t>
        </is>
      </c>
      <c r="G614" t="inlineStr">
        <is>
          <t>SANDVIKEN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46030</v>
      </c>
      <c r="E615" s="1" t="n">
        <v>46220</v>
      </c>
      <c r="F615" t="inlineStr">
        <is>
          <t>GÄVLEBORGS LÄN</t>
        </is>
      </c>
      <c r="G615" t="inlineStr">
        <is>
          <t>SANDVIKEN</t>
        </is>
      </c>
      <c r="I615" t="n">
        <v>10.1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11205-2026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46220</v>
      </c>
      <c r="F616" t="inlineStr">
        <is>
          <t>GÄVLEBORGS LÄN</t>
        </is>
      </c>
      <c r="G616" t="inlineStr">
        <is>
          <t>SANDVIKEN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43090-2023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45182</v>
      </c>
      <c r="E617" s="1" t="n">
        <v>46220</v>
      </c>
      <c r="F617" t="inlineStr">
        <is>
          <t>GÄVLEBORGS LÄN</t>
        </is>
      </c>
      <c r="G617" t="inlineStr">
        <is>
          <t>SANDVIKEN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46220</v>
      </c>
      <c r="F618" t="inlineStr">
        <is>
          <t>GÄVLEBORGS LÄN</t>
        </is>
      </c>
      <c r="G618" t="inlineStr">
        <is>
          <t>SANDVIKEN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19499-2026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46220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45102-2022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44843</v>
      </c>
      <c r="E620" s="1" t="n">
        <v>46220</v>
      </c>
      <c r="F620" t="inlineStr">
        <is>
          <t>GÄVLEBORGS LÄN</t>
        </is>
      </c>
      <c r="G620" t="inlineStr">
        <is>
          <t>SANDVIKEN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46220</v>
      </c>
      <c r="F621" t="inlineStr">
        <is>
          <t>GÄVLEBORGS LÄN</t>
        </is>
      </c>
      <c r="G621" t="inlineStr">
        <is>
          <t>SANDVIKEN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4502-2024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45327</v>
      </c>
      <c r="E622" s="1" t="n">
        <v>46220</v>
      </c>
      <c r="F622" t="inlineStr">
        <is>
          <t>GÄVLEBORGS LÄN</t>
        </is>
      </c>
      <c r="G622" t="inlineStr">
        <is>
          <t>SANDVIKEN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55539-2023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45238</v>
      </c>
      <c r="E623" s="1" t="n">
        <v>46220</v>
      </c>
      <c r="F623" t="inlineStr">
        <is>
          <t>GÄVLEBORGS LÄN</t>
        </is>
      </c>
      <c r="G623" t="inlineStr">
        <is>
          <t>SANDVIKEN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7599-2026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46061</v>
      </c>
      <c r="E624" s="1" t="n">
        <v>46220</v>
      </c>
      <c r="F624" t="inlineStr">
        <is>
          <t>GÄVLEBORGS LÄN</t>
        </is>
      </c>
      <c r="G624" t="inlineStr">
        <is>
          <t>SANDVIKEN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2627-2026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46220</v>
      </c>
      <c r="F625" t="inlineStr">
        <is>
          <t>GÄVLEBORGS LÄN</t>
        </is>
      </c>
      <c r="G625" t="inlineStr">
        <is>
          <t>SANDVIKEN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46220</v>
      </c>
      <c r="F626" t="inlineStr">
        <is>
          <t>GÄVLEBORGS LÄN</t>
        </is>
      </c>
      <c r="G626" t="inlineStr">
        <is>
          <t>SANDVIKEN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7898-2026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46220</v>
      </c>
      <c r="F627" t="inlineStr">
        <is>
          <t>GÄVLEBORGS LÄN</t>
        </is>
      </c>
      <c r="G627" t="inlineStr">
        <is>
          <t>SANDVIKEN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37697-2022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44810</v>
      </c>
      <c r="E628" s="1" t="n">
        <v>46220</v>
      </c>
      <c r="F628" t="inlineStr">
        <is>
          <t>GÄVLEBORGS LÄN</t>
        </is>
      </c>
      <c r="G628" t="inlineStr">
        <is>
          <t>SANDVIKEN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46220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42107-2024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46220</v>
      </c>
      <c r="F630" t="inlineStr">
        <is>
          <t>GÄVLEBORGS LÄN</t>
        </is>
      </c>
      <c r="G630" t="inlineStr">
        <is>
          <t>SANDVIKEN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14910-2026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46104</v>
      </c>
      <c r="E631" s="1" t="n">
        <v>46220</v>
      </c>
      <c r="F631" t="inlineStr">
        <is>
          <t>GÄVLEBORGS LÄN</t>
        </is>
      </c>
      <c r="G631" t="inlineStr">
        <is>
          <t>SANDVIKEN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19910-2026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46220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13258-2026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46220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45698</v>
      </c>
      <c r="E634" s="1" t="n">
        <v>46220</v>
      </c>
      <c r="F634" t="inlineStr">
        <is>
          <t>GÄVLEBORGS LÄN</t>
        </is>
      </c>
      <c r="G634" t="inlineStr">
        <is>
          <t>SANDVIKEN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8698-2024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45356</v>
      </c>
      <c r="E635" s="1" t="n">
        <v>46220</v>
      </c>
      <c r="F635" t="inlineStr">
        <is>
          <t>GÄVLEBORGS LÄN</t>
        </is>
      </c>
      <c r="G635" t="inlineStr">
        <is>
          <t>SANDVIKEN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49211-2023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45210</v>
      </c>
      <c r="E636" s="1" t="n">
        <v>46220</v>
      </c>
      <c r="F636" t="inlineStr">
        <is>
          <t>GÄVLEBORGS LÄN</t>
        </is>
      </c>
      <c r="G636" t="inlineStr">
        <is>
          <t>SANDVIKEN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46046</v>
      </c>
      <c r="E637" s="1" t="n">
        <v>46220</v>
      </c>
      <c r="F637" t="inlineStr">
        <is>
          <t>GÄVLEBORGS LÄN</t>
        </is>
      </c>
      <c r="G637" t="inlineStr">
        <is>
          <t>SANDVIKEN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40745-2024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45558</v>
      </c>
      <c r="E638" s="1" t="n">
        <v>46220</v>
      </c>
      <c r="F638" t="inlineStr">
        <is>
          <t>GÄVLEBORGS LÄN</t>
        </is>
      </c>
      <c r="G638" t="inlineStr">
        <is>
          <t>SANDVIKEN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61537-2023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45265</v>
      </c>
      <c r="E639" s="1" t="n">
        <v>46220</v>
      </c>
      <c r="F639" t="inlineStr">
        <is>
          <t>GÄVLEBORGS LÄN</t>
        </is>
      </c>
      <c r="G639" t="inlineStr">
        <is>
          <t>SANDVIKEN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50900-2024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45602</v>
      </c>
      <c r="E640" s="1" t="n">
        <v>46220</v>
      </c>
      <c r="F640" t="inlineStr">
        <is>
          <t>GÄVLEBORGS LÄN</t>
        </is>
      </c>
      <c r="G640" t="inlineStr">
        <is>
          <t>SANDVIKEN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25647-2026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46220</v>
      </c>
      <c r="F641" t="inlineStr">
        <is>
          <t>GÄVLEBORGS LÄN</t>
        </is>
      </c>
      <c r="G641" t="inlineStr">
        <is>
          <t>SANDVIKEN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3748-2022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44586</v>
      </c>
      <c r="E642" s="1" t="n">
        <v>46220</v>
      </c>
      <c r="F642" t="inlineStr">
        <is>
          <t>GÄVLEBORGS LÄN</t>
        </is>
      </c>
      <c r="G642" t="inlineStr">
        <is>
          <t>SANDVIKEN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13194-2025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46220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9601-2026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46220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19904-2026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46136</v>
      </c>
      <c r="E645" s="1" t="n">
        <v>46220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10.9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9139-2026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46069</v>
      </c>
      <c r="E646" s="1" t="n">
        <v>46220</v>
      </c>
      <c r="F646" t="inlineStr">
        <is>
          <t>GÄVLEBORGS LÄN</t>
        </is>
      </c>
      <c r="G646" t="inlineStr">
        <is>
          <t>SANDVIKEN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58911-2023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46220</v>
      </c>
      <c r="F647" t="inlineStr">
        <is>
          <t>GÄVLEBORGS LÄN</t>
        </is>
      </c>
      <c r="G647" t="inlineStr">
        <is>
          <t>SANDVIKEN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25840-2026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46220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44717-2025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45917</v>
      </c>
      <c r="E649" s="1" t="n">
        <v>46220</v>
      </c>
      <c r="F649" t="inlineStr">
        <is>
          <t>GÄVLEBORGS LÄN</t>
        </is>
      </c>
      <c r="G649" t="inlineStr">
        <is>
          <t>SANDVIKEN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25826-2026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46220</v>
      </c>
      <c r="F650" t="inlineStr">
        <is>
          <t>GÄVLEBORGS LÄN</t>
        </is>
      </c>
      <c r="G650" t="inlineStr">
        <is>
          <t>SANDVIKEN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25842-2026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46220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30714-2023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45112</v>
      </c>
      <c r="E652" s="1" t="n">
        <v>46220</v>
      </c>
      <c r="F652" t="inlineStr">
        <is>
          <t>GÄVLEBORGS LÄN</t>
        </is>
      </c>
      <c r="G652" t="inlineStr">
        <is>
          <t>SANDVIKEN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4882-2026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46220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36656-2024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45537</v>
      </c>
      <c r="E654" s="1" t="n">
        <v>46220</v>
      </c>
      <c r="F654" t="inlineStr">
        <is>
          <t>GÄVLEBORGS LÄN</t>
        </is>
      </c>
      <c r="G654" t="inlineStr">
        <is>
          <t>SANDVIKEN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21178-2025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45779</v>
      </c>
      <c r="E655" s="1" t="n">
        <v>46220</v>
      </c>
      <c r="F655" t="inlineStr">
        <is>
          <t>GÄVLEBORGS LÄN</t>
        </is>
      </c>
      <c r="G655" t="inlineStr">
        <is>
          <t>SANDVIKEN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4768-2026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46048</v>
      </c>
      <c r="E656" s="1" t="n">
        <v>46220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25836-2026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46178</v>
      </c>
      <c r="E657" s="1" t="n">
        <v>46220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3616-2026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46042</v>
      </c>
      <c r="E658" s="1" t="n">
        <v>46220</v>
      </c>
      <c r="F658" t="inlineStr">
        <is>
          <t>GÄVLEBORGS LÄN</t>
        </is>
      </c>
      <c r="G658" t="inlineStr">
        <is>
          <t>SANDVIKEN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11967-2025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45728</v>
      </c>
      <c r="E659" s="1" t="n">
        <v>46220</v>
      </c>
      <c r="F659" t="inlineStr">
        <is>
          <t>GÄVLEBORGS LÄN</t>
        </is>
      </c>
      <c r="G659" t="inlineStr">
        <is>
          <t>SANDVIKEN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6956-2026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46220</v>
      </c>
      <c r="F660" t="inlineStr">
        <is>
          <t>GÄVLEBORGS LÄN</t>
        </is>
      </c>
      <c r="G660" t="inlineStr">
        <is>
          <t>SANDVIKEN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25835-2026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46220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25837-2026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46220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4169-2026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46220</v>
      </c>
      <c r="F663" t="inlineStr">
        <is>
          <t>GÄVLEBORGS LÄN</t>
        </is>
      </c>
      <c r="G663" t="inlineStr">
        <is>
          <t>SANDVIKEN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63309-2023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45274</v>
      </c>
      <c r="E664" s="1" t="n">
        <v>46220</v>
      </c>
      <c r="F664" t="inlineStr">
        <is>
          <t>GÄVLEBORGS LÄN</t>
        </is>
      </c>
      <c r="G664" t="inlineStr">
        <is>
          <t>SANDVIKEN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17818-2025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45758</v>
      </c>
      <c r="E665" s="1" t="n">
        <v>46220</v>
      </c>
      <c r="F665" t="inlineStr">
        <is>
          <t>GÄVLEBORGS LÄN</t>
        </is>
      </c>
      <c r="G665" t="inlineStr">
        <is>
          <t>SANDVIKEN</t>
        </is>
      </c>
      <c r="H665" t="inlineStr">
        <is>
          <t>Sveaskog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9603-2026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46220</v>
      </c>
      <c r="F666" t="inlineStr">
        <is>
          <t>GÄVLEBORGS LÄN</t>
        </is>
      </c>
      <c r="G666" t="inlineStr">
        <is>
          <t>SANDVIKEN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8952-2026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46220</v>
      </c>
      <c r="F667" t="inlineStr">
        <is>
          <t>GÄVLEBORGS LÄN</t>
        </is>
      </c>
      <c r="G667" t="inlineStr">
        <is>
          <t>SANDVIKEN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8570-2026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46220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7911-2026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46063</v>
      </c>
      <c r="E669" s="1" t="n">
        <v>46220</v>
      </c>
      <c r="F669" t="inlineStr">
        <is>
          <t>GÄVLEBORGS LÄN</t>
        </is>
      </c>
      <c r="G669" t="inlineStr">
        <is>
          <t>SANDVIKEN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7349-2026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46220</v>
      </c>
      <c r="F670" t="inlineStr">
        <is>
          <t>GÄVLEBORGS LÄN</t>
        </is>
      </c>
      <c r="G670" t="inlineStr">
        <is>
          <t>SANDVIKEN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27987-2024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45476</v>
      </c>
      <c r="E671" s="1" t="n">
        <v>46220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7073-2026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46058</v>
      </c>
      <c r="E672" s="1" t="n">
        <v>46220</v>
      </c>
      <c r="F672" t="inlineStr">
        <is>
          <t>GÄVLEBORGS LÄN</t>
        </is>
      </c>
      <c r="G672" t="inlineStr">
        <is>
          <t>SANDVIKEN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12477-2026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46090</v>
      </c>
      <c r="E673" s="1" t="n">
        <v>46220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8604-2026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46220</v>
      </c>
      <c r="F674" t="inlineStr">
        <is>
          <t>GÄVLEBORGS LÄN</t>
        </is>
      </c>
      <c r="G674" t="inlineStr">
        <is>
          <t>SANDVIKEN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20618-2026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46140</v>
      </c>
      <c r="E675" s="1" t="n">
        <v>46220</v>
      </c>
      <c r="F675" t="inlineStr">
        <is>
          <t>GÄVLEBORGS LÄN</t>
        </is>
      </c>
      <c r="G675" t="inlineStr">
        <is>
          <t>SANDVIKEN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6428-2026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46220</v>
      </c>
      <c r="F676" t="inlineStr">
        <is>
          <t>GÄVLEBORGS LÄN</t>
        </is>
      </c>
      <c r="G676" t="inlineStr">
        <is>
          <t>SANDVIKEN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45221-2021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44439</v>
      </c>
      <c r="E677" s="1" t="n">
        <v>46220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7924-2026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46220</v>
      </c>
      <c r="F678" t="inlineStr">
        <is>
          <t>GÄVLEBORGS LÄN</t>
        </is>
      </c>
      <c r="G678" t="inlineStr">
        <is>
          <t>SANDVIKEN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20636-2026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46220</v>
      </c>
      <c r="F679" t="inlineStr">
        <is>
          <t>GÄVLEBORGS LÄN</t>
        </is>
      </c>
      <c r="G679" t="inlineStr">
        <is>
          <t>SANDVIKEN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45279-2023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45191</v>
      </c>
      <c r="E680" s="1" t="n">
        <v>46220</v>
      </c>
      <c r="F680" t="inlineStr">
        <is>
          <t>GÄVLEBORGS LÄN</t>
        </is>
      </c>
      <c r="G680" t="inlineStr">
        <is>
          <t>SANDVIKEN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11897-2024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45376</v>
      </c>
      <c r="E681" s="1" t="n">
        <v>46220</v>
      </c>
      <c r="F681" t="inlineStr">
        <is>
          <t>GÄVLEBORGS LÄN</t>
        </is>
      </c>
      <c r="G681" t="inlineStr">
        <is>
          <t>SANDVIKEN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23217-2023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45075</v>
      </c>
      <c r="E682" s="1" t="n">
        <v>46220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26271-2026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46182</v>
      </c>
      <c r="E683" s="1" t="n">
        <v>46220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38319-2025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45883</v>
      </c>
      <c r="E684" s="1" t="n">
        <v>46220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11894-2026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46085</v>
      </c>
      <c r="E685" s="1" t="n">
        <v>46220</v>
      </c>
      <c r="F685" t="inlineStr">
        <is>
          <t>GÄVLEBORGS LÄN</t>
        </is>
      </c>
      <c r="G685" t="inlineStr">
        <is>
          <t>SANDVIKEN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3656-2026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46043</v>
      </c>
      <c r="E686" s="1" t="n">
        <v>46220</v>
      </c>
      <c r="F686" t="inlineStr">
        <is>
          <t>GÄVLEBORGS LÄN</t>
        </is>
      </c>
      <c r="G686" t="inlineStr">
        <is>
          <t>SANDVIKEN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42069-2024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45562</v>
      </c>
      <c r="E687" s="1" t="n">
        <v>46220</v>
      </c>
      <c r="F687" t="inlineStr">
        <is>
          <t>GÄVLEBORGS LÄN</t>
        </is>
      </c>
      <c r="G687" t="inlineStr">
        <is>
          <t>SANDVIKEN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1360-2026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46220</v>
      </c>
      <c r="F688" t="inlineStr">
        <is>
          <t>GÄVLEBORGS LÄN</t>
        </is>
      </c>
      <c r="G688" t="inlineStr">
        <is>
          <t>SANDVIKEN</t>
        </is>
      </c>
      <c r="I688" t="n">
        <v>11.2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12427-2026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46220</v>
      </c>
      <c r="F689" t="inlineStr">
        <is>
          <t>GÄVLEBORGS LÄN</t>
        </is>
      </c>
      <c r="G689" t="inlineStr">
        <is>
          <t>SANDVIKEN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22070-2023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45069</v>
      </c>
      <c r="E690" s="1" t="n">
        <v>46220</v>
      </c>
      <c r="F690" t="inlineStr">
        <is>
          <t>GÄVLEBORGS LÄN</t>
        </is>
      </c>
      <c r="G690" t="inlineStr">
        <is>
          <t>SANDVIKEN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46030</v>
      </c>
      <c r="E691" s="1" t="n">
        <v>46220</v>
      </c>
      <c r="F691" t="inlineStr">
        <is>
          <t>GÄVLEBORGS LÄN</t>
        </is>
      </c>
      <c r="G691" t="inlineStr">
        <is>
          <t>SANDVIKEN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46038</v>
      </c>
      <c r="E692" s="1" t="n">
        <v>46220</v>
      </c>
      <c r="F692" t="inlineStr">
        <is>
          <t>GÄVLEBORGS LÄN</t>
        </is>
      </c>
      <c r="G692" t="inlineStr">
        <is>
          <t>SANDVIKEN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23085-2023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46220</v>
      </c>
      <c r="F693" t="inlineStr">
        <is>
          <t>GÄVLEBORGS LÄN</t>
        </is>
      </c>
      <c r="G693" t="inlineStr">
        <is>
          <t>SANDVIKEN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36833-2022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44805</v>
      </c>
      <c r="E694" s="1" t="n">
        <v>46220</v>
      </c>
      <c r="F694" t="inlineStr">
        <is>
          <t>GÄVLEBORGS LÄN</t>
        </is>
      </c>
      <c r="G694" t="inlineStr">
        <is>
          <t>SANDVIKEN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15237-2026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46220</v>
      </c>
      <c r="F695" t="inlineStr">
        <is>
          <t>GÄVLEBORGS LÄN</t>
        </is>
      </c>
      <c r="G695" t="inlineStr">
        <is>
          <t>SANDVIKEN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20917-2026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46142</v>
      </c>
      <c r="E696" s="1" t="n">
        <v>46220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9694-2026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46220</v>
      </c>
      <c r="F697" t="inlineStr">
        <is>
          <t>GÄVLEBORGS LÄN</t>
        </is>
      </c>
      <c r="G697" t="inlineStr">
        <is>
          <t>SANDVIKEN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26780-2026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46184</v>
      </c>
      <c r="E698" s="1" t="n">
        <v>46220</v>
      </c>
      <c r="F698" t="inlineStr">
        <is>
          <t>GÄVLEBORGS LÄN</t>
        </is>
      </c>
      <c r="G698" t="inlineStr">
        <is>
          <t>SANDVIKEN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28063-2023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45099</v>
      </c>
      <c r="E699" s="1" t="n">
        <v>46220</v>
      </c>
      <c r="F699" t="inlineStr">
        <is>
          <t>GÄVLEBORGS LÄN</t>
        </is>
      </c>
      <c r="G699" t="inlineStr">
        <is>
          <t>SANDVIKEN</t>
        </is>
      </c>
      <c r="I699" t="n">
        <v>8.1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59738-2022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46220</v>
      </c>
      <c r="F700" t="inlineStr">
        <is>
          <t>GÄVLEBORGS LÄN</t>
        </is>
      </c>
      <c r="G700" t="inlineStr">
        <is>
          <t>SANDVIKEN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26964-2026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46220</v>
      </c>
      <c r="F701" t="inlineStr">
        <is>
          <t>GÄVLEBORGS LÄN</t>
        </is>
      </c>
      <c r="G701" t="inlineStr">
        <is>
          <t>SANDVIKEN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56017-2023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45240</v>
      </c>
      <c r="E702" s="1" t="n">
        <v>46220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59661-2024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45639</v>
      </c>
      <c r="E703" s="1" t="n">
        <v>46220</v>
      </c>
      <c r="F703" t="inlineStr">
        <is>
          <t>GÄVLEBORGS LÄN</t>
        </is>
      </c>
      <c r="G703" t="inlineStr">
        <is>
          <t>SANDVIKEN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26818-2026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46220</v>
      </c>
      <c r="F704" t="inlineStr">
        <is>
          <t>GÄVLEBORGS LÄN</t>
        </is>
      </c>
      <c r="G704" t="inlineStr">
        <is>
          <t>SANDVIKEN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8600-2026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46220</v>
      </c>
      <c r="F705" t="inlineStr">
        <is>
          <t>GÄVLEBORGS LÄN</t>
        </is>
      </c>
      <c r="G705" t="inlineStr">
        <is>
          <t>SANDVIKEN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26763-2026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46184</v>
      </c>
      <c r="E706" s="1" t="n">
        <v>46220</v>
      </c>
      <c r="F706" t="inlineStr">
        <is>
          <t>GÄVLEBORGS LÄN</t>
        </is>
      </c>
      <c r="G706" t="inlineStr">
        <is>
          <t>SANDVIKEN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26872-2026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46220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26882-2026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46220</v>
      </c>
      <c r="F708" t="inlineStr">
        <is>
          <t>GÄVLEBORGS LÄN</t>
        </is>
      </c>
      <c r="G708" t="inlineStr">
        <is>
          <t>SANDVIKEN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26601-2026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46220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3456-2024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45320</v>
      </c>
      <c r="E710" s="1" t="n">
        <v>46220</v>
      </c>
      <c r="F710" t="inlineStr">
        <is>
          <t>GÄVLEBORGS LÄN</t>
        </is>
      </c>
      <c r="G710" t="inlineStr">
        <is>
          <t>SANDVIKEN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21377-2026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46220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21288-2026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46147</v>
      </c>
      <c r="E712" s="1" t="n">
        <v>46220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21334-2026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46147</v>
      </c>
      <c r="E713" s="1" t="n">
        <v>46220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17177-2026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46115</v>
      </c>
      <c r="E714" s="1" t="n">
        <v>46220</v>
      </c>
      <c r="F714" t="inlineStr">
        <is>
          <t>GÄVLEBORGS LÄN</t>
        </is>
      </c>
      <c r="G714" t="inlineStr">
        <is>
          <t>SANDVIKEN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46220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21343-2026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46220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2905-2026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46038</v>
      </c>
      <c r="E717" s="1" t="n">
        <v>46220</v>
      </c>
      <c r="F717" t="inlineStr">
        <is>
          <t>GÄVLEBORGS LÄN</t>
        </is>
      </c>
      <c r="G717" t="inlineStr">
        <is>
          <t>SANDVIKEN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11778-2024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45374</v>
      </c>
      <c r="E718" s="1" t="n">
        <v>46220</v>
      </c>
      <c r="F718" t="inlineStr">
        <is>
          <t>GÄVLEBORGS LÄN</t>
        </is>
      </c>
      <c r="G718" t="inlineStr">
        <is>
          <t>SANDVIKEN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47710-2022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44854</v>
      </c>
      <c r="E719" s="1" t="n">
        <v>46220</v>
      </c>
      <c r="F719" t="inlineStr">
        <is>
          <t>GÄVLEBORGS LÄN</t>
        </is>
      </c>
      <c r="G719" t="inlineStr">
        <is>
          <t>SANDVIKEN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48300-2023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45205</v>
      </c>
      <c r="E720" s="1" t="n">
        <v>46220</v>
      </c>
      <c r="F720" t="inlineStr">
        <is>
          <t>GÄVLEBORGS LÄN</t>
        </is>
      </c>
      <c r="G720" t="inlineStr">
        <is>
          <t>SANDVIKEN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10578-2025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46220</v>
      </c>
      <c r="F721" t="inlineStr">
        <is>
          <t>GÄVLEBORGS LÄN</t>
        </is>
      </c>
      <c r="G721" t="inlineStr">
        <is>
          <t>SANDVIKEN</t>
        </is>
      </c>
      <c r="H721" t="inlineStr">
        <is>
          <t>Sveaskog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44101-2023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45188</v>
      </c>
      <c r="E722" s="1" t="n">
        <v>46220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29297-2024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45483</v>
      </c>
      <c r="E723" s="1" t="n">
        <v>46220</v>
      </c>
      <c r="F723" t="inlineStr">
        <is>
          <t>GÄVLEBORGS LÄN</t>
        </is>
      </c>
      <c r="G723" t="inlineStr">
        <is>
          <t>SANDVIKEN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53007-2023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45226</v>
      </c>
      <c r="E724" s="1" t="n">
        <v>46220</v>
      </c>
      <c r="F724" t="inlineStr">
        <is>
          <t>GÄVLEBORGS LÄN</t>
        </is>
      </c>
      <c r="G724" t="inlineStr">
        <is>
          <t>SANDVIKEN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21576-2026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46148</v>
      </c>
      <c r="E725" s="1" t="n">
        <v>46220</v>
      </c>
      <c r="F725" t="inlineStr">
        <is>
          <t>GÄVLEBORGS LÄN</t>
        </is>
      </c>
      <c r="G725" t="inlineStr">
        <is>
          <t>SANDVIKEN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39566-2022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44818</v>
      </c>
      <c r="E726" s="1" t="n">
        <v>46220</v>
      </c>
      <c r="F726" t="inlineStr">
        <is>
          <t>GÄVLEBORGS LÄN</t>
        </is>
      </c>
      <c r="G726" t="inlineStr">
        <is>
          <t>SANDVIKEN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27743-2026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46191</v>
      </c>
      <c r="E727" s="1" t="n">
        <v>46220</v>
      </c>
      <c r="F727" t="inlineStr">
        <is>
          <t>GÄVLEBORGS LÄN</t>
        </is>
      </c>
      <c r="G727" t="inlineStr">
        <is>
          <t>SANDVIKEN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27588-2026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46220</v>
      </c>
      <c r="F728" t="inlineStr">
        <is>
          <t>GÄVLEBORGS LÄN</t>
        </is>
      </c>
      <c r="G728" t="inlineStr">
        <is>
          <t>SANDVIKEN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11385-2023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44988</v>
      </c>
      <c r="E729" s="1" t="n">
        <v>46220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52932-2022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44875</v>
      </c>
      <c r="E730" s="1" t="n">
        <v>46220</v>
      </c>
      <c r="F730" t="inlineStr">
        <is>
          <t>GÄVLEBORGS LÄN</t>
        </is>
      </c>
      <c r="G730" t="inlineStr">
        <is>
          <t>SANDVIKEN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22205-2026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46153</v>
      </c>
      <c r="E731" s="1" t="n">
        <v>46220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21951-2026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46151</v>
      </c>
      <c r="E732" s="1" t="n">
        <v>46220</v>
      </c>
      <c r="F732" t="inlineStr">
        <is>
          <t>GÄVLEBORGS LÄN</t>
        </is>
      </c>
      <c r="G732" t="inlineStr">
        <is>
          <t>SANDVIKEN</t>
        </is>
      </c>
      <c r="I732" t="n">
        <v>11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5257-2026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46050</v>
      </c>
      <c r="E733" s="1" t="n">
        <v>46220</v>
      </c>
      <c r="F733" t="inlineStr">
        <is>
          <t>GÄVLEBORGS LÄN</t>
        </is>
      </c>
      <c r="G733" t="inlineStr">
        <is>
          <t>SANDVIKEN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2016-2026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46035</v>
      </c>
      <c r="E734" s="1" t="n">
        <v>46220</v>
      </c>
      <c r="F734" t="inlineStr">
        <is>
          <t>GÄVLEBORGS LÄN</t>
        </is>
      </c>
      <c r="G734" t="inlineStr">
        <is>
          <t>SANDVIKEN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21773-2026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46150</v>
      </c>
      <c r="E735" s="1" t="n">
        <v>46220</v>
      </c>
      <c r="F735" t="inlineStr">
        <is>
          <t>GÄVLEBORGS LÄN</t>
        </is>
      </c>
      <c r="G735" t="inlineStr">
        <is>
          <t>SANDVIKEN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3635-2026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46043</v>
      </c>
      <c r="E736" s="1" t="n">
        <v>46220</v>
      </c>
      <c r="F736" t="inlineStr">
        <is>
          <t>GÄVLEBORGS LÄN</t>
        </is>
      </c>
      <c r="G736" t="inlineStr">
        <is>
          <t>SANDVIKEN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22008-2026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46153</v>
      </c>
      <c r="E737" s="1" t="n">
        <v>46220</v>
      </c>
      <c r="F737" t="inlineStr">
        <is>
          <t>GÄVLEBORGS LÄN</t>
        </is>
      </c>
      <c r="G737" t="inlineStr">
        <is>
          <t>SANDVIKEN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48765-2021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44452</v>
      </c>
      <c r="E738" s="1" t="n">
        <v>46220</v>
      </c>
      <c r="F738" t="inlineStr">
        <is>
          <t>GÄVLEBORGS LÄN</t>
        </is>
      </c>
      <c r="G738" t="inlineStr">
        <is>
          <t>SANDVIKEN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22068-2026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46153</v>
      </c>
      <c r="E739" s="1" t="n">
        <v>46220</v>
      </c>
      <c r="F739" t="inlineStr">
        <is>
          <t>GÄVLEBORGS LÄN</t>
        </is>
      </c>
      <c r="G739" t="inlineStr">
        <is>
          <t>SANDVIKEN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16012-2026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46108</v>
      </c>
      <c r="E740" s="1" t="n">
        <v>46220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11089-2026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46079</v>
      </c>
      <c r="E741" s="1" t="n">
        <v>46220</v>
      </c>
      <c r="F741" t="inlineStr">
        <is>
          <t>GÄVLEBORGS LÄN</t>
        </is>
      </c>
      <c r="G741" t="inlineStr">
        <is>
          <t>SANDVIKEN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30721-2023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45112</v>
      </c>
      <c r="E742" s="1" t="n">
        <v>46220</v>
      </c>
      <c r="F742" t="inlineStr">
        <is>
          <t>GÄVLEBORGS LÄN</t>
        </is>
      </c>
      <c r="G742" t="inlineStr">
        <is>
          <t>SANDVIKEN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4848-2026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46220</v>
      </c>
      <c r="F743" t="inlineStr">
        <is>
          <t>GÄVLEBORGS LÄN</t>
        </is>
      </c>
      <c r="G743" t="inlineStr">
        <is>
          <t>SANDVIKEN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28344-2026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46220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28349-2026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46220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34946-2022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44796</v>
      </c>
      <c r="E746" s="1" t="n">
        <v>46220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38200-2024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45545</v>
      </c>
      <c r="E747" s="1" t="n">
        <v>46220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12149-2026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46086</v>
      </c>
      <c r="E748" s="1" t="n">
        <v>46220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12120-2026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46220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28346-2026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46220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11.9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28369-2026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46220</v>
      </c>
      <c r="F751" t="inlineStr">
        <is>
          <t>GÄVLEBORGS LÄN</t>
        </is>
      </c>
      <c r="G751" t="inlineStr">
        <is>
          <t>SANDVIKEN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22238-2023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45070</v>
      </c>
      <c r="E752" s="1" t="n">
        <v>46220</v>
      </c>
      <c r="F752" t="inlineStr">
        <is>
          <t>GÄVLEBORGS LÄN</t>
        </is>
      </c>
      <c r="G752" t="inlineStr">
        <is>
          <t>SANDVIKEN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4461-2023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44956</v>
      </c>
      <c r="E753" s="1" t="n">
        <v>46220</v>
      </c>
      <c r="F753" t="inlineStr">
        <is>
          <t>GÄVLEBORGS LÄN</t>
        </is>
      </c>
      <c r="G753" t="inlineStr">
        <is>
          <t>SANDVIKEN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13551-2026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46220</v>
      </c>
      <c r="F754" t="inlineStr">
        <is>
          <t>GÄVLEBORGS LÄN</t>
        </is>
      </c>
      <c r="G754" t="inlineStr">
        <is>
          <t>SANDVIKEN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716-2024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46220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64801-2023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45282</v>
      </c>
      <c r="E756" s="1" t="n">
        <v>46220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28728-2026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46220</v>
      </c>
      <c r="F757" t="inlineStr">
        <is>
          <t>GÄVLEBORGS LÄN</t>
        </is>
      </c>
      <c r="G757" t="inlineStr">
        <is>
          <t>SANDVIKEN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14867-2026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46104</v>
      </c>
      <c r="E758" s="1" t="n">
        <v>46220</v>
      </c>
      <c r="F758" t="inlineStr">
        <is>
          <t>GÄVLEBORGS LÄN</t>
        </is>
      </c>
      <c r="G758" t="inlineStr">
        <is>
          <t>SANDVIKEN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28845-2026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46195</v>
      </c>
      <c r="E759" s="1" t="n">
        <v>46220</v>
      </c>
      <c r="F759" t="inlineStr">
        <is>
          <t>GÄVLEBORGS LÄN</t>
        </is>
      </c>
      <c r="G759" t="inlineStr">
        <is>
          <t>SANDVIKEN</t>
        </is>
      </c>
      <c r="H759" t="inlineStr">
        <is>
          <t>Sveaskog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50765-2024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45602</v>
      </c>
      <c r="E760" s="1" t="n">
        <v>46220</v>
      </c>
      <c r="F760" t="inlineStr">
        <is>
          <t>GÄVLEBORGS LÄN</t>
        </is>
      </c>
      <c r="G760" t="inlineStr">
        <is>
          <t>SANDVIKEN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58363-2022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44901</v>
      </c>
      <c r="E761" s="1" t="n">
        <v>46220</v>
      </c>
      <c r="F761" t="inlineStr">
        <is>
          <t>GÄVLEBORGS LÄN</t>
        </is>
      </c>
      <c r="G761" t="inlineStr">
        <is>
          <t>SANDVIKEN</t>
        </is>
      </c>
      <c r="I761" t="n">
        <v>7.3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16102-2026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46220</v>
      </c>
      <c r="F762" t="inlineStr">
        <is>
          <t>GÄVLEBORGS LÄN</t>
        </is>
      </c>
      <c r="G762" t="inlineStr">
        <is>
          <t>SANDVIKEN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58983-2023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46220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23144-2026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46161</v>
      </c>
      <c r="E764" s="1" t="n">
        <v>46220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29115-2026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46201</v>
      </c>
      <c r="E765" s="1" t="n">
        <v>46220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24465-2023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45082</v>
      </c>
      <c r="E766" s="1" t="n">
        <v>46220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28340-2026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46220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2290-2025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45673</v>
      </c>
      <c r="E768" s="1" t="n">
        <v>46220</v>
      </c>
      <c r="F768" t="inlineStr">
        <is>
          <t>GÄVLEBORGS LÄN</t>
        </is>
      </c>
      <c r="G768" t="inlineStr">
        <is>
          <t>SANDVIKEN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29321-2026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46202</v>
      </c>
      <c r="E769" s="1" t="n">
        <v>46220</v>
      </c>
      <c r="F769" t="inlineStr">
        <is>
          <t>GÄVLEBORGS LÄN</t>
        </is>
      </c>
      <c r="G769" t="inlineStr">
        <is>
          <t>SANDVIKEN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27533-2026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46190</v>
      </c>
      <c r="E770" s="1" t="n">
        <v>46220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22851-2026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46160</v>
      </c>
      <c r="E771" s="1" t="n">
        <v>46220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15769-2026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46107</v>
      </c>
      <c r="E772" s="1" t="n">
        <v>46220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17164-2026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46115</v>
      </c>
      <c r="E773" s="1" t="n">
        <v>46220</v>
      </c>
      <c r="F773" t="inlineStr">
        <is>
          <t>GÄVLEBORGS LÄN</t>
        </is>
      </c>
      <c r="G773" t="inlineStr">
        <is>
          <t>SANDVIKEN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1737-2026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46034</v>
      </c>
      <c r="E774" s="1" t="n">
        <v>46220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1418-2025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45668</v>
      </c>
      <c r="E775" s="1" t="n">
        <v>46220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29471-2026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46220</v>
      </c>
      <c r="F776" t="inlineStr">
        <is>
          <t>GÄVLEBORGS LÄN</t>
        </is>
      </c>
      <c r="G776" t="inlineStr">
        <is>
          <t>SANDVIKEN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60908-2022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44914</v>
      </c>
      <c r="E777" s="1" t="n">
        <v>46220</v>
      </c>
      <c r="F777" t="inlineStr">
        <is>
          <t>GÄVLEBORGS LÄN</t>
        </is>
      </c>
      <c r="G777" t="inlineStr">
        <is>
          <t>SANDVIKEN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23465-2026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46220</v>
      </c>
      <c r="F778" t="inlineStr">
        <is>
          <t>GÄVLEBORGS LÄN</t>
        </is>
      </c>
      <c r="G778" t="inlineStr">
        <is>
          <t>SANDVIKEN</t>
        </is>
      </c>
      <c r="H778" t="inlineStr">
        <is>
          <t>Övriga statliga verk och myndigheter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29682-2026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46220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59841-2023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45257</v>
      </c>
      <c r="E780" s="1" t="n">
        <v>46220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29681-2026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46220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23429-2026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46163</v>
      </c>
      <c r="E782" s="1" t="n">
        <v>46220</v>
      </c>
      <c r="F782" t="inlineStr">
        <is>
          <t>GÄVLEBORGS LÄN</t>
        </is>
      </c>
      <c r="G782" t="inlineStr">
        <is>
          <t>SANDVIKEN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29833-2026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46220</v>
      </c>
      <c r="F783" t="inlineStr">
        <is>
          <t>GÄVLEBORGS LÄN</t>
        </is>
      </c>
      <c r="G783" t="inlineStr">
        <is>
          <t>SANDVIKEN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29608-2026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46220</v>
      </c>
      <c r="F784" t="inlineStr">
        <is>
          <t>GÄVLEBORGS LÄN</t>
        </is>
      </c>
      <c r="G784" t="inlineStr">
        <is>
          <t>SANDVIKEN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29616-2026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46220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4783-2025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45688</v>
      </c>
      <c r="E786" s="1" t="n">
        <v>46220</v>
      </c>
      <c r="F786" t="inlineStr">
        <is>
          <t>GÄVLEBORGS LÄN</t>
        </is>
      </c>
      <c r="G786" t="inlineStr">
        <is>
          <t>SANDVIKEN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23493-2026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46163</v>
      </c>
      <c r="E787" s="1" t="n">
        <v>46220</v>
      </c>
      <c r="F787" t="inlineStr">
        <is>
          <t>GÄVLEBORGS LÄN</t>
        </is>
      </c>
      <c r="G787" t="inlineStr">
        <is>
          <t>SANDVIKEN</t>
        </is>
      </c>
      <c r="H787" t="inlineStr">
        <is>
          <t>Övriga statliga verk och myndigheter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955-2026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46030</v>
      </c>
      <c r="E788" s="1" t="n">
        <v>46220</v>
      </c>
      <c r="F788" t="inlineStr">
        <is>
          <t>GÄVLEBORGS LÄN</t>
        </is>
      </c>
      <c r="G788" t="inlineStr">
        <is>
          <t>SANDVIKEN</t>
        </is>
      </c>
      <c r="I788" t="n">
        <v>14.2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29715-2026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46220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29613-2026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46220</v>
      </c>
      <c r="F790" t="inlineStr">
        <is>
          <t>GÄVLEBORGS LÄN</t>
        </is>
      </c>
      <c r="G790" t="inlineStr">
        <is>
          <t>SANDVIKEN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29842-2026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46220</v>
      </c>
      <c r="F791" t="inlineStr">
        <is>
          <t>GÄVLEBORGS LÄN</t>
        </is>
      </c>
      <c r="G791" t="inlineStr">
        <is>
          <t>SANDVIKEN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27006-2023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45094</v>
      </c>
      <c r="E792" s="1" t="n">
        <v>46220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9.5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29717-2026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46220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29726-2026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46220</v>
      </c>
      <c r="F794" t="inlineStr">
        <is>
          <t>GÄVLEBORGS LÄN</t>
        </is>
      </c>
      <c r="G794" t="inlineStr">
        <is>
          <t>SANDVIKEN</t>
        </is>
      </c>
      <c r="H794" t="inlineStr">
        <is>
          <t>Naturvårdsverket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46177-2022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44847</v>
      </c>
      <c r="E795" s="1" t="n">
        <v>46220</v>
      </c>
      <c r="F795" t="inlineStr">
        <is>
          <t>GÄVLEBORGS LÄN</t>
        </is>
      </c>
      <c r="G795" t="inlineStr">
        <is>
          <t>SANDVIKEN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19346-2023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45049</v>
      </c>
      <c r="E796" s="1" t="n">
        <v>46220</v>
      </c>
      <c r="F796" t="inlineStr">
        <is>
          <t>GÄVLEBORGS LÄN</t>
        </is>
      </c>
      <c r="G796" t="inlineStr">
        <is>
          <t>SANDVIKEN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61363-2023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45264</v>
      </c>
      <c r="E797" s="1" t="n">
        <v>46220</v>
      </c>
      <c r="F797" t="inlineStr">
        <is>
          <t>GÄVLEBORGS LÄN</t>
        </is>
      </c>
      <c r="G797" t="inlineStr">
        <is>
          <t>SANDVIKEN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23228-2026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46220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23474-2026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46220</v>
      </c>
      <c r="F799" t="inlineStr">
        <is>
          <t>GÄVLEBORGS LÄN</t>
        </is>
      </c>
      <c r="G799" t="inlineStr">
        <is>
          <t>SANDVIKEN</t>
        </is>
      </c>
      <c r="H799" t="inlineStr">
        <is>
          <t>Övriga statliga verk och myndigheter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29661-2026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46204</v>
      </c>
      <c r="E800" s="1" t="n">
        <v>46220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23471-2026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46163</v>
      </c>
      <c r="E801" s="1" t="n">
        <v>46220</v>
      </c>
      <c r="F801" t="inlineStr">
        <is>
          <t>GÄVLEBORGS LÄN</t>
        </is>
      </c>
      <c r="G801" t="inlineStr">
        <is>
          <t>SANDVIKEN</t>
        </is>
      </c>
      <c r="H801" t="inlineStr">
        <is>
          <t>Övriga statliga verk och myndigheter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46482-2023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45197</v>
      </c>
      <c r="E802" s="1" t="n">
        <v>46220</v>
      </c>
      <c r="F802" t="inlineStr">
        <is>
          <t>GÄVLEBORGS LÄN</t>
        </is>
      </c>
      <c r="G802" t="inlineStr">
        <is>
          <t>SANDVIKEN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29572-2026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46220</v>
      </c>
      <c r="F803" t="inlineStr">
        <is>
          <t>GÄVLEBORGS LÄN</t>
        </is>
      </c>
      <c r="G803" t="inlineStr">
        <is>
          <t>SANDVIKEN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23459-2026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46163</v>
      </c>
      <c r="E804" s="1" t="n">
        <v>46220</v>
      </c>
      <c r="F804" t="inlineStr">
        <is>
          <t>GÄVLEBORGS LÄN</t>
        </is>
      </c>
      <c r="G804" t="inlineStr">
        <is>
          <t>SANDVIKEN</t>
        </is>
      </c>
      <c r="H804" t="inlineStr">
        <is>
          <t>Övriga statliga verk och myndigheter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23821-2026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46165</v>
      </c>
      <c r="E805" s="1" t="n">
        <v>46220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23848-2026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46167</v>
      </c>
      <c r="E806" s="1" t="n">
        <v>46220</v>
      </c>
      <c r="F806" t="inlineStr">
        <is>
          <t>GÄVLEBORGS LÄN</t>
        </is>
      </c>
      <c r="G806" t="inlineStr">
        <is>
          <t>SANDVIKEN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50797-2023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45217</v>
      </c>
      <c r="E807" s="1" t="n">
        <v>46220</v>
      </c>
      <c r="F807" t="inlineStr">
        <is>
          <t>GÄVLEBORGS LÄN</t>
        </is>
      </c>
      <c r="G807" t="inlineStr">
        <is>
          <t>SANDVIKEN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23820-2026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46165</v>
      </c>
      <c r="E808" s="1" t="n">
        <v>46220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7.9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23822-2026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46165</v>
      </c>
      <c r="E809" s="1" t="n">
        <v>46220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23823-2026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46165</v>
      </c>
      <c r="E810" s="1" t="n">
        <v>46220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139-2022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44564</v>
      </c>
      <c r="E811" s="1" t="n">
        <v>46220</v>
      </c>
      <c r="F811" t="inlineStr">
        <is>
          <t>GÄVLEBORGS LÄN</t>
        </is>
      </c>
      <c r="G811" t="inlineStr">
        <is>
          <t>SANDVIKEN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23824-2026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46165</v>
      </c>
      <c r="E812" s="1" t="n">
        <v>46220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73331-2021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44551</v>
      </c>
      <c r="E813" s="1" t="n">
        <v>46220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41790-2024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45561</v>
      </c>
      <c r="E814" s="1" t="n">
        <v>46220</v>
      </c>
      <c r="F814" t="inlineStr">
        <is>
          <t>GÄVLEBORGS LÄN</t>
        </is>
      </c>
      <c r="G814" t="inlineStr">
        <is>
          <t>SANDVIKEN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24261-2026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46169</v>
      </c>
      <c r="E815" s="1" t="n">
        <v>46220</v>
      </c>
      <c r="F815" t="inlineStr">
        <is>
          <t>GÄVLEBORGS LÄN</t>
        </is>
      </c>
      <c r="G815" t="inlineStr">
        <is>
          <t>SANDVIKEN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15340-2026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46105</v>
      </c>
      <c r="E816" s="1" t="n">
        <v>46220</v>
      </c>
      <c r="F816" t="inlineStr">
        <is>
          <t>GÄVLEBORGS LÄN</t>
        </is>
      </c>
      <c r="G816" t="inlineStr">
        <is>
          <t>SANDVIKEN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21456-2023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45063</v>
      </c>
      <c r="E817" s="1" t="n">
        <v>46220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24313-2026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46169</v>
      </c>
      <c r="E818" s="1" t="n">
        <v>46220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24149-2026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46168</v>
      </c>
      <c r="E819" s="1" t="n">
        <v>46220</v>
      </c>
      <c r="F819" t="inlineStr">
        <is>
          <t>GÄVLEBORGS LÄN</t>
        </is>
      </c>
      <c r="G819" t="inlineStr">
        <is>
          <t>SANDVIKEN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24177-2026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46168</v>
      </c>
      <c r="E820" s="1" t="n">
        <v>46220</v>
      </c>
      <c r="F820" t="inlineStr">
        <is>
          <t>GÄVLEBORGS LÄN</t>
        </is>
      </c>
      <c r="G820" t="inlineStr">
        <is>
          <t>SANDVIKEN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24355-2026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46169</v>
      </c>
      <c r="E821" s="1" t="n">
        <v>46220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8.9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24356-2026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46169</v>
      </c>
      <c r="E822" s="1" t="n">
        <v>46220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15788-2025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45748</v>
      </c>
      <c r="E823" s="1" t="n">
        <v>46220</v>
      </c>
      <c r="F823" t="inlineStr">
        <is>
          <t>GÄVLEBORGS LÄN</t>
        </is>
      </c>
      <c r="G823" t="inlineStr">
        <is>
          <t>SANDVIKEN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24297-2026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46169</v>
      </c>
      <c r="E824" s="1" t="n">
        <v>46220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24303-2026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46220</v>
      </c>
      <c r="F825" t="inlineStr">
        <is>
          <t>GÄVLEBORGS LÄN</t>
        </is>
      </c>
      <c r="G825" t="inlineStr">
        <is>
          <t>SANDVIKEN</t>
        </is>
      </c>
      <c r="H825" t="inlineStr">
        <is>
          <t>Kommuner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18752-2026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46128</v>
      </c>
      <c r="E826" s="1" t="n">
        <v>46220</v>
      </c>
      <c r="F826" t="inlineStr">
        <is>
          <t>GÄVLEBORGS LÄN</t>
        </is>
      </c>
      <c r="G826" t="inlineStr">
        <is>
          <t>SANDVIKEN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58797-2024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45636</v>
      </c>
      <c r="E827" s="1" t="n">
        <v>46220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24992-2023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45085</v>
      </c>
      <c r="E828" s="1" t="n">
        <v>46220</v>
      </c>
      <c r="F828" t="inlineStr">
        <is>
          <t>GÄVLEBORGS LÄN</t>
        </is>
      </c>
      <c r="G828" t="inlineStr">
        <is>
          <t>SANDVIKEN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29620-2026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46220</v>
      </c>
      <c r="F829" t="inlineStr">
        <is>
          <t>GÄVLEBORGS LÄN</t>
        </is>
      </c>
      <c r="G829" t="inlineStr">
        <is>
          <t>SANDVIKEN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24650-2026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46171</v>
      </c>
      <c r="E830" s="1" t="n">
        <v>46220</v>
      </c>
      <c r="F830" t="inlineStr">
        <is>
          <t>GÄVLEBORGS LÄN</t>
        </is>
      </c>
      <c r="G830" t="inlineStr">
        <is>
          <t>SANDVIKEN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7056-2025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46220</v>
      </c>
      <c r="F831" t="inlineStr">
        <is>
          <t>GÄVLEBORGS LÄN</t>
        </is>
      </c>
      <c r="G831" t="inlineStr">
        <is>
          <t>SANDVIKEN</t>
        </is>
      </c>
      <c r="I831" t="n">
        <v>6.4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6765-2025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45700</v>
      </c>
      <c r="E832" s="1" t="n">
        <v>46220</v>
      </c>
      <c r="F832" t="inlineStr">
        <is>
          <t>GÄVLEBORGS LÄN</t>
        </is>
      </c>
      <c r="G832" t="inlineStr">
        <is>
          <t>SANDVIKEN</t>
        </is>
      </c>
      <c r="I832" t="n">
        <v>7.1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24627-2026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46220</v>
      </c>
      <c r="F833" t="inlineStr">
        <is>
          <t>GÄVLEBORGS LÄN</t>
        </is>
      </c>
      <c r="G833" t="inlineStr">
        <is>
          <t>SANDVIKEN</t>
        </is>
      </c>
      <c r="I833" t="n">
        <v>6.9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47889-2022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44855</v>
      </c>
      <c r="E834" s="1" t="n">
        <v>46220</v>
      </c>
      <c r="F834" t="inlineStr">
        <is>
          <t>GÄVLEBORGS LÄN</t>
        </is>
      </c>
      <c r="G834" t="inlineStr">
        <is>
          <t>SANDVIKEN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4483-2026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46045</v>
      </c>
      <c r="E835" s="1" t="n">
        <v>46220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29972-2022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44756</v>
      </c>
      <c r="E836" s="1" t="n">
        <v>46220</v>
      </c>
      <c r="F836" t="inlineStr">
        <is>
          <t>GÄVLEBORGS LÄN</t>
        </is>
      </c>
      <c r="G836" t="inlineStr">
        <is>
          <t>SANDVIKEN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16385-2023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45022</v>
      </c>
      <c r="E837" s="1" t="n">
        <v>46220</v>
      </c>
      <c r="F837" t="inlineStr">
        <is>
          <t>GÄVLEBORGS LÄN</t>
        </is>
      </c>
      <c r="G837" t="inlineStr">
        <is>
          <t>SANDVIKEN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4488-2026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46045</v>
      </c>
      <c r="E838" s="1" t="n">
        <v>46220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25544-2024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45463</v>
      </c>
      <c r="E839" s="1" t="n">
        <v>46220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5960-2026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46052</v>
      </c>
      <c r="E840" s="1" t="n">
        <v>46220</v>
      </c>
      <c r="F840" t="inlineStr">
        <is>
          <t>GÄVLEBORGS LÄN</t>
        </is>
      </c>
      <c r="G840" t="inlineStr">
        <is>
          <t>SANDVIKEN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37641-2024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45541</v>
      </c>
      <c r="E841" s="1" t="n">
        <v>46220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37643-2024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46220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31314-2026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46219</v>
      </c>
      <c r="E843" s="1" t="n">
        <v>46220</v>
      </c>
      <c r="F843" t="inlineStr">
        <is>
          <t>GÄVLEBORGS LÄN</t>
        </is>
      </c>
      <c r="G843" t="inlineStr">
        <is>
          <t>SANDVIKEN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25498-2026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46177</v>
      </c>
      <c r="E844" s="1" t="n">
        <v>46220</v>
      </c>
      <c r="F844" t="inlineStr">
        <is>
          <t>GÄVLEBORGS LÄN</t>
        </is>
      </c>
      <c r="G844" t="inlineStr">
        <is>
          <t>SANDVIKEN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3899-2022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44587</v>
      </c>
      <c r="E845" s="1" t="n">
        <v>46220</v>
      </c>
      <c r="F845" t="inlineStr">
        <is>
          <t>GÄVLEBORGS LÄN</t>
        </is>
      </c>
      <c r="G845" t="inlineStr">
        <is>
          <t>SANDVIKEN</t>
        </is>
      </c>
      <c r="H845" t="inlineStr">
        <is>
          <t>Kyrkan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4511-2024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45327</v>
      </c>
      <c r="E846" s="1" t="n">
        <v>46220</v>
      </c>
      <c r="F846" t="inlineStr">
        <is>
          <t>GÄVLEBORGS LÄN</t>
        </is>
      </c>
      <c r="G846" t="inlineStr">
        <is>
          <t>SANDVIKEN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25249-2026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46175</v>
      </c>
      <c r="E847" s="1" t="n">
        <v>46220</v>
      </c>
      <c r="F847" t="inlineStr">
        <is>
          <t>GÄVLEBORGS LÄN</t>
        </is>
      </c>
      <c r="G847" t="inlineStr">
        <is>
          <t>SANDVIKEN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25220-2026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46175</v>
      </c>
      <c r="E848" s="1" t="n">
        <v>46220</v>
      </c>
      <c r="F848" t="inlineStr">
        <is>
          <t>GÄVLEBORGS LÄN</t>
        </is>
      </c>
      <c r="G848" t="inlineStr">
        <is>
          <t>SANDVIKEN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25412-2026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46176</v>
      </c>
      <c r="E849" s="1" t="n">
        <v>46220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25413-2026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46176</v>
      </c>
      <c r="E850" s="1" t="n">
        <v>46220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25175-2026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46175</v>
      </c>
      <c r="E851" s="1" t="n">
        <v>46220</v>
      </c>
      <c r="F851" t="inlineStr">
        <is>
          <t>GÄVLEBORGS LÄN</t>
        </is>
      </c>
      <c r="G851" t="inlineStr">
        <is>
          <t>SANDVIKEN</t>
        </is>
      </c>
      <c r="H851" t="inlineStr">
        <is>
          <t>Kommuner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25456-2026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46177</v>
      </c>
      <c r="E852" s="1" t="n">
        <v>46220</v>
      </c>
      <c r="F852" t="inlineStr">
        <is>
          <t>GÄVLEBORGS LÄN</t>
        </is>
      </c>
      <c r="G852" t="inlineStr">
        <is>
          <t>SANDVIKEN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19269-2025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45769</v>
      </c>
      <c r="E853" s="1" t="n">
        <v>46220</v>
      </c>
      <c r="F853" t="inlineStr">
        <is>
          <t>GÄVLEBORGS LÄN</t>
        </is>
      </c>
      <c r="G853" t="inlineStr">
        <is>
          <t>SANDVIKEN</t>
        </is>
      </c>
      <c r="I853" t="n">
        <v>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15671-2024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45404</v>
      </c>
      <c r="E854" s="1" t="n">
        <v>46220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48435-2024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45590</v>
      </c>
      <c r="E855" s="1" t="n">
        <v>46220</v>
      </c>
      <c r="F855" t="inlineStr">
        <is>
          <t>GÄVLEBORGS LÄN</t>
        </is>
      </c>
      <c r="G855" t="inlineStr">
        <is>
          <t>SANDVIKEN</t>
        </is>
      </c>
      <c r="I855" t="n">
        <v>6.7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45672</v>
      </c>
      <c r="E856" s="1" t="n">
        <v>46220</v>
      </c>
      <c r="F856" t="inlineStr">
        <is>
          <t>GÄVLEBORGS LÄN</t>
        </is>
      </c>
      <c r="G856" t="inlineStr">
        <is>
          <t>SANDVIKEN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49518-2023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45211</v>
      </c>
      <c r="E857" s="1" t="n">
        <v>46220</v>
      </c>
      <c r="F857" t="inlineStr">
        <is>
          <t>GÄVLEBORGS LÄN</t>
        </is>
      </c>
      <c r="G857" t="inlineStr">
        <is>
          <t>SANDVIKEN</t>
        </is>
      </c>
      <c r="I857" t="n">
        <v>7.4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549-2022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44566</v>
      </c>
      <c r="E858" s="1" t="n">
        <v>46220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36656-2023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45153</v>
      </c>
      <c r="E859" s="1" t="n">
        <v>46220</v>
      </c>
      <c r="F859" t="inlineStr">
        <is>
          <t>GÄVLEBORGS LÄN</t>
        </is>
      </c>
      <c r="G859" t="inlineStr">
        <is>
          <t>SANDVIKEN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16258-2023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45022</v>
      </c>
      <c r="E860" s="1" t="n">
        <v>46220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väst AB</t>
        </is>
      </c>
      <c r="I860" t="n">
        <v>5.2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21182-2025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45779</v>
      </c>
      <c r="E861" s="1" t="n">
        <v>46220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37459-2024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45540</v>
      </c>
      <c r="E862" s="1" t="n">
        <v>46220</v>
      </c>
      <c r="F862" t="inlineStr">
        <is>
          <t>GÄVLEBORGS LÄN</t>
        </is>
      </c>
      <c r="G862" t="inlineStr">
        <is>
          <t>SANDVIKEN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48319-2023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45205</v>
      </c>
      <c r="E863" s="1" t="n">
        <v>46220</v>
      </c>
      <c r="F863" t="inlineStr">
        <is>
          <t>GÄVLEBORGS LÄN</t>
        </is>
      </c>
      <c r="G863" t="inlineStr">
        <is>
          <t>SANDVIKEN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55446-2024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46220</v>
      </c>
      <c r="F864" t="inlineStr">
        <is>
          <t>GÄVLEBORGS LÄN</t>
        </is>
      </c>
      <c r="G864" t="inlineStr">
        <is>
          <t>SANDVIKEN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3256-2025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45679</v>
      </c>
      <c r="E865" s="1" t="n">
        <v>46220</v>
      </c>
      <c r="F865" t="inlineStr">
        <is>
          <t>GÄVLEBORGS LÄN</t>
        </is>
      </c>
      <c r="G865" t="inlineStr">
        <is>
          <t>SANDVIKEN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40460-2024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45555</v>
      </c>
      <c r="E866" s="1" t="n">
        <v>46220</v>
      </c>
      <c r="F866" t="inlineStr">
        <is>
          <t>GÄVLEBORGS LÄN</t>
        </is>
      </c>
      <c r="G866" t="inlineStr">
        <is>
          <t>SANDVIKEN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41284-2023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45174</v>
      </c>
      <c r="E867" s="1" t="n">
        <v>46220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69521-2021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44531</v>
      </c>
      <c r="E868" s="1" t="n">
        <v>46220</v>
      </c>
      <c r="F868" t="inlineStr">
        <is>
          <t>GÄVLEBORGS LÄN</t>
        </is>
      </c>
      <c r="G868" t="inlineStr">
        <is>
          <t>SANDVIKEN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56019-2023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45240</v>
      </c>
      <c r="E869" s="1" t="n">
        <v>46220</v>
      </c>
      <c r="F869" t="inlineStr">
        <is>
          <t>GÄVLEBORGS LÄN</t>
        </is>
      </c>
      <c r="G869" t="inlineStr">
        <is>
          <t>SANDVIKEN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42950-2023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45178</v>
      </c>
      <c r="E870" s="1" t="n">
        <v>46220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väst AB</t>
        </is>
      </c>
      <c r="I870" t="n">
        <v>16.5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33623-2024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46220</v>
      </c>
      <c r="F871" t="inlineStr">
        <is>
          <t>GÄVLEBORGS LÄN</t>
        </is>
      </c>
      <c r="G871" t="inlineStr">
        <is>
          <t>SANDVIKEN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34429-2024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45525</v>
      </c>
      <c r="E872" s="1" t="n">
        <v>46220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15682-2024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45404</v>
      </c>
      <c r="E873" s="1" t="n">
        <v>46220</v>
      </c>
      <c r="F873" t="inlineStr">
        <is>
          <t>GÄVLEBORGS LÄN</t>
        </is>
      </c>
      <c r="G873" t="inlineStr">
        <is>
          <t>SANDVIKEN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44289-2023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46220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46220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2071-2020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44102</v>
      </c>
      <c r="E876" s="1" t="n">
        <v>46220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42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219-2024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45316</v>
      </c>
      <c r="E877" s="1" t="n">
        <v>46220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198-2024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45315</v>
      </c>
      <c r="E878" s="1" t="n">
        <v>46220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64.59999999999999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7975-2021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44484</v>
      </c>
      <c r="E879" s="1" t="n">
        <v>46220</v>
      </c>
      <c r="F879" t="inlineStr">
        <is>
          <t>GÄVLEBORGS LÄN</t>
        </is>
      </c>
      <c r="G879" t="inlineStr">
        <is>
          <t>SANDVIKEN</t>
        </is>
      </c>
      <c r="H879" t="inlineStr">
        <is>
          <t>Kommuner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2574-2023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45142</v>
      </c>
      <c r="E880" s="1" t="n">
        <v>46220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31.8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10363-2021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44550</v>
      </c>
      <c r="E881" s="1" t="n">
        <v>46220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73.3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513-2025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45706</v>
      </c>
      <c r="E882" s="1" t="n">
        <v>46220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706-2025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45720</v>
      </c>
      <c r="E883" s="1" t="n">
        <v>46220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väst AB</t>
        </is>
      </c>
      <c r="I883" t="n">
        <v>24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531-2025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45707</v>
      </c>
      <c r="E884" s="1" t="n">
        <v>46220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14.4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S 530-2025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45707</v>
      </c>
      <c r="E885" s="1" t="n">
        <v>46220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23.1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S 318-2026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46059</v>
      </c>
      <c r="E886" s="1" t="n">
        <v>46220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S 320-2026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46059</v>
      </c>
      <c r="E887" s="1" t="n">
        <v>46220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36.3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S 664-2026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46089</v>
      </c>
      <c r="E888" s="1" t="n">
        <v>46220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>
      <c r="A889" t="inlineStr">
        <is>
          <t>S 677-2026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46089</v>
      </c>
      <c r="E889" s="1" t="n">
        <v>46220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61.3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2026-07-17T01:39:25Z</dcterms:created>
  <dcterms:modified xmlns:dcterms="http://purl.org/dc/terms/" xmlns:xsi="http://www.w3.org/2001/XMLSchema-instance" xsi:type="dcterms:W3CDTF">2026-07-17T01:39:26Z</dcterms:modified>
</cp:coreProperties>
</file>